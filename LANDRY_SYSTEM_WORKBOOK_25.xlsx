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ables/table10.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lan/GitHub/Stock_Picker/"/>
    </mc:Choice>
  </mc:AlternateContent>
  <xr:revisionPtr revIDLastSave="0" documentId="13_ncr:1_{18F22342-ED06-174D-A810-F8E2ACAE64F2}" xr6:coauthVersionLast="47" xr6:coauthVersionMax="47" xr10:uidLastSave="{00000000-0000-0000-0000-000000000000}"/>
  <bookViews>
    <workbookView xWindow="0" yWindow="0" windowWidth="25600" windowHeight="16000" tabRatio="500" firstSheet="13" activeTab="19"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Process Checklist" sheetId="18" r:id="rId18"/>
    <sheet name="Open Items" sheetId="19" r:id="rId19"/>
    <sheet name="Schema Reference" sheetId="20" r:id="rId20"/>
    <sheet name="Scratchpad (disregard)" sheetId="21" r:id="rId21"/>
  </sheets>
  <definedNames>
    <definedName name="_xlnm._FilterDatabase" localSheetId="8" hidden="1">'Market Data'!$A$2:$I$44</definedName>
    <definedName name="_xlnm._FilterDatabase" localSheetId="6" hidden="1">Scoring!$A$2:$AS$62</definedName>
    <definedName name="MON_SignalsAsOf">'Monitor &amp; Recheck Triggers'!$Q$1</definedName>
    <definedName name="_xlnm.Print_Area" localSheetId="16">Journal!$A$1:$C$302</definedName>
    <definedName name="PT_AsOf">'Performance Tracking'!$D$63</definedName>
    <definedName name="PT_Inception">'Performance Tracking'!$D$67</definedName>
    <definedName name="PT_SPY_0805">'Performance Tracking'!$D$65</definedName>
    <definedName name="PT_SPY_1231">'Performance Tracking'!$D$66</definedName>
    <definedName name="PT_SPY_Now">'Performance Tracking'!$D$64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9" l="1"/>
  <c r="E121" i="18"/>
  <c r="F121" i="18" s="1"/>
  <c r="E120" i="18"/>
  <c r="F120" i="18" s="1"/>
  <c r="E119" i="18"/>
  <c r="F119" i="18" s="1"/>
  <c r="E118" i="18"/>
  <c r="F118" i="18" s="1"/>
  <c r="E117" i="18"/>
  <c r="F117" i="18" s="1"/>
  <c r="E116" i="18"/>
  <c r="F116" i="18" s="1"/>
  <c r="E115" i="18"/>
  <c r="F115" i="18" s="1"/>
  <c r="E114" i="18"/>
  <c r="F114" i="18" s="1"/>
  <c r="E113" i="18"/>
  <c r="F113" i="18" s="1"/>
  <c r="E112" i="18"/>
  <c r="F112" i="18" s="1"/>
  <c r="E111" i="18"/>
  <c r="F111" i="18" s="1"/>
  <c r="E110" i="18"/>
  <c r="F110" i="18" s="1"/>
  <c r="E109" i="18"/>
  <c r="F109" i="18" s="1"/>
  <c r="E108" i="18"/>
  <c r="F108" i="18" s="1"/>
  <c r="E107" i="18"/>
  <c r="F107" i="18" s="1"/>
  <c r="E106" i="18"/>
  <c r="F106" i="18" s="1"/>
  <c r="E105" i="18"/>
  <c r="F105" i="18" s="1"/>
  <c r="E104" i="18"/>
  <c r="F104" i="18" s="1"/>
  <c r="E103" i="18"/>
  <c r="F103" i="18" s="1"/>
  <c r="E102" i="18"/>
  <c r="F102" i="18" s="1"/>
  <c r="E101" i="18"/>
  <c r="F101" i="18" s="1"/>
  <c r="E100" i="18"/>
  <c r="F100" i="18" s="1"/>
  <c r="E99" i="18"/>
  <c r="F99" i="18" s="1"/>
  <c r="E98" i="18"/>
  <c r="F98" i="18" s="1"/>
  <c r="E97" i="18"/>
  <c r="F97" i="18" s="1"/>
  <c r="E96" i="18"/>
  <c r="F96" i="18" s="1"/>
  <c r="E95" i="18"/>
  <c r="F95" i="18" s="1"/>
  <c r="E94" i="18"/>
  <c r="F94" i="18" s="1"/>
  <c r="E93" i="18"/>
  <c r="F93" i="18" s="1"/>
  <c r="E92" i="18"/>
  <c r="F92" i="18" s="1"/>
  <c r="E91" i="18"/>
  <c r="F91" i="18" s="1"/>
  <c r="E90" i="18"/>
  <c r="F90" i="18" s="1"/>
  <c r="E89" i="18"/>
  <c r="F89" i="18" s="1"/>
  <c r="E88" i="18"/>
  <c r="F88" i="18" s="1"/>
  <c r="E87" i="18"/>
  <c r="F87" i="18" s="1"/>
  <c r="E86" i="18"/>
  <c r="F86" i="18" s="1"/>
  <c r="E85" i="18"/>
  <c r="F85" i="18" s="1"/>
  <c r="E84" i="18"/>
  <c r="F84" i="18" s="1"/>
  <c r="E83" i="18"/>
  <c r="F83" i="18" s="1"/>
  <c r="E82" i="18"/>
  <c r="F82" i="18" s="1"/>
  <c r="E81" i="18"/>
  <c r="F81" i="18" s="1"/>
  <c r="E80" i="18"/>
  <c r="F80" i="18" s="1"/>
  <c r="E79" i="18"/>
  <c r="F79" i="18" s="1"/>
  <c r="E78" i="18"/>
  <c r="F78" i="18" s="1"/>
  <c r="E77" i="18"/>
  <c r="F77" i="18" s="1"/>
  <c r="E76" i="18"/>
  <c r="F76" i="18" s="1"/>
  <c r="E75" i="18"/>
  <c r="F75" i="18" s="1"/>
  <c r="E74" i="18"/>
  <c r="F74" i="18" s="1"/>
  <c r="E73" i="18"/>
  <c r="F73" i="18" s="1"/>
  <c r="E72" i="18"/>
  <c r="F72" i="18" s="1"/>
  <c r="E71" i="18"/>
  <c r="F71" i="18" s="1"/>
  <c r="E70" i="18"/>
  <c r="F70" i="18" s="1"/>
  <c r="E69" i="18"/>
  <c r="F69" i="18" s="1"/>
  <c r="E68" i="18"/>
  <c r="F68" i="18" s="1"/>
  <c r="E67" i="18"/>
  <c r="F67" i="18" s="1"/>
  <c r="E66" i="18"/>
  <c r="F66" i="18" s="1"/>
  <c r="E65" i="18"/>
  <c r="F65" i="18" s="1"/>
  <c r="E64" i="18"/>
  <c r="F64" i="18" s="1"/>
  <c r="E63" i="18"/>
  <c r="F63" i="18" s="1"/>
  <c r="E62" i="18"/>
  <c r="F62" i="18" s="1"/>
  <c r="E61" i="18"/>
  <c r="F61" i="18" s="1"/>
  <c r="E60" i="18"/>
  <c r="F60" i="18" s="1"/>
  <c r="E59" i="18"/>
  <c r="F59" i="18" s="1"/>
  <c r="E58" i="18"/>
  <c r="F58" i="18" s="1"/>
  <c r="E57" i="18"/>
  <c r="F57" i="18" s="1"/>
  <c r="E56" i="18"/>
  <c r="F56" i="18" s="1"/>
  <c r="F55" i="18"/>
  <c r="E55" i="18"/>
  <c r="F54" i="18"/>
  <c r="E54" i="18"/>
  <c r="F53" i="18"/>
  <c r="E53" i="18"/>
  <c r="F52" i="18"/>
  <c r="E52" i="18"/>
  <c r="F51" i="18"/>
  <c r="E51" i="18"/>
  <c r="F50" i="18"/>
  <c r="E50" i="18"/>
  <c r="F49" i="18"/>
  <c r="E49" i="18"/>
  <c r="F48" i="18"/>
  <c r="E48" i="18"/>
  <c r="F47" i="18"/>
  <c r="E47" i="18"/>
  <c r="F46" i="18"/>
  <c r="E46" i="18"/>
  <c r="F45" i="18"/>
  <c r="E45" i="18"/>
  <c r="F44" i="18"/>
  <c r="E44" i="18"/>
  <c r="F43" i="18"/>
  <c r="E43" i="18"/>
  <c r="F42" i="18"/>
  <c r="E42" i="18"/>
  <c r="F41" i="18"/>
  <c r="E41" i="18"/>
  <c r="F40" i="18"/>
  <c r="E40" i="18"/>
  <c r="F39" i="18"/>
  <c r="E39" i="18"/>
  <c r="F38" i="18"/>
  <c r="E38" i="18"/>
  <c r="F37" i="18"/>
  <c r="E37" i="18"/>
  <c r="F36" i="18"/>
  <c r="E36" i="18"/>
  <c r="E35" i="18"/>
  <c r="F35" i="18" s="1"/>
  <c r="E34" i="18"/>
  <c r="F34" i="18" s="1"/>
  <c r="E33" i="18"/>
  <c r="F33" i="18" s="1"/>
  <c r="E32" i="18"/>
  <c r="F32" i="18" s="1"/>
  <c r="E31" i="18"/>
  <c r="F31" i="18" s="1"/>
  <c r="E30" i="18"/>
  <c r="F30" i="18" s="1"/>
  <c r="E29" i="18"/>
  <c r="F29" i="18" s="1"/>
  <c r="E28" i="18"/>
  <c r="F28" i="18" s="1"/>
  <c r="E27" i="18"/>
  <c r="F27" i="18" s="1"/>
  <c r="E26" i="18"/>
  <c r="F26" i="18" s="1"/>
  <c r="E25" i="18"/>
  <c r="F25" i="18" s="1"/>
  <c r="E24" i="18"/>
  <c r="F24" i="18" s="1"/>
  <c r="E23" i="18"/>
  <c r="F23" i="18" s="1"/>
  <c r="E22" i="18"/>
  <c r="F22" i="18" s="1"/>
  <c r="E21" i="18"/>
  <c r="F21" i="18" s="1"/>
  <c r="E20" i="18"/>
  <c r="F20" i="18" s="1"/>
  <c r="E19" i="18"/>
  <c r="F19" i="18" s="1"/>
  <c r="E18" i="18"/>
  <c r="F18" i="18" s="1"/>
  <c r="E17" i="18"/>
  <c r="F17" i="18" s="1"/>
  <c r="E16" i="18"/>
  <c r="F16" i="18" s="1"/>
  <c r="E15" i="18"/>
  <c r="F15" i="18" s="1"/>
  <c r="E14" i="18"/>
  <c r="F14" i="18" s="1"/>
  <c r="E13" i="18"/>
  <c r="F13" i="18" s="1"/>
  <c r="E12" i="18"/>
  <c r="F12" i="18" s="1"/>
  <c r="E11" i="18"/>
  <c r="F11" i="18" s="1"/>
  <c r="E10" i="18"/>
  <c r="F10" i="18" s="1"/>
  <c r="E9" i="18"/>
  <c r="F9" i="18" s="1"/>
  <c r="E8" i="18"/>
  <c r="F8" i="18" s="1"/>
  <c r="E7" i="18"/>
  <c r="F7" i="18" s="1"/>
  <c r="E6" i="18"/>
  <c r="F6" i="18" s="1"/>
  <c r="F5" i="18"/>
  <c r="E5" i="18"/>
  <c r="H53" i="16"/>
  <c r="H52" i="16"/>
  <c r="H51" i="16"/>
  <c r="H50" i="16"/>
  <c r="H49" i="16"/>
  <c r="Z44" i="16"/>
  <c r="AA44" i="16" s="1"/>
  <c r="W44" i="16"/>
  <c r="U44" i="16"/>
  <c r="V44" i="16" s="1"/>
  <c r="P44" i="16"/>
  <c r="O44" i="16"/>
  <c r="Y43" i="16"/>
  <c r="W43" i="16"/>
  <c r="U43" i="16"/>
  <c r="N43" i="16"/>
  <c r="P43" i="16" s="1"/>
  <c r="M43" i="16"/>
  <c r="O43" i="16" s="1"/>
  <c r="V42" i="16"/>
  <c r="AC42" i="16" s="1"/>
  <c r="U42" i="16"/>
  <c r="W42" i="16" s="1"/>
  <c r="P42" i="16"/>
  <c r="O42" i="16"/>
  <c r="Q42" i="16" s="1"/>
  <c r="H42" i="16"/>
  <c r="AC41" i="16"/>
  <c r="V41" i="16"/>
  <c r="U41" i="16"/>
  <c r="Z41" i="16" s="1"/>
  <c r="Q41" i="16"/>
  <c r="O41" i="16"/>
  <c r="H41" i="16"/>
  <c r="P41" i="16" s="1"/>
  <c r="AC40" i="16"/>
  <c r="X40" i="16"/>
  <c r="V40" i="16"/>
  <c r="U40" i="16"/>
  <c r="W40" i="16" s="1"/>
  <c r="Q40" i="16"/>
  <c r="P40" i="16"/>
  <c r="O40" i="16"/>
  <c r="H40" i="16"/>
  <c r="W39" i="16"/>
  <c r="V39" i="16"/>
  <c r="X39" i="16" s="1"/>
  <c r="U39" i="16"/>
  <c r="Z39" i="16" s="1"/>
  <c r="AB39" i="16" s="1"/>
  <c r="O39" i="16"/>
  <c r="Q39" i="16" s="1"/>
  <c r="H39" i="16"/>
  <c r="P39" i="16" s="1"/>
  <c r="V38" i="16"/>
  <c r="AC38" i="16" s="1"/>
  <c r="U38" i="16"/>
  <c r="W38" i="16" s="1"/>
  <c r="Q38" i="16"/>
  <c r="P38" i="16"/>
  <c r="O38" i="16"/>
  <c r="H38" i="16"/>
  <c r="X37" i="16"/>
  <c r="W37" i="16"/>
  <c r="V37" i="16"/>
  <c r="AC37" i="16" s="1"/>
  <c r="U37" i="16"/>
  <c r="Z37" i="16" s="1"/>
  <c r="AB37" i="16" s="1"/>
  <c r="O37" i="16"/>
  <c r="Q37" i="16" s="1"/>
  <c r="H37" i="16"/>
  <c r="P37" i="16" s="1"/>
  <c r="Q36" i="16"/>
  <c r="O36" i="16"/>
  <c r="N36" i="16"/>
  <c r="H36" i="16"/>
  <c r="P36" i="16" s="1"/>
  <c r="P35" i="16"/>
  <c r="O35" i="16"/>
  <c r="N35" i="16"/>
  <c r="H35" i="16"/>
  <c r="V34" i="16"/>
  <c r="AC34" i="16" s="1"/>
  <c r="U34" i="16"/>
  <c r="Z34" i="16" s="1"/>
  <c r="Q34" i="16"/>
  <c r="P34" i="16"/>
  <c r="O34" i="16"/>
  <c r="H34" i="16"/>
  <c r="O33" i="16"/>
  <c r="Q33" i="16" s="1"/>
  <c r="N33" i="16"/>
  <c r="H33" i="16"/>
  <c r="P33" i="16" s="1"/>
  <c r="O32" i="16"/>
  <c r="N32" i="16"/>
  <c r="M32" i="16"/>
  <c r="H32" i="16"/>
  <c r="P32" i="16" s="1"/>
  <c r="N31" i="16"/>
  <c r="M31" i="16"/>
  <c r="O31" i="16" s="1"/>
  <c r="H31" i="16"/>
  <c r="P31" i="16" s="1"/>
  <c r="P30" i="16"/>
  <c r="O30" i="16"/>
  <c r="N30" i="16"/>
  <c r="M30" i="16"/>
  <c r="H30" i="16"/>
  <c r="P29" i="16"/>
  <c r="N29" i="16"/>
  <c r="M29" i="16"/>
  <c r="O29" i="16" s="1"/>
  <c r="Q29" i="16" s="1"/>
  <c r="H29" i="16"/>
  <c r="O28" i="16"/>
  <c r="N28" i="16"/>
  <c r="M28" i="16"/>
  <c r="H28" i="16"/>
  <c r="P28" i="16" s="1"/>
  <c r="N27" i="16"/>
  <c r="M27" i="16"/>
  <c r="O27" i="16" s="1"/>
  <c r="H27" i="16"/>
  <c r="P27" i="16" s="1"/>
  <c r="Q27" i="16" s="1"/>
  <c r="O26" i="16"/>
  <c r="N26" i="16"/>
  <c r="M26" i="16"/>
  <c r="H26" i="16"/>
  <c r="P26" i="16" s="1"/>
  <c r="Q26" i="16" s="1"/>
  <c r="P25" i="16"/>
  <c r="O25" i="16"/>
  <c r="Q25" i="16" s="1"/>
  <c r="N25" i="16"/>
  <c r="M25" i="16"/>
  <c r="H25" i="16"/>
  <c r="O24" i="16"/>
  <c r="N24" i="16"/>
  <c r="M24" i="16"/>
  <c r="H24" i="16"/>
  <c r="P24" i="16" s="1"/>
  <c r="Q23" i="16"/>
  <c r="P23" i="16"/>
  <c r="N23" i="16"/>
  <c r="M23" i="16"/>
  <c r="O23" i="16" s="1"/>
  <c r="H23" i="16"/>
  <c r="P22" i="16"/>
  <c r="O22" i="16"/>
  <c r="Q22" i="16" s="1"/>
  <c r="N22" i="16"/>
  <c r="M22" i="16"/>
  <c r="H22" i="16"/>
  <c r="N21" i="16"/>
  <c r="M21" i="16"/>
  <c r="O21" i="16" s="1"/>
  <c r="H21" i="16"/>
  <c r="P21" i="16" s="1"/>
  <c r="P20" i="16"/>
  <c r="N20" i="16"/>
  <c r="M20" i="16"/>
  <c r="O20" i="16" s="1"/>
  <c r="Q20" i="16" s="1"/>
  <c r="H20" i="16"/>
  <c r="N19" i="16"/>
  <c r="M19" i="16"/>
  <c r="O19" i="16" s="1"/>
  <c r="H19" i="16"/>
  <c r="P19" i="16" s="1"/>
  <c r="O18" i="16"/>
  <c r="N18" i="16"/>
  <c r="P18" i="16" s="1"/>
  <c r="Q18" i="16" s="1"/>
  <c r="M18" i="16"/>
  <c r="H18" i="16"/>
  <c r="O17" i="16"/>
  <c r="Q17" i="16" s="1"/>
  <c r="N17" i="16"/>
  <c r="M17" i="16"/>
  <c r="H17" i="16"/>
  <c r="P17" i="16" s="1"/>
  <c r="P16" i="16"/>
  <c r="O16" i="16"/>
  <c r="N16" i="16"/>
  <c r="M16" i="16"/>
  <c r="H16" i="16"/>
  <c r="P15" i="16"/>
  <c r="N15" i="16"/>
  <c r="M15" i="16"/>
  <c r="O15" i="16" s="1"/>
  <c r="Q15" i="16" s="1"/>
  <c r="H15" i="16"/>
  <c r="O14" i="16"/>
  <c r="N14" i="16"/>
  <c r="M14" i="16"/>
  <c r="H14" i="16"/>
  <c r="P14" i="16" s="1"/>
  <c r="Q14" i="16" s="1"/>
  <c r="P13" i="16"/>
  <c r="N13" i="16"/>
  <c r="M13" i="16"/>
  <c r="O13" i="16" s="1"/>
  <c r="Q13" i="16" s="1"/>
  <c r="H13" i="16"/>
  <c r="N12" i="16"/>
  <c r="M12" i="16"/>
  <c r="O12" i="16" s="1"/>
  <c r="Q12" i="16" s="1"/>
  <c r="H12" i="16"/>
  <c r="P12" i="16" s="1"/>
  <c r="N11" i="16"/>
  <c r="M11" i="16"/>
  <c r="O11" i="16" s="1"/>
  <c r="H11" i="16"/>
  <c r="P11" i="16" s="1"/>
  <c r="Q11" i="16" s="1"/>
  <c r="O10" i="16"/>
  <c r="N10" i="16"/>
  <c r="M10" i="16"/>
  <c r="H10" i="16"/>
  <c r="P10" i="16" s="1"/>
  <c r="Q10" i="16" s="1"/>
  <c r="Y9" i="16"/>
  <c r="X9" i="16"/>
  <c r="V9" i="16"/>
  <c r="AC9" i="16" s="1"/>
  <c r="U9" i="16"/>
  <c r="W9" i="16" s="1"/>
  <c r="Q9" i="16"/>
  <c r="P9" i="16"/>
  <c r="O9" i="16"/>
  <c r="N9" i="16"/>
  <c r="M9" i="16"/>
  <c r="Y8" i="16"/>
  <c r="Z8" i="16" s="1"/>
  <c r="V8" i="16"/>
  <c r="U8" i="16"/>
  <c r="P8" i="16"/>
  <c r="N8" i="16"/>
  <c r="M8" i="16"/>
  <c r="W8" i="16" s="1"/>
  <c r="X8" i="16" s="1"/>
  <c r="Y7" i="16"/>
  <c r="V7" i="16"/>
  <c r="AC7" i="16" s="1"/>
  <c r="U7" i="16"/>
  <c r="Z7" i="16" s="1"/>
  <c r="N7" i="16"/>
  <c r="P7" i="16" s="1"/>
  <c r="M7" i="16"/>
  <c r="O7" i="16" s="1"/>
  <c r="Q7" i="16" s="1"/>
  <c r="Y6" i="16"/>
  <c r="V6" i="16"/>
  <c r="X6" i="16" s="1"/>
  <c r="U6" i="16"/>
  <c r="W6" i="16" s="1"/>
  <c r="P6" i="16"/>
  <c r="O6" i="16"/>
  <c r="Q6" i="16" s="1"/>
  <c r="N6" i="16"/>
  <c r="M6" i="16"/>
  <c r="Y5" i="16"/>
  <c r="Z5" i="16" s="1"/>
  <c r="V5" i="16"/>
  <c r="AC5" i="16" s="1"/>
  <c r="U5" i="16"/>
  <c r="P5" i="16"/>
  <c r="N5" i="16"/>
  <c r="M5" i="16"/>
  <c r="O5" i="16" s="1"/>
  <c r="Q5" i="16" s="1"/>
  <c r="Z4" i="16"/>
  <c r="Y4" i="16"/>
  <c r="V4" i="16"/>
  <c r="AC4" i="16" s="1"/>
  <c r="U4" i="16"/>
  <c r="P4" i="16"/>
  <c r="N4" i="16"/>
  <c r="M4" i="16"/>
  <c r="O4" i="16" s="1"/>
  <c r="Q4" i="16" s="1"/>
  <c r="Y3" i="16"/>
  <c r="U3" i="16"/>
  <c r="W3" i="16" s="1"/>
  <c r="O3" i="16"/>
  <c r="Q3" i="16" s="1"/>
  <c r="N3" i="16"/>
  <c r="P3" i="16" s="1"/>
  <c r="M3" i="16"/>
  <c r="Z23" i="15"/>
  <c r="S23" i="15"/>
  <c r="P23" i="15"/>
  <c r="M23" i="15"/>
  <c r="J23" i="15"/>
  <c r="G23" i="15"/>
  <c r="AB23" i="15" s="1"/>
  <c r="Z22" i="15"/>
  <c r="S22" i="15"/>
  <c r="P22" i="15"/>
  <c r="M22" i="15"/>
  <c r="J22" i="15"/>
  <c r="G22" i="15"/>
  <c r="AB22" i="15" s="1"/>
  <c r="Z21" i="15"/>
  <c r="S21" i="15"/>
  <c r="P21" i="15"/>
  <c r="M21" i="15"/>
  <c r="J21" i="15"/>
  <c r="AB21" i="15" s="1"/>
  <c r="G21" i="15"/>
  <c r="Z20" i="15"/>
  <c r="S20" i="15"/>
  <c r="P20" i="15"/>
  <c r="M20" i="15"/>
  <c r="J20" i="15"/>
  <c r="AB20" i="15" s="1"/>
  <c r="G20" i="15"/>
  <c r="Z19" i="15"/>
  <c r="S19" i="15"/>
  <c r="P19" i="15"/>
  <c r="M19" i="15"/>
  <c r="J19" i="15"/>
  <c r="G19" i="15"/>
  <c r="AB19" i="15" s="1"/>
  <c r="Z18" i="15"/>
  <c r="S18" i="15"/>
  <c r="AB18" i="15" s="1"/>
  <c r="P18" i="15"/>
  <c r="M18" i="15"/>
  <c r="J18" i="15"/>
  <c r="G18" i="15"/>
  <c r="AB17" i="15"/>
  <c r="Z17" i="15"/>
  <c r="S17" i="15"/>
  <c r="P17" i="15"/>
  <c r="M17" i="15"/>
  <c r="J17" i="15"/>
  <c r="G17" i="15"/>
  <c r="Z16" i="15"/>
  <c r="S16" i="15"/>
  <c r="P16" i="15"/>
  <c r="M16" i="15"/>
  <c r="J16" i="15"/>
  <c r="G16" i="15"/>
  <c r="AB16" i="15" s="1"/>
  <c r="Z15" i="15"/>
  <c r="S15" i="15"/>
  <c r="P15" i="15"/>
  <c r="M15" i="15"/>
  <c r="J15" i="15"/>
  <c r="G15" i="15"/>
  <c r="AB15" i="15" s="1"/>
  <c r="Z14" i="15"/>
  <c r="S14" i="15"/>
  <c r="P14" i="15"/>
  <c r="M14" i="15"/>
  <c r="J14" i="15"/>
  <c r="G14" i="15"/>
  <c r="AB14" i="15" s="1"/>
  <c r="Z13" i="15"/>
  <c r="S13" i="15"/>
  <c r="P13" i="15"/>
  <c r="M13" i="15"/>
  <c r="J13" i="15"/>
  <c r="AB13" i="15" s="1"/>
  <c r="G13" i="15"/>
  <c r="Z12" i="15"/>
  <c r="S12" i="15"/>
  <c r="P12" i="15"/>
  <c r="M12" i="15"/>
  <c r="J12" i="15"/>
  <c r="AB12" i="15" s="1"/>
  <c r="G12" i="15"/>
  <c r="Z11" i="15"/>
  <c r="S11" i="15"/>
  <c r="P11" i="15"/>
  <c r="M11" i="15"/>
  <c r="J11" i="15"/>
  <c r="G11" i="15"/>
  <c r="AB11" i="15" s="1"/>
  <c r="Z10" i="15"/>
  <c r="S10" i="15"/>
  <c r="AB10" i="15" s="1"/>
  <c r="P10" i="15"/>
  <c r="M10" i="15"/>
  <c r="J10" i="15"/>
  <c r="G10" i="15"/>
  <c r="AB9" i="15"/>
  <c r="Z9" i="15"/>
  <c r="S9" i="15"/>
  <c r="P9" i="15"/>
  <c r="M9" i="15"/>
  <c r="J9" i="15"/>
  <c r="G9" i="15"/>
  <c r="Z8" i="15"/>
  <c r="S8" i="15"/>
  <c r="P8" i="15"/>
  <c r="M8" i="15"/>
  <c r="J8" i="15"/>
  <c r="G8" i="15"/>
  <c r="AB8" i="15" s="1"/>
  <c r="Z7" i="15"/>
  <c r="S7" i="15"/>
  <c r="P7" i="15"/>
  <c r="M7" i="15"/>
  <c r="J7" i="15"/>
  <c r="G7" i="15"/>
  <c r="AB7" i="15" s="1"/>
  <c r="Z6" i="15"/>
  <c r="S6" i="15"/>
  <c r="P6" i="15"/>
  <c r="M6" i="15"/>
  <c r="J6" i="15"/>
  <c r="G6" i="15"/>
  <c r="AB6" i="15" s="1"/>
  <c r="Z5" i="15"/>
  <c r="S5" i="15"/>
  <c r="P5" i="15"/>
  <c r="M5" i="15"/>
  <c r="J5" i="15"/>
  <c r="AB5" i="15" s="1"/>
  <c r="G5" i="15"/>
  <c r="Z4" i="15"/>
  <c r="S4" i="15"/>
  <c r="P4" i="15"/>
  <c r="M4" i="15"/>
  <c r="J4" i="15"/>
  <c r="AB4" i="15" s="1"/>
  <c r="G4" i="15"/>
  <c r="U52" i="14"/>
  <c r="T52" i="14"/>
  <c r="S52" i="14"/>
  <c r="Q52" i="14"/>
  <c r="L52" i="14"/>
  <c r="G52" i="14"/>
  <c r="U51" i="14"/>
  <c r="T51" i="14"/>
  <c r="S51" i="14"/>
  <c r="Q51" i="14"/>
  <c r="L51" i="14"/>
  <c r="G51" i="14"/>
  <c r="U50" i="14"/>
  <c r="S50" i="14"/>
  <c r="Q50" i="14"/>
  <c r="L50" i="14"/>
  <c r="T50" i="14" s="1"/>
  <c r="G50" i="14"/>
  <c r="U49" i="14"/>
  <c r="Q49" i="14"/>
  <c r="L49" i="14"/>
  <c r="T49" i="14" s="1"/>
  <c r="G49" i="14"/>
  <c r="S49" i="14" s="1"/>
  <c r="U48" i="14"/>
  <c r="T48" i="14"/>
  <c r="S48" i="14"/>
  <c r="Q48" i="14"/>
  <c r="L48" i="14"/>
  <c r="G48" i="14"/>
  <c r="U47" i="14"/>
  <c r="T47" i="14"/>
  <c r="S47" i="14"/>
  <c r="Q47" i="14"/>
  <c r="L47" i="14"/>
  <c r="G47" i="14"/>
  <c r="U46" i="14"/>
  <c r="S46" i="14"/>
  <c r="Q46" i="14"/>
  <c r="L46" i="14"/>
  <c r="T46" i="14" s="1"/>
  <c r="G46" i="14"/>
  <c r="U45" i="14"/>
  <c r="Q45" i="14"/>
  <c r="L45" i="14"/>
  <c r="T45" i="14" s="1"/>
  <c r="G45" i="14"/>
  <c r="S45" i="14" s="1"/>
  <c r="U44" i="14"/>
  <c r="T44" i="14"/>
  <c r="S44" i="14"/>
  <c r="Q44" i="14"/>
  <c r="L44" i="14"/>
  <c r="G44" i="14"/>
  <c r="U43" i="14"/>
  <c r="T43" i="14"/>
  <c r="S43" i="14"/>
  <c r="Q43" i="14"/>
  <c r="L43" i="14"/>
  <c r="G43" i="14"/>
  <c r="U42" i="14"/>
  <c r="S42" i="14"/>
  <c r="Q42" i="14"/>
  <c r="L42" i="14"/>
  <c r="T42" i="14" s="1"/>
  <c r="G42" i="14"/>
  <c r="U41" i="14"/>
  <c r="Q41" i="14"/>
  <c r="L41" i="14"/>
  <c r="T41" i="14" s="1"/>
  <c r="G41" i="14"/>
  <c r="S41" i="14" s="1"/>
  <c r="U40" i="14"/>
  <c r="T40" i="14"/>
  <c r="S40" i="14"/>
  <c r="Q40" i="14"/>
  <c r="L40" i="14"/>
  <c r="G40" i="14"/>
  <c r="U39" i="14"/>
  <c r="T39" i="14"/>
  <c r="S39" i="14"/>
  <c r="Q39" i="14"/>
  <c r="L39" i="14"/>
  <c r="G39" i="14"/>
  <c r="U38" i="14"/>
  <c r="S38" i="14"/>
  <c r="Q38" i="14"/>
  <c r="L38" i="14"/>
  <c r="T38" i="14" s="1"/>
  <c r="G38" i="14"/>
  <c r="U37" i="14"/>
  <c r="Q37" i="14"/>
  <c r="L37" i="14"/>
  <c r="T37" i="14" s="1"/>
  <c r="G37" i="14"/>
  <c r="S37" i="14" s="1"/>
  <c r="U36" i="14"/>
  <c r="T36" i="14"/>
  <c r="S36" i="14"/>
  <c r="Q36" i="14"/>
  <c r="L36" i="14"/>
  <c r="G36" i="14"/>
  <c r="U35" i="14"/>
  <c r="T35" i="14"/>
  <c r="S35" i="14"/>
  <c r="Q35" i="14"/>
  <c r="L35" i="14"/>
  <c r="G35" i="14"/>
  <c r="U34" i="14"/>
  <c r="S34" i="14"/>
  <c r="Q34" i="14"/>
  <c r="L34" i="14"/>
  <c r="T34" i="14" s="1"/>
  <c r="G34" i="14"/>
  <c r="U33" i="14"/>
  <c r="Q33" i="14"/>
  <c r="L33" i="14"/>
  <c r="T33" i="14" s="1"/>
  <c r="G33" i="14"/>
  <c r="S33" i="14" s="1"/>
  <c r="U32" i="14"/>
  <c r="T32" i="14"/>
  <c r="S32" i="14"/>
  <c r="Q32" i="14"/>
  <c r="L32" i="14"/>
  <c r="G32" i="14"/>
  <c r="U31" i="14"/>
  <c r="T31" i="14"/>
  <c r="S31" i="14"/>
  <c r="Q31" i="14"/>
  <c r="L31" i="14"/>
  <c r="G31" i="14"/>
  <c r="U30" i="14"/>
  <c r="S30" i="14"/>
  <c r="Q30" i="14"/>
  <c r="L30" i="14"/>
  <c r="T30" i="14" s="1"/>
  <c r="G30" i="14"/>
  <c r="U29" i="14"/>
  <c r="Q29" i="14"/>
  <c r="L29" i="14"/>
  <c r="T29" i="14" s="1"/>
  <c r="G29" i="14"/>
  <c r="S29" i="14" s="1"/>
  <c r="U28" i="14"/>
  <c r="T28" i="14"/>
  <c r="S28" i="14"/>
  <c r="Q28" i="14"/>
  <c r="L28" i="14"/>
  <c r="G28" i="14"/>
  <c r="U27" i="14"/>
  <c r="T27" i="14"/>
  <c r="S27" i="14"/>
  <c r="Q27" i="14"/>
  <c r="L27" i="14"/>
  <c r="G27" i="14"/>
  <c r="U26" i="14"/>
  <c r="S26" i="14"/>
  <c r="Q26" i="14"/>
  <c r="L26" i="14"/>
  <c r="T26" i="14" s="1"/>
  <c r="G26" i="14"/>
  <c r="U25" i="14"/>
  <c r="Q25" i="14"/>
  <c r="L25" i="14"/>
  <c r="T25" i="14" s="1"/>
  <c r="G25" i="14"/>
  <c r="S25" i="14" s="1"/>
  <c r="U24" i="14"/>
  <c r="T24" i="14"/>
  <c r="S24" i="14"/>
  <c r="Q24" i="14"/>
  <c r="L24" i="14"/>
  <c r="G24" i="14"/>
  <c r="U23" i="14"/>
  <c r="T23" i="14"/>
  <c r="S23" i="14"/>
  <c r="Q23" i="14"/>
  <c r="L23" i="14"/>
  <c r="G23" i="14"/>
  <c r="U22" i="14"/>
  <c r="S22" i="14"/>
  <c r="Q22" i="14"/>
  <c r="L22" i="14"/>
  <c r="T22" i="14" s="1"/>
  <c r="G22" i="14"/>
  <c r="U21" i="14"/>
  <c r="Q21" i="14"/>
  <c r="L21" i="14"/>
  <c r="T21" i="14" s="1"/>
  <c r="G21" i="14"/>
  <c r="S21" i="14" s="1"/>
  <c r="U20" i="14"/>
  <c r="T20" i="14"/>
  <c r="S20" i="14"/>
  <c r="Q20" i="14"/>
  <c r="L20" i="14"/>
  <c r="G20" i="14"/>
  <c r="U19" i="14"/>
  <c r="T19" i="14"/>
  <c r="S19" i="14"/>
  <c r="Q19" i="14"/>
  <c r="L19" i="14"/>
  <c r="G19" i="14"/>
  <c r="U18" i="14"/>
  <c r="S18" i="14"/>
  <c r="Q18" i="14"/>
  <c r="L18" i="14"/>
  <c r="T18" i="14" s="1"/>
  <c r="G18" i="14"/>
  <c r="U17" i="14"/>
  <c r="Q17" i="14"/>
  <c r="L17" i="14"/>
  <c r="T17" i="14" s="1"/>
  <c r="G17" i="14"/>
  <c r="S17" i="14" s="1"/>
  <c r="U16" i="14"/>
  <c r="T16" i="14"/>
  <c r="S16" i="14"/>
  <c r="Q16" i="14"/>
  <c r="L16" i="14"/>
  <c r="G16" i="14"/>
  <c r="U15" i="14"/>
  <c r="T15" i="14"/>
  <c r="S15" i="14"/>
  <c r="Q15" i="14"/>
  <c r="L15" i="14"/>
  <c r="G15" i="14"/>
  <c r="U14" i="14"/>
  <c r="S14" i="14"/>
  <c r="Q14" i="14"/>
  <c r="L14" i="14"/>
  <c r="T14" i="14" s="1"/>
  <c r="G14" i="14"/>
  <c r="U13" i="14"/>
  <c r="Q13" i="14"/>
  <c r="L13" i="14"/>
  <c r="T13" i="14" s="1"/>
  <c r="G13" i="14"/>
  <c r="S13" i="14" s="1"/>
  <c r="U12" i="14"/>
  <c r="T12" i="14"/>
  <c r="S12" i="14"/>
  <c r="Q12" i="14"/>
  <c r="L12" i="14"/>
  <c r="G12" i="14"/>
  <c r="U11" i="14"/>
  <c r="T11" i="14"/>
  <c r="S11" i="14"/>
  <c r="Q11" i="14"/>
  <c r="L11" i="14"/>
  <c r="G11" i="14"/>
  <c r="U10" i="14"/>
  <c r="S10" i="14"/>
  <c r="Q10" i="14"/>
  <c r="L10" i="14"/>
  <c r="T10" i="14" s="1"/>
  <c r="G10" i="14"/>
  <c r="U9" i="14"/>
  <c r="Q9" i="14"/>
  <c r="L9" i="14"/>
  <c r="T9" i="14" s="1"/>
  <c r="G9" i="14"/>
  <c r="S9" i="14" s="1"/>
  <c r="U8" i="14"/>
  <c r="T8" i="14"/>
  <c r="S8" i="14"/>
  <c r="Q8" i="14"/>
  <c r="L8" i="14"/>
  <c r="G8" i="14"/>
  <c r="U7" i="14"/>
  <c r="T7" i="14"/>
  <c r="S7" i="14"/>
  <c r="Q7" i="14"/>
  <c r="L7" i="14"/>
  <c r="G7" i="14"/>
  <c r="U6" i="14"/>
  <c r="S6" i="14"/>
  <c r="Q6" i="14"/>
  <c r="L6" i="14"/>
  <c r="T6" i="14" s="1"/>
  <c r="G6" i="14"/>
  <c r="U5" i="14"/>
  <c r="Q5" i="14"/>
  <c r="L5" i="14"/>
  <c r="T5" i="14" s="1"/>
  <c r="G5" i="14"/>
  <c r="S5" i="14" s="1"/>
  <c r="U4" i="14"/>
  <c r="T4" i="14"/>
  <c r="S4" i="14"/>
  <c r="Q4" i="14"/>
  <c r="L4" i="14"/>
  <c r="G4" i="14"/>
  <c r="K22" i="13"/>
  <c r="J22" i="13"/>
  <c r="I22" i="13"/>
  <c r="K21" i="13"/>
  <c r="J21" i="13"/>
  <c r="I21" i="13"/>
  <c r="K20" i="13"/>
  <c r="I20" i="13"/>
  <c r="J20" i="13" s="1"/>
  <c r="K19" i="13"/>
  <c r="I19" i="13"/>
  <c r="J19" i="13" s="1"/>
  <c r="K18" i="13"/>
  <c r="J18" i="13"/>
  <c r="I18" i="13"/>
  <c r="K17" i="13"/>
  <c r="J17" i="13"/>
  <c r="I17" i="13"/>
  <c r="K16" i="13"/>
  <c r="J16" i="13"/>
  <c r="I16" i="13"/>
  <c r="K15" i="13"/>
  <c r="J15" i="13"/>
  <c r="I15" i="13"/>
  <c r="K14" i="13"/>
  <c r="J14" i="13"/>
  <c r="I14" i="13"/>
  <c r="K13" i="13"/>
  <c r="J13" i="13"/>
  <c r="I13" i="13"/>
  <c r="K12" i="13"/>
  <c r="I12" i="13"/>
  <c r="J12" i="13" s="1"/>
  <c r="K11" i="13"/>
  <c r="I11" i="13"/>
  <c r="J11" i="13" s="1"/>
  <c r="K10" i="13"/>
  <c r="J10" i="13"/>
  <c r="I10" i="13"/>
  <c r="K9" i="13"/>
  <c r="J9" i="13"/>
  <c r="I9" i="13"/>
  <c r="K8" i="13"/>
  <c r="J8" i="13"/>
  <c r="I8" i="13"/>
  <c r="K7" i="13"/>
  <c r="J7" i="13"/>
  <c r="I7" i="13"/>
  <c r="K6" i="13"/>
  <c r="J6" i="13"/>
  <c r="I6" i="13"/>
  <c r="K5" i="13"/>
  <c r="J5" i="13"/>
  <c r="I5" i="13"/>
  <c r="K4" i="13"/>
  <c r="I4" i="13"/>
  <c r="J4" i="13" s="1"/>
  <c r="K3" i="13"/>
  <c r="I3" i="13"/>
  <c r="J3" i="13" s="1"/>
  <c r="C42" i="12"/>
  <c r="D42" i="12" s="1"/>
  <c r="E42" i="12" s="1"/>
  <c r="E41" i="12"/>
  <c r="G41" i="12" s="1"/>
  <c r="D41" i="12"/>
  <c r="C41" i="12"/>
  <c r="E40" i="12"/>
  <c r="G40" i="12" s="1"/>
  <c r="D40" i="12"/>
  <c r="C40" i="12"/>
  <c r="G39" i="12"/>
  <c r="F39" i="12"/>
  <c r="E39" i="12"/>
  <c r="D39" i="12"/>
  <c r="C39" i="12"/>
  <c r="D38" i="12"/>
  <c r="E38" i="12" s="1"/>
  <c r="C38" i="12"/>
  <c r="D37" i="12"/>
  <c r="E37" i="12" s="1"/>
  <c r="C37" i="12"/>
  <c r="F36" i="12"/>
  <c r="E36" i="12"/>
  <c r="G36" i="12" s="1"/>
  <c r="D36" i="12"/>
  <c r="C36" i="12"/>
  <c r="C35" i="12"/>
  <c r="D35" i="12" s="1"/>
  <c r="E35" i="12" s="1"/>
  <c r="C34" i="12"/>
  <c r="D34" i="12" s="1"/>
  <c r="E34" i="12" s="1"/>
  <c r="E33" i="12"/>
  <c r="G33" i="12" s="1"/>
  <c r="D33" i="12"/>
  <c r="C33" i="12"/>
  <c r="E32" i="12"/>
  <c r="G32" i="12" s="1"/>
  <c r="D32" i="12"/>
  <c r="C32" i="12"/>
  <c r="G31" i="12"/>
  <c r="F31" i="12"/>
  <c r="E31" i="12"/>
  <c r="D31" i="12"/>
  <c r="C31" i="12"/>
  <c r="D30" i="12"/>
  <c r="E30" i="12" s="1"/>
  <c r="C30" i="12"/>
  <c r="D29" i="12"/>
  <c r="E29" i="12" s="1"/>
  <c r="C29" i="12"/>
  <c r="F28" i="12"/>
  <c r="E28" i="12"/>
  <c r="G28" i="12" s="1"/>
  <c r="D28" i="12"/>
  <c r="C28" i="12"/>
  <c r="C27" i="12"/>
  <c r="D27" i="12" s="1"/>
  <c r="E27" i="12" s="1"/>
  <c r="C26" i="12"/>
  <c r="D26" i="12" s="1"/>
  <c r="E26" i="12" s="1"/>
  <c r="E25" i="12"/>
  <c r="G25" i="12" s="1"/>
  <c r="D25" i="12"/>
  <c r="C25" i="12"/>
  <c r="E24" i="12"/>
  <c r="G24" i="12" s="1"/>
  <c r="D24" i="12"/>
  <c r="C24" i="12"/>
  <c r="G23" i="12"/>
  <c r="F23" i="12"/>
  <c r="E23" i="12"/>
  <c r="D23" i="12"/>
  <c r="C23" i="12"/>
  <c r="D22" i="12"/>
  <c r="E22" i="12" s="1"/>
  <c r="C22" i="12"/>
  <c r="D21" i="12"/>
  <c r="E21" i="12" s="1"/>
  <c r="C21" i="12"/>
  <c r="F20" i="12"/>
  <c r="E20" i="12"/>
  <c r="G20" i="12" s="1"/>
  <c r="D20" i="12"/>
  <c r="C20" i="12"/>
  <c r="C19" i="12"/>
  <c r="D19" i="12" s="1"/>
  <c r="E19" i="12" s="1"/>
  <c r="C18" i="12"/>
  <c r="D18" i="12" s="1"/>
  <c r="E18" i="12" s="1"/>
  <c r="E17" i="12"/>
  <c r="G17" i="12" s="1"/>
  <c r="D17" i="12"/>
  <c r="C17" i="12"/>
  <c r="E16" i="12"/>
  <c r="G16" i="12" s="1"/>
  <c r="D16" i="12"/>
  <c r="C16" i="12"/>
  <c r="G15" i="12"/>
  <c r="F15" i="12"/>
  <c r="E15" i="12"/>
  <c r="D15" i="12"/>
  <c r="C15" i="12"/>
  <c r="D14" i="12"/>
  <c r="E14" i="12" s="1"/>
  <c r="C14" i="12"/>
  <c r="D13" i="12"/>
  <c r="E13" i="12" s="1"/>
  <c r="C13" i="12"/>
  <c r="F12" i="12"/>
  <c r="E12" i="12"/>
  <c r="G12" i="12" s="1"/>
  <c r="D12" i="12"/>
  <c r="C12" i="12"/>
  <c r="C11" i="12"/>
  <c r="D11" i="12" s="1"/>
  <c r="E11" i="12" s="1"/>
  <c r="C10" i="12"/>
  <c r="D10" i="12" s="1"/>
  <c r="E10" i="12" s="1"/>
  <c r="E9" i="12"/>
  <c r="G9" i="12" s="1"/>
  <c r="D9" i="12"/>
  <c r="C9" i="12"/>
  <c r="E8" i="12"/>
  <c r="G8" i="12" s="1"/>
  <c r="D8" i="12"/>
  <c r="C8" i="12"/>
  <c r="C3" i="12"/>
  <c r="C4" i="12" s="1"/>
  <c r="AU163" i="10"/>
  <c r="AT163" i="10"/>
  <c r="AS163" i="10"/>
  <c r="AR163" i="10"/>
  <c r="AQ163" i="10"/>
  <c r="AP163" i="10"/>
  <c r="Y163" i="10"/>
  <c r="W163" i="10"/>
  <c r="V163" i="10"/>
  <c r="U163" i="10"/>
  <c r="T163" i="10"/>
  <c r="S163" i="10"/>
  <c r="R163" i="10"/>
  <c r="Q163" i="10"/>
  <c r="P163" i="10"/>
  <c r="O163" i="10"/>
  <c r="N163" i="10"/>
  <c r="M163" i="10"/>
  <c r="L163" i="10"/>
  <c r="K163" i="10"/>
  <c r="J163" i="10"/>
  <c r="I163" i="10"/>
  <c r="H163" i="10"/>
  <c r="G163" i="10"/>
  <c r="F163" i="10"/>
  <c r="E163" i="10"/>
  <c r="D163" i="10"/>
  <c r="C163" i="10"/>
  <c r="B163" i="10"/>
  <c r="A163" i="10"/>
  <c r="AG139" i="10" s="1"/>
  <c r="AU162" i="10"/>
  <c r="AT162" i="10"/>
  <c r="AS162" i="10"/>
  <c r="AR162" i="10"/>
  <c r="AQ162" i="10"/>
  <c r="AP162" i="10"/>
  <c r="AL162" i="10"/>
  <c r="AJ162" i="10"/>
  <c r="AI162" i="10"/>
  <c r="V162" i="10"/>
  <c r="U162" i="10"/>
  <c r="T162" i="10"/>
  <c r="S162" i="10"/>
  <c r="R162" i="10"/>
  <c r="Q162" i="10"/>
  <c r="P162" i="10"/>
  <c r="O162" i="10"/>
  <c r="N162" i="10"/>
  <c r="M162" i="10"/>
  <c r="L162" i="10"/>
  <c r="K162" i="10"/>
  <c r="J162" i="10"/>
  <c r="I162" i="10"/>
  <c r="H162" i="10"/>
  <c r="G162" i="10"/>
  <c r="F162" i="10"/>
  <c r="E162" i="10"/>
  <c r="D162" i="10"/>
  <c r="C162" i="10"/>
  <c r="B162" i="10"/>
  <c r="A162" i="10"/>
  <c r="AU161" i="10"/>
  <c r="AT161" i="10"/>
  <c r="AS161" i="10"/>
  <c r="AR161" i="10"/>
  <c r="AQ161" i="10"/>
  <c r="AP161" i="10"/>
  <c r="AK161" i="10"/>
  <c r="AI161" i="10"/>
  <c r="V161" i="10"/>
  <c r="U161" i="10"/>
  <c r="T161" i="10"/>
  <c r="S161" i="10"/>
  <c r="R161" i="10"/>
  <c r="Q161" i="10"/>
  <c r="P161" i="10"/>
  <c r="O161" i="10"/>
  <c r="N161" i="10"/>
  <c r="M161" i="10"/>
  <c r="L161" i="10"/>
  <c r="K161" i="10"/>
  <c r="J161" i="10"/>
  <c r="I161" i="10"/>
  <c r="H161" i="10"/>
  <c r="G161" i="10"/>
  <c r="F161" i="10"/>
  <c r="E161" i="10"/>
  <c r="D161" i="10"/>
  <c r="C161" i="10"/>
  <c r="B161" i="10"/>
  <c r="A161" i="10"/>
  <c r="AU160" i="10"/>
  <c r="AT160" i="10"/>
  <c r="AS160" i="10"/>
  <c r="AR160" i="10"/>
  <c r="AQ160" i="10"/>
  <c r="AP160" i="10"/>
  <c r="AE160" i="10"/>
  <c r="Y160" i="10"/>
  <c r="W160" i="10"/>
  <c r="V160" i="10"/>
  <c r="U160" i="10"/>
  <c r="T160" i="10"/>
  <c r="S160" i="10"/>
  <c r="R160" i="10"/>
  <c r="Q160" i="10"/>
  <c r="P160" i="10"/>
  <c r="O160" i="10"/>
  <c r="N160" i="10"/>
  <c r="M160" i="10"/>
  <c r="L160" i="10"/>
  <c r="K160" i="10"/>
  <c r="J160" i="10"/>
  <c r="I160" i="10"/>
  <c r="H160" i="10"/>
  <c r="G160" i="10"/>
  <c r="F160" i="10"/>
  <c r="E160" i="10"/>
  <c r="D160" i="10"/>
  <c r="C160" i="10"/>
  <c r="B160" i="10"/>
  <c r="A160" i="10"/>
  <c r="AU159" i="10"/>
  <c r="AT159" i="10"/>
  <c r="AS159" i="10"/>
  <c r="AR159" i="10"/>
  <c r="AQ159" i="10"/>
  <c r="AP159" i="10"/>
  <c r="AK159" i="10"/>
  <c r="AI159" i="10"/>
  <c r="AG159" i="10"/>
  <c r="V159" i="10"/>
  <c r="U159" i="10"/>
  <c r="T159" i="10"/>
  <c r="S159" i="10"/>
  <c r="R159" i="10"/>
  <c r="Q159" i="10"/>
  <c r="P159" i="10"/>
  <c r="O159" i="10"/>
  <c r="N159" i="10"/>
  <c r="M159" i="10"/>
  <c r="L159" i="10"/>
  <c r="K159" i="10"/>
  <c r="J159" i="10"/>
  <c r="I159" i="10"/>
  <c r="H159" i="10"/>
  <c r="G159" i="10"/>
  <c r="F159" i="10"/>
  <c r="E159" i="10"/>
  <c r="D159" i="10"/>
  <c r="C159" i="10"/>
  <c r="B159" i="10"/>
  <c r="A159" i="10"/>
  <c r="AU158" i="10"/>
  <c r="AT158" i="10"/>
  <c r="AS158" i="10"/>
  <c r="AR158" i="10"/>
  <c r="AQ158" i="10"/>
  <c r="AP158" i="10"/>
  <c r="AK158" i="10"/>
  <c r="W158" i="10"/>
  <c r="V158" i="10"/>
  <c r="U158" i="10"/>
  <c r="T158" i="10"/>
  <c r="S158" i="10"/>
  <c r="R158" i="10"/>
  <c r="Q158" i="10"/>
  <c r="P158" i="10"/>
  <c r="O158" i="10"/>
  <c r="N158" i="10"/>
  <c r="M158" i="10"/>
  <c r="L158" i="10"/>
  <c r="K158" i="10"/>
  <c r="J158" i="10"/>
  <c r="I158" i="10"/>
  <c r="H158" i="10"/>
  <c r="G158" i="10"/>
  <c r="F158" i="10"/>
  <c r="E158" i="10"/>
  <c r="D158" i="10"/>
  <c r="C158" i="10"/>
  <c r="B158" i="10"/>
  <c r="A158" i="10"/>
  <c r="AU157" i="10"/>
  <c r="AT157" i="10"/>
  <c r="AS157" i="10"/>
  <c r="AR157" i="10"/>
  <c r="AQ157" i="10"/>
  <c r="AP157" i="10"/>
  <c r="AG157" i="10"/>
  <c r="AE157" i="10"/>
  <c r="Y157" i="10"/>
  <c r="V157" i="10"/>
  <c r="U157" i="10"/>
  <c r="T157" i="10"/>
  <c r="S157" i="10"/>
  <c r="R157" i="10"/>
  <c r="Q157" i="10"/>
  <c r="P157" i="10"/>
  <c r="O157" i="10"/>
  <c r="N157" i="10"/>
  <c r="M157" i="10"/>
  <c r="L157" i="10"/>
  <c r="K157" i="10"/>
  <c r="J157" i="10"/>
  <c r="I157" i="10"/>
  <c r="H157" i="10"/>
  <c r="G157" i="10"/>
  <c r="F157" i="10"/>
  <c r="E157" i="10"/>
  <c r="D157" i="10"/>
  <c r="C157" i="10"/>
  <c r="B157" i="10"/>
  <c r="A157" i="10"/>
  <c r="AU156" i="10"/>
  <c r="AT156" i="10"/>
  <c r="AS156" i="10"/>
  <c r="AR156" i="10"/>
  <c r="AQ156" i="10"/>
  <c r="AP156" i="10"/>
  <c r="AK156" i="10"/>
  <c r="AI156" i="10"/>
  <c r="AH156" i="10"/>
  <c r="V156" i="10"/>
  <c r="U156" i="10"/>
  <c r="T156" i="10"/>
  <c r="S156" i="10"/>
  <c r="R156" i="10"/>
  <c r="Q156" i="10"/>
  <c r="P156" i="10"/>
  <c r="O156" i="10"/>
  <c r="N156" i="10"/>
  <c r="M156" i="10"/>
  <c r="L156" i="10"/>
  <c r="K156" i="10"/>
  <c r="J156" i="10"/>
  <c r="I156" i="10"/>
  <c r="H156" i="10"/>
  <c r="G156" i="10"/>
  <c r="F156" i="10"/>
  <c r="E156" i="10"/>
  <c r="D156" i="10"/>
  <c r="C156" i="10"/>
  <c r="B156" i="10"/>
  <c r="A156" i="10"/>
  <c r="AU155" i="10"/>
  <c r="AT155" i="10"/>
  <c r="AS155" i="10"/>
  <c r="AR155" i="10"/>
  <c r="AQ155" i="10"/>
  <c r="AP155" i="10"/>
  <c r="AJ155" i="10"/>
  <c r="V155" i="10"/>
  <c r="U155" i="10"/>
  <c r="T155" i="10"/>
  <c r="S155" i="10"/>
  <c r="R155" i="10"/>
  <c r="Q155" i="10"/>
  <c r="P155" i="10"/>
  <c r="O155" i="10"/>
  <c r="N155" i="10"/>
  <c r="M155" i="10"/>
  <c r="L155" i="10"/>
  <c r="K155" i="10"/>
  <c r="J155" i="10"/>
  <c r="I155" i="10"/>
  <c r="H155" i="10"/>
  <c r="G155" i="10"/>
  <c r="F155" i="10"/>
  <c r="E155" i="10"/>
  <c r="D155" i="10"/>
  <c r="C155" i="10"/>
  <c r="B155" i="10"/>
  <c r="A155" i="10"/>
  <c r="AU154" i="10"/>
  <c r="AT154" i="10"/>
  <c r="AS154" i="10"/>
  <c r="AR154" i="10"/>
  <c r="AQ154" i="10"/>
  <c r="AP154" i="10"/>
  <c r="AD154" i="10"/>
  <c r="X154" i="10"/>
  <c r="V154" i="10"/>
  <c r="U154" i="10"/>
  <c r="T154" i="10"/>
  <c r="S154" i="10"/>
  <c r="R154" i="10"/>
  <c r="Q154" i="10"/>
  <c r="P154" i="10"/>
  <c r="O154" i="10"/>
  <c r="N154" i="10"/>
  <c r="M154" i="10"/>
  <c r="L154" i="10"/>
  <c r="K154" i="10"/>
  <c r="J154" i="10"/>
  <c r="I154" i="10"/>
  <c r="H154" i="10"/>
  <c r="G154" i="10"/>
  <c r="F154" i="10"/>
  <c r="E154" i="10"/>
  <c r="D154" i="10"/>
  <c r="C154" i="10"/>
  <c r="B154" i="10"/>
  <c r="A154" i="10"/>
  <c r="AU153" i="10"/>
  <c r="AT153" i="10"/>
  <c r="AS153" i="10"/>
  <c r="AR153" i="10"/>
  <c r="AQ153" i="10"/>
  <c r="AP153" i="10"/>
  <c r="AF153" i="10"/>
  <c r="AE153" i="10"/>
  <c r="AC153" i="10"/>
  <c r="V153" i="10"/>
  <c r="U153" i="10"/>
  <c r="T153" i="10"/>
  <c r="S153" i="10"/>
  <c r="R153" i="10"/>
  <c r="Q153" i="10"/>
  <c r="P153" i="10"/>
  <c r="O153" i="10"/>
  <c r="N153" i="10"/>
  <c r="M153" i="10"/>
  <c r="L153" i="10"/>
  <c r="K153" i="10"/>
  <c r="J153" i="10"/>
  <c r="I153" i="10"/>
  <c r="H153" i="10"/>
  <c r="G153" i="10"/>
  <c r="F153" i="10"/>
  <c r="E153" i="10"/>
  <c r="D153" i="10"/>
  <c r="C153" i="10"/>
  <c r="B153" i="10"/>
  <c r="A153" i="10"/>
  <c r="AU152" i="10"/>
  <c r="AT152" i="10"/>
  <c r="AS152" i="10"/>
  <c r="AR152" i="10"/>
  <c r="AQ152" i="10"/>
  <c r="AP152" i="10"/>
  <c r="AJ152" i="10"/>
  <c r="AH152" i="10"/>
  <c r="AG152" i="10"/>
  <c r="V152" i="10"/>
  <c r="U152" i="10"/>
  <c r="T152" i="10"/>
  <c r="S152" i="10"/>
  <c r="R152" i="10"/>
  <c r="Q152" i="10"/>
  <c r="P152" i="10"/>
  <c r="O152" i="10"/>
  <c r="N152" i="10"/>
  <c r="M152" i="10"/>
  <c r="L152" i="10"/>
  <c r="K152" i="10"/>
  <c r="J152" i="10"/>
  <c r="I152" i="10"/>
  <c r="H152" i="10"/>
  <c r="G152" i="10"/>
  <c r="F152" i="10"/>
  <c r="E152" i="10"/>
  <c r="D152" i="10"/>
  <c r="C152" i="10"/>
  <c r="B152" i="10"/>
  <c r="A152" i="10"/>
  <c r="AU151" i="10"/>
  <c r="AT151" i="10"/>
  <c r="AS151" i="10"/>
  <c r="AR151" i="10"/>
  <c r="AQ151" i="10"/>
  <c r="AP151" i="10"/>
  <c r="AK151" i="10"/>
  <c r="V151" i="10"/>
  <c r="U151" i="10"/>
  <c r="T151" i="10"/>
  <c r="S151" i="10"/>
  <c r="R151" i="10"/>
  <c r="Q151" i="10"/>
  <c r="P151" i="10"/>
  <c r="O151" i="10"/>
  <c r="N151" i="10"/>
  <c r="M151" i="10"/>
  <c r="L151" i="10"/>
  <c r="K151" i="10"/>
  <c r="J151" i="10"/>
  <c r="I151" i="10"/>
  <c r="H151" i="10"/>
  <c r="G151" i="10"/>
  <c r="F151" i="10"/>
  <c r="E151" i="10"/>
  <c r="D151" i="10"/>
  <c r="C151" i="10"/>
  <c r="B151" i="10"/>
  <c r="A151" i="10"/>
  <c r="AU150" i="10"/>
  <c r="AT150" i="10"/>
  <c r="AS150" i="10"/>
  <c r="AR150" i="10"/>
  <c r="AQ150" i="10"/>
  <c r="AP150" i="10"/>
  <c r="AC150" i="10"/>
  <c r="W150" i="10"/>
  <c r="V150" i="10"/>
  <c r="U150" i="10"/>
  <c r="T150" i="10"/>
  <c r="S150" i="10"/>
  <c r="R150" i="10"/>
  <c r="Q150" i="10"/>
  <c r="P150" i="10"/>
  <c r="O150" i="10"/>
  <c r="N150" i="10"/>
  <c r="M150" i="10"/>
  <c r="L150" i="10"/>
  <c r="K150" i="10"/>
  <c r="J150" i="10"/>
  <c r="I150" i="10"/>
  <c r="H150" i="10"/>
  <c r="G150" i="10"/>
  <c r="F150" i="10"/>
  <c r="E150" i="10"/>
  <c r="D150" i="10"/>
  <c r="C150" i="10"/>
  <c r="B150" i="10"/>
  <c r="A150" i="10"/>
  <c r="AU149" i="10"/>
  <c r="AT149" i="10"/>
  <c r="AS149" i="10"/>
  <c r="AR149" i="10"/>
  <c r="AQ149" i="10"/>
  <c r="AP149" i="10"/>
  <c r="AI149" i="10"/>
  <c r="AG149" i="10"/>
  <c r="AE149" i="10"/>
  <c r="V149" i="10"/>
  <c r="U149" i="10"/>
  <c r="T149" i="10"/>
  <c r="S149" i="10"/>
  <c r="R149" i="10"/>
  <c r="Q149" i="10"/>
  <c r="P149" i="10"/>
  <c r="O149" i="10"/>
  <c r="N149" i="10"/>
  <c r="M149" i="10"/>
  <c r="L149" i="10"/>
  <c r="K149" i="10"/>
  <c r="J149" i="10"/>
  <c r="I149" i="10"/>
  <c r="H149" i="10"/>
  <c r="G149" i="10"/>
  <c r="F149" i="10"/>
  <c r="E149" i="10"/>
  <c r="D149" i="10"/>
  <c r="C149" i="10"/>
  <c r="B149" i="10"/>
  <c r="A149" i="10"/>
  <c r="AU148" i="10"/>
  <c r="AT148" i="10"/>
  <c r="AS148" i="10"/>
  <c r="AR148" i="10"/>
  <c r="AQ148" i="10"/>
  <c r="AP148" i="10"/>
  <c r="AN148" i="10"/>
  <c r="AC148" i="10"/>
  <c r="AB148" i="10"/>
  <c r="AA148" i="10"/>
  <c r="V148" i="10"/>
  <c r="U148" i="10"/>
  <c r="T148" i="10"/>
  <c r="S148" i="10"/>
  <c r="R148" i="10"/>
  <c r="Q148" i="10"/>
  <c r="P148" i="10"/>
  <c r="O148" i="10"/>
  <c r="N148" i="10"/>
  <c r="M148" i="10"/>
  <c r="L148" i="10"/>
  <c r="K148" i="10"/>
  <c r="J148" i="10"/>
  <c r="I148" i="10"/>
  <c r="H148" i="10"/>
  <c r="G148" i="10"/>
  <c r="F148" i="10"/>
  <c r="E148" i="10"/>
  <c r="D148" i="10"/>
  <c r="C148" i="10"/>
  <c r="B148" i="10"/>
  <c r="A148" i="10"/>
  <c r="AU147" i="10"/>
  <c r="AT147" i="10"/>
  <c r="AS147" i="10"/>
  <c r="AR147" i="10"/>
  <c r="AQ147" i="10"/>
  <c r="AP147" i="10"/>
  <c r="AO147" i="10"/>
  <c r="AN147" i="10"/>
  <c r="AI147" i="10"/>
  <c r="Y147" i="10"/>
  <c r="X147" i="10"/>
  <c r="W147" i="10"/>
  <c r="V147" i="10"/>
  <c r="U147" i="10"/>
  <c r="T147" i="10"/>
  <c r="S147" i="10"/>
  <c r="R147" i="10"/>
  <c r="Q147" i="10"/>
  <c r="P147" i="10"/>
  <c r="O147" i="10"/>
  <c r="N147" i="10"/>
  <c r="M147" i="10"/>
  <c r="L147" i="10"/>
  <c r="K147" i="10"/>
  <c r="J147" i="10"/>
  <c r="I147" i="10"/>
  <c r="H147" i="10"/>
  <c r="G147" i="10"/>
  <c r="F147" i="10"/>
  <c r="E147" i="10"/>
  <c r="D147" i="10"/>
  <c r="C147" i="10"/>
  <c r="B147" i="10"/>
  <c r="A147" i="10"/>
  <c r="AU146" i="10"/>
  <c r="AT146" i="10"/>
  <c r="AS146" i="10"/>
  <c r="AR146" i="10"/>
  <c r="AQ146" i="10"/>
  <c r="AP146" i="10"/>
  <c r="AN146" i="10"/>
  <c r="AM146" i="10"/>
  <c r="AL146" i="10"/>
  <c r="AA146" i="10"/>
  <c r="W146" i="10"/>
  <c r="V146" i="10"/>
  <c r="U146" i="10"/>
  <c r="T146" i="10"/>
  <c r="S146" i="10"/>
  <c r="R146" i="10"/>
  <c r="Q146" i="10"/>
  <c r="P146" i="10"/>
  <c r="O146" i="10"/>
  <c r="N146" i="10"/>
  <c r="M146" i="10"/>
  <c r="L146" i="10"/>
  <c r="K146" i="10"/>
  <c r="J146" i="10"/>
  <c r="I146" i="10"/>
  <c r="H146" i="10"/>
  <c r="G146" i="10"/>
  <c r="F146" i="10"/>
  <c r="E146" i="10"/>
  <c r="D146" i="10"/>
  <c r="C146" i="10"/>
  <c r="B146" i="10"/>
  <c r="A146" i="10"/>
  <c r="AU145" i="10"/>
  <c r="AT145" i="10"/>
  <c r="AS145" i="10"/>
  <c r="AR145" i="10"/>
  <c r="AQ145" i="10"/>
  <c r="AP145" i="10"/>
  <c r="AI145" i="10"/>
  <c r="AH145" i="10"/>
  <c r="AG145" i="10"/>
  <c r="V145" i="10"/>
  <c r="U145" i="10"/>
  <c r="T145" i="10"/>
  <c r="S145" i="10"/>
  <c r="R145" i="10"/>
  <c r="Q145" i="10"/>
  <c r="P145" i="10"/>
  <c r="O145" i="10"/>
  <c r="N145" i="10"/>
  <c r="M145" i="10"/>
  <c r="L145" i="10"/>
  <c r="K145" i="10"/>
  <c r="J145" i="10"/>
  <c r="I145" i="10"/>
  <c r="H145" i="10"/>
  <c r="G145" i="10"/>
  <c r="F145" i="10"/>
  <c r="E145" i="10"/>
  <c r="D145" i="10"/>
  <c r="C145" i="10"/>
  <c r="B145" i="10"/>
  <c r="A145" i="10"/>
  <c r="AU144" i="10"/>
  <c r="AT144" i="10"/>
  <c r="AS144" i="10"/>
  <c r="AR144" i="10"/>
  <c r="AQ144" i="10"/>
  <c r="AP144" i="10"/>
  <c r="AG144" i="10"/>
  <c r="AF144" i="10"/>
  <c r="AE144" i="10"/>
  <c r="V144" i="10"/>
  <c r="U144" i="10"/>
  <c r="T144" i="10"/>
  <c r="S144" i="10"/>
  <c r="R144" i="10"/>
  <c r="Q144" i="10"/>
  <c r="P144" i="10"/>
  <c r="O144" i="10"/>
  <c r="N144" i="10"/>
  <c r="M144" i="10"/>
  <c r="L144" i="10"/>
  <c r="K144" i="10"/>
  <c r="J144" i="10"/>
  <c r="I144" i="10"/>
  <c r="H144" i="10"/>
  <c r="G144" i="10"/>
  <c r="F144" i="10"/>
  <c r="E144" i="10"/>
  <c r="D144" i="10"/>
  <c r="C144" i="10"/>
  <c r="B144" i="10"/>
  <c r="A144" i="10"/>
  <c r="AU143" i="10"/>
  <c r="AT143" i="10"/>
  <c r="AS143" i="10"/>
  <c r="AR143" i="10"/>
  <c r="AQ143" i="10"/>
  <c r="AP143" i="10"/>
  <c r="AE143" i="10"/>
  <c r="AD143" i="10"/>
  <c r="AC143" i="10"/>
  <c r="V143" i="10"/>
  <c r="U143" i="10"/>
  <c r="T143" i="10"/>
  <c r="S143" i="10"/>
  <c r="R143" i="10"/>
  <c r="Q143" i="10"/>
  <c r="P143" i="10"/>
  <c r="O143" i="10"/>
  <c r="N143" i="10"/>
  <c r="M143" i="10"/>
  <c r="L143" i="10"/>
  <c r="K143" i="10"/>
  <c r="J143" i="10"/>
  <c r="I143" i="10"/>
  <c r="H143" i="10"/>
  <c r="G143" i="10"/>
  <c r="F143" i="10"/>
  <c r="E143" i="10"/>
  <c r="D143" i="10"/>
  <c r="C143" i="10"/>
  <c r="B143" i="10"/>
  <c r="A143" i="10"/>
  <c r="AU142" i="10"/>
  <c r="AT142" i="10"/>
  <c r="AS142" i="10"/>
  <c r="AR142" i="10"/>
  <c r="AQ142" i="10"/>
  <c r="AP142" i="10"/>
  <c r="AN142" i="10"/>
  <c r="AM142" i="10"/>
  <c r="AE142" i="10"/>
  <c r="AB142" i="10"/>
  <c r="AA142" i="10"/>
  <c r="V142" i="10"/>
  <c r="U142" i="10"/>
  <c r="T142" i="10"/>
  <c r="S142" i="10"/>
  <c r="R142" i="10"/>
  <c r="Q142" i="10"/>
  <c r="P142" i="10"/>
  <c r="O142" i="10"/>
  <c r="N142" i="10"/>
  <c r="M142" i="10"/>
  <c r="L142" i="10"/>
  <c r="K142" i="10"/>
  <c r="J142" i="10"/>
  <c r="I142" i="10"/>
  <c r="H142" i="10"/>
  <c r="G142" i="10"/>
  <c r="F142" i="10"/>
  <c r="E142" i="10"/>
  <c r="D142" i="10"/>
  <c r="C142" i="10"/>
  <c r="B142" i="10"/>
  <c r="A142" i="10"/>
  <c r="AU141" i="10"/>
  <c r="AT141" i="10"/>
  <c r="AS141" i="10"/>
  <c r="AR141" i="10"/>
  <c r="AQ141" i="10"/>
  <c r="AP141" i="10"/>
  <c r="AH141" i="10"/>
  <c r="AG141" i="10"/>
  <c r="AF141" i="10"/>
  <c r="Y141" i="10"/>
  <c r="X141" i="10"/>
  <c r="W141" i="10"/>
  <c r="V141" i="10"/>
  <c r="U141" i="10"/>
  <c r="T141" i="10"/>
  <c r="S141" i="10"/>
  <c r="R141" i="10"/>
  <c r="Q141" i="10"/>
  <c r="P141" i="10"/>
  <c r="O141" i="10"/>
  <c r="N141" i="10"/>
  <c r="M141" i="10"/>
  <c r="L141" i="10"/>
  <c r="K141" i="10"/>
  <c r="J141" i="10"/>
  <c r="I141" i="10"/>
  <c r="H141" i="10"/>
  <c r="G141" i="10"/>
  <c r="F141" i="10"/>
  <c r="E141" i="10"/>
  <c r="D141" i="10"/>
  <c r="C141" i="10"/>
  <c r="B141" i="10"/>
  <c r="A141" i="10"/>
  <c r="AU140" i="10"/>
  <c r="AT140" i="10"/>
  <c r="AS140" i="10"/>
  <c r="AR140" i="10"/>
  <c r="AQ140" i="10"/>
  <c r="AP140" i="10"/>
  <c r="AN140" i="10"/>
  <c r="AM140" i="10"/>
  <c r="AL140" i="10"/>
  <c r="AE140" i="10"/>
  <c r="AD140" i="10"/>
  <c r="AC140" i="10"/>
  <c r="V140" i="10"/>
  <c r="U140" i="10"/>
  <c r="T140" i="10"/>
  <c r="S140" i="10"/>
  <c r="R140" i="10"/>
  <c r="Q140" i="10"/>
  <c r="P140" i="10"/>
  <c r="O140" i="10"/>
  <c r="N140" i="10"/>
  <c r="M140" i="10"/>
  <c r="L140" i="10"/>
  <c r="K140" i="10"/>
  <c r="J140" i="10"/>
  <c r="I140" i="10"/>
  <c r="H140" i="10"/>
  <c r="G140" i="10"/>
  <c r="F140" i="10"/>
  <c r="E140" i="10"/>
  <c r="D140" i="10"/>
  <c r="C140" i="10"/>
  <c r="B140" i="10"/>
  <c r="A140" i="10"/>
  <c r="AU139" i="10"/>
  <c r="AT139" i="10"/>
  <c r="AS139" i="10"/>
  <c r="AR139" i="10"/>
  <c r="AQ139" i="10"/>
  <c r="AP139" i="10"/>
  <c r="AL139" i="10"/>
  <c r="AK139" i="10"/>
  <c r="AJ139" i="10"/>
  <c r="AH139" i="10"/>
  <c r="AC139" i="10"/>
  <c r="AB139" i="10"/>
  <c r="Z139" i="10"/>
  <c r="Y139" i="10"/>
  <c r="V139" i="10"/>
  <c r="U139" i="10"/>
  <c r="T139" i="10"/>
  <c r="S139" i="10"/>
  <c r="R139" i="10"/>
  <c r="Q139" i="10"/>
  <c r="P139" i="10"/>
  <c r="O139" i="10"/>
  <c r="N139" i="10"/>
  <c r="M139" i="10"/>
  <c r="L139" i="10"/>
  <c r="K139" i="10"/>
  <c r="J139" i="10"/>
  <c r="I139" i="10"/>
  <c r="H139" i="10"/>
  <c r="G139" i="10"/>
  <c r="F139" i="10"/>
  <c r="E139" i="10"/>
  <c r="D139" i="10"/>
  <c r="C139" i="10"/>
  <c r="B139" i="10"/>
  <c r="A139" i="10"/>
  <c r="AU138" i="10"/>
  <c r="AT138" i="10"/>
  <c r="AS138" i="10"/>
  <c r="AR138" i="10"/>
  <c r="AQ138" i="10"/>
  <c r="AP138" i="10"/>
  <c r="AO138" i="10"/>
  <c r="AN138" i="10"/>
  <c r="AI138" i="10"/>
  <c r="AG138" i="10"/>
  <c r="AF138" i="10"/>
  <c r="AE138" i="10"/>
  <c r="Y138" i="10"/>
  <c r="X138" i="10"/>
  <c r="W138" i="10"/>
  <c r="V138" i="10"/>
  <c r="U138" i="10"/>
  <c r="T138" i="10"/>
  <c r="S138" i="10"/>
  <c r="R138" i="10"/>
  <c r="Q138" i="10"/>
  <c r="P138" i="10"/>
  <c r="O138" i="10"/>
  <c r="N138" i="10"/>
  <c r="M138" i="10"/>
  <c r="L138" i="10"/>
  <c r="K138" i="10"/>
  <c r="J138" i="10"/>
  <c r="I138" i="10"/>
  <c r="H138" i="10"/>
  <c r="G138" i="10"/>
  <c r="F138" i="10"/>
  <c r="E138" i="10"/>
  <c r="D138" i="10"/>
  <c r="C138" i="10"/>
  <c r="B138" i="10"/>
  <c r="A138" i="10"/>
  <c r="AU137" i="10"/>
  <c r="AT137" i="10"/>
  <c r="AS137" i="10"/>
  <c r="AR137" i="10"/>
  <c r="AQ137" i="10"/>
  <c r="AP137" i="10"/>
  <c r="AM137" i="10"/>
  <c r="AL137" i="10"/>
  <c r="AK137" i="10"/>
  <c r="AJ137" i="10"/>
  <c r="AD137" i="10"/>
  <c r="AC137" i="10"/>
  <c r="AB137" i="10"/>
  <c r="AA137" i="10"/>
  <c r="V137" i="10"/>
  <c r="U137" i="10"/>
  <c r="T137" i="10"/>
  <c r="S137" i="10"/>
  <c r="R137" i="10"/>
  <c r="Q137" i="10"/>
  <c r="P137" i="10"/>
  <c r="O137" i="10"/>
  <c r="N137" i="10"/>
  <c r="M137" i="10"/>
  <c r="L137" i="10"/>
  <c r="K137" i="10"/>
  <c r="J137" i="10"/>
  <c r="I137" i="10"/>
  <c r="H137" i="10"/>
  <c r="G137" i="10"/>
  <c r="F137" i="10"/>
  <c r="E137" i="10"/>
  <c r="D137" i="10"/>
  <c r="C137" i="10"/>
  <c r="B137" i="10"/>
  <c r="A137" i="10"/>
  <c r="AU136" i="10"/>
  <c r="AT136" i="10"/>
  <c r="AS136" i="10"/>
  <c r="AR136" i="10"/>
  <c r="AQ136" i="10"/>
  <c r="AP136" i="10"/>
  <c r="AO136" i="10"/>
  <c r="AI136" i="10"/>
  <c r="AH136" i="10"/>
  <c r="AG136" i="10"/>
  <c r="AE136" i="10"/>
  <c r="Z136" i="10"/>
  <c r="Y136" i="10"/>
  <c r="W136" i="10"/>
  <c r="V136" i="10"/>
  <c r="U136" i="10"/>
  <c r="T136" i="10"/>
  <c r="S136" i="10"/>
  <c r="R136" i="10"/>
  <c r="Q136" i="10"/>
  <c r="P136" i="10"/>
  <c r="O136" i="10"/>
  <c r="N136" i="10"/>
  <c r="M136" i="10"/>
  <c r="L136" i="10"/>
  <c r="K136" i="10"/>
  <c r="J136" i="10"/>
  <c r="I136" i="10"/>
  <c r="H136" i="10"/>
  <c r="G136" i="10"/>
  <c r="F136" i="10"/>
  <c r="E136" i="10"/>
  <c r="D136" i="10"/>
  <c r="C136" i="10"/>
  <c r="B136" i="10"/>
  <c r="A136" i="10"/>
  <c r="AU135" i="10"/>
  <c r="AT135" i="10"/>
  <c r="AS135" i="10"/>
  <c r="AR135" i="10"/>
  <c r="AQ135" i="10"/>
  <c r="AP135" i="10"/>
  <c r="AN135" i="10"/>
  <c r="AL135" i="10"/>
  <c r="AK135" i="10"/>
  <c r="AJ135" i="10"/>
  <c r="AD135" i="10"/>
  <c r="AC135" i="10"/>
  <c r="AB135" i="10"/>
  <c r="AA135" i="10"/>
  <c r="V135" i="10"/>
  <c r="U135" i="10"/>
  <c r="T135" i="10"/>
  <c r="S135" i="10"/>
  <c r="R135" i="10"/>
  <c r="Q135" i="10"/>
  <c r="P135" i="10"/>
  <c r="O135" i="10"/>
  <c r="N135" i="10"/>
  <c r="M135" i="10"/>
  <c r="L135" i="10"/>
  <c r="K135" i="10"/>
  <c r="J135" i="10"/>
  <c r="I135" i="10"/>
  <c r="H135" i="10"/>
  <c r="G135" i="10"/>
  <c r="F135" i="10"/>
  <c r="E135" i="10"/>
  <c r="D135" i="10"/>
  <c r="C135" i="10"/>
  <c r="B135" i="10"/>
  <c r="A135" i="10"/>
  <c r="AU134" i="10"/>
  <c r="AT134" i="10"/>
  <c r="AS134" i="10"/>
  <c r="AR134" i="10"/>
  <c r="AQ134" i="10"/>
  <c r="AP134" i="10"/>
  <c r="AO134" i="10"/>
  <c r="AI134" i="10"/>
  <c r="AH134" i="10"/>
  <c r="AG134" i="10"/>
  <c r="AF134" i="10"/>
  <c r="Z134" i="10"/>
  <c r="Y134" i="10"/>
  <c r="X134" i="10"/>
  <c r="W134" i="10"/>
  <c r="V134" i="10"/>
  <c r="U134" i="10"/>
  <c r="T134" i="10"/>
  <c r="S134" i="10"/>
  <c r="R134" i="10"/>
  <c r="Q134" i="10"/>
  <c r="P134" i="10"/>
  <c r="O134" i="10"/>
  <c r="N134" i="10"/>
  <c r="M134" i="10"/>
  <c r="L134" i="10"/>
  <c r="K134" i="10"/>
  <c r="J134" i="10"/>
  <c r="I134" i="10"/>
  <c r="H134" i="10"/>
  <c r="G134" i="10"/>
  <c r="F134" i="10"/>
  <c r="E134" i="10"/>
  <c r="D134" i="10"/>
  <c r="C134" i="10"/>
  <c r="B134" i="10"/>
  <c r="A134" i="10"/>
  <c r="AU133" i="10"/>
  <c r="AT133" i="10"/>
  <c r="AS133" i="10"/>
  <c r="AR133" i="10"/>
  <c r="AQ133" i="10"/>
  <c r="AP133" i="10"/>
  <c r="AO133" i="10"/>
  <c r="AN133" i="10"/>
  <c r="AM133" i="10"/>
  <c r="AL133" i="10"/>
  <c r="AF133" i="10"/>
  <c r="AE133" i="10"/>
  <c r="AD133" i="10"/>
  <c r="AB133" i="10"/>
  <c r="W133" i="10"/>
  <c r="V133" i="10"/>
  <c r="U133" i="10"/>
  <c r="T133" i="10"/>
  <c r="S133" i="10"/>
  <c r="R133" i="10"/>
  <c r="Q133" i="10"/>
  <c r="P133" i="10"/>
  <c r="O133" i="10"/>
  <c r="N133" i="10"/>
  <c r="M133" i="10"/>
  <c r="L133" i="10"/>
  <c r="K133" i="10"/>
  <c r="J133" i="10"/>
  <c r="I133" i="10"/>
  <c r="H133" i="10"/>
  <c r="G133" i="10"/>
  <c r="F133" i="10"/>
  <c r="E133" i="10"/>
  <c r="D133" i="10"/>
  <c r="C133" i="10"/>
  <c r="B133" i="10"/>
  <c r="A133" i="10"/>
  <c r="AU132" i="10"/>
  <c r="AT132" i="10"/>
  <c r="AS132" i="10"/>
  <c r="AR132" i="10"/>
  <c r="AQ132" i="10"/>
  <c r="AP132" i="10"/>
  <c r="AL132" i="10"/>
  <c r="AK132" i="10"/>
  <c r="AI132" i="10"/>
  <c r="AH132" i="10"/>
  <c r="AC132" i="10"/>
  <c r="AA132" i="10"/>
  <c r="Z132" i="10"/>
  <c r="Y132" i="10"/>
  <c r="V132" i="10"/>
  <c r="U132" i="10"/>
  <c r="T132" i="10"/>
  <c r="S132" i="10"/>
  <c r="R132" i="10"/>
  <c r="Q132" i="10"/>
  <c r="P132" i="10"/>
  <c r="O132" i="10"/>
  <c r="N132" i="10"/>
  <c r="M132" i="10"/>
  <c r="L132" i="10"/>
  <c r="K132" i="10"/>
  <c r="J132" i="10"/>
  <c r="I132" i="10"/>
  <c r="H132" i="10"/>
  <c r="G132" i="10"/>
  <c r="F132" i="10"/>
  <c r="E132" i="10"/>
  <c r="D132" i="10"/>
  <c r="C132" i="10"/>
  <c r="B132" i="10"/>
  <c r="A132" i="10"/>
  <c r="AU131" i="10"/>
  <c r="AT131" i="10"/>
  <c r="AS131" i="10"/>
  <c r="AR131" i="10"/>
  <c r="AQ131" i="10"/>
  <c r="AP131" i="10"/>
  <c r="AO131" i="10"/>
  <c r="AN131" i="10"/>
  <c r="AH131" i="10"/>
  <c r="AG131" i="10"/>
  <c r="AF131" i="10"/>
  <c r="AE131" i="10"/>
  <c r="Y131" i="10"/>
  <c r="X131" i="10"/>
  <c r="W131" i="10"/>
  <c r="V131" i="10"/>
  <c r="U131" i="10"/>
  <c r="T131" i="10"/>
  <c r="S131" i="10"/>
  <c r="R131" i="10"/>
  <c r="Q131" i="10"/>
  <c r="P131" i="10"/>
  <c r="O131" i="10"/>
  <c r="N131" i="10"/>
  <c r="M131" i="10"/>
  <c r="L131" i="10"/>
  <c r="K131" i="10"/>
  <c r="J131" i="10"/>
  <c r="I131" i="10"/>
  <c r="H131" i="10"/>
  <c r="G131" i="10"/>
  <c r="F131" i="10"/>
  <c r="E131" i="10"/>
  <c r="D131" i="10"/>
  <c r="C131" i="10"/>
  <c r="B131" i="10"/>
  <c r="A131" i="10"/>
  <c r="AU130" i="10"/>
  <c r="AT130" i="10"/>
  <c r="AS130" i="10"/>
  <c r="AR130" i="10"/>
  <c r="AQ130" i="10"/>
  <c r="AP130" i="10"/>
  <c r="AN130" i="10"/>
  <c r="AM130" i="10"/>
  <c r="AL130" i="10"/>
  <c r="AK130" i="10"/>
  <c r="AE130" i="10"/>
  <c r="AD130" i="10"/>
  <c r="AC130" i="10"/>
  <c r="AB130" i="10"/>
  <c r="V130" i="10"/>
  <c r="U130" i="10"/>
  <c r="T130" i="10"/>
  <c r="S130" i="10"/>
  <c r="R130" i="10"/>
  <c r="Q130" i="10"/>
  <c r="P130" i="10"/>
  <c r="O130" i="10"/>
  <c r="N130" i="10"/>
  <c r="M130" i="10"/>
  <c r="L130" i="10"/>
  <c r="K130" i="10"/>
  <c r="J130" i="10"/>
  <c r="I130" i="10"/>
  <c r="H130" i="10"/>
  <c r="G130" i="10"/>
  <c r="F130" i="10"/>
  <c r="E130" i="10"/>
  <c r="D130" i="10"/>
  <c r="C130" i="10"/>
  <c r="B130" i="10"/>
  <c r="A130" i="10"/>
  <c r="AU129" i="10"/>
  <c r="AT129" i="10"/>
  <c r="AS129" i="10"/>
  <c r="AR129" i="10"/>
  <c r="AQ129" i="10"/>
  <c r="AP129" i="10"/>
  <c r="AJ129" i="10"/>
  <c r="AI129" i="10"/>
  <c r="AH129" i="10"/>
  <c r="AF129" i="10"/>
  <c r="AA129" i="10"/>
  <c r="Z129" i="10"/>
  <c r="X129" i="10"/>
  <c r="W129" i="10"/>
  <c r="V129" i="10"/>
  <c r="U129" i="10"/>
  <c r="T129" i="10"/>
  <c r="S129" i="10"/>
  <c r="R129" i="10"/>
  <c r="Q129" i="10"/>
  <c r="P129" i="10"/>
  <c r="O129" i="10"/>
  <c r="N129" i="10"/>
  <c r="M129" i="10"/>
  <c r="L129" i="10"/>
  <c r="K129" i="10"/>
  <c r="J129" i="10"/>
  <c r="I129" i="10"/>
  <c r="H129" i="10"/>
  <c r="G129" i="10"/>
  <c r="F129" i="10"/>
  <c r="E129" i="10"/>
  <c r="D129" i="10"/>
  <c r="C129" i="10"/>
  <c r="B129" i="10"/>
  <c r="A129" i="10"/>
  <c r="AU128" i="10"/>
  <c r="AT128" i="10"/>
  <c r="AS128" i="10"/>
  <c r="AR128" i="10"/>
  <c r="AQ128" i="10"/>
  <c r="AP128" i="10"/>
  <c r="AO128" i="10"/>
  <c r="AM128" i="10"/>
  <c r="AL128" i="10"/>
  <c r="AK128" i="10"/>
  <c r="AE128" i="10"/>
  <c r="AD128" i="10"/>
  <c r="AC128" i="10"/>
  <c r="AB128" i="10"/>
  <c r="V128" i="10"/>
  <c r="U128" i="10"/>
  <c r="T128" i="10"/>
  <c r="S128" i="10"/>
  <c r="R128" i="10"/>
  <c r="Q128" i="10"/>
  <c r="P128" i="10"/>
  <c r="O128" i="10"/>
  <c r="N128" i="10"/>
  <c r="M128" i="10"/>
  <c r="L128" i="10"/>
  <c r="K128" i="10"/>
  <c r="J128" i="10"/>
  <c r="I128" i="10"/>
  <c r="H128" i="10"/>
  <c r="G128" i="10"/>
  <c r="F128" i="10"/>
  <c r="E128" i="10"/>
  <c r="D128" i="10"/>
  <c r="C128" i="10"/>
  <c r="B128" i="10"/>
  <c r="A128" i="10"/>
  <c r="AM163" i="10" s="1"/>
  <c r="AU127" i="10"/>
  <c r="AT127" i="10"/>
  <c r="AS127" i="10"/>
  <c r="AR127" i="10"/>
  <c r="AQ127" i="10"/>
  <c r="AP127" i="10"/>
  <c r="AJ127" i="10"/>
  <c r="AI127" i="10"/>
  <c r="AH127" i="10"/>
  <c r="AG127" i="10"/>
  <c r="AA127" i="10"/>
  <c r="Z127" i="10"/>
  <c r="Y127" i="10"/>
  <c r="X127" i="10"/>
  <c r="V127" i="10"/>
  <c r="U127" i="10"/>
  <c r="T127" i="10"/>
  <c r="S127" i="10"/>
  <c r="R127" i="10"/>
  <c r="Q127" i="10"/>
  <c r="P127" i="10"/>
  <c r="O127" i="10"/>
  <c r="N127" i="10"/>
  <c r="M127" i="10"/>
  <c r="L127" i="10"/>
  <c r="K127" i="10"/>
  <c r="J127" i="10"/>
  <c r="I127" i="10"/>
  <c r="H127" i="10"/>
  <c r="G127" i="10"/>
  <c r="F127" i="10"/>
  <c r="E127" i="10"/>
  <c r="D127" i="10"/>
  <c r="C127" i="10"/>
  <c r="B127" i="10"/>
  <c r="A127" i="10"/>
  <c r="AU126" i="10"/>
  <c r="AT126" i="10"/>
  <c r="AS126" i="10"/>
  <c r="AR126" i="10"/>
  <c r="AQ126" i="10"/>
  <c r="AP126" i="10"/>
  <c r="AO126" i="10"/>
  <c r="AN126" i="10"/>
  <c r="AM126" i="10"/>
  <c r="AK126" i="10"/>
  <c r="AF126" i="10"/>
  <c r="AE126" i="10"/>
  <c r="AD126" i="10"/>
  <c r="AC126" i="10"/>
  <c r="X126" i="10"/>
  <c r="W126" i="10"/>
  <c r="V126" i="10"/>
  <c r="U126" i="10"/>
  <c r="T126" i="10"/>
  <c r="S126" i="10"/>
  <c r="R126" i="10"/>
  <c r="Q126" i="10"/>
  <c r="P126" i="10"/>
  <c r="O126" i="10"/>
  <c r="N126" i="10"/>
  <c r="M126" i="10"/>
  <c r="L126" i="10"/>
  <c r="K126" i="10"/>
  <c r="J126" i="10"/>
  <c r="I126" i="10"/>
  <c r="H126" i="10"/>
  <c r="G126" i="10"/>
  <c r="F126" i="10"/>
  <c r="E126" i="10"/>
  <c r="D126" i="10"/>
  <c r="C126" i="10"/>
  <c r="B126" i="10"/>
  <c r="A126" i="10"/>
  <c r="AU125" i="10"/>
  <c r="AT125" i="10"/>
  <c r="AS125" i="10"/>
  <c r="AR125" i="10"/>
  <c r="AQ125" i="10"/>
  <c r="AP125" i="10"/>
  <c r="AM125" i="10"/>
  <c r="AL125" i="10"/>
  <c r="AK125" i="10"/>
  <c r="AJ125" i="10"/>
  <c r="AE125" i="10"/>
  <c r="AD125" i="10"/>
  <c r="AC125" i="10"/>
  <c r="AB125" i="10"/>
  <c r="W125" i="10"/>
  <c r="V125" i="10"/>
  <c r="U125" i="10"/>
  <c r="T125" i="10"/>
  <c r="S125" i="10"/>
  <c r="R125" i="10"/>
  <c r="Q125" i="10"/>
  <c r="P125" i="10"/>
  <c r="O125" i="10"/>
  <c r="N125" i="10"/>
  <c r="M125" i="10"/>
  <c r="L125" i="10"/>
  <c r="K125" i="10"/>
  <c r="J125" i="10"/>
  <c r="I125" i="10"/>
  <c r="H125" i="10"/>
  <c r="G125" i="10"/>
  <c r="F125" i="10"/>
  <c r="E125" i="10"/>
  <c r="D125" i="10"/>
  <c r="C125" i="10"/>
  <c r="B125" i="10"/>
  <c r="A125" i="10"/>
  <c r="AU124" i="10"/>
  <c r="AT124" i="10"/>
  <c r="AS124" i="10"/>
  <c r="AR124" i="10"/>
  <c r="AQ124" i="10"/>
  <c r="AP124" i="10"/>
  <c r="AL124" i="10"/>
  <c r="AK124" i="10"/>
  <c r="AJ124" i="10"/>
  <c r="AI124" i="10"/>
  <c r="AD124" i="10"/>
  <c r="AC124" i="10"/>
  <c r="AB124" i="10"/>
  <c r="AA124" i="10"/>
  <c r="V124" i="10"/>
  <c r="U124" i="10"/>
  <c r="T124" i="10"/>
  <c r="S124" i="10"/>
  <c r="R124" i="10"/>
  <c r="Q124" i="10"/>
  <c r="P124" i="10"/>
  <c r="O124" i="10"/>
  <c r="N124" i="10"/>
  <c r="M124" i="10"/>
  <c r="L124" i="10"/>
  <c r="K124" i="10"/>
  <c r="J124" i="10"/>
  <c r="I124" i="10"/>
  <c r="H124" i="10"/>
  <c r="G124" i="10"/>
  <c r="F124" i="10"/>
  <c r="E124" i="10"/>
  <c r="D124" i="10"/>
  <c r="C124" i="10"/>
  <c r="B124" i="10"/>
  <c r="A124" i="10"/>
  <c r="AU123" i="10"/>
  <c r="AT123" i="10"/>
  <c r="AS123" i="10"/>
  <c r="AR123" i="10"/>
  <c r="AQ123" i="10"/>
  <c r="AP123" i="10"/>
  <c r="AK123" i="10"/>
  <c r="AJ123" i="10"/>
  <c r="AI123" i="10"/>
  <c r="AH123" i="10"/>
  <c r="AC123" i="10"/>
  <c r="AB123" i="10"/>
  <c r="AA123" i="10"/>
  <c r="Z123" i="10"/>
  <c r="V123" i="10"/>
  <c r="U123" i="10"/>
  <c r="T123" i="10"/>
  <c r="S123" i="10"/>
  <c r="R123" i="10"/>
  <c r="Q123" i="10"/>
  <c r="P123" i="10"/>
  <c r="O123" i="10"/>
  <c r="N123" i="10"/>
  <c r="M123" i="10"/>
  <c r="L123" i="10"/>
  <c r="K123" i="10"/>
  <c r="J123" i="10"/>
  <c r="I123" i="10"/>
  <c r="H123" i="10"/>
  <c r="G123" i="10"/>
  <c r="F123" i="10"/>
  <c r="E123" i="10"/>
  <c r="D123" i="10"/>
  <c r="C123" i="10"/>
  <c r="B123" i="10"/>
  <c r="A123" i="10"/>
  <c r="AU122" i="10"/>
  <c r="AT122" i="10"/>
  <c r="AS122" i="10"/>
  <c r="AR122" i="10"/>
  <c r="AQ122" i="10"/>
  <c r="AP122" i="10"/>
  <c r="AO122" i="10"/>
  <c r="AJ122" i="10"/>
  <c r="AI122" i="10"/>
  <c r="AH122" i="10"/>
  <c r="AG122" i="10"/>
  <c r="AB122" i="10"/>
  <c r="AA122" i="10"/>
  <c r="Z122" i="10"/>
  <c r="Y122" i="10"/>
  <c r="V122" i="10"/>
  <c r="U122" i="10"/>
  <c r="T122" i="10"/>
  <c r="S122" i="10"/>
  <c r="R122" i="10"/>
  <c r="Q122" i="10"/>
  <c r="P122" i="10"/>
  <c r="O122" i="10"/>
  <c r="N122" i="10"/>
  <c r="M122" i="10"/>
  <c r="L122" i="10"/>
  <c r="K122" i="10"/>
  <c r="J122" i="10"/>
  <c r="I122" i="10"/>
  <c r="H122" i="10"/>
  <c r="G122" i="10"/>
  <c r="F122" i="10"/>
  <c r="E122" i="10"/>
  <c r="D122" i="10"/>
  <c r="C122" i="10"/>
  <c r="B122" i="10"/>
  <c r="A122" i="10"/>
  <c r="AU121" i="10"/>
  <c r="AT121" i="10"/>
  <c r="AS121" i="10"/>
  <c r="AR121" i="10"/>
  <c r="AQ121" i="10"/>
  <c r="AP121" i="10"/>
  <c r="AO121" i="10"/>
  <c r="AN121" i="10"/>
  <c r="AI121" i="10"/>
  <c r="AH121" i="10"/>
  <c r="AG121" i="10"/>
  <c r="AF121" i="10"/>
  <c r="AA121" i="10"/>
  <c r="Z121" i="10"/>
  <c r="Y121" i="10"/>
  <c r="X121" i="10"/>
  <c r="V121" i="10"/>
  <c r="U121" i="10"/>
  <c r="T121" i="10"/>
  <c r="S121" i="10"/>
  <c r="R121" i="10"/>
  <c r="Q121" i="10"/>
  <c r="P121" i="10"/>
  <c r="O121" i="10"/>
  <c r="N121" i="10"/>
  <c r="M121" i="10"/>
  <c r="L121" i="10"/>
  <c r="K121" i="10"/>
  <c r="J121" i="10"/>
  <c r="I121" i="10"/>
  <c r="H121" i="10"/>
  <c r="G121" i="10"/>
  <c r="F121" i="10"/>
  <c r="E121" i="10"/>
  <c r="D121" i="10"/>
  <c r="C121" i="10"/>
  <c r="B121" i="10"/>
  <c r="A121" i="10"/>
  <c r="AU120" i="10"/>
  <c r="AT120" i="10"/>
  <c r="AS120" i="10"/>
  <c r="AR120" i="10"/>
  <c r="AQ120" i="10"/>
  <c r="AP120" i="10"/>
  <c r="AO120" i="10"/>
  <c r="AN120" i="10"/>
  <c r="AM120" i="10"/>
  <c r="AH120" i="10"/>
  <c r="AG120" i="10"/>
  <c r="AF120" i="10"/>
  <c r="AE120" i="10"/>
  <c r="Z120" i="10"/>
  <c r="Y120" i="10"/>
  <c r="X120" i="10"/>
  <c r="W120" i="10"/>
  <c r="V120" i="10"/>
  <c r="U120" i="10"/>
  <c r="T120" i="10"/>
  <c r="S120" i="10"/>
  <c r="R120" i="10"/>
  <c r="Q120" i="10"/>
  <c r="P120" i="10"/>
  <c r="O120" i="10"/>
  <c r="N120" i="10"/>
  <c r="M120" i="10"/>
  <c r="L120" i="10"/>
  <c r="K120" i="10"/>
  <c r="J120" i="10"/>
  <c r="I120" i="10"/>
  <c r="H120" i="10"/>
  <c r="G120" i="10"/>
  <c r="F120" i="10"/>
  <c r="E120" i="10"/>
  <c r="D120" i="10"/>
  <c r="C120" i="10"/>
  <c r="B120" i="10"/>
  <c r="A120" i="10"/>
  <c r="AU119" i="10"/>
  <c r="AT119" i="10"/>
  <c r="AS119" i="10"/>
  <c r="AR119" i="10"/>
  <c r="AQ119" i="10"/>
  <c r="AP119" i="10"/>
  <c r="AO119" i="10"/>
  <c r="AN119" i="10"/>
  <c r="AM119" i="10"/>
  <c r="AL119" i="10"/>
  <c r="AG119" i="10"/>
  <c r="AF119" i="10"/>
  <c r="AE119" i="10"/>
  <c r="AD119" i="10"/>
  <c r="Y119" i="10"/>
  <c r="X119" i="10"/>
  <c r="W119" i="10"/>
  <c r="V119" i="10"/>
  <c r="U119" i="10"/>
  <c r="T119" i="10"/>
  <c r="S119" i="10"/>
  <c r="R119" i="10"/>
  <c r="Q119" i="10"/>
  <c r="P119" i="10"/>
  <c r="O119" i="10"/>
  <c r="N119" i="10"/>
  <c r="M119" i="10"/>
  <c r="L119" i="10"/>
  <c r="K119" i="10"/>
  <c r="J119" i="10"/>
  <c r="I119" i="10"/>
  <c r="H119" i="10"/>
  <c r="G119" i="10"/>
  <c r="F119" i="10"/>
  <c r="E119" i="10"/>
  <c r="D119" i="10"/>
  <c r="C119" i="10"/>
  <c r="B119" i="10"/>
  <c r="A119" i="10"/>
  <c r="AU118" i="10"/>
  <c r="AT118" i="10"/>
  <c r="AS118" i="10"/>
  <c r="AR118" i="10"/>
  <c r="AQ118" i="10"/>
  <c r="AP118" i="10"/>
  <c r="AN118" i="10"/>
  <c r="AM118" i="10"/>
  <c r="AL118" i="10"/>
  <c r="AK118" i="10"/>
  <c r="AF118" i="10"/>
  <c r="AE118" i="10"/>
  <c r="AD118" i="10"/>
  <c r="AC118" i="10"/>
  <c r="X118" i="10"/>
  <c r="W118" i="10"/>
  <c r="V118" i="10"/>
  <c r="U118" i="10"/>
  <c r="T118" i="10"/>
  <c r="S118" i="10"/>
  <c r="R118" i="10"/>
  <c r="Q118" i="10"/>
  <c r="P118" i="10"/>
  <c r="O118" i="10"/>
  <c r="N118" i="10"/>
  <c r="M118" i="10"/>
  <c r="L118" i="10"/>
  <c r="K118" i="10"/>
  <c r="J118" i="10"/>
  <c r="I118" i="10"/>
  <c r="H118" i="10"/>
  <c r="G118" i="10"/>
  <c r="F118" i="10"/>
  <c r="E118" i="10"/>
  <c r="D118" i="10"/>
  <c r="C118" i="10"/>
  <c r="B118" i="10"/>
  <c r="A118" i="10"/>
  <c r="AU117" i="10"/>
  <c r="AT117" i="10"/>
  <c r="AS117" i="10"/>
  <c r="AR117" i="10"/>
  <c r="AQ117" i="10"/>
  <c r="AP117" i="10"/>
  <c r="AM117" i="10"/>
  <c r="AL117" i="10"/>
  <c r="AK117" i="10"/>
  <c r="AJ117" i="10"/>
  <c r="AE117" i="10"/>
  <c r="AD117" i="10"/>
  <c r="AC117" i="10"/>
  <c r="AB117" i="10"/>
  <c r="W117" i="10"/>
  <c r="V117" i="10"/>
  <c r="U117" i="10"/>
  <c r="T117" i="10"/>
  <c r="S117" i="10"/>
  <c r="R117" i="10"/>
  <c r="Q117" i="10"/>
  <c r="P117" i="10"/>
  <c r="O117" i="10"/>
  <c r="N117" i="10"/>
  <c r="M117" i="10"/>
  <c r="L117" i="10"/>
  <c r="K117" i="10"/>
  <c r="J117" i="10"/>
  <c r="I117" i="10"/>
  <c r="H117" i="10"/>
  <c r="G117" i="10"/>
  <c r="F117" i="10"/>
  <c r="E117" i="10"/>
  <c r="D117" i="10"/>
  <c r="C117" i="10"/>
  <c r="B117" i="10"/>
  <c r="A117" i="10"/>
  <c r="AU116" i="10"/>
  <c r="AT116" i="10"/>
  <c r="AS116" i="10"/>
  <c r="AR116" i="10"/>
  <c r="AQ116" i="10"/>
  <c r="AP116" i="10"/>
  <c r="AL116" i="10"/>
  <c r="AK116" i="10"/>
  <c r="AJ116" i="10"/>
  <c r="AI116" i="10"/>
  <c r="AD116" i="10"/>
  <c r="AC116" i="10"/>
  <c r="AB116" i="10"/>
  <c r="AA116" i="10"/>
  <c r="V116" i="10"/>
  <c r="U116" i="10"/>
  <c r="T116" i="10"/>
  <c r="S116" i="10"/>
  <c r="R116" i="10"/>
  <c r="Q116" i="10"/>
  <c r="P116" i="10"/>
  <c r="O116" i="10"/>
  <c r="N116" i="10"/>
  <c r="M116" i="10"/>
  <c r="L116" i="10"/>
  <c r="K116" i="10"/>
  <c r="J116" i="10"/>
  <c r="I116" i="10"/>
  <c r="H116" i="10"/>
  <c r="G116" i="10"/>
  <c r="F116" i="10"/>
  <c r="E116" i="10"/>
  <c r="D116" i="10"/>
  <c r="C116" i="10"/>
  <c r="B116" i="10"/>
  <c r="A116" i="10"/>
  <c r="AU115" i="10"/>
  <c r="AT115" i="10"/>
  <c r="AS115" i="10"/>
  <c r="AR115" i="10"/>
  <c r="AQ115" i="10"/>
  <c r="AP115" i="10"/>
  <c r="AK115" i="10"/>
  <c r="AJ115" i="10"/>
  <c r="AI115" i="10"/>
  <c r="AH115" i="10"/>
  <c r="AC115" i="10"/>
  <c r="AB115" i="10"/>
  <c r="AA115" i="10"/>
  <c r="Z115" i="10"/>
  <c r="V115" i="10"/>
  <c r="U115" i="10"/>
  <c r="T115" i="10"/>
  <c r="S115" i="10"/>
  <c r="R115" i="10"/>
  <c r="Q115" i="10"/>
  <c r="P115" i="10"/>
  <c r="O115" i="10"/>
  <c r="N115" i="10"/>
  <c r="M115" i="10"/>
  <c r="L115" i="10"/>
  <c r="K115" i="10"/>
  <c r="J115" i="10"/>
  <c r="I115" i="10"/>
  <c r="H115" i="10"/>
  <c r="G115" i="10"/>
  <c r="F115" i="10"/>
  <c r="E115" i="10"/>
  <c r="D115" i="10"/>
  <c r="C115" i="10"/>
  <c r="B115" i="10"/>
  <c r="A115" i="10"/>
  <c r="AU114" i="10"/>
  <c r="AT114" i="10"/>
  <c r="AS114" i="10"/>
  <c r="AR114" i="10"/>
  <c r="AQ114" i="10"/>
  <c r="AP114" i="10"/>
  <c r="AO114" i="10"/>
  <c r="AJ114" i="10"/>
  <c r="AI114" i="10"/>
  <c r="AH114" i="10"/>
  <c r="AG114" i="10"/>
  <c r="AB114" i="10"/>
  <c r="AA114" i="10"/>
  <c r="Z114" i="10"/>
  <c r="Y114" i="10"/>
  <c r="V114" i="10"/>
  <c r="U114" i="10"/>
  <c r="T114" i="10"/>
  <c r="S114" i="10"/>
  <c r="R114" i="10"/>
  <c r="Q114" i="10"/>
  <c r="P114" i="10"/>
  <c r="O114" i="10"/>
  <c r="N114" i="10"/>
  <c r="M114" i="10"/>
  <c r="L114" i="10"/>
  <c r="K114" i="10"/>
  <c r="J114" i="10"/>
  <c r="I114" i="10"/>
  <c r="H114" i="10"/>
  <c r="G114" i="10"/>
  <c r="F114" i="10"/>
  <c r="E114" i="10"/>
  <c r="D114" i="10"/>
  <c r="C114" i="10"/>
  <c r="B114" i="10"/>
  <c r="A114" i="10"/>
  <c r="AU113" i="10"/>
  <c r="AT113" i="10"/>
  <c r="AS113" i="10"/>
  <c r="AR113" i="10"/>
  <c r="AQ113" i="10"/>
  <c r="AP113" i="10"/>
  <c r="AO113" i="10"/>
  <c r="AN113" i="10"/>
  <c r="AI113" i="10"/>
  <c r="AH113" i="10"/>
  <c r="AG113" i="10"/>
  <c r="AF113" i="10"/>
  <c r="AA113" i="10"/>
  <c r="Z113" i="10"/>
  <c r="Y113" i="10"/>
  <c r="X113" i="10"/>
  <c r="V113" i="10"/>
  <c r="U113" i="10"/>
  <c r="T113" i="10"/>
  <c r="S113" i="10"/>
  <c r="R113" i="10"/>
  <c r="Q113" i="10"/>
  <c r="P113" i="10"/>
  <c r="O113" i="10"/>
  <c r="N113" i="10"/>
  <c r="M113" i="10"/>
  <c r="L113" i="10"/>
  <c r="K113" i="10"/>
  <c r="J113" i="10"/>
  <c r="I113" i="10"/>
  <c r="H113" i="10"/>
  <c r="G113" i="10"/>
  <c r="F113" i="10"/>
  <c r="E113" i="10"/>
  <c r="D113" i="10"/>
  <c r="C113" i="10"/>
  <c r="B113" i="10"/>
  <c r="A113" i="10"/>
  <c r="AU112" i="10"/>
  <c r="AT112" i="10"/>
  <c r="AS112" i="10"/>
  <c r="AR112" i="10"/>
  <c r="AQ112" i="10"/>
  <c r="AP112" i="10"/>
  <c r="AO112" i="10"/>
  <c r="AN112" i="10"/>
  <c r="AM112" i="10"/>
  <c r="AH112" i="10"/>
  <c r="AG112" i="10"/>
  <c r="AF112" i="10"/>
  <c r="AE112" i="10"/>
  <c r="Z112" i="10"/>
  <c r="Y112" i="10"/>
  <c r="X112" i="10"/>
  <c r="W112" i="10"/>
  <c r="V112" i="10"/>
  <c r="U112" i="10"/>
  <c r="T112" i="10"/>
  <c r="S112" i="10"/>
  <c r="R112" i="10"/>
  <c r="Q112" i="10"/>
  <c r="P112" i="10"/>
  <c r="O112" i="10"/>
  <c r="N112" i="10"/>
  <c r="M112" i="10"/>
  <c r="L112" i="10"/>
  <c r="K112" i="10"/>
  <c r="J112" i="10"/>
  <c r="I112" i="10"/>
  <c r="H112" i="10"/>
  <c r="G112" i="10"/>
  <c r="F112" i="10"/>
  <c r="E112" i="10"/>
  <c r="D112" i="10"/>
  <c r="C112" i="10"/>
  <c r="B112" i="10"/>
  <c r="A112" i="10"/>
  <c r="AU111" i="10"/>
  <c r="AT111" i="10"/>
  <c r="AS111" i="10"/>
  <c r="AR111" i="10"/>
  <c r="AQ111" i="10"/>
  <c r="AP111" i="10"/>
  <c r="AO111" i="10"/>
  <c r="AN111" i="10"/>
  <c r="AM111" i="10"/>
  <c r="AL111" i="10"/>
  <c r="AG111" i="10"/>
  <c r="AF111" i="10"/>
  <c r="AE111" i="10"/>
  <c r="AD111" i="10"/>
  <c r="Y111" i="10"/>
  <c r="X111" i="10"/>
  <c r="W111" i="10"/>
  <c r="V111" i="10"/>
  <c r="U111" i="10"/>
  <c r="T111" i="10"/>
  <c r="S111" i="10"/>
  <c r="R111" i="10"/>
  <c r="Q111" i="10"/>
  <c r="P111" i="10"/>
  <c r="O111" i="10"/>
  <c r="N111" i="10"/>
  <c r="M111" i="10"/>
  <c r="L111" i="10"/>
  <c r="K111" i="10"/>
  <c r="J111" i="10"/>
  <c r="I111" i="10"/>
  <c r="H111" i="10"/>
  <c r="G111" i="10"/>
  <c r="F111" i="10"/>
  <c r="E111" i="10"/>
  <c r="D111" i="10"/>
  <c r="C111" i="10"/>
  <c r="B111" i="10"/>
  <c r="A111" i="10"/>
  <c r="AU110" i="10"/>
  <c r="AT110" i="10"/>
  <c r="AS110" i="10"/>
  <c r="AR110" i="10"/>
  <c r="AQ110" i="10"/>
  <c r="AP110" i="10"/>
  <c r="AN110" i="10"/>
  <c r="AM110" i="10"/>
  <c r="AL110" i="10"/>
  <c r="AK110" i="10"/>
  <c r="AF110" i="10"/>
  <c r="AE110" i="10"/>
  <c r="AD110" i="10"/>
  <c r="AC110" i="10"/>
  <c r="X110" i="10"/>
  <c r="W110" i="10"/>
  <c r="V110" i="10"/>
  <c r="U110" i="10"/>
  <c r="T110" i="10"/>
  <c r="S110" i="10"/>
  <c r="R110" i="10"/>
  <c r="Q110" i="10"/>
  <c r="P110" i="10"/>
  <c r="O110" i="10"/>
  <c r="N110" i="10"/>
  <c r="M110" i="10"/>
  <c r="L110" i="10"/>
  <c r="K110" i="10"/>
  <c r="J110" i="10"/>
  <c r="I110" i="10"/>
  <c r="H110" i="10"/>
  <c r="G110" i="10"/>
  <c r="F110" i="10"/>
  <c r="E110" i="10"/>
  <c r="D110" i="10"/>
  <c r="C110" i="10"/>
  <c r="B110" i="10"/>
  <c r="A110" i="10"/>
  <c r="AU109" i="10"/>
  <c r="AT109" i="10"/>
  <c r="AS109" i="10"/>
  <c r="AR109" i="10"/>
  <c r="AQ109" i="10"/>
  <c r="AP109" i="10"/>
  <c r="AM109" i="10"/>
  <c r="AL109" i="10"/>
  <c r="AK109" i="10"/>
  <c r="AJ109" i="10"/>
  <c r="AE109" i="10"/>
  <c r="AD109" i="10"/>
  <c r="AC109" i="10"/>
  <c r="AB109" i="10"/>
  <c r="W109" i="10"/>
  <c r="V109" i="10"/>
  <c r="U109" i="10"/>
  <c r="T109" i="10"/>
  <c r="S109" i="10"/>
  <c r="R109" i="10"/>
  <c r="Q109" i="10"/>
  <c r="P109" i="10"/>
  <c r="O109" i="10"/>
  <c r="N109" i="10"/>
  <c r="M109" i="10"/>
  <c r="L109" i="10"/>
  <c r="K109" i="10"/>
  <c r="J109" i="10"/>
  <c r="I109" i="10"/>
  <c r="H109" i="10"/>
  <c r="G109" i="10"/>
  <c r="F109" i="10"/>
  <c r="E109" i="10"/>
  <c r="D109" i="10"/>
  <c r="C109" i="10"/>
  <c r="B109" i="10"/>
  <c r="A109" i="10"/>
  <c r="AU108" i="10"/>
  <c r="AT108" i="10"/>
  <c r="AS108" i="10"/>
  <c r="AR108" i="10"/>
  <c r="AQ108" i="10"/>
  <c r="AP108" i="10"/>
  <c r="AL108" i="10"/>
  <c r="AK108" i="10"/>
  <c r="AJ108" i="10"/>
  <c r="AI108" i="10"/>
  <c r="AD108" i="10"/>
  <c r="AC108" i="10"/>
  <c r="AB108" i="10"/>
  <c r="AA108" i="10"/>
  <c r="V108" i="10"/>
  <c r="U108" i="10"/>
  <c r="T108" i="10"/>
  <c r="S108" i="10"/>
  <c r="R108" i="10"/>
  <c r="Q108" i="10"/>
  <c r="P108" i="10"/>
  <c r="O108" i="10"/>
  <c r="N108" i="10"/>
  <c r="M108" i="10"/>
  <c r="L108" i="10"/>
  <c r="K108" i="10"/>
  <c r="J108" i="10"/>
  <c r="I108" i="10"/>
  <c r="H108" i="10"/>
  <c r="G108" i="10"/>
  <c r="F108" i="10"/>
  <c r="E108" i="10"/>
  <c r="D108" i="10"/>
  <c r="C108" i="10"/>
  <c r="B108" i="10"/>
  <c r="A108" i="10"/>
  <c r="AU107" i="10"/>
  <c r="AT107" i="10"/>
  <c r="AS107" i="10"/>
  <c r="AR107" i="10"/>
  <c r="AQ107" i="10"/>
  <c r="AP107" i="10"/>
  <c r="AL107" i="10"/>
  <c r="AK107" i="10"/>
  <c r="AJ107" i="10"/>
  <c r="AI107" i="10"/>
  <c r="AH107" i="10"/>
  <c r="AD107" i="10"/>
  <c r="AC107" i="10"/>
  <c r="AB107" i="10"/>
  <c r="AA107" i="10"/>
  <c r="Z107" i="10"/>
  <c r="V107" i="10"/>
  <c r="U107" i="10"/>
  <c r="T107" i="10"/>
  <c r="S107" i="10"/>
  <c r="R107" i="10"/>
  <c r="Q107" i="10"/>
  <c r="P107" i="10"/>
  <c r="O107" i="10"/>
  <c r="N107" i="10"/>
  <c r="M107" i="10"/>
  <c r="L107" i="10"/>
  <c r="K107" i="10"/>
  <c r="J107" i="10"/>
  <c r="I107" i="10"/>
  <c r="H107" i="10"/>
  <c r="G107" i="10"/>
  <c r="F107" i="10"/>
  <c r="E107" i="10"/>
  <c r="D107" i="10"/>
  <c r="C107" i="10"/>
  <c r="B107" i="10"/>
  <c r="A107" i="10"/>
  <c r="AU106" i="10"/>
  <c r="AT106" i="10"/>
  <c r="AS106" i="10"/>
  <c r="AR106" i="10"/>
  <c r="AQ106" i="10"/>
  <c r="AP106" i="10"/>
  <c r="AO106" i="10"/>
  <c r="AK106" i="10"/>
  <c r="AJ106" i="10"/>
  <c r="AI106" i="10"/>
  <c r="AH106" i="10"/>
  <c r="AG106" i="10"/>
  <c r="AC106" i="10"/>
  <c r="AB106" i="10"/>
  <c r="AA106" i="10"/>
  <c r="Z106" i="10"/>
  <c r="Y106" i="10"/>
  <c r="V106" i="10"/>
  <c r="U106" i="10"/>
  <c r="T106" i="10"/>
  <c r="S106" i="10"/>
  <c r="R106" i="10"/>
  <c r="Q106" i="10"/>
  <c r="P106" i="10"/>
  <c r="O106" i="10"/>
  <c r="N106" i="10"/>
  <c r="M106" i="10"/>
  <c r="L106" i="10"/>
  <c r="K106" i="10"/>
  <c r="J106" i="10"/>
  <c r="I106" i="10"/>
  <c r="H106" i="10"/>
  <c r="G106" i="10"/>
  <c r="F106" i="10"/>
  <c r="E106" i="10"/>
  <c r="D106" i="10"/>
  <c r="C106" i="10"/>
  <c r="B106" i="10"/>
  <c r="A106" i="10"/>
  <c r="AU105" i="10"/>
  <c r="AT105" i="10"/>
  <c r="AS105" i="10"/>
  <c r="AR105" i="10"/>
  <c r="AQ105" i="10"/>
  <c r="AP105" i="10"/>
  <c r="AO105" i="10"/>
  <c r="AN105" i="10"/>
  <c r="AJ105" i="10"/>
  <c r="AI105" i="10"/>
  <c r="AH105" i="10"/>
  <c r="AG105" i="10"/>
  <c r="AF105" i="10"/>
  <c r="AB105" i="10"/>
  <c r="AA105" i="10"/>
  <c r="Z105" i="10"/>
  <c r="Y105" i="10"/>
  <c r="X105" i="10"/>
  <c r="V105" i="10"/>
  <c r="U105" i="10"/>
  <c r="T105" i="10"/>
  <c r="S105" i="10"/>
  <c r="R105" i="10"/>
  <c r="Q105" i="10"/>
  <c r="P105" i="10"/>
  <c r="O105" i="10"/>
  <c r="N105" i="10"/>
  <c r="M105" i="10"/>
  <c r="L105" i="10"/>
  <c r="K105" i="10"/>
  <c r="J105" i="10"/>
  <c r="I105" i="10"/>
  <c r="H105" i="10"/>
  <c r="G105" i="10"/>
  <c r="F105" i="10"/>
  <c r="E105" i="10"/>
  <c r="D105" i="10"/>
  <c r="C105" i="10"/>
  <c r="B105" i="10"/>
  <c r="A105" i="10"/>
  <c r="AU104" i="10"/>
  <c r="AT104" i="10"/>
  <c r="AS104" i="10"/>
  <c r="AR104" i="10"/>
  <c r="AQ104" i="10"/>
  <c r="AP104" i="10"/>
  <c r="AO104" i="10"/>
  <c r="AN104" i="10"/>
  <c r="AM104" i="10"/>
  <c r="AI104" i="10"/>
  <c r="AH104" i="10"/>
  <c r="AG104" i="10"/>
  <c r="AF104" i="10"/>
  <c r="AE104" i="10"/>
  <c r="AA104" i="10"/>
  <c r="Z104" i="10"/>
  <c r="Y104" i="10"/>
  <c r="X104" i="10"/>
  <c r="W104" i="10"/>
  <c r="V104" i="10"/>
  <c r="U104" i="10"/>
  <c r="T104" i="10"/>
  <c r="S104" i="10"/>
  <c r="R104" i="10"/>
  <c r="Q104" i="10"/>
  <c r="P104" i="10"/>
  <c r="O104" i="10"/>
  <c r="N104" i="10"/>
  <c r="M104" i="10"/>
  <c r="L104" i="10"/>
  <c r="K104" i="10"/>
  <c r="J104" i="10"/>
  <c r="I104" i="10"/>
  <c r="H104" i="10"/>
  <c r="G104" i="10"/>
  <c r="F104" i="10"/>
  <c r="E104" i="10"/>
  <c r="D104" i="10"/>
  <c r="C104" i="10"/>
  <c r="B104" i="10"/>
  <c r="A104" i="10"/>
  <c r="AU103" i="10"/>
  <c r="AT103" i="10"/>
  <c r="AS103" i="10"/>
  <c r="AR103" i="10"/>
  <c r="AQ103" i="10"/>
  <c r="AP103" i="10"/>
  <c r="AO103" i="10"/>
  <c r="AN103" i="10"/>
  <c r="AM103" i="10"/>
  <c r="AL103" i="10"/>
  <c r="AH103" i="10"/>
  <c r="AG103" i="10"/>
  <c r="AF103" i="10"/>
  <c r="AE103" i="10"/>
  <c r="AD103" i="10"/>
  <c r="Z103" i="10"/>
  <c r="Y103" i="10"/>
  <c r="X103" i="10"/>
  <c r="W103" i="10"/>
  <c r="V103" i="10"/>
  <c r="U103" i="10"/>
  <c r="T103" i="10"/>
  <c r="S103" i="10"/>
  <c r="R103" i="10"/>
  <c r="Q103" i="10"/>
  <c r="P103" i="10"/>
  <c r="O103" i="10"/>
  <c r="N103" i="10"/>
  <c r="M103" i="10"/>
  <c r="L103" i="10"/>
  <c r="K103" i="10"/>
  <c r="J103" i="10"/>
  <c r="I103" i="10"/>
  <c r="H103" i="10"/>
  <c r="G103" i="10"/>
  <c r="F103" i="10"/>
  <c r="E103" i="10"/>
  <c r="D103" i="10"/>
  <c r="C103" i="10"/>
  <c r="B103" i="10"/>
  <c r="A103" i="10"/>
  <c r="AU102" i="10"/>
  <c r="AT102" i="10"/>
  <c r="AS102" i="10"/>
  <c r="AR102" i="10"/>
  <c r="AQ102" i="10"/>
  <c r="AP102" i="10"/>
  <c r="AO102" i="10"/>
  <c r="AN102" i="10"/>
  <c r="AM102" i="10"/>
  <c r="AL102" i="10"/>
  <c r="AK102" i="10"/>
  <c r="AG102" i="10"/>
  <c r="AF102" i="10"/>
  <c r="AE102" i="10"/>
  <c r="AD102" i="10"/>
  <c r="AC102" i="10"/>
  <c r="AB102" i="10"/>
  <c r="Y102" i="10"/>
  <c r="X102" i="10"/>
  <c r="W102" i="10"/>
  <c r="V102" i="10"/>
  <c r="U102" i="10"/>
  <c r="T102" i="10"/>
  <c r="S102" i="10"/>
  <c r="R102" i="10"/>
  <c r="Q102" i="10"/>
  <c r="P102" i="10"/>
  <c r="O102" i="10"/>
  <c r="N102" i="10"/>
  <c r="M102" i="10"/>
  <c r="L102" i="10"/>
  <c r="K102" i="10"/>
  <c r="J102" i="10"/>
  <c r="I102" i="10"/>
  <c r="H102" i="10"/>
  <c r="G102" i="10"/>
  <c r="F102" i="10"/>
  <c r="E102" i="10"/>
  <c r="D102" i="10"/>
  <c r="C102" i="10"/>
  <c r="B102" i="10"/>
  <c r="A102" i="10"/>
  <c r="AU101" i="10"/>
  <c r="AT101" i="10"/>
  <c r="AS101" i="10"/>
  <c r="AR101" i="10"/>
  <c r="AQ101" i="10"/>
  <c r="AP101" i="10"/>
  <c r="AN101" i="10"/>
  <c r="AM101" i="10"/>
  <c r="AL101" i="10"/>
  <c r="AK101" i="10"/>
  <c r="AJ101" i="10"/>
  <c r="AI101" i="10"/>
  <c r="AF101" i="10"/>
  <c r="AE101" i="10"/>
  <c r="AD101" i="10"/>
  <c r="AC101" i="10"/>
  <c r="AB101" i="10"/>
  <c r="AA101" i="10"/>
  <c r="X101" i="10"/>
  <c r="W101" i="10"/>
  <c r="V101" i="10"/>
  <c r="U101" i="10"/>
  <c r="T101" i="10"/>
  <c r="S101" i="10"/>
  <c r="R101" i="10"/>
  <c r="Q101" i="10"/>
  <c r="P101" i="10"/>
  <c r="O101" i="10"/>
  <c r="N101" i="10"/>
  <c r="M101" i="10"/>
  <c r="L101" i="10"/>
  <c r="K101" i="10"/>
  <c r="J101" i="10"/>
  <c r="I101" i="10"/>
  <c r="H101" i="10"/>
  <c r="G101" i="10"/>
  <c r="F101" i="10"/>
  <c r="E101" i="10"/>
  <c r="D101" i="10"/>
  <c r="C101" i="10"/>
  <c r="B101" i="10"/>
  <c r="A101" i="10"/>
  <c r="AU100" i="10"/>
  <c r="AT100" i="10"/>
  <c r="AS100" i="10"/>
  <c r="AR100" i="10"/>
  <c r="AQ100" i="10"/>
  <c r="AP100" i="10"/>
  <c r="AM100" i="10"/>
  <c r="AL100" i="10"/>
  <c r="AK100" i="10"/>
  <c r="AJ100" i="10"/>
  <c r="AI100" i="10"/>
  <c r="AH100" i="10"/>
  <c r="AE100" i="10"/>
  <c r="AD100" i="10"/>
  <c r="AC100" i="10"/>
  <c r="AB100" i="10"/>
  <c r="AA100" i="10"/>
  <c r="Z100" i="10"/>
  <c r="W100" i="10"/>
  <c r="V100" i="10"/>
  <c r="U100" i="10"/>
  <c r="T100" i="10"/>
  <c r="S100" i="10"/>
  <c r="R100" i="10"/>
  <c r="Q100" i="10"/>
  <c r="P100" i="10"/>
  <c r="O100" i="10"/>
  <c r="N100" i="10"/>
  <c r="M100" i="10"/>
  <c r="L100" i="10"/>
  <c r="K100" i="10"/>
  <c r="J100" i="10"/>
  <c r="I100" i="10"/>
  <c r="H100" i="10"/>
  <c r="G100" i="10"/>
  <c r="F100" i="10"/>
  <c r="E100" i="10"/>
  <c r="D100" i="10"/>
  <c r="C100" i="10"/>
  <c r="B100" i="10"/>
  <c r="A100" i="10"/>
  <c r="AU99" i="10"/>
  <c r="AT99" i="10"/>
  <c r="AS99" i="10"/>
  <c r="AR99" i="10"/>
  <c r="AQ99" i="10"/>
  <c r="AP99" i="10"/>
  <c r="AO99" i="10"/>
  <c r="AL99" i="10"/>
  <c r="AK99" i="10"/>
  <c r="AJ99" i="10"/>
  <c r="AI99" i="10"/>
  <c r="AH99" i="10"/>
  <c r="AG99" i="10"/>
  <c r="AD99" i="10"/>
  <c r="AC99" i="10"/>
  <c r="AB99" i="10"/>
  <c r="AA99" i="10"/>
  <c r="Z99" i="10"/>
  <c r="Y99" i="10"/>
  <c r="V99" i="10"/>
  <c r="U99" i="10"/>
  <c r="T99" i="10"/>
  <c r="S99" i="10"/>
  <c r="R99" i="10"/>
  <c r="Q99" i="10"/>
  <c r="P99" i="10"/>
  <c r="O99" i="10"/>
  <c r="N99" i="10"/>
  <c r="M99" i="10"/>
  <c r="L99" i="10"/>
  <c r="K99" i="10"/>
  <c r="J99" i="10"/>
  <c r="I99" i="10"/>
  <c r="H99" i="10"/>
  <c r="G99" i="10"/>
  <c r="F99" i="10"/>
  <c r="E99" i="10"/>
  <c r="D99" i="10"/>
  <c r="C99" i="10"/>
  <c r="B99" i="10"/>
  <c r="A99" i="10"/>
  <c r="AU98" i="10"/>
  <c r="AT98" i="10"/>
  <c r="AS98" i="10"/>
  <c r="AR98" i="10"/>
  <c r="AQ98" i="10"/>
  <c r="AP98" i="10"/>
  <c r="AO98" i="10"/>
  <c r="AN98" i="10"/>
  <c r="AK98" i="10"/>
  <c r="AJ98" i="10"/>
  <c r="AI98" i="10"/>
  <c r="AH98" i="10"/>
  <c r="AG98" i="10"/>
  <c r="AF98" i="10"/>
  <c r="AC98" i="10"/>
  <c r="AB98" i="10"/>
  <c r="AA98" i="10"/>
  <c r="Z98" i="10"/>
  <c r="Y98" i="10"/>
  <c r="X98" i="10"/>
  <c r="V98" i="10"/>
  <c r="U98" i="10"/>
  <c r="T98" i="10"/>
  <c r="S98" i="10"/>
  <c r="R98" i="10"/>
  <c r="Q98" i="10"/>
  <c r="P98" i="10"/>
  <c r="O98" i="10"/>
  <c r="N98" i="10"/>
  <c r="M98" i="10"/>
  <c r="L98" i="10"/>
  <c r="K98" i="10"/>
  <c r="J98" i="10"/>
  <c r="I98" i="10"/>
  <c r="H98" i="10"/>
  <c r="G98" i="10"/>
  <c r="F98" i="10"/>
  <c r="E98" i="10"/>
  <c r="D98" i="10"/>
  <c r="C98" i="10"/>
  <c r="B98" i="10"/>
  <c r="A98" i="10"/>
  <c r="AU97" i="10"/>
  <c r="AT97" i="10"/>
  <c r="AS97" i="10"/>
  <c r="AR97" i="10"/>
  <c r="AQ97" i="10"/>
  <c r="AP97" i="10"/>
  <c r="AO97" i="10"/>
  <c r="AN97" i="10"/>
  <c r="AM97" i="10"/>
  <c r="AJ97" i="10"/>
  <c r="AI97" i="10"/>
  <c r="AH97" i="10"/>
  <c r="AG97" i="10"/>
  <c r="AF97" i="10"/>
  <c r="AE97" i="10"/>
  <c r="AB97" i="10"/>
  <c r="AA97" i="10"/>
  <c r="Z97" i="10"/>
  <c r="Y97" i="10"/>
  <c r="X97" i="10"/>
  <c r="W97" i="10"/>
  <c r="V97" i="10"/>
  <c r="U97" i="10"/>
  <c r="T97" i="10"/>
  <c r="S97" i="10"/>
  <c r="R97" i="10"/>
  <c r="Q97" i="10"/>
  <c r="P97" i="10"/>
  <c r="O97" i="10"/>
  <c r="N97" i="10"/>
  <c r="M97" i="10"/>
  <c r="L97" i="10"/>
  <c r="K97" i="10"/>
  <c r="J97" i="10"/>
  <c r="I97" i="10"/>
  <c r="H97" i="10"/>
  <c r="G97" i="10"/>
  <c r="F97" i="10"/>
  <c r="E97" i="10"/>
  <c r="D97" i="10"/>
  <c r="C97" i="10"/>
  <c r="B97" i="10"/>
  <c r="A97" i="10"/>
  <c r="AU96" i="10"/>
  <c r="AT96" i="10"/>
  <c r="AS96" i="10"/>
  <c r="AR96" i="10"/>
  <c r="AQ96" i="10"/>
  <c r="AP96" i="10"/>
  <c r="AO96" i="10"/>
  <c r="AN96" i="10"/>
  <c r="AM96" i="10"/>
  <c r="AL96" i="10"/>
  <c r="AI96" i="10"/>
  <c r="AH96" i="10"/>
  <c r="AG96" i="10"/>
  <c r="AF96" i="10"/>
  <c r="AE96" i="10"/>
  <c r="AD96" i="10"/>
  <c r="AA96" i="10"/>
  <c r="Z96" i="10"/>
  <c r="Y96" i="10"/>
  <c r="X96" i="10"/>
  <c r="W96" i="10"/>
  <c r="V96" i="10"/>
  <c r="U96" i="10"/>
  <c r="T96" i="10"/>
  <c r="S96" i="10"/>
  <c r="R96" i="10"/>
  <c r="Q96" i="10"/>
  <c r="P96" i="10"/>
  <c r="O96" i="10"/>
  <c r="N96" i="10"/>
  <c r="M96" i="10"/>
  <c r="L96" i="10"/>
  <c r="K96" i="10"/>
  <c r="J96" i="10"/>
  <c r="I96" i="10"/>
  <c r="H96" i="10"/>
  <c r="G96" i="10"/>
  <c r="F96" i="10"/>
  <c r="E96" i="10"/>
  <c r="D96" i="10"/>
  <c r="C96" i="10"/>
  <c r="B96" i="10"/>
  <c r="A96" i="10"/>
  <c r="AU95" i="10"/>
  <c r="AT95" i="10"/>
  <c r="AS95" i="10"/>
  <c r="AR95" i="10"/>
  <c r="AQ95" i="10"/>
  <c r="AP95" i="10"/>
  <c r="AO95" i="10"/>
  <c r="AN95" i="10"/>
  <c r="AM95" i="10"/>
  <c r="AL95" i="10"/>
  <c r="AK95" i="10"/>
  <c r="AH95" i="10"/>
  <c r="AG95" i="10"/>
  <c r="AF95" i="10"/>
  <c r="AE95" i="10"/>
  <c r="AD95" i="10"/>
  <c r="AC95" i="10"/>
  <c r="Z95" i="10"/>
  <c r="Y95" i="10"/>
  <c r="X95" i="10"/>
  <c r="W95" i="10"/>
  <c r="V95" i="10"/>
  <c r="U95" i="10"/>
  <c r="T95" i="10"/>
  <c r="S95" i="10"/>
  <c r="R95" i="10"/>
  <c r="Q95" i="10"/>
  <c r="P95" i="10"/>
  <c r="O95" i="10"/>
  <c r="N95" i="10"/>
  <c r="M95" i="10"/>
  <c r="L95" i="10"/>
  <c r="K95" i="10"/>
  <c r="J95" i="10"/>
  <c r="I95" i="10"/>
  <c r="H95" i="10"/>
  <c r="G95" i="10"/>
  <c r="F95" i="10"/>
  <c r="E95" i="10"/>
  <c r="D95" i="10"/>
  <c r="C95" i="10"/>
  <c r="B95" i="10"/>
  <c r="A95" i="10"/>
  <c r="AU94" i="10"/>
  <c r="AT94" i="10"/>
  <c r="AS94" i="10"/>
  <c r="AR94" i="10"/>
  <c r="AQ94" i="10"/>
  <c r="AP94" i="10"/>
  <c r="AO94" i="10"/>
  <c r="AN94" i="10"/>
  <c r="AM94" i="10"/>
  <c r="AL94" i="10"/>
  <c r="AK94" i="10"/>
  <c r="AJ94" i="10"/>
  <c r="AG94" i="10"/>
  <c r="AF94" i="10"/>
  <c r="AE94" i="10"/>
  <c r="AD94" i="10"/>
  <c r="AC94" i="10"/>
  <c r="AB94" i="10"/>
  <c r="Y94" i="10"/>
  <c r="X94" i="10"/>
  <c r="W94" i="10"/>
  <c r="V94" i="10"/>
  <c r="U94" i="10"/>
  <c r="T94" i="10"/>
  <c r="S94" i="10"/>
  <c r="R94" i="10"/>
  <c r="Q94" i="10"/>
  <c r="P94" i="10"/>
  <c r="O94" i="10"/>
  <c r="N94" i="10"/>
  <c r="M94" i="10"/>
  <c r="L94" i="10"/>
  <c r="K94" i="10"/>
  <c r="J94" i="10"/>
  <c r="I94" i="10"/>
  <c r="H94" i="10"/>
  <c r="G94" i="10"/>
  <c r="F94" i="10"/>
  <c r="E94" i="10"/>
  <c r="D94" i="10"/>
  <c r="C94" i="10"/>
  <c r="B94" i="10"/>
  <c r="A94" i="10"/>
  <c r="AU93" i="10"/>
  <c r="AT93" i="10"/>
  <c r="AS93" i="10"/>
  <c r="AR93" i="10"/>
  <c r="AQ93" i="10"/>
  <c r="AP93" i="10"/>
  <c r="AN93" i="10"/>
  <c r="AM93" i="10"/>
  <c r="AL93" i="10"/>
  <c r="AK93" i="10"/>
  <c r="AJ93" i="10"/>
  <c r="AI93" i="10"/>
  <c r="AF93" i="10"/>
  <c r="AE93" i="10"/>
  <c r="AD93" i="10"/>
  <c r="AC93" i="10"/>
  <c r="AB93" i="10"/>
  <c r="AA93" i="10"/>
  <c r="X93" i="10"/>
  <c r="W93" i="10"/>
  <c r="V93" i="10"/>
  <c r="U93" i="10"/>
  <c r="T93" i="10"/>
  <c r="S93" i="10"/>
  <c r="R93" i="10"/>
  <c r="Q93" i="10"/>
  <c r="P93" i="10"/>
  <c r="O93" i="10"/>
  <c r="N93" i="10"/>
  <c r="M93" i="10"/>
  <c r="L93" i="10"/>
  <c r="K93" i="10"/>
  <c r="J93" i="10"/>
  <c r="I93" i="10"/>
  <c r="H93" i="10"/>
  <c r="G93" i="10"/>
  <c r="F93" i="10"/>
  <c r="E93" i="10"/>
  <c r="D93" i="10"/>
  <c r="C93" i="10"/>
  <c r="B93" i="10"/>
  <c r="A93" i="10"/>
  <c r="AU92" i="10"/>
  <c r="AT92" i="10"/>
  <c r="AS92" i="10"/>
  <c r="AR92" i="10"/>
  <c r="AQ92" i="10"/>
  <c r="AP92" i="10"/>
  <c r="AM92" i="10"/>
  <c r="AL92" i="10"/>
  <c r="AK92" i="10"/>
  <c r="AJ92" i="10"/>
  <c r="AI92" i="10"/>
  <c r="AH92" i="10"/>
  <c r="AE92" i="10"/>
  <c r="AD92" i="10"/>
  <c r="AC92" i="10"/>
  <c r="AB92" i="10"/>
  <c r="AA92" i="10"/>
  <c r="Z92" i="10"/>
  <c r="W92" i="10"/>
  <c r="V92" i="10"/>
  <c r="U92" i="10"/>
  <c r="T92" i="10"/>
  <c r="S92" i="10"/>
  <c r="R92" i="10"/>
  <c r="Q92" i="10"/>
  <c r="P92" i="10"/>
  <c r="O92" i="10"/>
  <c r="N92" i="10"/>
  <c r="M92" i="10"/>
  <c r="L92" i="10"/>
  <c r="K92" i="10"/>
  <c r="J92" i="10"/>
  <c r="I92" i="10"/>
  <c r="H92" i="10"/>
  <c r="G92" i="10"/>
  <c r="F92" i="10"/>
  <c r="E92" i="10"/>
  <c r="D92" i="10"/>
  <c r="C92" i="10"/>
  <c r="B92" i="10"/>
  <c r="A92" i="10"/>
  <c r="AU91" i="10"/>
  <c r="AT91" i="10"/>
  <c r="AS91" i="10"/>
  <c r="AR91" i="10"/>
  <c r="AQ91" i="10"/>
  <c r="AP91" i="10"/>
  <c r="AO91" i="10"/>
  <c r="AL91" i="10"/>
  <c r="AK91" i="10"/>
  <c r="AJ91" i="10"/>
  <c r="AI91" i="10"/>
  <c r="AH91" i="10"/>
  <c r="AG91" i="10"/>
  <c r="AD91" i="10"/>
  <c r="AC91" i="10"/>
  <c r="AB91" i="10"/>
  <c r="AA91" i="10"/>
  <c r="Z91" i="10"/>
  <c r="Y91" i="10"/>
  <c r="V91" i="10"/>
  <c r="U91" i="10"/>
  <c r="T91" i="10"/>
  <c r="S91" i="10"/>
  <c r="R91" i="10"/>
  <c r="Q91" i="10"/>
  <c r="P91" i="10"/>
  <c r="O91" i="10"/>
  <c r="N91" i="10"/>
  <c r="M91" i="10"/>
  <c r="L91" i="10"/>
  <c r="K91" i="10"/>
  <c r="J91" i="10"/>
  <c r="I91" i="10"/>
  <c r="H91" i="10"/>
  <c r="G91" i="10"/>
  <c r="F91" i="10"/>
  <c r="E91" i="10"/>
  <c r="D91" i="10"/>
  <c r="C91" i="10"/>
  <c r="B91" i="10"/>
  <c r="A91" i="10"/>
  <c r="AU90" i="10"/>
  <c r="AT90" i="10"/>
  <c r="AS90" i="10"/>
  <c r="AR90" i="10"/>
  <c r="AQ90" i="10"/>
  <c r="AP90" i="10"/>
  <c r="AO90" i="10"/>
  <c r="AN90" i="10"/>
  <c r="AK90" i="10"/>
  <c r="AJ90" i="10"/>
  <c r="AI90" i="10"/>
  <c r="AH90" i="10"/>
  <c r="AG90" i="10"/>
  <c r="AF90" i="10"/>
  <c r="AC90" i="10"/>
  <c r="AB90" i="10"/>
  <c r="AA90" i="10"/>
  <c r="Z90" i="10"/>
  <c r="Y90" i="10"/>
  <c r="X90" i="10"/>
  <c r="V90" i="10"/>
  <c r="U90" i="10"/>
  <c r="T90" i="10"/>
  <c r="S90" i="10"/>
  <c r="R90" i="10"/>
  <c r="Q90" i="10"/>
  <c r="P90" i="10"/>
  <c r="O90" i="10"/>
  <c r="N90" i="10"/>
  <c r="M90" i="10"/>
  <c r="L90" i="10"/>
  <c r="K90" i="10"/>
  <c r="J90" i="10"/>
  <c r="I90" i="10"/>
  <c r="H90" i="10"/>
  <c r="G90" i="10"/>
  <c r="F90" i="10"/>
  <c r="E90" i="10"/>
  <c r="D90" i="10"/>
  <c r="C90" i="10"/>
  <c r="B90" i="10"/>
  <c r="A90" i="10"/>
  <c r="AU89" i="10"/>
  <c r="AT89" i="10"/>
  <c r="AS89" i="10"/>
  <c r="AR89" i="10"/>
  <c r="AQ89" i="10"/>
  <c r="AP89" i="10"/>
  <c r="AO89" i="10"/>
  <c r="AN89" i="10"/>
  <c r="AM89" i="10"/>
  <c r="AJ89" i="10"/>
  <c r="AI89" i="10"/>
  <c r="AH89" i="10"/>
  <c r="AG89" i="10"/>
  <c r="AF89" i="10"/>
  <c r="AE89" i="10"/>
  <c r="AB89" i="10"/>
  <c r="AA89" i="10"/>
  <c r="Z89" i="10"/>
  <c r="Y89" i="10"/>
  <c r="X89" i="10"/>
  <c r="W89" i="10"/>
  <c r="V89" i="10"/>
  <c r="U89" i="10"/>
  <c r="T89" i="10"/>
  <c r="S89" i="10"/>
  <c r="R89" i="10"/>
  <c r="Q89" i="10"/>
  <c r="P89" i="10"/>
  <c r="O89" i="10"/>
  <c r="N89" i="10"/>
  <c r="M89" i="10"/>
  <c r="L89" i="10"/>
  <c r="K89" i="10"/>
  <c r="J89" i="10"/>
  <c r="I89" i="10"/>
  <c r="H89" i="10"/>
  <c r="G89" i="10"/>
  <c r="F89" i="10"/>
  <c r="E89" i="10"/>
  <c r="D89" i="10"/>
  <c r="C89" i="10"/>
  <c r="B89" i="10"/>
  <c r="A89" i="10"/>
  <c r="AU88" i="10"/>
  <c r="AT88" i="10"/>
  <c r="AS88" i="10"/>
  <c r="AR88" i="10"/>
  <c r="AQ88" i="10"/>
  <c r="AP88" i="10"/>
  <c r="AO88" i="10"/>
  <c r="AN88" i="10"/>
  <c r="AM88" i="10"/>
  <c r="AL88" i="10"/>
  <c r="AJ88" i="10"/>
  <c r="AI88" i="10"/>
  <c r="AH88" i="10"/>
  <c r="AG88" i="10"/>
  <c r="AF88" i="10"/>
  <c r="AE88" i="10"/>
  <c r="AD88" i="10"/>
  <c r="AB88" i="10"/>
  <c r="AA88" i="10"/>
  <c r="Z88" i="10"/>
  <c r="Y88" i="10"/>
  <c r="X88" i="10"/>
  <c r="W88" i="10"/>
  <c r="V88" i="10"/>
  <c r="U88" i="10"/>
  <c r="T88" i="10"/>
  <c r="S88" i="10"/>
  <c r="R88" i="10"/>
  <c r="Q88" i="10"/>
  <c r="P88" i="10"/>
  <c r="O88" i="10"/>
  <c r="N88" i="10"/>
  <c r="M88" i="10"/>
  <c r="L88" i="10"/>
  <c r="K88" i="10"/>
  <c r="J88" i="10"/>
  <c r="I88" i="10"/>
  <c r="H88" i="10"/>
  <c r="G88" i="10"/>
  <c r="F88" i="10"/>
  <c r="E88" i="10"/>
  <c r="D88" i="10"/>
  <c r="C88" i="10"/>
  <c r="B88" i="10"/>
  <c r="A88" i="10"/>
  <c r="AU87" i="10"/>
  <c r="AT87" i="10"/>
  <c r="AS87" i="10"/>
  <c r="AR87" i="10"/>
  <c r="AQ87" i="10"/>
  <c r="AP87" i="10"/>
  <c r="AO87" i="10"/>
  <c r="AN87" i="10"/>
  <c r="AM87" i="10"/>
  <c r="AL87" i="10"/>
  <c r="AK87" i="10"/>
  <c r="AI87" i="10"/>
  <c r="AH87" i="10"/>
  <c r="AG87" i="10"/>
  <c r="AF87" i="10"/>
  <c r="AE87" i="10"/>
  <c r="AD87" i="10"/>
  <c r="AC87" i="10"/>
  <c r="AA87" i="10"/>
  <c r="Z87" i="10"/>
  <c r="Y87" i="10"/>
  <c r="X87" i="10"/>
  <c r="W87" i="10"/>
  <c r="V87" i="10"/>
  <c r="U87" i="10"/>
  <c r="T87" i="10"/>
  <c r="S87" i="10"/>
  <c r="R87" i="10"/>
  <c r="Q87" i="10"/>
  <c r="P87" i="10"/>
  <c r="O87" i="10"/>
  <c r="N87" i="10"/>
  <c r="M87" i="10"/>
  <c r="L87" i="10"/>
  <c r="K87" i="10"/>
  <c r="J87" i="10"/>
  <c r="I87" i="10"/>
  <c r="H87" i="10"/>
  <c r="G87" i="10"/>
  <c r="F87" i="10"/>
  <c r="E87" i="10"/>
  <c r="D87" i="10"/>
  <c r="C87" i="10"/>
  <c r="B87" i="10"/>
  <c r="A87" i="10"/>
  <c r="AU86" i="10"/>
  <c r="AT86" i="10"/>
  <c r="AS86" i="10"/>
  <c r="AR86" i="10"/>
  <c r="AQ86" i="10"/>
  <c r="AP86" i="10"/>
  <c r="AO86" i="10"/>
  <c r="AN86" i="10"/>
  <c r="AM86" i="10"/>
  <c r="AL86" i="10"/>
  <c r="AK86" i="10"/>
  <c r="AJ86" i="10"/>
  <c r="AH86" i="10"/>
  <c r="AG86" i="10"/>
  <c r="AF86" i="10"/>
  <c r="AE86" i="10"/>
  <c r="AD86" i="10"/>
  <c r="AC86" i="10"/>
  <c r="AB86" i="10"/>
  <c r="Z86" i="10"/>
  <c r="Y86" i="10"/>
  <c r="X86" i="10"/>
  <c r="W86" i="10"/>
  <c r="V86" i="10"/>
  <c r="U86" i="10"/>
  <c r="T86" i="10"/>
  <c r="S86" i="10"/>
  <c r="R86" i="10"/>
  <c r="Q86" i="10"/>
  <c r="P86" i="10"/>
  <c r="O86" i="10"/>
  <c r="N86" i="10"/>
  <c r="M86" i="10"/>
  <c r="L86" i="10"/>
  <c r="K86" i="10"/>
  <c r="J86" i="10"/>
  <c r="I86" i="10"/>
  <c r="H86" i="10"/>
  <c r="G86" i="10"/>
  <c r="F86" i="10"/>
  <c r="E86" i="10"/>
  <c r="D86" i="10"/>
  <c r="C86" i="10"/>
  <c r="B86" i="10"/>
  <c r="A86" i="10"/>
  <c r="AU85" i="10"/>
  <c r="AT85" i="10"/>
  <c r="AS85" i="10"/>
  <c r="AR85" i="10"/>
  <c r="AQ85" i="10"/>
  <c r="AP85" i="10"/>
  <c r="AO85" i="10"/>
  <c r="AN85" i="10"/>
  <c r="AM85" i="10"/>
  <c r="AL85" i="10"/>
  <c r="AK85" i="10"/>
  <c r="AJ85" i="10"/>
  <c r="AI85" i="10"/>
  <c r="AG85" i="10"/>
  <c r="AF85" i="10"/>
  <c r="AE85" i="10"/>
  <c r="AD85" i="10"/>
  <c r="AC85" i="10"/>
  <c r="AB85" i="10"/>
  <c r="AA85" i="10"/>
  <c r="Y85" i="10"/>
  <c r="X85" i="10"/>
  <c r="W85" i="10"/>
  <c r="V85" i="10"/>
  <c r="U85" i="10"/>
  <c r="T85" i="10"/>
  <c r="S85" i="10"/>
  <c r="R85" i="10"/>
  <c r="Q85" i="10"/>
  <c r="P85" i="10"/>
  <c r="O85" i="10"/>
  <c r="N85" i="10"/>
  <c r="M85" i="10"/>
  <c r="L85" i="10"/>
  <c r="K85" i="10"/>
  <c r="J85" i="10"/>
  <c r="I85" i="10"/>
  <c r="H85" i="10"/>
  <c r="G85" i="10"/>
  <c r="F85" i="10"/>
  <c r="E85" i="10"/>
  <c r="D85" i="10"/>
  <c r="C85" i="10"/>
  <c r="B85" i="10"/>
  <c r="A85" i="10"/>
  <c r="AU84" i="10"/>
  <c r="AT84" i="10"/>
  <c r="AS84" i="10"/>
  <c r="AR84" i="10"/>
  <c r="AQ84" i="10"/>
  <c r="AP84" i="10"/>
  <c r="AN84" i="10"/>
  <c r="AM84" i="10"/>
  <c r="AL84" i="10"/>
  <c r="AK84" i="10"/>
  <c r="AJ84" i="10"/>
  <c r="AI84" i="10"/>
  <c r="AH84" i="10"/>
  <c r="AF84" i="10"/>
  <c r="AE84" i="10"/>
  <c r="AD84" i="10"/>
  <c r="AC84" i="10"/>
  <c r="AB84" i="10"/>
  <c r="AA84" i="10"/>
  <c r="Z84" i="10"/>
  <c r="X84" i="10"/>
  <c r="W84" i="10"/>
  <c r="V84" i="10"/>
  <c r="U84" i="10"/>
  <c r="T84" i="10"/>
  <c r="S84" i="10"/>
  <c r="R84" i="10"/>
  <c r="Q84" i="10"/>
  <c r="P84" i="10"/>
  <c r="O84" i="10"/>
  <c r="N84" i="10"/>
  <c r="M84" i="10"/>
  <c r="L84" i="10"/>
  <c r="K84" i="10"/>
  <c r="J84" i="10"/>
  <c r="I84" i="10"/>
  <c r="H84" i="10"/>
  <c r="G84" i="10"/>
  <c r="F84" i="10"/>
  <c r="E84" i="10"/>
  <c r="D84" i="10"/>
  <c r="C84" i="10"/>
  <c r="B84" i="10"/>
  <c r="A84" i="10"/>
  <c r="AU83" i="10"/>
  <c r="AT83" i="10"/>
  <c r="AS83" i="10"/>
  <c r="AR83" i="10"/>
  <c r="AQ83" i="10"/>
  <c r="AP83" i="10"/>
  <c r="AO83" i="10"/>
  <c r="AM83" i="10"/>
  <c r="AL83" i="10"/>
  <c r="AK83" i="10"/>
  <c r="AJ83" i="10"/>
  <c r="AI83" i="10"/>
  <c r="AH83" i="10"/>
  <c r="AG83" i="10"/>
  <c r="AE83" i="10"/>
  <c r="AD83" i="10"/>
  <c r="AC83" i="10"/>
  <c r="AB83" i="10"/>
  <c r="AA83" i="10"/>
  <c r="Z83" i="10"/>
  <c r="Y83" i="10"/>
  <c r="W83" i="10"/>
  <c r="V83" i="10"/>
  <c r="U83" i="10"/>
  <c r="T83" i="10"/>
  <c r="S83" i="10"/>
  <c r="R83" i="10"/>
  <c r="Q83" i="10"/>
  <c r="P83" i="10"/>
  <c r="O83" i="10"/>
  <c r="N83" i="10"/>
  <c r="M83" i="10"/>
  <c r="L83" i="10"/>
  <c r="K83" i="10"/>
  <c r="J83" i="10"/>
  <c r="I83" i="10"/>
  <c r="H83" i="10"/>
  <c r="G83" i="10"/>
  <c r="F83" i="10"/>
  <c r="E83" i="10"/>
  <c r="D83" i="10"/>
  <c r="C83" i="10"/>
  <c r="B83" i="10"/>
  <c r="A83" i="10"/>
  <c r="AU82" i="10"/>
  <c r="AT82" i="10"/>
  <c r="AS82" i="10"/>
  <c r="AR82" i="10"/>
  <c r="AQ82" i="10"/>
  <c r="AP82" i="10"/>
  <c r="AO82" i="10"/>
  <c r="AN82" i="10"/>
  <c r="AM82" i="10"/>
  <c r="AL82" i="10"/>
  <c r="AK82" i="10"/>
  <c r="AJ82" i="10"/>
  <c r="AI82" i="10"/>
  <c r="AH82" i="10"/>
  <c r="AG82" i="10"/>
  <c r="AF82" i="10"/>
  <c r="AE82" i="10"/>
  <c r="AD82" i="10"/>
  <c r="AC82" i="10"/>
  <c r="AB82" i="10"/>
  <c r="AA82" i="10"/>
  <c r="Z82" i="10"/>
  <c r="Y82" i="10"/>
  <c r="X82" i="10"/>
  <c r="W82" i="10"/>
  <c r="V82" i="10"/>
  <c r="U82" i="10"/>
  <c r="T82" i="10"/>
  <c r="S82" i="10"/>
  <c r="R82" i="10"/>
  <c r="Q82" i="10"/>
  <c r="P82" i="10"/>
  <c r="O82" i="10"/>
  <c r="N82" i="10"/>
  <c r="M82" i="10"/>
  <c r="L82" i="10"/>
  <c r="K82" i="10"/>
  <c r="J82" i="10"/>
  <c r="I82" i="10"/>
  <c r="H82" i="10"/>
  <c r="G82" i="10"/>
  <c r="F82" i="10"/>
  <c r="E82" i="10"/>
  <c r="D82" i="10"/>
  <c r="C82" i="10"/>
  <c r="B82" i="10"/>
  <c r="A82" i="10"/>
  <c r="AU81" i="10"/>
  <c r="AT81" i="10"/>
  <c r="AS81" i="10"/>
  <c r="AR81" i="10"/>
  <c r="AQ81" i="10"/>
  <c r="AP81" i="10"/>
  <c r="AO81" i="10"/>
  <c r="AN81" i="10"/>
  <c r="AM81" i="10"/>
  <c r="AL81" i="10"/>
  <c r="AK81" i="10"/>
  <c r="AJ81" i="10"/>
  <c r="AI81" i="10"/>
  <c r="AH81" i="10"/>
  <c r="AG81" i="10"/>
  <c r="AF81" i="10"/>
  <c r="AE81" i="10"/>
  <c r="AD81" i="10"/>
  <c r="AC81" i="10"/>
  <c r="AB81" i="10"/>
  <c r="AA81" i="10"/>
  <c r="Z81" i="10"/>
  <c r="Y81" i="10"/>
  <c r="X81" i="10"/>
  <c r="W81" i="10"/>
  <c r="V81" i="10"/>
  <c r="U81" i="10"/>
  <c r="T81" i="10"/>
  <c r="S81" i="10"/>
  <c r="R81" i="10"/>
  <c r="Q81" i="10"/>
  <c r="P81" i="10"/>
  <c r="O81" i="10"/>
  <c r="N81" i="10"/>
  <c r="M81" i="10"/>
  <c r="L81" i="10"/>
  <c r="K81" i="10"/>
  <c r="J81" i="10"/>
  <c r="I81" i="10"/>
  <c r="H81" i="10"/>
  <c r="G81" i="10"/>
  <c r="F81" i="10"/>
  <c r="E81" i="10"/>
  <c r="D81" i="10"/>
  <c r="C81" i="10"/>
  <c r="B81" i="10"/>
  <c r="A81" i="10"/>
  <c r="AU80" i="10"/>
  <c r="AT80" i="10"/>
  <c r="AS80" i="10"/>
  <c r="AR80" i="10"/>
  <c r="AQ80" i="10"/>
  <c r="AP80" i="10"/>
  <c r="AO80" i="10"/>
  <c r="AN80" i="10"/>
  <c r="AM80" i="10"/>
  <c r="AL80" i="10"/>
  <c r="AK80" i="10"/>
  <c r="AJ80" i="10"/>
  <c r="AI80" i="10"/>
  <c r="AH80" i="10"/>
  <c r="AG80" i="10"/>
  <c r="AF80" i="10"/>
  <c r="AE80" i="10"/>
  <c r="AD80" i="10"/>
  <c r="AC80" i="10"/>
  <c r="AB80" i="10"/>
  <c r="AA80" i="10"/>
  <c r="Z80" i="10"/>
  <c r="Y80" i="10"/>
  <c r="X80" i="10"/>
  <c r="W80" i="10"/>
  <c r="V80" i="10"/>
  <c r="U80" i="10"/>
  <c r="T80" i="10"/>
  <c r="S80" i="10"/>
  <c r="R80" i="10"/>
  <c r="Q80" i="10"/>
  <c r="P80" i="10"/>
  <c r="O80" i="10"/>
  <c r="N80" i="10"/>
  <c r="M80" i="10"/>
  <c r="L80" i="10"/>
  <c r="K80" i="10"/>
  <c r="J80" i="10"/>
  <c r="I80" i="10"/>
  <c r="H80" i="10"/>
  <c r="G80" i="10"/>
  <c r="F80" i="10"/>
  <c r="E80" i="10"/>
  <c r="D80" i="10"/>
  <c r="C80" i="10"/>
  <c r="B80" i="10"/>
  <c r="A80" i="10"/>
  <c r="AU79" i="10"/>
  <c r="AT79" i="10"/>
  <c r="AS79" i="10"/>
  <c r="AR79" i="10"/>
  <c r="AQ79" i="10"/>
  <c r="AP79" i="10"/>
  <c r="AO79" i="10"/>
  <c r="AN79" i="10"/>
  <c r="AM79" i="10"/>
  <c r="AL79" i="10"/>
  <c r="AK79" i="10"/>
  <c r="AJ79" i="10"/>
  <c r="AI79" i="10"/>
  <c r="AH79" i="10"/>
  <c r="AG79" i="10"/>
  <c r="AF79" i="10"/>
  <c r="AE79" i="10"/>
  <c r="AD79" i="10"/>
  <c r="AC79" i="10"/>
  <c r="AB79" i="10"/>
  <c r="AA79" i="10"/>
  <c r="Z79" i="10"/>
  <c r="Y79" i="10"/>
  <c r="X79" i="10"/>
  <c r="W79" i="10"/>
  <c r="V79" i="10"/>
  <c r="U79" i="10"/>
  <c r="T79" i="10"/>
  <c r="S79" i="10"/>
  <c r="R79" i="10"/>
  <c r="Q79" i="10"/>
  <c r="P79" i="10"/>
  <c r="O79" i="10"/>
  <c r="N79" i="10"/>
  <c r="M79" i="10"/>
  <c r="L79" i="10"/>
  <c r="K79" i="10"/>
  <c r="J79" i="10"/>
  <c r="I79" i="10"/>
  <c r="H79" i="10"/>
  <c r="G79" i="10"/>
  <c r="F79" i="10"/>
  <c r="E79" i="10"/>
  <c r="D79" i="10"/>
  <c r="C79" i="10"/>
  <c r="B79" i="10"/>
  <c r="A79" i="10"/>
  <c r="AU78" i="10"/>
  <c r="AT78" i="10"/>
  <c r="AS78" i="10"/>
  <c r="AR78" i="10"/>
  <c r="AQ78" i="10"/>
  <c r="AP78" i="10"/>
  <c r="AO78" i="10"/>
  <c r="AN78" i="10"/>
  <c r="AM78" i="10"/>
  <c r="AL78" i="10"/>
  <c r="AK78" i="10"/>
  <c r="AJ78" i="10"/>
  <c r="AI78" i="10"/>
  <c r="AH78" i="10"/>
  <c r="AG78" i="10"/>
  <c r="AF78" i="10"/>
  <c r="AE78" i="10"/>
  <c r="AD78" i="10"/>
  <c r="AC78" i="10"/>
  <c r="AB78" i="10"/>
  <c r="AA78" i="10"/>
  <c r="Z78" i="10"/>
  <c r="Y78" i="10"/>
  <c r="X78" i="10"/>
  <c r="W78" i="10"/>
  <c r="V78" i="10"/>
  <c r="U78" i="10"/>
  <c r="T78" i="10"/>
  <c r="S78" i="10"/>
  <c r="R78" i="10"/>
  <c r="Q78" i="10"/>
  <c r="P78" i="10"/>
  <c r="O78" i="10"/>
  <c r="N78" i="10"/>
  <c r="M78" i="10"/>
  <c r="L78" i="10"/>
  <c r="K78" i="10"/>
  <c r="J78" i="10"/>
  <c r="I78" i="10"/>
  <c r="H78" i="10"/>
  <c r="G78" i="10"/>
  <c r="F78" i="10"/>
  <c r="E78" i="10"/>
  <c r="D78" i="10"/>
  <c r="C78" i="10"/>
  <c r="B78" i="10"/>
  <c r="A78" i="10"/>
  <c r="AU77" i="10"/>
  <c r="AT77" i="10"/>
  <c r="AS77" i="10"/>
  <c r="AR77" i="10"/>
  <c r="AQ77" i="10"/>
  <c r="AP77" i="10"/>
  <c r="AO77" i="10"/>
  <c r="AN77" i="10"/>
  <c r="AM77" i="10"/>
  <c r="AL77" i="10"/>
  <c r="AK77" i="10"/>
  <c r="AJ77" i="10"/>
  <c r="AI77" i="10"/>
  <c r="AH77" i="10"/>
  <c r="AG77" i="10"/>
  <c r="AF77" i="10"/>
  <c r="AE77" i="10"/>
  <c r="AD77" i="10"/>
  <c r="AC77" i="10"/>
  <c r="AB77" i="10"/>
  <c r="AA77" i="10"/>
  <c r="Z77" i="10"/>
  <c r="Y77" i="10"/>
  <c r="X77" i="10"/>
  <c r="W77" i="10"/>
  <c r="V77" i="10"/>
  <c r="U77" i="10"/>
  <c r="T77" i="10"/>
  <c r="S77" i="10"/>
  <c r="R77" i="10"/>
  <c r="Q77" i="10"/>
  <c r="P77" i="10"/>
  <c r="O77" i="10"/>
  <c r="N77" i="10"/>
  <c r="M77" i="10"/>
  <c r="L77" i="10"/>
  <c r="K77" i="10"/>
  <c r="J77" i="10"/>
  <c r="I77" i="10"/>
  <c r="H77" i="10"/>
  <c r="G77" i="10"/>
  <c r="F77" i="10"/>
  <c r="E77" i="10"/>
  <c r="D77" i="10"/>
  <c r="C77" i="10"/>
  <c r="B77" i="10"/>
  <c r="A77" i="10"/>
  <c r="AU76" i="10"/>
  <c r="AT76" i="10"/>
  <c r="AS76" i="10"/>
  <c r="AR76" i="10"/>
  <c r="AQ76" i="10"/>
  <c r="AP76" i="10"/>
  <c r="AO76" i="10"/>
  <c r="AN76" i="10"/>
  <c r="AM76" i="10"/>
  <c r="AL76" i="10"/>
  <c r="AK76" i="10"/>
  <c r="AJ76" i="10"/>
  <c r="AI76" i="10"/>
  <c r="AH76" i="10"/>
  <c r="AG76" i="10"/>
  <c r="AF76" i="10"/>
  <c r="AE76" i="10"/>
  <c r="AD76" i="10"/>
  <c r="AC76" i="10"/>
  <c r="AB76" i="10"/>
  <c r="AA76" i="10"/>
  <c r="Z76" i="10"/>
  <c r="Y76" i="10"/>
  <c r="X76" i="10"/>
  <c r="W76" i="10"/>
  <c r="V76" i="10"/>
  <c r="U76" i="10"/>
  <c r="T76" i="10"/>
  <c r="S76" i="10"/>
  <c r="R76" i="10"/>
  <c r="Q76" i="10"/>
  <c r="P76" i="10"/>
  <c r="O76" i="10"/>
  <c r="N76" i="10"/>
  <c r="M76" i="10"/>
  <c r="L76" i="10"/>
  <c r="K76" i="10"/>
  <c r="J76" i="10"/>
  <c r="I76" i="10"/>
  <c r="H76" i="10"/>
  <c r="G76" i="10"/>
  <c r="F76" i="10"/>
  <c r="E76" i="10"/>
  <c r="D76" i="10"/>
  <c r="C76" i="10"/>
  <c r="B76" i="10"/>
  <c r="A76" i="10"/>
  <c r="AU75" i="10"/>
  <c r="AT75" i="10"/>
  <c r="AS75" i="10"/>
  <c r="AR75" i="10"/>
  <c r="AQ75" i="10"/>
  <c r="AP75" i="10"/>
  <c r="AO75" i="10"/>
  <c r="AN75" i="10"/>
  <c r="AM75" i="10"/>
  <c r="AL75" i="10"/>
  <c r="AK75" i="10"/>
  <c r="AJ75" i="10"/>
  <c r="AI75" i="10"/>
  <c r="AH75" i="10"/>
  <c r="AG75" i="10"/>
  <c r="AF75" i="10"/>
  <c r="AE75" i="10"/>
  <c r="AD75" i="10"/>
  <c r="AC75" i="10"/>
  <c r="AB75" i="10"/>
  <c r="AA75" i="10"/>
  <c r="Z75" i="10"/>
  <c r="Y75" i="10"/>
  <c r="X75" i="10"/>
  <c r="W75" i="10"/>
  <c r="V75" i="10"/>
  <c r="U75" i="10"/>
  <c r="T75" i="10"/>
  <c r="S75" i="10"/>
  <c r="R75" i="10"/>
  <c r="Q75" i="10"/>
  <c r="P75" i="10"/>
  <c r="O75" i="10"/>
  <c r="N75" i="10"/>
  <c r="M75" i="10"/>
  <c r="L75" i="10"/>
  <c r="K75" i="10"/>
  <c r="J75" i="10"/>
  <c r="I75" i="10"/>
  <c r="H75" i="10"/>
  <c r="G75" i="10"/>
  <c r="F75" i="10"/>
  <c r="E75" i="10"/>
  <c r="D75" i="10"/>
  <c r="C75" i="10"/>
  <c r="B75" i="10"/>
  <c r="A75" i="10"/>
  <c r="AU74" i="10"/>
  <c r="AT74" i="10"/>
  <c r="AS74" i="10"/>
  <c r="AR74" i="10"/>
  <c r="AQ74" i="10"/>
  <c r="AP74" i="10"/>
  <c r="AO74" i="10"/>
  <c r="AN74" i="10"/>
  <c r="AM74" i="10"/>
  <c r="AL74" i="10"/>
  <c r="AK74" i="10"/>
  <c r="AJ74" i="10"/>
  <c r="AI74" i="10"/>
  <c r="AH74" i="10"/>
  <c r="AG74" i="10"/>
  <c r="AF74" i="10"/>
  <c r="AE74" i="10"/>
  <c r="AD74" i="10"/>
  <c r="AC74" i="10"/>
  <c r="AB74" i="10"/>
  <c r="AA74" i="10"/>
  <c r="Z74" i="10"/>
  <c r="Y74" i="10"/>
  <c r="X74" i="10"/>
  <c r="W74" i="10"/>
  <c r="V74" i="10"/>
  <c r="U74" i="10"/>
  <c r="T74" i="10"/>
  <c r="S74" i="10"/>
  <c r="R74" i="10"/>
  <c r="Q74" i="10"/>
  <c r="P74" i="10"/>
  <c r="O74" i="10"/>
  <c r="N74" i="10"/>
  <c r="M74" i="10"/>
  <c r="L74" i="10"/>
  <c r="K74" i="10"/>
  <c r="J74" i="10"/>
  <c r="I74" i="10"/>
  <c r="H74" i="10"/>
  <c r="G74" i="10"/>
  <c r="F74" i="10"/>
  <c r="E74" i="10"/>
  <c r="D74" i="10"/>
  <c r="C74" i="10"/>
  <c r="B74" i="10"/>
  <c r="A74" i="10"/>
  <c r="AU73" i="10"/>
  <c r="AT73" i="10"/>
  <c r="AS73" i="10"/>
  <c r="AR73" i="10"/>
  <c r="AQ73" i="10"/>
  <c r="AP73" i="10"/>
  <c r="AO73" i="10"/>
  <c r="AN73" i="10"/>
  <c r="AM73" i="10"/>
  <c r="AL73" i="10"/>
  <c r="AK73" i="10"/>
  <c r="AJ73" i="10"/>
  <c r="AI73" i="10"/>
  <c r="AH73" i="10"/>
  <c r="AG73" i="10"/>
  <c r="AF73" i="10"/>
  <c r="AE73" i="10"/>
  <c r="AD73" i="10"/>
  <c r="AC73" i="10"/>
  <c r="AB73" i="10"/>
  <c r="AA73" i="10"/>
  <c r="Z73" i="10"/>
  <c r="Y73" i="10"/>
  <c r="X73" i="10"/>
  <c r="W73" i="10"/>
  <c r="V73" i="10"/>
  <c r="U73" i="10"/>
  <c r="T73" i="10"/>
  <c r="S73" i="10"/>
  <c r="R73" i="10"/>
  <c r="Q73" i="10"/>
  <c r="P73" i="10"/>
  <c r="O73" i="10"/>
  <c r="N73" i="10"/>
  <c r="M73" i="10"/>
  <c r="L73" i="10"/>
  <c r="K73" i="10"/>
  <c r="J73" i="10"/>
  <c r="I73" i="10"/>
  <c r="H73" i="10"/>
  <c r="G73" i="10"/>
  <c r="F73" i="10"/>
  <c r="E73" i="10"/>
  <c r="D73" i="10"/>
  <c r="C73" i="10"/>
  <c r="B73" i="10"/>
  <c r="A73" i="10"/>
  <c r="AU72" i="10"/>
  <c r="AT72" i="10"/>
  <c r="AS72" i="10"/>
  <c r="AR72" i="10"/>
  <c r="AQ72" i="10"/>
  <c r="AP72" i="10"/>
  <c r="AO72" i="10"/>
  <c r="AN72" i="10"/>
  <c r="AM72" i="10"/>
  <c r="AL72" i="10"/>
  <c r="AK72" i="10"/>
  <c r="AJ72" i="10"/>
  <c r="AI72" i="10"/>
  <c r="AH72" i="10"/>
  <c r="AG72" i="10"/>
  <c r="AF72" i="10"/>
  <c r="AE72" i="10"/>
  <c r="AD72" i="10"/>
  <c r="AC72" i="10"/>
  <c r="AB72" i="10"/>
  <c r="AA72" i="10"/>
  <c r="Z72" i="10"/>
  <c r="Y72" i="10"/>
  <c r="X72" i="10"/>
  <c r="W72" i="10"/>
  <c r="V72" i="10"/>
  <c r="U72" i="10"/>
  <c r="T72" i="10"/>
  <c r="S72" i="10"/>
  <c r="R72" i="10"/>
  <c r="Q72" i="10"/>
  <c r="P72" i="10"/>
  <c r="O72" i="10"/>
  <c r="N72" i="10"/>
  <c r="M72" i="10"/>
  <c r="L72" i="10"/>
  <c r="K72" i="10"/>
  <c r="J72" i="10"/>
  <c r="I72" i="10"/>
  <c r="H72" i="10"/>
  <c r="G72" i="10"/>
  <c r="F72" i="10"/>
  <c r="E72" i="10"/>
  <c r="D72" i="10"/>
  <c r="C72" i="10"/>
  <c r="B72" i="10"/>
  <c r="A72" i="10"/>
  <c r="AU71" i="10"/>
  <c r="AT71" i="10"/>
  <c r="AS71" i="10"/>
  <c r="AR71" i="10"/>
  <c r="AQ71" i="10"/>
  <c r="AP71" i="10"/>
  <c r="AO71" i="10"/>
  <c r="AN71" i="10"/>
  <c r="AM71" i="10"/>
  <c r="AL71" i="10"/>
  <c r="AK71" i="10"/>
  <c r="AJ71" i="10"/>
  <c r="AI71" i="10"/>
  <c r="AH71" i="10"/>
  <c r="AG71" i="10"/>
  <c r="AF71" i="10"/>
  <c r="AE71" i="10"/>
  <c r="AD71" i="10"/>
  <c r="AC71" i="10"/>
  <c r="AB71" i="10"/>
  <c r="AA71" i="10"/>
  <c r="Z71" i="10"/>
  <c r="Y71" i="10"/>
  <c r="X71" i="10"/>
  <c r="W71" i="10"/>
  <c r="V71" i="10"/>
  <c r="U71" i="10"/>
  <c r="T71" i="10"/>
  <c r="S71" i="10"/>
  <c r="R71" i="10"/>
  <c r="Q71" i="10"/>
  <c r="P71" i="10"/>
  <c r="O71" i="10"/>
  <c r="N71" i="10"/>
  <c r="M71" i="10"/>
  <c r="L71" i="10"/>
  <c r="K71" i="10"/>
  <c r="J71" i="10"/>
  <c r="I71" i="10"/>
  <c r="H71" i="10"/>
  <c r="G71" i="10"/>
  <c r="F71" i="10"/>
  <c r="E71" i="10"/>
  <c r="D71" i="10"/>
  <c r="C71" i="10"/>
  <c r="B71" i="10"/>
  <c r="A71" i="10"/>
  <c r="AU70" i="10"/>
  <c r="AT70" i="10"/>
  <c r="AS70" i="10"/>
  <c r="AR70" i="10"/>
  <c r="AQ70" i="10"/>
  <c r="AP70" i="10"/>
  <c r="AO70" i="10"/>
  <c r="AN70" i="10"/>
  <c r="AM70" i="10"/>
  <c r="AL70" i="10"/>
  <c r="AK70" i="10"/>
  <c r="AJ70" i="10"/>
  <c r="AI70" i="10"/>
  <c r="AH70" i="10"/>
  <c r="AG70" i="10"/>
  <c r="AF70" i="10"/>
  <c r="AE70" i="10"/>
  <c r="AD70" i="10"/>
  <c r="AC70" i="10"/>
  <c r="AB70" i="10"/>
  <c r="AA70" i="10"/>
  <c r="Z70" i="10"/>
  <c r="Y70" i="10"/>
  <c r="X70" i="10"/>
  <c r="W70" i="10"/>
  <c r="V70" i="10"/>
  <c r="U70" i="10"/>
  <c r="T70" i="10"/>
  <c r="S70" i="10"/>
  <c r="R70" i="10"/>
  <c r="Q70" i="10"/>
  <c r="P70" i="10"/>
  <c r="O70" i="10"/>
  <c r="N70" i="10"/>
  <c r="M70" i="10"/>
  <c r="L70" i="10"/>
  <c r="K70" i="10"/>
  <c r="J70" i="10"/>
  <c r="I70" i="10"/>
  <c r="H70" i="10"/>
  <c r="G70" i="10"/>
  <c r="F70" i="10"/>
  <c r="E70" i="10"/>
  <c r="D70" i="10"/>
  <c r="C70" i="10"/>
  <c r="B70" i="10"/>
  <c r="A70" i="10"/>
  <c r="AU69" i="10"/>
  <c r="AT69" i="10"/>
  <c r="AS69" i="10"/>
  <c r="AR69" i="10"/>
  <c r="AQ69" i="10"/>
  <c r="AP69" i="10"/>
  <c r="AO69" i="10"/>
  <c r="AN69" i="10"/>
  <c r="AM69" i="10"/>
  <c r="AL69" i="10"/>
  <c r="AK69" i="10"/>
  <c r="AJ69" i="10"/>
  <c r="AI69" i="10"/>
  <c r="AH69" i="10"/>
  <c r="AG69" i="10"/>
  <c r="AF69" i="10"/>
  <c r="AE69" i="10"/>
  <c r="AD69" i="10"/>
  <c r="AC69" i="10"/>
  <c r="AB69" i="10"/>
  <c r="AA69" i="10"/>
  <c r="Z69" i="10"/>
  <c r="Y69" i="10"/>
  <c r="X69" i="10"/>
  <c r="W69" i="10"/>
  <c r="V69" i="10"/>
  <c r="U69" i="10"/>
  <c r="T69" i="10"/>
  <c r="S69" i="10"/>
  <c r="R69" i="10"/>
  <c r="Q69" i="10"/>
  <c r="P69" i="10"/>
  <c r="O69" i="10"/>
  <c r="N69" i="10"/>
  <c r="M69" i="10"/>
  <c r="L69" i="10"/>
  <c r="K69" i="10"/>
  <c r="J69" i="10"/>
  <c r="I69" i="10"/>
  <c r="H69" i="10"/>
  <c r="G69" i="10"/>
  <c r="F69" i="10"/>
  <c r="E69" i="10"/>
  <c r="D69" i="10"/>
  <c r="C69" i="10"/>
  <c r="B69" i="10"/>
  <c r="A69" i="10"/>
  <c r="AU68" i="10"/>
  <c r="AT68" i="10"/>
  <c r="AS68" i="10"/>
  <c r="AR68" i="10"/>
  <c r="AQ68" i="10"/>
  <c r="AP68" i="10"/>
  <c r="AO68" i="10"/>
  <c r="AN68" i="10"/>
  <c r="AM68" i="10"/>
  <c r="AL68" i="10"/>
  <c r="AK68" i="10"/>
  <c r="AJ68" i="10"/>
  <c r="AI68" i="10"/>
  <c r="AH68" i="10"/>
  <c r="AG68" i="10"/>
  <c r="AF68" i="10"/>
  <c r="AE68" i="10"/>
  <c r="AD68" i="10"/>
  <c r="AC68" i="10"/>
  <c r="AB68" i="10"/>
  <c r="AA68" i="10"/>
  <c r="Z68" i="10"/>
  <c r="Y68" i="10"/>
  <c r="X68" i="10"/>
  <c r="W68" i="10"/>
  <c r="V68" i="10"/>
  <c r="U68" i="10"/>
  <c r="T68" i="10"/>
  <c r="S68" i="10"/>
  <c r="R68" i="10"/>
  <c r="Q68" i="10"/>
  <c r="P68" i="10"/>
  <c r="O68" i="10"/>
  <c r="N68" i="10"/>
  <c r="M68" i="10"/>
  <c r="L68" i="10"/>
  <c r="K68" i="10"/>
  <c r="J68" i="10"/>
  <c r="I68" i="10"/>
  <c r="H68" i="10"/>
  <c r="G68" i="10"/>
  <c r="F68" i="10"/>
  <c r="E68" i="10"/>
  <c r="D68" i="10"/>
  <c r="C68" i="10"/>
  <c r="B68" i="10"/>
  <c r="A68" i="10"/>
  <c r="AU67" i="10"/>
  <c r="AT67" i="10"/>
  <c r="AS67" i="10"/>
  <c r="AR67" i="10"/>
  <c r="AQ67" i="10"/>
  <c r="AP67" i="10"/>
  <c r="AO67" i="10"/>
  <c r="AN67" i="10"/>
  <c r="AM67" i="10"/>
  <c r="AL67" i="10"/>
  <c r="AK67" i="10"/>
  <c r="AJ67" i="10"/>
  <c r="AI67" i="10"/>
  <c r="AH67" i="10"/>
  <c r="AG67" i="10"/>
  <c r="AF67" i="10"/>
  <c r="AE67" i="10"/>
  <c r="AD67" i="10"/>
  <c r="AC67" i="10"/>
  <c r="AB67" i="10"/>
  <c r="AA67" i="10"/>
  <c r="Z67" i="10"/>
  <c r="Y67" i="10"/>
  <c r="X67" i="10"/>
  <c r="W67" i="10"/>
  <c r="V67" i="10"/>
  <c r="U67" i="10"/>
  <c r="T67" i="10"/>
  <c r="S67" i="10"/>
  <c r="R67" i="10"/>
  <c r="Q67" i="10"/>
  <c r="P67" i="10"/>
  <c r="O67" i="10"/>
  <c r="N67" i="10"/>
  <c r="M67" i="10"/>
  <c r="L67" i="10"/>
  <c r="K67" i="10"/>
  <c r="J67" i="10"/>
  <c r="I67" i="10"/>
  <c r="H67" i="10"/>
  <c r="G67" i="10"/>
  <c r="F67" i="10"/>
  <c r="E67" i="10"/>
  <c r="D67" i="10"/>
  <c r="C67" i="10"/>
  <c r="B67" i="10"/>
  <c r="A67" i="10"/>
  <c r="AU66" i="10"/>
  <c r="AT66" i="10"/>
  <c r="AS66" i="10"/>
  <c r="AR66" i="10"/>
  <c r="AQ66" i="10"/>
  <c r="AP66" i="10"/>
  <c r="AO66" i="10"/>
  <c r="AN66" i="10"/>
  <c r="AM66" i="10"/>
  <c r="AL66" i="10"/>
  <c r="AK66" i="10"/>
  <c r="AJ66" i="10"/>
  <c r="AI66" i="10"/>
  <c r="AH66" i="10"/>
  <c r="AG66" i="10"/>
  <c r="AF66" i="10"/>
  <c r="AE66" i="10"/>
  <c r="AD66" i="10"/>
  <c r="AC66" i="10"/>
  <c r="AB66" i="10"/>
  <c r="AA66" i="10"/>
  <c r="Z66" i="10"/>
  <c r="Y66" i="10"/>
  <c r="X66" i="10"/>
  <c r="W66" i="10"/>
  <c r="V66" i="10"/>
  <c r="U66" i="10"/>
  <c r="T66" i="10"/>
  <c r="S66" i="10"/>
  <c r="R66" i="10"/>
  <c r="Q66" i="10"/>
  <c r="P66" i="10"/>
  <c r="O66" i="10"/>
  <c r="N66" i="10"/>
  <c r="M66" i="10"/>
  <c r="L66" i="10"/>
  <c r="K66" i="10"/>
  <c r="J66" i="10"/>
  <c r="I66" i="10"/>
  <c r="H66" i="10"/>
  <c r="G66" i="10"/>
  <c r="F66" i="10"/>
  <c r="E66" i="10"/>
  <c r="D66" i="10"/>
  <c r="C66" i="10"/>
  <c r="B66" i="10"/>
  <c r="A66" i="10"/>
  <c r="AU65" i="10"/>
  <c r="AT65" i="10"/>
  <c r="AS65" i="10"/>
  <c r="AR65" i="10"/>
  <c r="AQ65" i="10"/>
  <c r="AP65" i="10"/>
  <c r="AO65" i="10"/>
  <c r="AN65" i="10"/>
  <c r="AM65" i="10"/>
  <c r="AL65" i="10"/>
  <c r="AK65" i="10"/>
  <c r="AJ65" i="10"/>
  <c r="AI65" i="10"/>
  <c r="AH65" i="10"/>
  <c r="AG65" i="10"/>
  <c r="AF65" i="10"/>
  <c r="AE65" i="10"/>
  <c r="AD65" i="10"/>
  <c r="AC65" i="10"/>
  <c r="AB65" i="10"/>
  <c r="AA65" i="10"/>
  <c r="Z65" i="10"/>
  <c r="Y65" i="10"/>
  <c r="X65" i="10"/>
  <c r="W65" i="10"/>
  <c r="V65" i="10"/>
  <c r="U65" i="10"/>
  <c r="T65" i="10"/>
  <c r="S65" i="10"/>
  <c r="R65" i="10"/>
  <c r="Q65" i="10"/>
  <c r="P65" i="10"/>
  <c r="O65" i="10"/>
  <c r="N65" i="10"/>
  <c r="M65" i="10"/>
  <c r="L65" i="10"/>
  <c r="K65" i="10"/>
  <c r="J65" i="10"/>
  <c r="I65" i="10"/>
  <c r="H65" i="10"/>
  <c r="G65" i="10"/>
  <c r="F65" i="10"/>
  <c r="E65" i="10"/>
  <c r="D65" i="10"/>
  <c r="C65" i="10"/>
  <c r="B65" i="10"/>
  <c r="A65" i="10"/>
  <c r="AU64" i="10"/>
  <c r="AT64" i="10"/>
  <c r="AS64" i="10"/>
  <c r="AR64" i="10"/>
  <c r="AQ64" i="10"/>
  <c r="AP64" i="10"/>
  <c r="AO64" i="10"/>
  <c r="AN64" i="10"/>
  <c r="AM64" i="10"/>
  <c r="AL64" i="10"/>
  <c r="AK64" i="10"/>
  <c r="AJ64" i="10"/>
  <c r="AI64" i="10"/>
  <c r="AH64" i="10"/>
  <c r="AG64" i="10"/>
  <c r="AF64" i="10"/>
  <c r="AE64" i="10"/>
  <c r="AD64" i="10"/>
  <c r="AC64" i="10"/>
  <c r="AB64" i="10"/>
  <c r="AA64" i="10"/>
  <c r="Z64" i="10"/>
  <c r="Y64" i="10"/>
  <c r="X64" i="10"/>
  <c r="W64" i="10"/>
  <c r="V64" i="10"/>
  <c r="U64" i="10"/>
  <c r="T64" i="10"/>
  <c r="S64" i="10"/>
  <c r="R64" i="10"/>
  <c r="Q64" i="10"/>
  <c r="P64" i="10"/>
  <c r="O64" i="10"/>
  <c r="N64" i="10"/>
  <c r="M64" i="10"/>
  <c r="L64" i="10"/>
  <c r="K64" i="10"/>
  <c r="J64" i="10"/>
  <c r="I64" i="10"/>
  <c r="H64" i="10"/>
  <c r="G64" i="10"/>
  <c r="F64" i="10"/>
  <c r="E64" i="10"/>
  <c r="D64" i="10"/>
  <c r="C64" i="10"/>
  <c r="B64" i="10"/>
  <c r="A64" i="10"/>
  <c r="AU63" i="10"/>
  <c r="AT63" i="10"/>
  <c r="AS63" i="10"/>
  <c r="AR63" i="10"/>
  <c r="AQ63" i="10"/>
  <c r="AP63" i="10"/>
  <c r="AO63" i="10"/>
  <c r="AN63" i="10"/>
  <c r="AM63" i="10"/>
  <c r="AL63" i="10"/>
  <c r="AK63" i="10"/>
  <c r="AJ63" i="10"/>
  <c r="AI63" i="10"/>
  <c r="AH63" i="10"/>
  <c r="AG63" i="10"/>
  <c r="AF63" i="10"/>
  <c r="AE63" i="10"/>
  <c r="AD63" i="10"/>
  <c r="AC63" i="10"/>
  <c r="AB63" i="10"/>
  <c r="AA63" i="10"/>
  <c r="Z63" i="10"/>
  <c r="Y63" i="10"/>
  <c r="X63" i="10"/>
  <c r="W63" i="10"/>
  <c r="V63" i="10"/>
  <c r="U63" i="10"/>
  <c r="T63" i="10"/>
  <c r="S63" i="10"/>
  <c r="R63" i="10"/>
  <c r="Q63" i="10"/>
  <c r="P63" i="10"/>
  <c r="O63" i="10"/>
  <c r="N63" i="10"/>
  <c r="M63" i="10"/>
  <c r="L63" i="10"/>
  <c r="K63" i="10"/>
  <c r="J63" i="10"/>
  <c r="I63" i="10"/>
  <c r="H63" i="10"/>
  <c r="G63" i="10"/>
  <c r="F63" i="10"/>
  <c r="E63" i="10"/>
  <c r="D63" i="10"/>
  <c r="C63" i="10"/>
  <c r="B63" i="10"/>
  <c r="A63" i="10"/>
  <c r="AU62" i="10"/>
  <c r="AT62" i="10"/>
  <c r="AS62" i="10"/>
  <c r="AR62" i="10"/>
  <c r="AQ62" i="10"/>
  <c r="AP62" i="10"/>
  <c r="AO62" i="10"/>
  <c r="AN62" i="10"/>
  <c r="AM62" i="10"/>
  <c r="AL62" i="10"/>
  <c r="AK62" i="10"/>
  <c r="AJ62" i="10"/>
  <c r="AI62" i="10"/>
  <c r="AH62" i="10"/>
  <c r="AG62" i="10"/>
  <c r="AF62" i="10"/>
  <c r="AE62" i="10"/>
  <c r="AD62" i="10"/>
  <c r="AC62" i="10"/>
  <c r="AB62" i="10"/>
  <c r="AA62" i="10"/>
  <c r="Z62" i="10"/>
  <c r="Y62" i="10"/>
  <c r="X62" i="10"/>
  <c r="W62" i="10"/>
  <c r="V62" i="10"/>
  <c r="U62" i="10"/>
  <c r="T62" i="10"/>
  <c r="S62" i="10"/>
  <c r="R62" i="10"/>
  <c r="Q62" i="10"/>
  <c r="P62" i="10"/>
  <c r="O62" i="10"/>
  <c r="N62" i="10"/>
  <c r="M62" i="10"/>
  <c r="L62" i="10"/>
  <c r="K62" i="10"/>
  <c r="J62" i="10"/>
  <c r="I62" i="10"/>
  <c r="H62" i="10"/>
  <c r="G62" i="10"/>
  <c r="F62" i="10"/>
  <c r="E62" i="10"/>
  <c r="D62" i="10"/>
  <c r="C62" i="10"/>
  <c r="B62" i="10"/>
  <c r="A62" i="10"/>
  <c r="AU61" i="10"/>
  <c r="AT61" i="10"/>
  <c r="AS61" i="10"/>
  <c r="AR61" i="10"/>
  <c r="AQ61" i="10"/>
  <c r="AP61" i="10"/>
  <c r="AO61" i="10"/>
  <c r="AN61" i="10"/>
  <c r="AM61" i="10"/>
  <c r="AL61" i="10"/>
  <c r="AK61" i="10"/>
  <c r="AJ61" i="10"/>
  <c r="AI61" i="10"/>
  <c r="AH61" i="10"/>
  <c r="AG61" i="10"/>
  <c r="AF61" i="10"/>
  <c r="AE61" i="10"/>
  <c r="AD61" i="10"/>
  <c r="AC61" i="10"/>
  <c r="AB61" i="10"/>
  <c r="AA61" i="10"/>
  <c r="Z61" i="10"/>
  <c r="Y61" i="10"/>
  <c r="X61" i="10"/>
  <c r="W61" i="10"/>
  <c r="V61" i="10"/>
  <c r="U61" i="10"/>
  <c r="T61" i="10"/>
  <c r="S61" i="10"/>
  <c r="R61" i="10"/>
  <c r="Q61" i="10"/>
  <c r="P61" i="10"/>
  <c r="O61" i="10"/>
  <c r="N61" i="10"/>
  <c r="M61" i="10"/>
  <c r="L61" i="10"/>
  <c r="K61" i="10"/>
  <c r="J61" i="10"/>
  <c r="I61" i="10"/>
  <c r="H61" i="10"/>
  <c r="G61" i="10"/>
  <c r="F61" i="10"/>
  <c r="E61" i="10"/>
  <c r="D61" i="10"/>
  <c r="C61" i="10"/>
  <c r="B61" i="10"/>
  <c r="A61" i="10"/>
  <c r="AU60" i="10"/>
  <c r="AT60" i="10"/>
  <c r="AS60" i="10"/>
  <c r="AR60" i="10"/>
  <c r="AQ60" i="10"/>
  <c r="AP60" i="10"/>
  <c r="AO60" i="10"/>
  <c r="AN60" i="10"/>
  <c r="AM60" i="10"/>
  <c r="AL60" i="10"/>
  <c r="AK60" i="10"/>
  <c r="AJ60" i="10"/>
  <c r="AI60" i="10"/>
  <c r="AH60" i="10"/>
  <c r="AG60" i="10"/>
  <c r="AF60" i="10"/>
  <c r="AE60" i="10"/>
  <c r="AD60" i="10"/>
  <c r="AC60" i="10"/>
  <c r="AB60" i="10"/>
  <c r="AA60" i="10"/>
  <c r="Z60" i="10"/>
  <c r="Y60" i="10"/>
  <c r="X60" i="10"/>
  <c r="W60" i="10"/>
  <c r="V60" i="10"/>
  <c r="U60" i="10"/>
  <c r="T60" i="10"/>
  <c r="S60" i="10"/>
  <c r="R60" i="10"/>
  <c r="Q60" i="10"/>
  <c r="P60" i="10"/>
  <c r="O60" i="10"/>
  <c r="N60" i="10"/>
  <c r="M60" i="10"/>
  <c r="L60" i="10"/>
  <c r="K60" i="10"/>
  <c r="J60" i="10"/>
  <c r="I60" i="10"/>
  <c r="H60" i="10"/>
  <c r="G60" i="10"/>
  <c r="F60" i="10"/>
  <c r="E60" i="10"/>
  <c r="D60" i="10"/>
  <c r="C60" i="10"/>
  <c r="B60" i="10"/>
  <c r="A60" i="10"/>
  <c r="AU59" i="10"/>
  <c r="AT59" i="10"/>
  <c r="AS59" i="10"/>
  <c r="AR59" i="10"/>
  <c r="AQ59" i="10"/>
  <c r="AP59" i="10"/>
  <c r="AO59" i="10"/>
  <c r="AN59" i="10"/>
  <c r="AM59" i="10"/>
  <c r="AL59" i="10"/>
  <c r="AK59" i="10"/>
  <c r="AJ59" i="10"/>
  <c r="AI59" i="10"/>
  <c r="AH59" i="10"/>
  <c r="AG59" i="10"/>
  <c r="AF59" i="10"/>
  <c r="AE59" i="10"/>
  <c r="AD59" i="10"/>
  <c r="AC59" i="10"/>
  <c r="AB59" i="10"/>
  <c r="AA59" i="10"/>
  <c r="Z59" i="10"/>
  <c r="Y59" i="10"/>
  <c r="X59" i="10"/>
  <c r="W59" i="10"/>
  <c r="V59" i="10"/>
  <c r="U59" i="10"/>
  <c r="T59" i="10"/>
  <c r="S59" i="10"/>
  <c r="R59" i="10"/>
  <c r="Q59" i="10"/>
  <c r="P59" i="10"/>
  <c r="O59" i="10"/>
  <c r="N59" i="10"/>
  <c r="M59" i="10"/>
  <c r="L59" i="10"/>
  <c r="K59" i="10"/>
  <c r="J59" i="10"/>
  <c r="I59" i="10"/>
  <c r="H59" i="10"/>
  <c r="G59" i="10"/>
  <c r="F59" i="10"/>
  <c r="E59" i="10"/>
  <c r="D59" i="10"/>
  <c r="C59" i="10"/>
  <c r="B59" i="10"/>
  <c r="A59" i="10"/>
  <c r="AU58" i="10"/>
  <c r="AT58" i="10"/>
  <c r="AS58" i="10"/>
  <c r="AR58" i="10"/>
  <c r="AQ58" i="10"/>
  <c r="AP58" i="10"/>
  <c r="AO58" i="10"/>
  <c r="AN58" i="10"/>
  <c r="AM58" i="10"/>
  <c r="AL58" i="10"/>
  <c r="AK58" i="10"/>
  <c r="AJ58" i="10"/>
  <c r="AI58" i="10"/>
  <c r="AH58" i="10"/>
  <c r="AG58" i="10"/>
  <c r="AF58" i="10"/>
  <c r="AE58" i="10"/>
  <c r="AD58" i="10"/>
  <c r="AC58" i="10"/>
  <c r="AB58" i="10"/>
  <c r="AA58" i="10"/>
  <c r="Z58" i="10"/>
  <c r="Y58" i="10"/>
  <c r="X58" i="10"/>
  <c r="W58" i="10"/>
  <c r="V58" i="10"/>
  <c r="U58" i="10"/>
  <c r="T58" i="10"/>
  <c r="S58" i="10"/>
  <c r="R58" i="10"/>
  <c r="Q58" i="10"/>
  <c r="P58" i="10"/>
  <c r="O58" i="10"/>
  <c r="N58" i="10"/>
  <c r="M58" i="10"/>
  <c r="L58" i="10"/>
  <c r="K58" i="10"/>
  <c r="J58" i="10"/>
  <c r="I58" i="10"/>
  <c r="H58" i="10"/>
  <c r="G58" i="10"/>
  <c r="F58" i="10"/>
  <c r="E58" i="10"/>
  <c r="D58" i="10"/>
  <c r="C58" i="10"/>
  <c r="B58" i="10"/>
  <c r="A58" i="10"/>
  <c r="AU57" i="10"/>
  <c r="AT57" i="10"/>
  <c r="AS57" i="10"/>
  <c r="AR57" i="10"/>
  <c r="AQ57" i="10"/>
  <c r="AP57" i="10"/>
  <c r="AO57" i="10"/>
  <c r="AN57" i="10"/>
  <c r="AM57" i="10"/>
  <c r="AL57" i="10"/>
  <c r="AK57" i="10"/>
  <c r="AJ57" i="10"/>
  <c r="AI57" i="10"/>
  <c r="AH57" i="10"/>
  <c r="AG57" i="10"/>
  <c r="AF57" i="10"/>
  <c r="AE57" i="10"/>
  <c r="AD57" i="10"/>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57" i="10"/>
  <c r="AU56" i="10"/>
  <c r="AT56" i="10"/>
  <c r="AS56" i="10"/>
  <c r="AR56" i="10"/>
  <c r="AQ56" i="10"/>
  <c r="AP56" i="10"/>
  <c r="AO56" i="10"/>
  <c r="AN56" i="10"/>
  <c r="AM56" i="10"/>
  <c r="AL56" i="10"/>
  <c r="AK56" i="10"/>
  <c r="AJ56" i="10"/>
  <c r="AI56" i="10"/>
  <c r="AH56" i="10"/>
  <c r="AG56" i="10"/>
  <c r="AF56" i="10"/>
  <c r="AE56" i="10"/>
  <c r="AD56" i="10"/>
  <c r="AC56" i="10"/>
  <c r="AB56" i="10"/>
  <c r="AA56" i="10"/>
  <c r="Z56" i="10"/>
  <c r="Y56" i="10"/>
  <c r="X56" i="10"/>
  <c r="W56" i="10"/>
  <c r="V56" i="10"/>
  <c r="U56" i="10"/>
  <c r="T56" i="10"/>
  <c r="S56" i="10"/>
  <c r="R56" i="10"/>
  <c r="Q56" i="10"/>
  <c r="P56" i="10"/>
  <c r="O56" i="10"/>
  <c r="N56" i="10"/>
  <c r="M56" i="10"/>
  <c r="L56" i="10"/>
  <c r="K56" i="10"/>
  <c r="J56" i="10"/>
  <c r="I56" i="10"/>
  <c r="H56" i="10"/>
  <c r="G56" i="10"/>
  <c r="F56" i="10"/>
  <c r="E56" i="10"/>
  <c r="D56" i="10"/>
  <c r="C56" i="10"/>
  <c r="B56" i="10"/>
  <c r="A56" i="10"/>
  <c r="AU55" i="10"/>
  <c r="AT55" i="10"/>
  <c r="AS55" i="10"/>
  <c r="AR55" i="10"/>
  <c r="AQ55" i="10"/>
  <c r="AP55" i="10"/>
  <c r="AO55" i="10"/>
  <c r="AN55" i="10"/>
  <c r="AM55" i="10"/>
  <c r="AL55" i="10"/>
  <c r="AK55" i="10"/>
  <c r="AJ55" i="10"/>
  <c r="AI55" i="10"/>
  <c r="AH55" i="10"/>
  <c r="AG55" i="10"/>
  <c r="AF55" i="10"/>
  <c r="AE55" i="10"/>
  <c r="AD55" i="10"/>
  <c r="AC55" i="10"/>
  <c r="AB55" i="10"/>
  <c r="AA55" i="10"/>
  <c r="Z55" i="10"/>
  <c r="Y55" i="10"/>
  <c r="X55" i="10"/>
  <c r="W55" i="10"/>
  <c r="V55" i="10"/>
  <c r="U55" i="10"/>
  <c r="T55" i="10"/>
  <c r="S55" i="10"/>
  <c r="R55" i="10"/>
  <c r="Q55" i="10"/>
  <c r="P55" i="10"/>
  <c r="O55" i="10"/>
  <c r="N55" i="10"/>
  <c r="M55" i="10"/>
  <c r="L55" i="10"/>
  <c r="K55" i="10"/>
  <c r="J55" i="10"/>
  <c r="I55" i="10"/>
  <c r="H55" i="10"/>
  <c r="G55" i="10"/>
  <c r="F55" i="10"/>
  <c r="E55" i="10"/>
  <c r="D55" i="10"/>
  <c r="C55" i="10"/>
  <c r="B55" i="10"/>
  <c r="A55" i="10"/>
  <c r="AU54" i="10"/>
  <c r="AT54" i="10"/>
  <c r="AS54" i="10"/>
  <c r="AR54" i="10"/>
  <c r="AQ54" i="10"/>
  <c r="AP54" i="10"/>
  <c r="AO54" i="10"/>
  <c r="AN54" i="10"/>
  <c r="AM54" i="10"/>
  <c r="AL54" i="10"/>
  <c r="AK54" i="10"/>
  <c r="AJ54" i="10"/>
  <c r="AI54" i="10"/>
  <c r="AH54" i="10"/>
  <c r="AG54" i="10"/>
  <c r="AF54" i="10"/>
  <c r="AE54" i="10"/>
  <c r="AD54" i="10"/>
  <c r="AC54" i="10"/>
  <c r="AB54" i="10"/>
  <c r="AA54" i="10"/>
  <c r="Z54" i="10"/>
  <c r="Y54" i="10"/>
  <c r="X54" i="10"/>
  <c r="W54" i="10"/>
  <c r="V54" i="10"/>
  <c r="U54" i="10"/>
  <c r="T54" i="10"/>
  <c r="S54" i="10"/>
  <c r="R54" i="10"/>
  <c r="Q54" i="10"/>
  <c r="P54" i="10"/>
  <c r="O54" i="10"/>
  <c r="N54" i="10"/>
  <c r="M54" i="10"/>
  <c r="L54" i="10"/>
  <c r="K54" i="10"/>
  <c r="J54" i="10"/>
  <c r="I54" i="10"/>
  <c r="H54" i="10"/>
  <c r="G54" i="10"/>
  <c r="F54" i="10"/>
  <c r="E54" i="10"/>
  <c r="D54" i="10"/>
  <c r="C54" i="10"/>
  <c r="B54" i="10"/>
  <c r="A54" i="10"/>
  <c r="AU53" i="10"/>
  <c r="AT53" i="10"/>
  <c r="AS53" i="10"/>
  <c r="AR53" i="10"/>
  <c r="AQ53" i="10"/>
  <c r="AP53" i="10"/>
  <c r="AO53" i="10"/>
  <c r="AN53" i="10"/>
  <c r="AM53" i="10"/>
  <c r="AL53" i="10"/>
  <c r="AK53" i="10"/>
  <c r="AJ53" i="10"/>
  <c r="AI53" i="10"/>
  <c r="AH53" i="10"/>
  <c r="AG53" i="10"/>
  <c r="AF53" i="10"/>
  <c r="AE53" i="10"/>
  <c r="AD53" i="10"/>
  <c r="AC53" i="10"/>
  <c r="AB53" i="10"/>
  <c r="AA53" i="10"/>
  <c r="Z53" i="10"/>
  <c r="Y53" i="10"/>
  <c r="X53" i="10"/>
  <c r="W53" i="10"/>
  <c r="V53" i="10"/>
  <c r="U53" i="10"/>
  <c r="T53" i="10"/>
  <c r="S53" i="10"/>
  <c r="R53" i="10"/>
  <c r="Q53" i="10"/>
  <c r="P53" i="10"/>
  <c r="O53" i="10"/>
  <c r="N53" i="10"/>
  <c r="M53" i="10"/>
  <c r="L53" i="10"/>
  <c r="K53" i="10"/>
  <c r="J53" i="10"/>
  <c r="I53" i="10"/>
  <c r="H53" i="10"/>
  <c r="G53" i="10"/>
  <c r="F53" i="10"/>
  <c r="E53" i="10"/>
  <c r="D53" i="10"/>
  <c r="C53" i="10"/>
  <c r="B53" i="10"/>
  <c r="A53" i="10"/>
  <c r="AU52" i="10"/>
  <c r="AT52" i="10"/>
  <c r="AS52" i="10"/>
  <c r="AR52" i="10"/>
  <c r="AQ52" i="10"/>
  <c r="AP52" i="10"/>
  <c r="AO52" i="10"/>
  <c r="AN52" i="10"/>
  <c r="AM52" i="10"/>
  <c r="AL52" i="10"/>
  <c r="AK52" i="10"/>
  <c r="AJ52" i="10"/>
  <c r="AI52" i="10"/>
  <c r="AH52" i="10"/>
  <c r="AG52" i="10"/>
  <c r="AF52" i="10"/>
  <c r="AE52" i="10"/>
  <c r="AD52" i="10"/>
  <c r="AC52" i="10"/>
  <c r="AB52" i="10"/>
  <c r="AA52" i="10"/>
  <c r="Z52" i="10"/>
  <c r="Y52" i="10"/>
  <c r="X52" i="10"/>
  <c r="W52" i="10"/>
  <c r="V52" i="10"/>
  <c r="U52" i="10"/>
  <c r="T52" i="10"/>
  <c r="S52" i="10"/>
  <c r="R52" i="10"/>
  <c r="Q52" i="10"/>
  <c r="P52" i="10"/>
  <c r="O52" i="10"/>
  <c r="N52" i="10"/>
  <c r="M52" i="10"/>
  <c r="L52" i="10"/>
  <c r="K52" i="10"/>
  <c r="J52" i="10"/>
  <c r="I52" i="10"/>
  <c r="H52" i="10"/>
  <c r="G52" i="10"/>
  <c r="F52" i="10"/>
  <c r="E52" i="10"/>
  <c r="D52" i="10"/>
  <c r="C52" i="10"/>
  <c r="B52" i="10"/>
  <c r="A52" i="10"/>
  <c r="AU51" i="10"/>
  <c r="AT51" i="10"/>
  <c r="AS51" i="10"/>
  <c r="AR51" i="10"/>
  <c r="AQ51" i="10"/>
  <c r="AP51" i="10"/>
  <c r="AO51" i="10"/>
  <c r="AN51" i="10"/>
  <c r="AM51" i="10"/>
  <c r="AL51" i="10"/>
  <c r="AK51" i="10"/>
  <c r="AJ51" i="10"/>
  <c r="AI51" i="10"/>
  <c r="AH51" i="10"/>
  <c r="AG51" i="10"/>
  <c r="AF51" i="10"/>
  <c r="AE51" i="10"/>
  <c r="AD51" i="10"/>
  <c r="AC51" i="10"/>
  <c r="AB51" i="10"/>
  <c r="AA51" i="10"/>
  <c r="Z51" i="10"/>
  <c r="Y51" i="10"/>
  <c r="X51" i="10"/>
  <c r="W51" i="10"/>
  <c r="V51" i="10"/>
  <c r="U51" i="10"/>
  <c r="T51" i="10"/>
  <c r="S51" i="10"/>
  <c r="R51" i="10"/>
  <c r="Q51" i="10"/>
  <c r="P51" i="10"/>
  <c r="O51" i="10"/>
  <c r="N51" i="10"/>
  <c r="M51" i="10"/>
  <c r="L51" i="10"/>
  <c r="K51" i="10"/>
  <c r="J51" i="10"/>
  <c r="I51" i="10"/>
  <c r="H51" i="10"/>
  <c r="G51" i="10"/>
  <c r="F51" i="10"/>
  <c r="E51" i="10"/>
  <c r="D51" i="10"/>
  <c r="C51" i="10"/>
  <c r="B51" i="10"/>
  <c r="A51" i="10"/>
  <c r="AU50" i="10"/>
  <c r="AT50" i="10"/>
  <c r="AS50" i="10"/>
  <c r="AR50" i="10"/>
  <c r="AQ50" i="10"/>
  <c r="AP50" i="10"/>
  <c r="AO50" i="10"/>
  <c r="AN50" i="10"/>
  <c r="AM50" i="10"/>
  <c r="AL50" i="10"/>
  <c r="AK50" i="10"/>
  <c r="AJ50" i="10"/>
  <c r="AI50" i="10"/>
  <c r="AH50" i="10"/>
  <c r="AG50" i="10"/>
  <c r="AF50" i="10"/>
  <c r="AE50" i="10"/>
  <c r="AD50" i="10"/>
  <c r="AC50" i="10"/>
  <c r="AB50" i="10"/>
  <c r="AA50" i="10"/>
  <c r="Z50" i="10"/>
  <c r="Y50" i="10"/>
  <c r="X50" i="10"/>
  <c r="W50" i="10"/>
  <c r="V50" i="10"/>
  <c r="U50" i="10"/>
  <c r="T50" i="10"/>
  <c r="S50" i="10"/>
  <c r="R50" i="10"/>
  <c r="Q50" i="10"/>
  <c r="P50" i="10"/>
  <c r="O50" i="10"/>
  <c r="N50" i="10"/>
  <c r="M50" i="10"/>
  <c r="L50" i="10"/>
  <c r="K50" i="10"/>
  <c r="J50" i="10"/>
  <c r="I50" i="10"/>
  <c r="H50" i="10"/>
  <c r="G50" i="10"/>
  <c r="F50" i="10"/>
  <c r="E50" i="10"/>
  <c r="D50" i="10"/>
  <c r="C50" i="10"/>
  <c r="B50" i="10"/>
  <c r="A50" i="10"/>
  <c r="AU49" i="10"/>
  <c r="AT49" i="10"/>
  <c r="AS49" i="10"/>
  <c r="AR49" i="10"/>
  <c r="AQ49" i="10"/>
  <c r="AP49" i="10"/>
  <c r="AO49" i="10"/>
  <c r="AN49" i="10"/>
  <c r="AM49" i="10"/>
  <c r="AL49" i="10"/>
  <c r="AK49" i="10"/>
  <c r="AJ49" i="10"/>
  <c r="AI49" i="10"/>
  <c r="AH49" i="10"/>
  <c r="AG49" i="10"/>
  <c r="AF49" i="10"/>
  <c r="AE49" i="10"/>
  <c r="AD49" i="10"/>
  <c r="AC49" i="10"/>
  <c r="AB49" i="10"/>
  <c r="AA49" i="10"/>
  <c r="Z49" i="10"/>
  <c r="Y49" i="10"/>
  <c r="X49" i="10"/>
  <c r="W49" i="10"/>
  <c r="V49" i="10"/>
  <c r="U49" i="10"/>
  <c r="T49" i="10"/>
  <c r="S49" i="10"/>
  <c r="R49" i="10"/>
  <c r="Q49" i="10"/>
  <c r="P49" i="10"/>
  <c r="O49" i="10"/>
  <c r="N49" i="10"/>
  <c r="M49" i="10"/>
  <c r="L49" i="10"/>
  <c r="K49" i="10"/>
  <c r="J49" i="10"/>
  <c r="I49" i="10"/>
  <c r="H49" i="10"/>
  <c r="G49" i="10"/>
  <c r="F49" i="10"/>
  <c r="E49" i="10"/>
  <c r="D49" i="10"/>
  <c r="C49" i="10"/>
  <c r="B49" i="10"/>
  <c r="A49" i="10"/>
  <c r="AU48" i="10"/>
  <c r="AT48" i="10"/>
  <c r="AS48" i="10"/>
  <c r="AR48" i="10"/>
  <c r="AQ48" i="10"/>
  <c r="AP48" i="10"/>
  <c r="AO48" i="10"/>
  <c r="AN48" i="10"/>
  <c r="AM48" i="10"/>
  <c r="AL48" i="10"/>
  <c r="AK48" i="10"/>
  <c r="AJ48" i="10"/>
  <c r="AI48" i="10"/>
  <c r="AH48" i="10"/>
  <c r="AG48" i="10"/>
  <c r="AF48" i="10"/>
  <c r="AE48" i="10"/>
  <c r="AD48" i="10"/>
  <c r="AC48" i="10"/>
  <c r="AB48" i="10"/>
  <c r="AA48" i="10"/>
  <c r="Z48" i="10"/>
  <c r="Y48" i="10"/>
  <c r="X48" i="10"/>
  <c r="W48" i="10"/>
  <c r="V48" i="10"/>
  <c r="U48" i="10"/>
  <c r="T48" i="10"/>
  <c r="S48" i="10"/>
  <c r="R48" i="10"/>
  <c r="Q48" i="10"/>
  <c r="P48" i="10"/>
  <c r="O48" i="10"/>
  <c r="N48" i="10"/>
  <c r="M48" i="10"/>
  <c r="L48" i="10"/>
  <c r="K48" i="10"/>
  <c r="J48" i="10"/>
  <c r="I48" i="10"/>
  <c r="H48" i="10"/>
  <c r="G48" i="10"/>
  <c r="F48" i="10"/>
  <c r="E48" i="10"/>
  <c r="D48" i="10"/>
  <c r="C48" i="10"/>
  <c r="B48" i="10"/>
  <c r="A48" i="10"/>
  <c r="AU47" i="10"/>
  <c r="AT47" i="10"/>
  <c r="AS47" i="10"/>
  <c r="AR47" i="10"/>
  <c r="AQ47" i="10"/>
  <c r="AP47" i="10"/>
  <c r="AO47" i="10"/>
  <c r="AN47" i="10"/>
  <c r="AM47" i="10"/>
  <c r="AL47" i="10"/>
  <c r="AK47" i="10"/>
  <c r="AJ47" i="10"/>
  <c r="AI47" i="10"/>
  <c r="AH47" i="10"/>
  <c r="AG47" i="10"/>
  <c r="AF47" i="10"/>
  <c r="AE47" i="10"/>
  <c r="AD47" i="10"/>
  <c r="AC47" i="10"/>
  <c r="AB47" i="10"/>
  <c r="AA47" i="10"/>
  <c r="Z47" i="10"/>
  <c r="Y47" i="10"/>
  <c r="X47" i="10"/>
  <c r="W47" i="10"/>
  <c r="V47" i="10"/>
  <c r="U47" i="10"/>
  <c r="T47" i="10"/>
  <c r="S47" i="10"/>
  <c r="R47" i="10"/>
  <c r="Q47" i="10"/>
  <c r="P47" i="10"/>
  <c r="O47" i="10"/>
  <c r="N47" i="10"/>
  <c r="M47" i="10"/>
  <c r="L47" i="10"/>
  <c r="K47" i="10"/>
  <c r="J47" i="10"/>
  <c r="I47" i="10"/>
  <c r="H47" i="10"/>
  <c r="G47" i="10"/>
  <c r="F47" i="10"/>
  <c r="E47" i="10"/>
  <c r="D47" i="10"/>
  <c r="C47" i="10"/>
  <c r="B47" i="10"/>
  <c r="A47" i="10"/>
  <c r="AU46" i="10"/>
  <c r="AT46" i="10"/>
  <c r="AS46" i="10"/>
  <c r="AR46" i="10"/>
  <c r="AQ46" i="10"/>
  <c r="AP46" i="10"/>
  <c r="AO46" i="10"/>
  <c r="AN46" i="10"/>
  <c r="AM46" i="10"/>
  <c r="AL46" i="10"/>
  <c r="AK46" i="10"/>
  <c r="AJ46" i="10"/>
  <c r="AI46" i="10"/>
  <c r="AH46" i="10"/>
  <c r="AG46" i="10"/>
  <c r="AF46" i="10"/>
  <c r="AE46" i="10"/>
  <c r="AD46" i="10"/>
  <c r="AC46" i="10"/>
  <c r="AB46" i="10"/>
  <c r="AA46" i="10"/>
  <c r="Z46" i="10"/>
  <c r="Y46" i="10"/>
  <c r="X46" i="10"/>
  <c r="W46" i="10"/>
  <c r="V46" i="10"/>
  <c r="U46" i="10"/>
  <c r="T46" i="10"/>
  <c r="S46" i="10"/>
  <c r="R46" i="10"/>
  <c r="Q46" i="10"/>
  <c r="P46" i="10"/>
  <c r="O46" i="10"/>
  <c r="N46" i="10"/>
  <c r="M46" i="10"/>
  <c r="L46" i="10"/>
  <c r="K46" i="10"/>
  <c r="J46" i="10"/>
  <c r="I46" i="10"/>
  <c r="H46" i="10"/>
  <c r="G46" i="10"/>
  <c r="F46" i="10"/>
  <c r="E46" i="10"/>
  <c r="D46" i="10"/>
  <c r="C46" i="10"/>
  <c r="B46" i="10"/>
  <c r="A46" i="10"/>
  <c r="AU45" i="10"/>
  <c r="AT45" i="10"/>
  <c r="AS45" i="10"/>
  <c r="AR45" i="10"/>
  <c r="AQ45" i="10"/>
  <c r="AP45" i="10"/>
  <c r="AO45" i="10"/>
  <c r="AN45" i="10"/>
  <c r="AM45" i="10"/>
  <c r="AL45" i="10"/>
  <c r="AK45" i="10"/>
  <c r="AJ45" i="10"/>
  <c r="AI45" i="10"/>
  <c r="AH45" i="10"/>
  <c r="AG45" i="10"/>
  <c r="AF45" i="10"/>
  <c r="AE45" i="10"/>
  <c r="AD45" i="10"/>
  <c r="AC45" i="10"/>
  <c r="AB45" i="10"/>
  <c r="AA45" i="10"/>
  <c r="Z45" i="10"/>
  <c r="Y45" i="10"/>
  <c r="X45" i="10"/>
  <c r="W45" i="10"/>
  <c r="V45" i="10"/>
  <c r="U45" i="10"/>
  <c r="T45" i="10"/>
  <c r="S45" i="10"/>
  <c r="R45" i="10"/>
  <c r="Q45" i="10"/>
  <c r="P45" i="10"/>
  <c r="O45" i="10"/>
  <c r="N45" i="10"/>
  <c r="M45" i="10"/>
  <c r="L45" i="10"/>
  <c r="K45" i="10"/>
  <c r="J45" i="10"/>
  <c r="I45" i="10"/>
  <c r="H45" i="10"/>
  <c r="G45" i="10"/>
  <c r="F45" i="10"/>
  <c r="E45" i="10"/>
  <c r="D45" i="10"/>
  <c r="C45" i="10"/>
  <c r="B45" i="10"/>
  <c r="A45" i="10"/>
  <c r="AU44" i="10"/>
  <c r="AT44" i="10"/>
  <c r="AS44" i="10"/>
  <c r="AR44" i="10"/>
  <c r="AQ44" i="10"/>
  <c r="AP44" i="10"/>
  <c r="AO44" i="10"/>
  <c r="AN44" i="10"/>
  <c r="AM44" i="10"/>
  <c r="AL44" i="10"/>
  <c r="AK44" i="10"/>
  <c r="AJ44" i="10"/>
  <c r="AI44" i="10"/>
  <c r="AH44" i="10"/>
  <c r="AG44" i="10"/>
  <c r="AF44" i="10"/>
  <c r="AE44" i="10"/>
  <c r="AD44" i="10"/>
  <c r="AC44" i="10"/>
  <c r="AB44" i="10"/>
  <c r="AA44" i="10"/>
  <c r="Z44" i="10"/>
  <c r="Y44" i="10"/>
  <c r="X44" i="10"/>
  <c r="W44" i="10"/>
  <c r="V44" i="10"/>
  <c r="U44" i="10"/>
  <c r="T44" i="10"/>
  <c r="S44" i="10"/>
  <c r="R44" i="10"/>
  <c r="Q44" i="10"/>
  <c r="P44" i="10"/>
  <c r="O44" i="10"/>
  <c r="N44" i="10"/>
  <c r="M44" i="10"/>
  <c r="L44" i="10"/>
  <c r="K44" i="10"/>
  <c r="J44" i="10"/>
  <c r="I44" i="10"/>
  <c r="H44" i="10"/>
  <c r="G44" i="10"/>
  <c r="F44" i="10"/>
  <c r="E44" i="10"/>
  <c r="D44" i="10"/>
  <c r="C44" i="10"/>
  <c r="B44" i="10"/>
  <c r="A44" i="10"/>
  <c r="AU43" i="10"/>
  <c r="AT43" i="10"/>
  <c r="AS43" i="10"/>
  <c r="AR43" i="10"/>
  <c r="AQ43" i="10"/>
  <c r="AP43" i="10"/>
  <c r="AO43" i="10"/>
  <c r="AN43" i="10"/>
  <c r="AM43" i="10"/>
  <c r="AL43" i="10"/>
  <c r="AK43" i="10"/>
  <c r="AJ43" i="10"/>
  <c r="AI43" i="10"/>
  <c r="AH43" i="10"/>
  <c r="AG43" i="10"/>
  <c r="AF43" i="10"/>
  <c r="AE43" i="10"/>
  <c r="AD43" i="10"/>
  <c r="AC43" i="10"/>
  <c r="AB43" i="10"/>
  <c r="AA43" i="10"/>
  <c r="Z43" i="10"/>
  <c r="Y43" i="10"/>
  <c r="X43" i="10"/>
  <c r="W43" i="10"/>
  <c r="V43" i="10"/>
  <c r="U43" i="10"/>
  <c r="T43" i="10"/>
  <c r="S43" i="10"/>
  <c r="R43" i="10"/>
  <c r="Q43" i="10"/>
  <c r="P43" i="10"/>
  <c r="O43" i="10"/>
  <c r="N43" i="10"/>
  <c r="M43" i="10"/>
  <c r="L43" i="10"/>
  <c r="K43" i="10"/>
  <c r="J43" i="10"/>
  <c r="I43" i="10"/>
  <c r="H43" i="10"/>
  <c r="G43" i="10"/>
  <c r="F43" i="10"/>
  <c r="E43" i="10"/>
  <c r="D43" i="10"/>
  <c r="C43" i="10"/>
  <c r="B43" i="10"/>
  <c r="A43" i="10"/>
  <c r="AU42" i="10"/>
  <c r="AT42" i="10"/>
  <c r="AS42" i="10"/>
  <c r="AR42" i="10"/>
  <c r="AQ42" i="10"/>
  <c r="AP42" i="10"/>
  <c r="AO42" i="10"/>
  <c r="AN42" i="10"/>
  <c r="AM42" i="10"/>
  <c r="AL42" i="10"/>
  <c r="AK42" i="10"/>
  <c r="AJ42" i="10"/>
  <c r="AI42" i="10"/>
  <c r="AH42" i="10"/>
  <c r="AG42" i="10"/>
  <c r="AF42" i="10"/>
  <c r="AE42" i="10"/>
  <c r="AD42" i="10"/>
  <c r="AC42" i="10"/>
  <c r="AB42" i="10"/>
  <c r="AA42" i="10"/>
  <c r="Z42" i="10"/>
  <c r="Y42" i="10"/>
  <c r="X42" i="10"/>
  <c r="W42" i="10"/>
  <c r="V42" i="10"/>
  <c r="U42" i="10"/>
  <c r="T42" i="10"/>
  <c r="S42" i="10"/>
  <c r="R42" i="10"/>
  <c r="Q42" i="10"/>
  <c r="P42" i="10"/>
  <c r="O42" i="10"/>
  <c r="N42" i="10"/>
  <c r="M42" i="10"/>
  <c r="L42" i="10"/>
  <c r="K42" i="10"/>
  <c r="J42" i="10"/>
  <c r="I42" i="10"/>
  <c r="H42" i="10"/>
  <c r="G42" i="10"/>
  <c r="F42" i="10"/>
  <c r="E42" i="10"/>
  <c r="D42" i="10"/>
  <c r="C42" i="10"/>
  <c r="B42" i="10"/>
  <c r="A42" i="10"/>
  <c r="AU41" i="10"/>
  <c r="AT41" i="10"/>
  <c r="AS41" i="10"/>
  <c r="AR41" i="10"/>
  <c r="AQ41" i="10"/>
  <c r="AP41" i="10"/>
  <c r="AO41" i="10"/>
  <c r="AN41" i="10"/>
  <c r="AM41" i="10"/>
  <c r="AL41" i="10"/>
  <c r="AK41" i="10"/>
  <c r="AJ41" i="10"/>
  <c r="AI41" i="10"/>
  <c r="AH41" i="10"/>
  <c r="AG41" i="10"/>
  <c r="AF41" i="10"/>
  <c r="AE41" i="10"/>
  <c r="AD41" i="10"/>
  <c r="AC41" i="10"/>
  <c r="AB41" i="10"/>
  <c r="AA41" i="10"/>
  <c r="Z41" i="10"/>
  <c r="Y41" i="10"/>
  <c r="X41" i="10"/>
  <c r="W41" i="10"/>
  <c r="V41" i="10"/>
  <c r="U41" i="10"/>
  <c r="T41" i="10"/>
  <c r="S41" i="10"/>
  <c r="R41" i="10"/>
  <c r="Q41" i="10"/>
  <c r="P41" i="10"/>
  <c r="O41" i="10"/>
  <c r="N41" i="10"/>
  <c r="M41" i="10"/>
  <c r="L41" i="10"/>
  <c r="K41" i="10"/>
  <c r="J41" i="10"/>
  <c r="I41" i="10"/>
  <c r="H41" i="10"/>
  <c r="G41" i="10"/>
  <c r="F41" i="10"/>
  <c r="E41" i="10"/>
  <c r="D41" i="10"/>
  <c r="C41" i="10"/>
  <c r="B41" i="10"/>
  <c r="A41" i="10"/>
  <c r="AU40" i="10"/>
  <c r="AT40" i="10"/>
  <c r="AS40" i="10"/>
  <c r="AR40" i="10"/>
  <c r="AQ40" i="10"/>
  <c r="AP40" i="10"/>
  <c r="AO40" i="10"/>
  <c r="AN40" i="10"/>
  <c r="AM40" i="10"/>
  <c r="AL40" i="10"/>
  <c r="AK40" i="10"/>
  <c r="AJ40" i="10"/>
  <c r="AI40" i="10"/>
  <c r="AH40" i="10"/>
  <c r="AG40" i="10"/>
  <c r="AF40" i="10"/>
  <c r="AE40" i="10"/>
  <c r="AD40" i="10"/>
  <c r="AC40" i="10"/>
  <c r="AB40" i="10"/>
  <c r="AA40" i="10"/>
  <c r="Z40" i="10"/>
  <c r="Y40" i="10"/>
  <c r="X40" i="10"/>
  <c r="W40" i="10"/>
  <c r="V40" i="10"/>
  <c r="U40" i="10"/>
  <c r="T40" i="10"/>
  <c r="S40" i="10"/>
  <c r="R40" i="10"/>
  <c r="Q40" i="10"/>
  <c r="P40" i="10"/>
  <c r="O40" i="10"/>
  <c r="N40" i="10"/>
  <c r="M40" i="10"/>
  <c r="L40" i="10"/>
  <c r="K40" i="10"/>
  <c r="J40" i="10"/>
  <c r="I40" i="10"/>
  <c r="H40" i="10"/>
  <c r="G40" i="10"/>
  <c r="F40" i="10"/>
  <c r="E40" i="10"/>
  <c r="D40" i="10"/>
  <c r="C40" i="10"/>
  <c r="B40" i="10"/>
  <c r="A40" i="10"/>
  <c r="AU39" i="10"/>
  <c r="AT39" i="10"/>
  <c r="AS39" i="10"/>
  <c r="AR39" i="10"/>
  <c r="AQ39" i="10"/>
  <c r="AP39" i="10"/>
  <c r="AO39" i="10"/>
  <c r="AN39" i="10"/>
  <c r="AM39" i="10"/>
  <c r="AL39" i="10"/>
  <c r="AK39" i="10"/>
  <c r="AJ39" i="10"/>
  <c r="AI39" i="10"/>
  <c r="AH39" i="10"/>
  <c r="AG39" i="10"/>
  <c r="AF39" i="10"/>
  <c r="AE39" i="10"/>
  <c r="AD39" i="10"/>
  <c r="AC39" i="10"/>
  <c r="AB39" i="10"/>
  <c r="AA39" i="10"/>
  <c r="Z39" i="10"/>
  <c r="Y39" i="10"/>
  <c r="X39" i="10"/>
  <c r="W39" i="10"/>
  <c r="V39" i="10"/>
  <c r="U39" i="10"/>
  <c r="T39" i="10"/>
  <c r="S39" i="10"/>
  <c r="R39" i="10"/>
  <c r="Q39" i="10"/>
  <c r="P39" i="10"/>
  <c r="O39" i="10"/>
  <c r="N39" i="10"/>
  <c r="M39" i="10"/>
  <c r="L39" i="10"/>
  <c r="K39" i="10"/>
  <c r="J39" i="10"/>
  <c r="I39" i="10"/>
  <c r="H39" i="10"/>
  <c r="G39" i="10"/>
  <c r="F39" i="10"/>
  <c r="E39" i="10"/>
  <c r="D39" i="10"/>
  <c r="C39" i="10"/>
  <c r="B39" i="10"/>
  <c r="A39" i="10"/>
  <c r="AU38" i="10"/>
  <c r="AT38" i="10"/>
  <c r="AS38" i="10"/>
  <c r="AR38" i="10"/>
  <c r="AQ38" i="10"/>
  <c r="AP38" i="10"/>
  <c r="AO38" i="10"/>
  <c r="AN38" i="10"/>
  <c r="AM38" i="10"/>
  <c r="AL38" i="10"/>
  <c r="AK38" i="10"/>
  <c r="AJ38" i="10"/>
  <c r="AI38" i="10"/>
  <c r="AH38" i="10"/>
  <c r="AG38" i="10"/>
  <c r="AF38" i="10"/>
  <c r="AE38" i="10"/>
  <c r="AD38" i="10"/>
  <c r="AC38" i="10"/>
  <c r="AB38" i="10"/>
  <c r="AA38" i="10"/>
  <c r="Z38" i="10"/>
  <c r="Y38" i="10"/>
  <c r="X38" i="10"/>
  <c r="W38" i="10"/>
  <c r="V38" i="10"/>
  <c r="U38" i="10"/>
  <c r="T38" i="10"/>
  <c r="S38" i="10"/>
  <c r="R38" i="10"/>
  <c r="Q38" i="10"/>
  <c r="P38" i="10"/>
  <c r="O38" i="10"/>
  <c r="N38" i="10"/>
  <c r="M38" i="10"/>
  <c r="L38" i="10"/>
  <c r="K38" i="10"/>
  <c r="J38" i="10"/>
  <c r="I38" i="10"/>
  <c r="H38" i="10"/>
  <c r="G38" i="10"/>
  <c r="F38" i="10"/>
  <c r="E38" i="10"/>
  <c r="D38" i="10"/>
  <c r="C38" i="10"/>
  <c r="B38" i="10"/>
  <c r="A38" i="10"/>
  <c r="AU37" i="10"/>
  <c r="AT37" i="10"/>
  <c r="AS37" i="10"/>
  <c r="AR37" i="10"/>
  <c r="AQ37" i="10"/>
  <c r="AP37" i="10"/>
  <c r="AO37" i="10"/>
  <c r="AN37" i="10"/>
  <c r="AM37" i="10"/>
  <c r="AL37" i="10"/>
  <c r="AK37" i="10"/>
  <c r="AJ37" i="10"/>
  <c r="AI37" i="10"/>
  <c r="AH37" i="10"/>
  <c r="AG37" i="10"/>
  <c r="AF37" i="10"/>
  <c r="AE37" i="10"/>
  <c r="AD37" i="10"/>
  <c r="AC37" i="10"/>
  <c r="AB37" i="10"/>
  <c r="AA37" i="10"/>
  <c r="Z37" i="10"/>
  <c r="Y37" i="10"/>
  <c r="X37" i="10"/>
  <c r="W37" i="10"/>
  <c r="V37" i="10"/>
  <c r="U37" i="10"/>
  <c r="T37" i="10"/>
  <c r="S37" i="10"/>
  <c r="R37" i="10"/>
  <c r="Q37" i="10"/>
  <c r="P37" i="10"/>
  <c r="O37" i="10"/>
  <c r="N37" i="10"/>
  <c r="M37" i="10"/>
  <c r="L37" i="10"/>
  <c r="K37" i="10"/>
  <c r="J37" i="10"/>
  <c r="I37" i="10"/>
  <c r="H37" i="10"/>
  <c r="G37" i="10"/>
  <c r="F37" i="10"/>
  <c r="E37" i="10"/>
  <c r="D37" i="10"/>
  <c r="C37" i="10"/>
  <c r="B37" i="10"/>
  <c r="A37" i="10"/>
  <c r="AU36" i="10"/>
  <c r="AT36" i="10"/>
  <c r="AS36" i="10"/>
  <c r="AR36" i="10"/>
  <c r="AQ36" i="10"/>
  <c r="AP36" i="10"/>
  <c r="AO36" i="10"/>
  <c r="AN36" i="10"/>
  <c r="AM36" i="10"/>
  <c r="AL36" i="10"/>
  <c r="AK36" i="10"/>
  <c r="AJ36" i="10"/>
  <c r="AI36" i="10"/>
  <c r="AH36" i="10"/>
  <c r="AG36" i="10"/>
  <c r="AF36" i="10"/>
  <c r="AE36" i="10"/>
  <c r="AD36" i="10"/>
  <c r="AC36" i="10"/>
  <c r="AB36" i="10"/>
  <c r="AA36" i="10"/>
  <c r="Z36" i="10"/>
  <c r="Y36" i="10"/>
  <c r="X36" i="10"/>
  <c r="W36" i="10"/>
  <c r="V36" i="10"/>
  <c r="U36" i="10"/>
  <c r="T36" i="10"/>
  <c r="S36" i="10"/>
  <c r="R36" i="10"/>
  <c r="Q36" i="10"/>
  <c r="P36" i="10"/>
  <c r="O36" i="10"/>
  <c r="N36" i="10"/>
  <c r="M36" i="10"/>
  <c r="L36" i="10"/>
  <c r="K36" i="10"/>
  <c r="J36" i="10"/>
  <c r="I36" i="10"/>
  <c r="H36" i="10"/>
  <c r="G36" i="10"/>
  <c r="F36" i="10"/>
  <c r="E36" i="10"/>
  <c r="D36" i="10"/>
  <c r="C36" i="10"/>
  <c r="B36" i="10"/>
  <c r="A36" i="10"/>
  <c r="AU35" i="10"/>
  <c r="AT35" i="10"/>
  <c r="AS35" i="10"/>
  <c r="AR35" i="10"/>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G35" i="10"/>
  <c r="F35" i="10"/>
  <c r="E35" i="10"/>
  <c r="D35" i="10"/>
  <c r="C35" i="10"/>
  <c r="B35" i="10"/>
  <c r="A35" i="10"/>
  <c r="AU34" i="10"/>
  <c r="AT34" i="10"/>
  <c r="AS34" i="10"/>
  <c r="AR34" i="10"/>
  <c r="AQ34" i="10"/>
  <c r="AP34" i="10"/>
  <c r="AO34" i="10"/>
  <c r="AN34" i="10"/>
  <c r="AM34" i="10"/>
  <c r="AL34" i="10"/>
  <c r="AK34" i="10"/>
  <c r="AJ34" i="10"/>
  <c r="AI34" i="10"/>
  <c r="AH34" i="10"/>
  <c r="AG34" i="10"/>
  <c r="AF34" i="10"/>
  <c r="AE34" i="10"/>
  <c r="AD34" i="10"/>
  <c r="AC34" i="10"/>
  <c r="AB34" i="10"/>
  <c r="AA34" i="10"/>
  <c r="Z34" i="10"/>
  <c r="Y34" i="10"/>
  <c r="X34" i="10"/>
  <c r="W34" i="10"/>
  <c r="V34" i="10"/>
  <c r="U34" i="10"/>
  <c r="T34" i="10"/>
  <c r="S34" i="10"/>
  <c r="R34" i="10"/>
  <c r="Q34" i="10"/>
  <c r="P34" i="10"/>
  <c r="O34" i="10"/>
  <c r="N34" i="10"/>
  <c r="M34" i="10"/>
  <c r="L34" i="10"/>
  <c r="K34" i="10"/>
  <c r="J34" i="10"/>
  <c r="I34" i="10"/>
  <c r="H34" i="10"/>
  <c r="G34" i="10"/>
  <c r="F34" i="10"/>
  <c r="E34" i="10"/>
  <c r="D34" i="10"/>
  <c r="C34" i="10"/>
  <c r="B34" i="10"/>
  <c r="A34" i="10"/>
  <c r="AU33" i="10"/>
  <c r="AT33" i="10"/>
  <c r="AS33" i="10"/>
  <c r="AR33" i="10"/>
  <c r="AQ33" i="10"/>
  <c r="AP33" i="10"/>
  <c r="AO33" i="10"/>
  <c r="AN33" i="10"/>
  <c r="AM33" i="10"/>
  <c r="AL33" i="10"/>
  <c r="AK33" i="10"/>
  <c r="AJ33" i="10"/>
  <c r="AI33" i="10"/>
  <c r="AH33" i="10"/>
  <c r="AG33" i="10"/>
  <c r="AF33" i="10"/>
  <c r="AE33" i="10"/>
  <c r="AD33" i="10"/>
  <c r="AC33" i="10"/>
  <c r="AB33" i="10"/>
  <c r="AA33" i="10"/>
  <c r="Z33" i="10"/>
  <c r="Y33" i="10"/>
  <c r="X33" i="10"/>
  <c r="W33" i="10"/>
  <c r="V33" i="10"/>
  <c r="U33" i="10"/>
  <c r="T33" i="10"/>
  <c r="S33" i="10"/>
  <c r="R33" i="10"/>
  <c r="Q33" i="10"/>
  <c r="P33" i="10"/>
  <c r="O33" i="10"/>
  <c r="N33" i="10"/>
  <c r="M33" i="10"/>
  <c r="L33" i="10"/>
  <c r="K33" i="10"/>
  <c r="J33" i="10"/>
  <c r="I33" i="10"/>
  <c r="H33" i="10"/>
  <c r="G33" i="10"/>
  <c r="F33" i="10"/>
  <c r="E33" i="10"/>
  <c r="D33" i="10"/>
  <c r="C33" i="10"/>
  <c r="B33" i="10"/>
  <c r="A33" i="10"/>
  <c r="AU32" i="10"/>
  <c r="AT32" i="10"/>
  <c r="AS32" i="10"/>
  <c r="AR32" i="10"/>
  <c r="AQ32" i="10"/>
  <c r="AP32" i="10"/>
  <c r="AO32" i="10"/>
  <c r="AN32" i="10"/>
  <c r="AM32" i="10"/>
  <c r="AL32" i="10"/>
  <c r="AK32" i="10"/>
  <c r="AJ32" i="10"/>
  <c r="AI32" i="10"/>
  <c r="AH32" i="10"/>
  <c r="AG32" i="10"/>
  <c r="AF32" i="10"/>
  <c r="AE32" i="10"/>
  <c r="AD32" i="10"/>
  <c r="AC32" i="10"/>
  <c r="AB32" i="10"/>
  <c r="AA32" i="10"/>
  <c r="Z32" i="10"/>
  <c r="Y32" i="10"/>
  <c r="X32" i="10"/>
  <c r="W32" i="10"/>
  <c r="V32" i="10"/>
  <c r="U32" i="10"/>
  <c r="T32" i="10"/>
  <c r="S32" i="10"/>
  <c r="R32" i="10"/>
  <c r="Q32" i="10"/>
  <c r="P32" i="10"/>
  <c r="O32" i="10"/>
  <c r="N32" i="10"/>
  <c r="M32" i="10"/>
  <c r="L32" i="10"/>
  <c r="K32" i="10"/>
  <c r="J32" i="10"/>
  <c r="I32" i="10"/>
  <c r="H32" i="10"/>
  <c r="G32" i="10"/>
  <c r="F32" i="10"/>
  <c r="E32" i="10"/>
  <c r="D32" i="10"/>
  <c r="C32" i="10"/>
  <c r="B32" i="10"/>
  <c r="A32" i="10"/>
  <c r="AU31" i="10"/>
  <c r="AT31" i="10"/>
  <c r="AS31" i="10"/>
  <c r="AR31" i="10"/>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G31" i="10"/>
  <c r="F31" i="10"/>
  <c r="E31" i="10"/>
  <c r="D31" i="10"/>
  <c r="C31" i="10"/>
  <c r="B31" i="10"/>
  <c r="A31" i="10"/>
  <c r="AU30" i="10"/>
  <c r="AT30" i="10"/>
  <c r="AS30" i="10"/>
  <c r="AR30" i="10"/>
  <c r="AQ30" i="10"/>
  <c r="AP30" i="10"/>
  <c r="AO30" i="10"/>
  <c r="AN30" i="10"/>
  <c r="AM30" i="10"/>
  <c r="AL30" i="10"/>
  <c r="AK30" i="10"/>
  <c r="AJ30" i="10"/>
  <c r="AI30" i="10"/>
  <c r="AH30" i="10"/>
  <c r="AG30" i="10"/>
  <c r="AF30" i="10"/>
  <c r="AE30" i="10"/>
  <c r="AD30" i="10"/>
  <c r="AC30" i="10"/>
  <c r="AB30" i="10"/>
  <c r="AA30" i="10"/>
  <c r="Z30" i="10"/>
  <c r="Y30" i="10"/>
  <c r="X30" i="10"/>
  <c r="W30" i="10"/>
  <c r="V30" i="10"/>
  <c r="U30" i="10"/>
  <c r="T30" i="10"/>
  <c r="S30" i="10"/>
  <c r="R30" i="10"/>
  <c r="Q30" i="10"/>
  <c r="P30" i="10"/>
  <c r="O30" i="10"/>
  <c r="N30" i="10"/>
  <c r="M30" i="10"/>
  <c r="L30" i="10"/>
  <c r="K30" i="10"/>
  <c r="J30" i="10"/>
  <c r="I30" i="10"/>
  <c r="H30" i="10"/>
  <c r="G30" i="10"/>
  <c r="F30" i="10"/>
  <c r="E30" i="10"/>
  <c r="D30" i="10"/>
  <c r="C30" i="10"/>
  <c r="B30" i="10"/>
  <c r="A30" i="10"/>
  <c r="AU29" i="10"/>
  <c r="AT29" i="10"/>
  <c r="AS29" i="10"/>
  <c r="AR29" i="10"/>
  <c r="AQ29" i="10"/>
  <c r="AP29" i="10"/>
  <c r="AO29" i="10"/>
  <c r="AN29" i="10"/>
  <c r="AM29" i="10"/>
  <c r="AL29" i="10"/>
  <c r="AK29" i="10"/>
  <c r="AJ29" i="10"/>
  <c r="AI29" i="10"/>
  <c r="AH29" i="10"/>
  <c r="AG29" i="10"/>
  <c r="AF29" i="10"/>
  <c r="AE29" i="10"/>
  <c r="AD29" i="10"/>
  <c r="AC29" i="10"/>
  <c r="AB29" i="10"/>
  <c r="AA29" i="10"/>
  <c r="Z29" i="10"/>
  <c r="Y29" i="10"/>
  <c r="X29" i="10"/>
  <c r="W29" i="10"/>
  <c r="V29" i="10"/>
  <c r="U29" i="10"/>
  <c r="T29" i="10"/>
  <c r="S29" i="10"/>
  <c r="R29" i="10"/>
  <c r="Q29" i="10"/>
  <c r="P29" i="10"/>
  <c r="O29" i="10"/>
  <c r="N29" i="10"/>
  <c r="M29" i="10"/>
  <c r="L29" i="10"/>
  <c r="K29" i="10"/>
  <c r="J29" i="10"/>
  <c r="I29" i="10"/>
  <c r="H29" i="10"/>
  <c r="G29" i="10"/>
  <c r="F29" i="10"/>
  <c r="E29" i="10"/>
  <c r="D29" i="10"/>
  <c r="C29" i="10"/>
  <c r="B29" i="10"/>
  <c r="A29" i="10"/>
  <c r="AU28" i="10"/>
  <c r="AT28" i="10"/>
  <c r="AS28" i="10"/>
  <c r="AR28" i="10"/>
  <c r="AQ28" i="10"/>
  <c r="AP28" i="10"/>
  <c r="AO28" i="10"/>
  <c r="AN28" i="10"/>
  <c r="AM28" i="10"/>
  <c r="AL28" i="10"/>
  <c r="AK28" i="10"/>
  <c r="AJ28" i="10"/>
  <c r="AI28" i="10"/>
  <c r="AH28" i="10"/>
  <c r="AG28" i="10"/>
  <c r="AF28" i="10"/>
  <c r="AE28" i="10"/>
  <c r="AD28" i="10"/>
  <c r="AC28" i="10"/>
  <c r="AB28" i="10"/>
  <c r="AA28" i="10"/>
  <c r="Z28" i="10"/>
  <c r="Y28" i="10"/>
  <c r="X28" i="10"/>
  <c r="W28" i="10"/>
  <c r="V28" i="10"/>
  <c r="U28" i="10"/>
  <c r="T28" i="10"/>
  <c r="S28" i="10"/>
  <c r="R28" i="10"/>
  <c r="Q28" i="10"/>
  <c r="P28" i="10"/>
  <c r="O28" i="10"/>
  <c r="N28" i="10"/>
  <c r="M28" i="10"/>
  <c r="L28" i="10"/>
  <c r="K28" i="10"/>
  <c r="J28" i="10"/>
  <c r="I28" i="10"/>
  <c r="H28" i="10"/>
  <c r="G28" i="10"/>
  <c r="F28" i="10"/>
  <c r="E28" i="10"/>
  <c r="D28" i="10"/>
  <c r="C28" i="10"/>
  <c r="B28" i="10"/>
  <c r="A28" i="10"/>
  <c r="AU27" i="10"/>
  <c r="AT27" i="10"/>
  <c r="AS27" i="10"/>
  <c r="AR27" i="10"/>
  <c r="AQ27" i="10"/>
  <c r="AP27" i="10"/>
  <c r="AO27" i="10"/>
  <c r="AN27" i="10"/>
  <c r="AM27" i="10"/>
  <c r="AL27" i="10"/>
  <c r="AK27" i="10"/>
  <c r="AJ27" i="10"/>
  <c r="AI27" i="10"/>
  <c r="AH27" i="10"/>
  <c r="AG27" i="10"/>
  <c r="AF27" i="10"/>
  <c r="AE27" i="10"/>
  <c r="AD27" i="10"/>
  <c r="AC27" i="10"/>
  <c r="AB27" i="10"/>
  <c r="AA27" i="10"/>
  <c r="Z27" i="10"/>
  <c r="Y27" i="10"/>
  <c r="X27" i="10"/>
  <c r="W27" i="10"/>
  <c r="V27" i="10"/>
  <c r="U27" i="10"/>
  <c r="T27" i="10"/>
  <c r="S27" i="10"/>
  <c r="R27" i="10"/>
  <c r="Q27" i="10"/>
  <c r="P27" i="10"/>
  <c r="O27" i="10"/>
  <c r="N27" i="10"/>
  <c r="M27" i="10"/>
  <c r="L27" i="10"/>
  <c r="K27" i="10"/>
  <c r="J27" i="10"/>
  <c r="I27" i="10"/>
  <c r="H27" i="10"/>
  <c r="G27" i="10"/>
  <c r="F27" i="10"/>
  <c r="E27" i="10"/>
  <c r="D27" i="10"/>
  <c r="C27" i="10"/>
  <c r="B27" i="10"/>
  <c r="A27" i="10"/>
  <c r="AU26" i="10"/>
  <c r="AT26" i="10"/>
  <c r="AS26" i="10"/>
  <c r="AR26" i="10"/>
  <c r="AQ26" i="10"/>
  <c r="AP26" i="10"/>
  <c r="AO26" i="10"/>
  <c r="AN26" i="10"/>
  <c r="AM26" i="10"/>
  <c r="AL26" i="10"/>
  <c r="AK26" i="10"/>
  <c r="AJ26" i="10"/>
  <c r="AI26" i="10"/>
  <c r="AH26" i="10"/>
  <c r="AG26" i="10"/>
  <c r="AF26" i="10"/>
  <c r="AE26" i="10"/>
  <c r="AD26" i="10"/>
  <c r="AC26" i="10"/>
  <c r="AB26" i="10"/>
  <c r="AA26" i="10"/>
  <c r="Z26" i="10"/>
  <c r="Y26" i="10"/>
  <c r="X26" i="10"/>
  <c r="W26" i="10"/>
  <c r="V26" i="10"/>
  <c r="U26" i="10"/>
  <c r="T26" i="10"/>
  <c r="S26" i="10"/>
  <c r="R26" i="10"/>
  <c r="Q26" i="10"/>
  <c r="P26" i="10"/>
  <c r="O26" i="10"/>
  <c r="N26" i="10"/>
  <c r="M26" i="10"/>
  <c r="L26" i="10"/>
  <c r="K26" i="10"/>
  <c r="J26" i="10"/>
  <c r="I26" i="10"/>
  <c r="H26" i="10"/>
  <c r="G26" i="10"/>
  <c r="F26" i="10"/>
  <c r="E26" i="10"/>
  <c r="D26" i="10"/>
  <c r="C26" i="10"/>
  <c r="B26" i="10"/>
  <c r="A26" i="10"/>
  <c r="AU25" i="10"/>
  <c r="AT25" i="10"/>
  <c r="AS25" i="10"/>
  <c r="AR25" i="10"/>
  <c r="AQ25" i="10"/>
  <c r="AP25" i="10"/>
  <c r="AO25" i="10"/>
  <c r="AN25" i="10"/>
  <c r="AM25" i="10"/>
  <c r="AL25" i="10"/>
  <c r="AK25" i="10"/>
  <c r="AJ25" i="10"/>
  <c r="AI25" i="10"/>
  <c r="AH25" i="10"/>
  <c r="AG25" i="10"/>
  <c r="AF25" i="10"/>
  <c r="AE25" i="10"/>
  <c r="AD25" i="10"/>
  <c r="AC25" i="10"/>
  <c r="AB25" i="10"/>
  <c r="AA25" i="10"/>
  <c r="Z25" i="10"/>
  <c r="Y25" i="10"/>
  <c r="X25" i="10"/>
  <c r="W25" i="10"/>
  <c r="V25" i="10"/>
  <c r="U25" i="10"/>
  <c r="T25" i="10"/>
  <c r="S25" i="10"/>
  <c r="R25" i="10"/>
  <c r="Q25" i="10"/>
  <c r="P25" i="10"/>
  <c r="O25" i="10"/>
  <c r="N25" i="10"/>
  <c r="M25" i="10"/>
  <c r="L25" i="10"/>
  <c r="K25" i="10"/>
  <c r="J25" i="10"/>
  <c r="I25" i="10"/>
  <c r="H25" i="10"/>
  <c r="G25" i="10"/>
  <c r="F25" i="10"/>
  <c r="E25" i="10"/>
  <c r="D25" i="10"/>
  <c r="C25" i="10"/>
  <c r="B25" i="10"/>
  <c r="A25" i="10"/>
  <c r="AU24" i="10"/>
  <c r="AT24" i="10"/>
  <c r="AS24" i="10"/>
  <c r="AR24" i="10"/>
  <c r="AQ24" i="10"/>
  <c r="AP24" i="10"/>
  <c r="AO2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G24" i="10"/>
  <c r="F24" i="10"/>
  <c r="E24" i="10"/>
  <c r="D24" i="10"/>
  <c r="C24" i="10"/>
  <c r="B24" i="10"/>
  <c r="A24" i="10"/>
  <c r="AU23" i="10"/>
  <c r="AT23" i="10"/>
  <c r="AS23" i="10"/>
  <c r="AR23" i="10"/>
  <c r="AQ23" i="10"/>
  <c r="AP23" i="10"/>
  <c r="AO23" i="10"/>
  <c r="AN23" i="10"/>
  <c r="AM23" i="10"/>
  <c r="AL23" i="10"/>
  <c r="AK23" i="10"/>
  <c r="AJ23" i="10"/>
  <c r="AI23" i="10"/>
  <c r="AH23" i="10"/>
  <c r="AG23" i="10"/>
  <c r="AF23" i="10"/>
  <c r="AE23" i="10"/>
  <c r="AD23" i="10"/>
  <c r="AC23" i="10"/>
  <c r="AB23" i="10"/>
  <c r="AA23" i="10"/>
  <c r="Z23" i="10"/>
  <c r="Y23" i="10"/>
  <c r="X23" i="10"/>
  <c r="W23" i="10"/>
  <c r="V23" i="10"/>
  <c r="U23" i="10"/>
  <c r="T23" i="10"/>
  <c r="S23" i="10"/>
  <c r="R23" i="10"/>
  <c r="Q23" i="10"/>
  <c r="P23" i="10"/>
  <c r="O23" i="10"/>
  <c r="N23" i="10"/>
  <c r="M23" i="10"/>
  <c r="L23" i="10"/>
  <c r="K23" i="10"/>
  <c r="J23" i="10"/>
  <c r="I23" i="10"/>
  <c r="H23" i="10"/>
  <c r="G23" i="10"/>
  <c r="F23" i="10"/>
  <c r="E23" i="10"/>
  <c r="D23" i="10"/>
  <c r="C23" i="10"/>
  <c r="B23" i="10"/>
  <c r="A23" i="10"/>
  <c r="AU22" i="10"/>
  <c r="AT22" i="10"/>
  <c r="AS22" i="10"/>
  <c r="AR22" i="10"/>
  <c r="AQ22" i="10"/>
  <c r="AP22" i="10"/>
  <c r="AO22" i="10"/>
  <c r="AN22" i="10"/>
  <c r="AM22" i="10"/>
  <c r="AL22" i="10"/>
  <c r="AK22" i="10"/>
  <c r="AJ22" i="10"/>
  <c r="AI22" i="10"/>
  <c r="AH22" i="10"/>
  <c r="AG22" i="10"/>
  <c r="AF22" i="1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A22" i="10"/>
  <c r="AU21" i="10"/>
  <c r="AT21" i="10"/>
  <c r="AS21" i="10"/>
  <c r="AR21" i="10"/>
  <c r="AQ21" i="10"/>
  <c r="AP21" i="10"/>
  <c r="AO21" i="10"/>
  <c r="AN21" i="10"/>
  <c r="AM21" i="10"/>
  <c r="AL21" i="10"/>
  <c r="AK21" i="10"/>
  <c r="AJ21" i="10"/>
  <c r="AI21" i="10"/>
  <c r="AH21" i="10"/>
  <c r="AG21" i="10"/>
  <c r="AF21" i="10"/>
  <c r="AE21" i="10"/>
  <c r="AD21" i="10"/>
  <c r="AC21"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B21" i="10"/>
  <c r="A21" i="10"/>
  <c r="AU20" i="10"/>
  <c r="AT20" i="10"/>
  <c r="AS20" i="10"/>
  <c r="AR20" i="10"/>
  <c r="AQ20" i="10"/>
  <c r="AP20" i="10"/>
  <c r="AO20" i="10"/>
  <c r="AN20" i="10"/>
  <c r="AM20" i="10"/>
  <c r="AL20" i="10"/>
  <c r="AK20" i="10"/>
  <c r="AJ20" i="10"/>
  <c r="AI20" i="10"/>
  <c r="AH20" i="10"/>
  <c r="AG20" i="10"/>
  <c r="AF20" i="10"/>
  <c r="AE20" i="10"/>
  <c r="AD20" i="10"/>
  <c r="AC20" i="10"/>
  <c r="AB20" i="10"/>
  <c r="AA20" i="10"/>
  <c r="Z20" i="10"/>
  <c r="Y20" i="10"/>
  <c r="X20" i="10"/>
  <c r="W20" i="10"/>
  <c r="V20" i="10"/>
  <c r="U20" i="10"/>
  <c r="T20" i="10"/>
  <c r="S20" i="10"/>
  <c r="R20" i="10"/>
  <c r="Q20" i="10"/>
  <c r="P20" i="10"/>
  <c r="O20" i="10"/>
  <c r="N20" i="10"/>
  <c r="M20" i="10"/>
  <c r="L20" i="10"/>
  <c r="K20" i="10"/>
  <c r="J20" i="10"/>
  <c r="I20" i="10"/>
  <c r="H20" i="10"/>
  <c r="G20" i="10"/>
  <c r="F20" i="10"/>
  <c r="E20" i="10"/>
  <c r="D20" i="10"/>
  <c r="C20" i="10"/>
  <c r="B20" i="10"/>
  <c r="A20" i="10"/>
  <c r="AU19" i="10"/>
  <c r="AT19" i="10"/>
  <c r="AS19" i="10"/>
  <c r="AR19" i="10"/>
  <c r="AQ19" i="10"/>
  <c r="AP19" i="10"/>
  <c r="AO19" i="10"/>
  <c r="AN19" i="10"/>
  <c r="AM19" i="10"/>
  <c r="AL19" i="10"/>
  <c r="AK19" i="10"/>
  <c r="AJ19" i="10"/>
  <c r="AI19" i="10"/>
  <c r="AH19" i="10"/>
  <c r="AG19" i="10"/>
  <c r="AF19" i="10"/>
  <c r="AE19" i="10"/>
  <c r="AD19" i="10"/>
  <c r="AC19" i="10"/>
  <c r="AB19" i="10"/>
  <c r="AA19" i="10"/>
  <c r="Z19" i="10"/>
  <c r="Y19" i="10"/>
  <c r="X19" i="10"/>
  <c r="W19" i="10"/>
  <c r="V19" i="10"/>
  <c r="U19" i="10"/>
  <c r="T19" i="10"/>
  <c r="S19" i="10"/>
  <c r="R19" i="10"/>
  <c r="Q19" i="10"/>
  <c r="P19" i="10"/>
  <c r="O19" i="10"/>
  <c r="N19" i="10"/>
  <c r="M19" i="10"/>
  <c r="L19" i="10"/>
  <c r="K19" i="10"/>
  <c r="J19" i="10"/>
  <c r="I19" i="10"/>
  <c r="H19" i="10"/>
  <c r="G19" i="10"/>
  <c r="F19" i="10"/>
  <c r="E19" i="10"/>
  <c r="D19" i="10"/>
  <c r="C19" i="10"/>
  <c r="B19" i="10"/>
  <c r="A19" i="10"/>
  <c r="AU18" i="10"/>
  <c r="AT18" i="10"/>
  <c r="AS18" i="10"/>
  <c r="AR18" i="10"/>
  <c r="AQ18" i="10"/>
  <c r="AP18" i="10"/>
  <c r="AO18" i="10"/>
  <c r="AN18" i="10"/>
  <c r="AM18" i="10"/>
  <c r="AL18" i="10"/>
  <c r="AK18" i="10"/>
  <c r="AJ18" i="10"/>
  <c r="AI18" i="10"/>
  <c r="AH18" i="10"/>
  <c r="AG18" i="10"/>
  <c r="AF18" i="10"/>
  <c r="AE18" i="10"/>
  <c r="AD18" i="10"/>
  <c r="AC18" i="10"/>
  <c r="AB18" i="10"/>
  <c r="AA18" i="10"/>
  <c r="Z18" i="10"/>
  <c r="Y18" i="10"/>
  <c r="X18" i="10"/>
  <c r="W18" i="10"/>
  <c r="V18" i="10"/>
  <c r="U18" i="10"/>
  <c r="T18" i="10"/>
  <c r="S18" i="10"/>
  <c r="R18" i="10"/>
  <c r="Q18" i="10"/>
  <c r="P18" i="10"/>
  <c r="O18" i="10"/>
  <c r="N18" i="10"/>
  <c r="M18" i="10"/>
  <c r="L18" i="10"/>
  <c r="K18" i="10"/>
  <c r="J18" i="10"/>
  <c r="I18" i="10"/>
  <c r="H18" i="10"/>
  <c r="G18" i="10"/>
  <c r="F18" i="10"/>
  <c r="E18" i="10"/>
  <c r="D18" i="10"/>
  <c r="C18" i="10"/>
  <c r="B18" i="10"/>
  <c r="A18" i="10"/>
  <c r="AU17" i="10"/>
  <c r="AT17" i="10"/>
  <c r="AS17" i="10"/>
  <c r="AR17" i="10"/>
  <c r="AQ17" i="10"/>
  <c r="AP17" i="10"/>
  <c r="AO17" i="10"/>
  <c r="AN17" i="10"/>
  <c r="AM17" i="10"/>
  <c r="AL17" i="10"/>
  <c r="AK17" i="10"/>
  <c r="AJ17" i="10"/>
  <c r="AI17" i="10"/>
  <c r="AH17" i="10"/>
  <c r="AG17"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B17" i="10"/>
  <c r="A17" i="10"/>
  <c r="AU16" i="10"/>
  <c r="AT16" i="10"/>
  <c r="AS16" i="10"/>
  <c r="AR16" i="10"/>
  <c r="AQ16" i="10"/>
  <c r="AP16" i="10"/>
  <c r="AO16" i="10"/>
  <c r="AN16" i="10"/>
  <c r="AM16" i="10"/>
  <c r="AL16" i="10"/>
  <c r="AK16" i="10"/>
  <c r="AJ16" i="10"/>
  <c r="AI16" i="10"/>
  <c r="AH16" i="10"/>
  <c r="AG16"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B16" i="10"/>
  <c r="A16" i="10"/>
  <c r="AU15" i="10"/>
  <c r="AT15" i="10"/>
  <c r="AS15" i="10"/>
  <c r="AR15" i="10"/>
  <c r="AQ15" i="10"/>
  <c r="AP15" i="10"/>
  <c r="AO15" i="10"/>
  <c r="AN15" i="10"/>
  <c r="AM15" i="10"/>
  <c r="AL15" i="10"/>
  <c r="AK15" i="10"/>
  <c r="AJ15" i="10"/>
  <c r="AI15" i="10"/>
  <c r="AH15" i="10"/>
  <c r="AG15"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B15" i="10"/>
  <c r="A15" i="10"/>
  <c r="AU14" i="10"/>
  <c r="AT14" i="10"/>
  <c r="AS14" i="10"/>
  <c r="AR14" i="10"/>
  <c r="AQ14" i="10"/>
  <c r="AP14" i="10"/>
  <c r="AO14" i="10"/>
  <c r="AN14" i="10"/>
  <c r="AM14" i="10"/>
  <c r="AL14" i="10"/>
  <c r="AK14" i="10"/>
  <c r="AJ14" i="10"/>
  <c r="AI14" i="10"/>
  <c r="AH14" i="10"/>
  <c r="AG14"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B14" i="10"/>
  <c r="A14" i="10"/>
  <c r="AU13" i="10"/>
  <c r="AT13" i="10"/>
  <c r="AS13" i="10"/>
  <c r="AR13" i="10"/>
  <c r="AQ13" i="10"/>
  <c r="AP13" i="10"/>
  <c r="AO13" i="10"/>
  <c r="AN13" i="10"/>
  <c r="AM13" i="10"/>
  <c r="AL13" i="10"/>
  <c r="AK13" i="10"/>
  <c r="AJ13" i="10"/>
  <c r="AI13" i="10"/>
  <c r="AH13" i="10"/>
  <c r="AG13"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B13" i="10"/>
  <c r="A13" i="10"/>
  <c r="AU12" i="10"/>
  <c r="AT12" i="10"/>
  <c r="AS12" i="10"/>
  <c r="AR12" i="10"/>
  <c r="AQ12" i="10"/>
  <c r="AP12" i="10"/>
  <c r="AO12" i="10"/>
  <c r="AN12" i="10"/>
  <c r="AM12" i="10"/>
  <c r="AL12" i="10"/>
  <c r="AK12" i="10"/>
  <c r="AJ12" i="10"/>
  <c r="AI12" i="10"/>
  <c r="AH12" i="10"/>
  <c r="AG12"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B12" i="10"/>
  <c r="A12" i="10"/>
  <c r="AU11" i="10"/>
  <c r="AT11" i="10"/>
  <c r="AS11" i="10"/>
  <c r="AR11" i="10"/>
  <c r="AQ11" i="10"/>
  <c r="AP11" i="10"/>
  <c r="AO11" i="10"/>
  <c r="AN11" i="10"/>
  <c r="AM11" i="10"/>
  <c r="AL11" i="10"/>
  <c r="AK11" i="10"/>
  <c r="AJ11" i="10"/>
  <c r="AI11" i="10"/>
  <c r="AH11" i="10"/>
  <c r="AG11"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B11" i="10"/>
  <c r="A11" i="10"/>
  <c r="AU10" i="10"/>
  <c r="AT10" i="10"/>
  <c r="AS10" i="10"/>
  <c r="AR10" i="10"/>
  <c r="AQ10" i="10"/>
  <c r="AP10" i="10"/>
  <c r="AO10" i="10"/>
  <c r="AN10" i="10"/>
  <c r="AM10" i="10"/>
  <c r="AL10" i="10"/>
  <c r="AK10" i="10"/>
  <c r="AJ10" i="10"/>
  <c r="AI10" i="10"/>
  <c r="AH10" i="10"/>
  <c r="AG10"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B10" i="10"/>
  <c r="A10" i="10"/>
  <c r="AU9" i="10"/>
  <c r="AT9" i="10"/>
  <c r="AS9" i="10"/>
  <c r="AR9" i="10"/>
  <c r="AQ9" i="10"/>
  <c r="AP9" i="10"/>
  <c r="AO9" i="10"/>
  <c r="AN9" i="10"/>
  <c r="AM9" i="10"/>
  <c r="AL9" i="10"/>
  <c r="AK9" i="10"/>
  <c r="AJ9" i="10"/>
  <c r="AI9" i="10"/>
  <c r="AH9" i="10"/>
  <c r="AG9"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B9" i="10"/>
  <c r="A9" i="10"/>
  <c r="AU8" i="10"/>
  <c r="AT8" i="10"/>
  <c r="AS8" i="10"/>
  <c r="AR8" i="10"/>
  <c r="AQ8" i="10"/>
  <c r="AP8" i="10"/>
  <c r="AO8" i="10"/>
  <c r="AN8" i="10"/>
  <c r="AM8" i="10"/>
  <c r="AL8" i="10"/>
  <c r="AK8" i="10"/>
  <c r="AJ8" i="10"/>
  <c r="AI8" i="10"/>
  <c r="AH8" i="10"/>
  <c r="AG8"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B8" i="10"/>
  <c r="A8" i="10"/>
  <c r="AU7" i="10"/>
  <c r="AT7" i="10"/>
  <c r="AS7" i="10"/>
  <c r="AR7" i="10"/>
  <c r="AQ7" i="10"/>
  <c r="AP7" i="10"/>
  <c r="AO7" i="10"/>
  <c r="AN7"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B7" i="10"/>
  <c r="A7" i="10"/>
  <c r="AU6" i="10"/>
  <c r="AT6" i="10"/>
  <c r="AS6" i="10"/>
  <c r="AR6" i="10"/>
  <c r="AQ6" i="10"/>
  <c r="AP6" i="10"/>
  <c r="AO6" i="10"/>
  <c r="AN6" i="10"/>
  <c r="AM6" i="10"/>
  <c r="AL6" i="10"/>
  <c r="AK6" i="10"/>
  <c r="AJ6" i="10"/>
  <c r="AI6" i="10"/>
  <c r="AH6" i="10"/>
  <c r="AG6"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B6" i="10"/>
  <c r="A6" i="10"/>
  <c r="AU5" i="10"/>
  <c r="AT5" i="10"/>
  <c r="AS5" i="10"/>
  <c r="AR5" i="10"/>
  <c r="AQ5" i="10"/>
  <c r="AP5" i="10"/>
  <c r="AO5" i="10"/>
  <c r="AN5" i="10"/>
  <c r="AM5" i="10"/>
  <c r="AL5" i="10"/>
  <c r="AK5" i="10"/>
  <c r="AJ5" i="10"/>
  <c r="AI5" i="10"/>
  <c r="AH5" i="10"/>
  <c r="AG5"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B5" i="10"/>
  <c r="A5" i="10"/>
  <c r="AU4" i="10"/>
  <c r="AT4" i="10"/>
  <c r="AS4" i="10"/>
  <c r="AR4" i="10"/>
  <c r="AQ4" i="10"/>
  <c r="AP4" i="10"/>
  <c r="AO4" i="10"/>
  <c r="AN4"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4" i="10"/>
  <c r="A4" i="10"/>
  <c r="AU3" i="10"/>
  <c r="AT3" i="10"/>
  <c r="AS3" i="10"/>
  <c r="AR3" i="10"/>
  <c r="AQ3" i="10"/>
  <c r="AP3" i="10"/>
  <c r="AO3" i="10"/>
  <c r="AN3" i="10"/>
  <c r="AM3" i="10"/>
  <c r="AL3" i="10"/>
  <c r="AK3" i="10"/>
  <c r="AJ3" i="10"/>
  <c r="AI3" i="10"/>
  <c r="AH3" i="10"/>
  <c r="AG3"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B3" i="10"/>
  <c r="A3" i="10"/>
  <c r="AU2" i="10"/>
  <c r="AT2" i="10"/>
  <c r="AS2" i="10"/>
  <c r="AR2" i="10"/>
  <c r="AQ2" i="10"/>
  <c r="AP2" i="10"/>
  <c r="V2" i="10"/>
  <c r="U2" i="10"/>
  <c r="T2" i="10"/>
  <c r="A24" i="11" s="1"/>
  <c r="S2" i="10"/>
  <c r="R2" i="10"/>
  <c r="Q2" i="10"/>
  <c r="P2" i="10"/>
  <c r="O2" i="10"/>
  <c r="N2" i="10"/>
  <c r="M2" i="10"/>
  <c r="L2" i="10"/>
  <c r="K2" i="10"/>
  <c r="J2" i="10"/>
  <c r="I2" i="10"/>
  <c r="H2" i="10"/>
  <c r="G2" i="10"/>
  <c r="F2" i="10"/>
  <c r="E2" i="10"/>
  <c r="D2" i="10"/>
  <c r="A8" i="11" s="1"/>
  <c r="C2" i="10"/>
  <c r="B2" i="10"/>
  <c r="Q51" i="8"/>
  <c r="N51" i="8"/>
  <c r="M51" i="8"/>
  <c r="L51" i="8"/>
  <c r="K51" i="8"/>
  <c r="H51" i="8"/>
  <c r="B51" i="8"/>
  <c r="A51" i="8"/>
  <c r="Q50" i="8"/>
  <c r="N50" i="8"/>
  <c r="M50" i="8"/>
  <c r="L50" i="8"/>
  <c r="K50" i="8"/>
  <c r="H50" i="8"/>
  <c r="B50" i="8"/>
  <c r="A50" i="8"/>
  <c r="Q49" i="8"/>
  <c r="N49" i="8"/>
  <c r="M49" i="8"/>
  <c r="L49" i="8"/>
  <c r="K49" i="8"/>
  <c r="H49" i="8"/>
  <c r="B49" i="8"/>
  <c r="A49" i="8"/>
  <c r="Q48" i="8"/>
  <c r="N48" i="8"/>
  <c r="M48" i="8"/>
  <c r="L48" i="8"/>
  <c r="K48" i="8"/>
  <c r="H48" i="8"/>
  <c r="B48" i="8"/>
  <c r="A48" i="8"/>
  <c r="Q47" i="8"/>
  <c r="N47" i="8"/>
  <c r="M47" i="8"/>
  <c r="L47" i="8"/>
  <c r="K47" i="8"/>
  <c r="H47" i="8"/>
  <c r="B47" i="8"/>
  <c r="A47" i="8"/>
  <c r="Q46" i="8"/>
  <c r="N46" i="8"/>
  <c r="M46" i="8"/>
  <c r="L46" i="8"/>
  <c r="K46" i="8"/>
  <c r="H46" i="8"/>
  <c r="B46" i="8"/>
  <c r="A46" i="8"/>
  <c r="Q45" i="8"/>
  <c r="N45" i="8"/>
  <c r="M45" i="8"/>
  <c r="L45" i="8"/>
  <c r="K45" i="8"/>
  <c r="H45" i="8"/>
  <c r="B45" i="8"/>
  <c r="A45" i="8"/>
  <c r="Q44" i="8"/>
  <c r="N44" i="8"/>
  <c r="M44" i="8"/>
  <c r="L44" i="8"/>
  <c r="K44" i="8"/>
  <c r="H44" i="8"/>
  <c r="B44" i="8"/>
  <c r="A44" i="8"/>
  <c r="Q43" i="8"/>
  <c r="N43" i="8"/>
  <c r="M43" i="8"/>
  <c r="L43" i="8"/>
  <c r="K43" i="8"/>
  <c r="H43" i="8"/>
  <c r="B43" i="8"/>
  <c r="A43" i="8"/>
  <c r="Q42" i="8"/>
  <c r="N42" i="8"/>
  <c r="M42" i="8"/>
  <c r="L42" i="8"/>
  <c r="K42" i="8"/>
  <c r="H42" i="8"/>
  <c r="B42" i="8"/>
  <c r="A42" i="8"/>
  <c r="Q41" i="8"/>
  <c r="N41" i="8"/>
  <c r="M41" i="8"/>
  <c r="L41" i="8"/>
  <c r="K41" i="8"/>
  <c r="H41" i="8"/>
  <c r="B41" i="8"/>
  <c r="A41" i="8"/>
  <c r="Q40" i="8"/>
  <c r="N40" i="8"/>
  <c r="M40" i="8"/>
  <c r="L40" i="8"/>
  <c r="K40" i="8"/>
  <c r="H40" i="8"/>
  <c r="B40" i="8"/>
  <c r="A40" i="8"/>
  <c r="Q39" i="8"/>
  <c r="N39" i="8"/>
  <c r="M39" i="8"/>
  <c r="L39" i="8"/>
  <c r="K39" i="8"/>
  <c r="H39" i="8"/>
  <c r="B39" i="8"/>
  <c r="A39" i="8"/>
  <c r="Q38" i="8"/>
  <c r="N38" i="8"/>
  <c r="M38" i="8"/>
  <c r="L38" i="8"/>
  <c r="K38" i="8"/>
  <c r="H38" i="8"/>
  <c r="B38" i="8"/>
  <c r="A38" i="8"/>
  <c r="Q37" i="8"/>
  <c r="N37" i="8"/>
  <c r="M37" i="8"/>
  <c r="L37" i="8"/>
  <c r="K37" i="8"/>
  <c r="H37" i="8"/>
  <c r="B37" i="8"/>
  <c r="A37" i="8"/>
  <c r="Q36" i="8"/>
  <c r="N36" i="8"/>
  <c r="M36" i="8"/>
  <c r="L36" i="8"/>
  <c r="K36" i="8"/>
  <c r="H36" i="8"/>
  <c r="B36" i="8"/>
  <c r="A36" i="8"/>
  <c r="Q35" i="8"/>
  <c r="N35" i="8"/>
  <c r="M35" i="8"/>
  <c r="L35" i="8"/>
  <c r="K35" i="8"/>
  <c r="H35" i="8"/>
  <c r="B35" i="8"/>
  <c r="A35" i="8"/>
  <c r="Q34" i="8"/>
  <c r="N34" i="8"/>
  <c r="M34" i="8"/>
  <c r="L34" i="8"/>
  <c r="K34" i="8"/>
  <c r="H34" i="8"/>
  <c r="B34" i="8"/>
  <c r="A34" i="8"/>
  <c r="Q33" i="8"/>
  <c r="N33" i="8"/>
  <c r="M33" i="8"/>
  <c r="L33" i="8"/>
  <c r="K33" i="8"/>
  <c r="H33" i="8"/>
  <c r="B33" i="8"/>
  <c r="A33" i="8"/>
  <c r="Q32" i="8"/>
  <c r="N32" i="8"/>
  <c r="M32" i="8"/>
  <c r="L32" i="8"/>
  <c r="K32" i="8"/>
  <c r="H32" i="8"/>
  <c r="B32" i="8"/>
  <c r="A32" i="8"/>
  <c r="Q31" i="8"/>
  <c r="N31" i="8"/>
  <c r="M31" i="8"/>
  <c r="L31" i="8"/>
  <c r="K31" i="8"/>
  <c r="H31" i="8"/>
  <c r="B31" i="8"/>
  <c r="A31" i="8"/>
  <c r="Q30" i="8"/>
  <c r="N30" i="8"/>
  <c r="M30" i="8"/>
  <c r="L30" i="8"/>
  <c r="K30" i="8"/>
  <c r="H30" i="8"/>
  <c r="B30" i="8"/>
  <c r="A30" i="8"/>
  <c r="Q29" i="8"/>
  <c r="N29" i="8"/>
  <c r="M29" i="8"/>
  <c r="L29" i="8"/>
  <c r="K29" i="8"/>
  <c r="H29" i="8"/>
  <c r="B29" i="8"/>
  <c r="A29" i="8"/>
  <c r="Q28" i="8"/>
  <c r="N28" i="8"/>
  <c r="M28" i="8"/>
  <c r="L28" i="8"/>
  <c r="K28" i="8"/>
  <c r="H28" i="8"/>
  <c r="B28" i="8"/>
  <c r="A28" i="8"/>
  <c r="Q27" i="8"/>
  <c r="N27" i="8"/>
  <c r="M27" i="8"/>
  <c r="L27" i="8"/>
  <c r="K27" i="8"/>
  <c r="H27" i="8"/>
  <c r="B27" i="8"/>
  <c r="A27" i="8"/>
  <c r="Q26" i="8"/>
  <c r="N26" i="8"/>
  <c r="M26" i="8"/>
  <c r="L26" i="8"/>
  <c r="K26" i="8"/>
  <c r="H26" i="8"/>
  <c r="B26" i="8"/>
  <c r="A26" i="8"/>
  <c r="Q25" i="8"/>
  <c r="N25" i="8"/>
  <c r="M25" i="8"/>
  <c r="L25" i="8"/>
  <c r="K25" i="8"/>
  <c r="H25" i="8"/>
  <c r="B25" i="8"/>
  <c r="A25" i="8"/>
  <c r="Q24" i="8"/>
  <c r="N24" i="8"/>
  <c r="M24" i="8"/>
  <c r="L24" i="8"/>
  <c r="K24" i="8"/>
  <c r="H24" i="8"/>
  <c r="B24" i="8"/>
  <c r="A24" i="8"/>
  <c r="Q23" i="8"/>
  <c r="N23" i="8"/>
  <c r="M23" i="8"/>
  <c r="L23" i="8"/>
  <c r="K23" i="8"/>
  <c r="H23" i="8"/>
  <c r="B23" i="8"/>
  <c r="A23" i="8"/>
  <c r="Q22" i="8"/>
  <c r="N22" i="8"/>
  <c r="M22" i="8"/>
  <c r="L22" i="8"/>
  <c r="K22" i="8"/>
  <c r="H22" i="8"/>
  <c r="B22" i="8"/>
  <c r="A22" i="8"/>
  <c r="Q21" i="8"/>
  <c r="N21" i="8"/>
  <c r="M21" i="8"/>
  <c r="L21" i="8"/>
  <c r="K21" i="8"/>
  <c r="H21" i="8"/>
  <c r="B21" i="8"/>
  <c r="A21" i="8"/>
  <c r="Q20" i="8"/>
  <c r="N20" i="8"/>
  <c r="M20" i="8"/>
  <c r="L20" i="8"/>
  <c r="K20" i="8"/>
  <c r="H20" i="8"/>
  <c r="B20" i="8"/>
  <c r="A20" i="8"/>
  <c r="N19" i="8"/>
  <c r="M19" i="8"/>
  <c r="Q19" i="8" s="1"/>
  <c r="L19" i="8"/>
  <c r="K19" i="8"/>
  <c r="H19" i="8"/>
  <c r="B19" i="8"/>
  <c r="A19" i="8"/>
  <c r="Q18" i="8"/>
  <c r="N18" i="8"/>
  <c r="M18" i="8"/>
  <c r="L18" i="8"/>
  <c r="K18" i="8"/>
  <c r="H18" i="8"/>
  <c r="B18" i="8"/>
  <c r="A18" i="8"/>
  <c r="Q17" i="8"/>
  <c r="N17" i="8"/>
  <c r="M17" i="8"/>
  <c r="L17" i="8"/>
  <c r="K17" i="8"/>
  <c r="H17" i="8"/>
  <c r="B17" i="8"/>
  <c r="A17" i="8"/>
  <c r="Q16" i="8"/>
  <c r="N16" i="8"/>
  <c r="M16" i="8"/>
  <c r="L16" i="8"/>
  <c r="K16" i="8"/>
  <c r="H16" i="8"/>
  <c r="B16" i="8"/>
  <c r="A16" i="8"/>
  <c r="Q15" i="8"/>
  <c r="N15" i="8"/>
  <c r="M15" i="8"/>
  <c r="L15" i="8"/>
  <c r="K15" i="8"/>
  <c r="H15" i="8"/>
  <c r="B15" i="8"/>
  <c r="A15" i="8"/>
  <c r="Q14" i="8"/>
  <c r="N14" i="8"/>
  <c r="M14" i="8"/>
  <c r="L14" i="8"/>
  <c r="K14" i="8"/>
  <c r="H14" i="8"/>
  <c r="B14" i="8"/>
  <c r="A14" i="8"/>
  <c r="Q13" i="8"/>
  <c r="N13" i="8"/>
  <c r="M13" i="8"/>
  <c r="L13" i="8"/>
  <c r="K13" i="8"/>
  <c r="H13" i="8"/>
  <c r="B13" i="8"/>
  <c r="A13" i="8"/>
  <c r="Q12" i="8"/>
  <c r="N12" i="8"/>
  <c r="M12" i="8"/>
  <c r="L12" i="8"/>
  <c r="K12" i="8"/>
  <c r="H12" i="8"/>
  <c r="B12" i="8"/>
  <c r="A12" i="8"/>
  <c r="Q11" i="8"/>
  <c r="N11" i="8"/>
  <c r="M11" i="8"/>
  <c r="L11" i="8"/>
  <c r="K11" i="8"/>
  <c r="H11" i="8"/>
  <c r="B11" i="8"/>
  <c r="A11" i="8"/>
  <c r="Q10" i="8"/>
  <c r="N10" i="8"/>
  <c r="M10" i="8"/>
  <c r="L10" i="8"/>
  <c r="K10" i="8"/>
  <c r="H10" i="8"/>
  <c r="B10" i="8"/>
  <c r="A10" i="8"/>
  <c r="Q9" i="8"/>
  <c r="N9" i="8"/>
  <c r="M9" i="8"/>
  <c r="L9" i="8"/>
  <c r="K9" i="8"/>
  <c r="H9" i="8"/>
  <c r="B9" i="8"/>
  <c r="A9" i="8"/>
  <c r="Q8" i="8"/>
  <c r="N8" i="8"/>
  <c r="M8" i="8"/>
  <c r="L8" i="8"/>
  <c r="K8" i="8"/>
  <c r="H8" i="8"/>
  <c r="B8" i="8"/>
  <c r="A8" i="8"/>
  <c r="Q7" i="8"/>
  <c r="N7" i="8"/>
  <c r="M7" i="8"/>
  <c r="L7" i="8"/>
  <c r="K7" i="8"/>
  <c r="H7" i="8"/>
  <c r="B7" i="8"/>
  <c r="A7" i="8"/>
  <c r="Q6" i="8"/>
  <c r="N6" i="8"/>
  <c r="M6" i="8"/>
  <c r="L6" i="8"/>
  <c r="K6" i="8"/>
  <c r="H6" i="8"/>
  <c r="B6" i="8"/>
  <c r="A6" i="8"/>
  <c r="Q5" i="8"/>
  <c r="N5" i="8"/>
  <c r="M5" i="8"/>
  <c r="L5" i="8"/>
  <c r="K5" i="8"/>
  <c r="H5" i="8"/>
  <c r="B5" i="8"/>
  <c r="A5" i="8"/>
  <c r="Q4" i="8"/>
  <c r="N4" i="8"/>
  <c r="M4" i="8"/>
  <c r="L4" i="8"/>
  <c r="K4" i="8"/>
  <c r="H4" i="8"/>
  <c r="B4" i="8"/>
  <c r="A4" i="8"/>
  <c r="Q3" i="8"/>
  <c r="N3" i="8"/>
  <c r="M3" i="8"/>
  <c r="L3" i="8"/>
  <c r="K3" i="8"/>
  <c r="H3" i="8"/>
  <c r="E29" i="2" s="1"/>
  <c r="B3" i="8"/>
  <c r="A3" i="8"/>
  <c r="A62" i="7"/>
  <c r="AS60" i="7"/>
  <c r="AP60" i="7"/>
  <c r="AK60" i="7"/>
  <c r="AJ60" i="7"/>
  <c r="AI60" i="7"/>
  <c r="AF60" i="7"/>
  <c r="AG60" i="7" s="1"/>
  <c r="AE60" i="7"/>
  <c r="X60" i="7"/>
  <c r="O60" i="7"/>
  <c r="N60" i="7"/>
  <c r="AH60" i="7" s="1"/>
  <c r="AS59" i="7"/>
  <c r="AP59" i="7"/>
  <c r="AK59" i="7"/>
  <c r="AJ59" i="7"/>
  <c r="AI59" i="7"/>
  <c r="AH59" i="7"/>
  <c r="AF59" i="7"/>
  <c r="AG59" i="7" s="1"/>
  <c r="AE59" i="7"/>
  <c r="X59" i="7"/>
  <c r="O59" i="7"/>
  <c r="N59" i="7"/>
  <c r="AS58" i="7"/>
  <c r="AP58" i="7"/>
  <c r="AK58" i="7"/>
  <c r="AJ58" i="7"/>
  <c r="AI58" i="7"/>
  <c r="AF58" i="7"/>
  <c r="AG58" i="7" s="1"/>
  <c r="AE58" i="7"/>
  <c r="X58" i="7"/>
  <c r="O58" i="7"/>
  <c r="N58" i="7"/>
  <c r="AH58" i="7" s="1"/>
  <c r="AS57" i="7"/>
  <c r="AP57" i="7"/>
  <c r="AK57" i="7"/>
  <c r="AJ57" i="7"/>
  <c r="AI57" i="7"/>
  <c r="AH57" i="7"/>
  <c r="AF57" i="7"/>
  <c r="AG57" i="7" s="1"/>
  <c r="AE57" i="7"/>
  <c r="X57" i="7"/>
  <c r="O57" i="7"/>
  <c r="N57" i="7"/>
  <c r="AS56" i="7"/>
  <c r="AP56" i="7"/>
  <c r="AK56" i="7"/>
  <c r="AJ56" i="7"/>
  <c r="AI56" i="7"/>
  <c r="AG56" i="7"/>
  <c r="AF56" i="7"/>
  <c r="AE56" i="7"/>
  <c r="X56" i="7"/>
  <c r="O56" i="7"/>
  <c r="N56" i="7"/>
  <c r="AH56" i="7" s="1"/>
  <c r="AS55" i="7"/>
  <c r="AP55" i="7"/>
  <c r="AK55" i="7"/>
  <c r="AJ55" i="7"/>
  <c r="AI55" i="7"/>
  <c r="AH55" i="7"/>
  <c r="AF55" i="7"/>
  <c r="AG55" i="7" s="1"/>
  <c r="AE55" i="7"/>
  <c r="X55" i="7"/>
  <c r="O55" i="7"/>
  <c r="N55" i="7"/>
  <c r="AS54" i="7"/>
  <c r="AP54" i="7"/>
  <c r="AK54" i="7"/>
  <c r="AJ54" i="7"/>
  <c r="AI54" i="7"/>
  <c r="AG54" i="7"/>
  <c r="AF54" i="7"/>
  <c r="AE54" i="7"/>
  <c r="X54" i="7"/>
  <c r="O54" i="7"/>
  <c r="N54" i="7"/>
  <c r="AH54" i="7" s="1"/>
  <c r="AS53" i="7"/>
  <c r="AP53" i="7"/>
  <c r="AK53" i="7"/>
  <c r="AJ53" i="7"/>
  <c r="AI53" i="7"/>
  <c r="AF53" i="7"/>
  <c r="AG53" i="7" s="1"/>
  <c r="AE53" i="7"/>
  <c r="X53" i="7"/>
  <c r="O53" i="7"/>
  <c r="N53" i="7"/>
  <c r="AH53" i="7" s="1"/>
  <c r="AS52" i="7"/>
  <c r="AP52" i="7"/>
  <c r="AK52" i="7"/>
  <c r="AJ52" i="7"/>
  <c r="AI52" i="7"/>
  <c r="AF52" i="7"/>
  <c r="AG52" i="7" s="1"/>
  <c r="AE52" i="7"/>
  <c r="X52" i="7"/>
  <c r="O52" i="7"/>
  <c r="N52" i="7"/>
  <c r="AH52" i="7" s="1"/>
  <c r="AS51" i="7"/>
  <c r="AP51" i="7"/>
  <c r="AK51" i="7"/>
  <c r="AJ51" i="7"/>
  <c r="AI51" i="7"/>
  <c r="E51" i="8" s="1"/>
  <c r="AE51" i="7"/>
  <c r="X51" i="7"/>
  <c r="O51" i="7"/>
  <c r="AF51" i="7" s="1"/>
  <c r="E50" i="6" s="1"/>
  <c r="N51" i="7"/>
  <c r="AH51" i="7" s="1"/>
  <c r="G50" i="6" s="1"/>
  <c r="AS50" i="7"/>
  <c r="AP50" i="7"/>
  <c r="AK50" i="7"/>
  <c r="AJ50" i="7"/>
  <c r="I49" i="6" s="1"/>
  <c r="AI50" i="7"/>
  <c r="E50" i="8" s="1"/>
  <c r="AE50" i="7"/>
  <c r="X50" i="7"/>
  <c r="O50" i="7"/>
  <c r="AF50" i="7" s="1"/>
  <c r="N50" i="7"/>
  <c r="AS49" i="7"/>
  <c r="AP49" i="7"/>
  <c r="AK49" i="7"/>
  <c r="J48" i="6" s="1"/>
  <c r="AJ49" i="7"/>
  <c r="AI49" i="7"/>
  <c r="H48" i="6" s="1"/>
  <c r="AE49" i="7"/>
  <c r="X49" i="7"/>
  <c r="O49" i="7"/>
  <c r="AF49" i="7" s="1"/>
  <c r="E48" i="6" s="1"/>
  <c r="N49" i="7"/>
  <c r="AH49" i="7" s="1"/>
  <c r="AS48" i="7"/>
  <c r="AP48" i="7"/>
  <c r="AK48" i="7"/>
  <c r="J47" i="6" s="1"/>
  <c r="AJ48" i="7"/>
  <c r="I47" i="6" s="1"/>
  <c r="AI48" i="7"/>
  <c r="E48" i="8" s="1"/>
  <c r="AG48" i="7"/>
  <c r="C48" i="8" s="1"/>
  <c r="AF48" i="7"/>
  <c r="E47" i="6" s="1"/>
  <c r="AE48" i="7"/>
  <c r="X48" i="7"/>
  <c r="O48" i="7"/>
  <c r="N48" i="7"/>
  <c r="AS47" i="7"/>
  <c r="AP47" i="7"/>
  <c r="AK47" i="7"/>
  <c r="AJ47" i="7"/>
  <c r="AI47" i="7"/>
  <c r="E47" i="8" s="1"/>
  <c r="AF47" i="7"/>
  <c r="AE47" i="7"/>
  <c r="X47" i="7"/>
  <c r="O47" i="7"/>
  <c r="N47" i="7"/>
  <c r="AH47" i="7" s="1"/>
  <c r="AS46" i="7"/>
  <c r="AP46" i="7"/>
  <c r="AK46" i="7"/>
  <c r="AJ46" i="7"/>
  <c r="I45" i="6" s="1"/>
  <c r="AI46" i="7"/>
  <c r="E46" i="8" s="1"/>
  <c r="AF46" i="7"/>
  <c r="AG46" i="7" s="1"/>
  <c r="C46" i="8" s="1"/>
  <c r="AE46" i="7"/>
  <c r="X46" i="7"/>
  <c r="O46" i="7"/>
  <c r="N46" i="7"/>
  <c r="AH46" i="7" s="1"/>
  <c r="AS45" i="7"/>
  <c r="AP45" i="7"/>
  <c r="AK45" i="7"/>
  <c r="J44" i="6" s="1"/>
  <c r="AJ45" i="7"/>
  <c r="AI45" i="7"/>
  <c r="H44" i="6" s="1"/>
  <c r="AH45" i="7"/>
  <c r="G44" i="6" s="1"/>
  <c r="AF45" i="7"/>
  <c r="AG45" i="7" s="1"/>
  <c r="AE45" i="7"/>
  <c r="X45" i="7"/>
  <c r="O45" i="7"/>
  <c r="N45" i="7"/>
  <c r="AS44" i="7"/>
  <c r="AP44" i="7"/>
  <c r="AK44" i="7"/>
  <c r="J43" i="6" s="1"/>
  <c r="AJ44" i="7"/>
  <c r="I43" i="6" s="1"/>
  <c r="AI44" i="7"/>
  <c r="E44" i="8" s="1"/>
  <c r="AG44" i="7"/>
  <c r="C44" i="8" s="1"/>
  <c r="AF44" i="7"/>
  <c r="E43" i="6" s="1"/>
  <c r="AE44" i="7"/>
  <c r="X44" i="7"/>
  <c r="O44" i="7"/>
  <c r="N44" i="7"/>
  <c r="AS43" i="7"/>
  <c r="AP43" i="7"/>
  <c r="AK43" i="7"/>
  <c r="AJ43" i="7"/>
  <c r="AI43" i="7"/>
  <c r="E43" i="8" s="1"/>
  <c r="AE43" i="7"/>
  <c r="X43" i="7"/>
  <c r="AF43" i="7" s="1"/>
  <c r="E42" i="6" s="1"/>
  <c r="O43" i="7"/>
  <c r="N43" i="7"/>
  <c r="AH43" i="7" s="1"/>
  <c r="AS42" i="7"/>
  <c r="AP42" i="7"/>
  <c r="AK42" i="7"/>
  <c r="AJ42" i="7"/>
  <c r="I41" i="6" s="1"/>
  <c r="AI42" i="7"/>
  <c r="H41" i="6" s="1"/>
  <c r="AG42" i="7"/>
  <c r="F41" i="6" s="1"/>
  <c r="AF42" i="7"/>
  <c r="AE42" i="7"/>
  <c r="X42" i="7"/>
  <c r="O42" i="7"/>
  <c r="N42" i="7"/>
  <c r="AH42" i="7" s="1"/>
  <c r="AS41" i="7"/>
  <c r="AP41" i="7"/>
  <c r="AK41" i="7"/>
  <c r="J40" i="6" s="1"/>
  <c r="AJ41" i="7"/>
  <c r="AI41" i="7"/>
  <c r="E41" i="8" s="1"/>
  <c r="AF41" i="7"/>
  <c r="AG41" i="7" s="1"/>
  <c r="C41" i="8" s="1"/>
  <c r="AE41" i="7"/>
  <c r="X41" i="7"/>
  <c r="O41" i="7"/>
  <c r="N41" i="7"/>
  <c r="AH41" i="7" s="1"/>
  <c r="F40" i="6" s="1"/>
  <c r="AS40" i="7"/>
  <c r="AP40" i="7"/>
  <c r="AK40" i="7"/>
  <c r="J39" i="6" s="1"/>
  <c r="AJ40" i="7"/>
  <c r="I39" i="6" s="1"/>
  <c r="AI40" i="7"/>
  <c r="E40" i="8" s="1"/>
  <c r="AF40" i="7"/>
  <c r="E39" i="6" s="1"/>
  <c r="AE40" i="7"/>
  <c r="X40" i="7"/>
  <c r="O40" i="7"/>
  <c r="N40" i="7"/>
  <c r="AS39" i="7"/>
  <c r="AP39" i="7"/>
  <c r="AK39" i="7"/>
  <c r="AJ39" i="7"/>
  <c r="AI39" i="7"/>
  <c r="E39" i="8" s="1"/>
  <c r="AG39" i="7"/>
  <c r="AF39" i="7"/>
  <c r="E38" i="6" s="1"/>
  <c r="AE39" i="7"/>
  <c r="X39" i="7"/>
  <c r="O39" i="7"/>
  <c r="N39" i="7"/>
  <c r="AH39" i="7" s="1"/>
  <c r="AS38" i="7"/>
  <c r="AP38" i="7"/>
  <c r="AK38" i="7"/>
  <c r="AJ38" i="7"/>
  <c r="I37" i="6" s="1"/>
  <c r="AI38" i="7"/>
  <c r="H37" i="6" s="1"/>
  <c r="AF38" i="7"/>
  <c r="AG38" i="7" s="1"/>
  <c r="C38" i="8" s="1"/>
  <c r="AE38" i="7"/>
  <c r="X38" i="7"/>
  <c r="O38" i="7"/>
  <c r="N38" i="7"/>
  <c r="AH38" i="7" s="1"/>
  <c r="AS37" i="7"/>
  <c r="AP37" i="7"/>
  <c r="AK37" i="7"/>
  <c r="J36" i="6" s="1"/>
  <c r="AJ37" i="7"/>
  <c r="AI37" i="7"/>
  <c r="H36" i="6" s="1"/>
  <c r="AH37" i="7"/>
  <c r="AF37" i="7"/>
  <c r="AG37" i="7" s="1"/>
  <c r="C37" i="8" s="1"/>
  <c r="AE37" i="7"/>
  <c r="X37" i="7"/>
  <c r="O37" i="7"/>
  <c r="N37" i="7"/>
  <c r="AS36" i="7"/>
  <c r="AP36" i="7"/>
  <c r="AK36" i="7"/>
  <c r="J35" i="6" s="1"/>
  <c r="AJ36" i="7"/>
  <c r="I35" i="6" s="1"/>
  <c r="AI36" i="7"/>
  <c r="E36" i="8" s="1"/>
  <c r="AG36" i="7"/>
  <c r="C36" i="8" s="1"/>
  <c r="AF36" i="7"/>
  <c r="E35" i="6" s="1"/>
  <c r="AE36" i="7"/>
  <c r="X36" i="7"/>
  <c r="O36" i="7"/>
  <c r="N36" i="7"/>
  <c r="AS35" i="7"/>
  <c r="AP35" i="7"/>
  <c r="AK35" i="7"/>
  <c r="J34" i="6" s="1"/>
  <c r="AJ35" i="7"/>
  <c r="AI35" i="7"/>
  <c r="E35" i="8" s="1"/>
  <c r="AH35" i="7"/>
  <c r="AG35" i="7"/>
  <c r="AF35" i="7"/>
  <c r="E34" i="6" s="1"/>
  <c r="AE35" i="7"/>
  <c r="X35" i="7"/>
  <c r="O35" i="7"/>
  <c r="N35" i="7"/>
  <c r="AS34" i="7"/>
  <c r="AP34" i="7"/>
  <c r="AK34" i="7"/>
  <c r="J33" i="6" s="1"/>
  <c r="AJ34" i="7"/>
  <c r="I33" i="6" s="1"/>
  <c r="AI34" i="7"/>
  <c r="H33" i="6" s="1"/>
  <c r="AF34" i="7"/>
  <c r="AG34" i="7" s="1"/>
  <c r="C34" i="8" s="1"/>
  <c r="AE34" i="7"/>
  <c r="X34" i="7"/>
  <c r="O34" i="7"/>
  <c r="N34" i="7"/>
  <c r="AS33" i="7"/>
  <c r="AP33" i="7"/>
  <c r="AK33" i="7"/>
  <c r="J32" i="6" s="1"/>
  <c r="AJ33" i="7"/>
  <c r="AI33" i="7"/>
  <c r="E33" i="8" s="1"/>
  <c r="AH33" i="7"/>
  <c r="AF33" i="7"/>
  <c r="E32" i="6" s="1"/>
  <c r="AE33" i="7"/>
  <c r="X33" i="7"/>
  <c r="O33" i="7"/>
  <c r="N33" i="7"/>
  <c r="AS32" i="7"/>
  <c r="AP32" i="7"/>
  <c r="AK32" i="7"/>
  <c r="J31" i="6" s="1"/>
  <c r="AJ32" i="7"/>
  <c r="I31" i="6" s="1"/>
  <c r="AI32" i="7"/>
  <c r="E32" i="8" s="1"/>
  <c r="AG32" i="7"/>
  <c r="C32" i="8" s="1"/>
  <c r="AF32" i="7"/>
  <c r="E31" i="6" s="1"/>
  <c r="AE32" i="7"/>
  <c r="X32" i="7"/>
  <c r="O32" i="7"/>
  <c r="N32" i="7"/>
  <c r="AS31" i="7"/>
  <c r="AP31" i="7"/>
  <c r="AK31" i="7"/>
  <c r="AJ31" i="7"/>
  <c r="AI31" i="7"/>
  <c r="E31" i="8" s="1"/>
  <c r="AF31" i="7"/>
  <c r="AE31" i="7"/>
  <c r="X31" i="7"/>
  <c r="O31" i="7"/>
  <c r="N31" i="7"/>
  <c r="AH31" i="7" s="1"/>
  <c r="AS30" i="7"/>
  <c r="AP30" i="7"/>
  <c r="AK30" i="7"/>
  <c r="AJ30" i="7"/>
  <c r="I29" i="6" s="1"/>
  <c r="AI30" i="7"/>
  <c r="H29" i="6" s="1"/>
  <c r="AF30" i="7"/>
  <c r="AG30" i="7" s="1"/>
  <c r="C30" i="8" s="1"/>
  <c r="AE30" i="7"/>
  <c r="X30" i="7"/>
  <c r="O30" i="7"/>
  <c r="N30" i="7"/>
  <c r="AH30" i="7" s="1"/>
  <c r="AS29" i="7"/>
  <c r="AP29" i="7"/>
  <c r="AK29" i="7"/>
  <c r="J28" i="6" s="1"/>
  <c r="AJ29" i="7"/>
  <c r="AI29" i="7"/>
  <c r="H28" i="6" s="1"/>
  <c r="AF29" i="7"/>
  <c r="AG29" i="7" s="1"/>
  <c r="AE29" i="7"/>
  <c r="X29" i="7"/>
  <c r="O29" i="7"/>
  <c r="N29" i="7"/>
  <c r="AH29" i="7" s="1"/>
  <c r="AS28" i="7"/>
  <c r="AP28" i="7"/>
  <c r="AK28" i="7"/>
  <c r="J27" i="6" s="1"/>
  <c r="AJ28" i="7"/>
  <c r="I27" i="6" s="1"/>
  <c r="AI28" i="7"/>
  <c r="E28" i="8" s="1"/>
  <c r="AF28" i="7"/>
  <c r="E27" i="6" s="1"/>
  <c r="AE28" i="7"/>
  <c r="X28" i="7"/>
  <c r="O28" i="7"/>
  <c r="N28" i="7"/>
  <c r="AS27" i="7"/>
  <c r="AP27" i="7"/>
  <c r="AK27" i="7"/>
  <c r="AJ27" i="7"/>
  <c r="AI27" i="7"/>
  <c r="E27" i="8" s="1"/>
  <c r="AH27" i="7"/>
  <c r="G26" i="6" s="1"/>
  <c r="AF27" i="7"/>
  <c r="E26" i="6" s="1"/>
  <c r="AE27" i="7"/>
  <c r="X27" i="7"/>
  <c r="O27" i="7"/>
  <c r="N27" i="7"/>
  <c r="AS26" i="7"/>
  <c r="AP26" i="7"/>
  <c r="AK26" i="7"/>
  <c r="AJ26" i="7"/>
  <c r="I25" i="6" s="1"/>
  <c r="AI26" i="7"/>
  <c r="H25" i="6" s="1"/>
  <c r="AF26" i="7"/>
  <c r="AG26" i="7" s="1"/>
  <c r="AE26" i="7"/>
  <c r="X26" i="7"/>
  <c r="O26" i="7"/>
  <c r="N26" i="7"/>
  <c r="AH26" i="7" s="1"/>
  <c r="AS25" i="7"/>
  <c r="AP25" i="7"/>
  <c r="AK25" i="7"/>
  <c r="J24" i="6" s="1"/>
  <c r="AJ25" i="7"/>
  <c r="I24" i="6" s="1"/>
  <c r="AI25" i="7"/>
  <c r="E25" i="8" s="1"/>
  <c r="AH25" i="7"/>
  <c r="AF25" i="7"/>
  <c r="AG25" i="7" s="1"/>
  <c r="C25" i="8" s="1"/>
  <c r="AE25" i="7"/>
  <c r="X25" i="7"/>
  <c r="O25" i="7"/>
  <c r="N25" i="7"/>
  <c r="AS24" i="7"/>
  <c r="AP24" i="7"/>
  <c r="AK24" i="7"/>
  <c r="J23" i="6" s="1"/>
  <c r="AJ24" i="7"/>
  <c r="I23" i="6" s="1"/>
  <c r="AI24" i="7"/>
  <c r="E24" i="8" s="1"/>
  <c r="AG24" i="7"/>
  <c r="C24" i="8" s="1"/>
  <c r="AF24" i="7"/>
  <c r="E23" i="6" s="1"/>
  <c r="AE24" i="7"/>
  <c r="X24" i="7"/>
  <c r="O24" i="7"/>
  <c r="N24" i="7"/>
  <c r="AS23" i="7"/>
  <c r="AP23" i="7"/>
  <c r="AK23" i="7"/>
  <c r="J22" i="6" s="1"/>
  <c r="AJ23" i="7"/>
  <c r="AI23" i="7"/>
  <c r="E23" i="8" s="1"/>
  <c r="AF23" i="7"/>
  <c r="E22" i="6" s="1"/>
  <c r="AE23" i="7"/>
  <c r="X23" i="7"/>
  <c r="O23" i="7"/>
  <c r="N23" i="7"/>
  <c r="AH23" i="7" s="1"/>
  <c r="AS22" i="7"/>
  <c r="AP22" i="7"/>
  <c r="AK22" i="7"/>
  <c r="AJ22" i="7"/>
  <c r="I21" i="6" s="1"/>
  <c r="AI22" i="7"/>
  <c r="H21" i="6" s="1"/>
  <c r="AF22" i="7"/>
  <c r="E21" i="6" s="1"/>
  <c r="AE22" i="7"/>
  <c r="X22" i="7"/>
  <c r="O22" i="7"/>
  <c r="N22" i="7"/>
  <c r="AH22" i="7" s="1"/>
  <c r="AS21" i="7"/>
  <c r="AP21" i="7"/>
  <c r="AK21" i="7"/>
  <c r="J20" i="6" s="1"/>
  <c r="AJ21" i="7"/>
  <c r="I20" i="6" s="1"/>
  <c r="AI21" i="7"/>
  <c r="H20" i="6" s="1"/>
  <c r="AG21" i="7"/>
  <c r="C21" i="8" s="1"/>
  <c r="AF21" i="7"/>
  <c r="AE21" i="7"/>
  <c r="X21" i="7"/>
  <c r="O21" i="7"/>
  <c r="N21" i="7"/>
  <c r="AH21" i="7" s="1"/>
  <c r="AS20" i="7"/>
  <c r="AP20" i="7"/>
  <c r="AK20" i="7"/>
  <c r="J19" i="6" s="1"/>
  <c r="AJ20" i="7"/>
  <c r="I19" i="6" s="1"/>
  <c r="AI20" i="7"/>
  <c r="E20" i="8" s="1"/>
  <c r="AE20" i="7"/>
  <c r="X20" i="7"/>
  <c r="O20" i="7"/>
  <c r="AF20" i="7" s="1"/>
  <c r="N20" i="7"/>
  <c r="AS19" i="7"/>
  <c r="AP19" i="7"/>
  <c r="AK19" i="7"/>
  <c r="AJ19" i="7"/>
  <c r="AI19" i="7"/>
  <c r="E19" i="8" s="1"/>
  <c r="AH19" i="7"/>
  <c r="G18" i="6" s="1"/>
  <c r="AF19" i="7"/>
  <c r="AE19" i="7"/>
  <c r="X19" i="7"/>
  <c r="O19" i="7"/>
  <c r="N19" i="7"/>
  <c r="AS18" i="7"/>
  <c r="AP18" i="7"/>
  <c r="AK18" i="7"/>
  <c r="J17" i="6" s="1"/>
  <c r="AJ18" i="7"/>
  <c r="I17" i="6" s="1"/>
  <c r="AI18" i="7"/>
  <c r="H17" i="6" s="1"/>
  <c r="AE18" i="7"/>
  <c r="X18" i="7"/>
  <c r="O18" i="7"/>
  <c r="N18" i="7"/>
  <c r="AH18" i="7" s="1"/>
  <c r="AS17" i="7"/>
  <c r="AP17" i="7"/>
  <c r="AK17" i="7"/>
  <c r="J16" i="6" s="1"/>
  <c r="AJ17" i="7"/>
  <c r="AI17" i="7"/>
  <c r="E17" i="8" s="1"/>
  <c r="AE17" i="7"/>
  <c r="X17" i="7"/>
  <c r="O17" i="7"/>
  <c r="AF17" i="7" s="1"/>
  <c r="E16" i="6" s="1"/>
  <c r="N17" i="7"/>
  <c r="AH17" i="7" s="1"/>
  <c r="AG17" i="7" s="1"/>
  <c r="AS16" i="7"/>
  <c r="AP16" i="7"/>
  <c r="AK16" i="7"/>
  <c r="J15" i="6" s="1"/>
  <c r="AJ16" i="7"/>
  <c r="I15" i="6" s="1"/>
  <c r="AI16" i="7"/>
  <c r="E16" i="8" s="1"/>
  <c r="AE16" i="7"/>
  <c r="X16" i="7"/>
  <c r="O16" i="7"/>
  <c r="N16" i="7"/>
  <c r="AS15" i="7"/>
  <c r="AP15" i="7"/>
  <c r="AK15" i="7"/>
  <c r="AJ15" i="7"/>
  <c r="I14" i="6" s="1"/>
  <c r="AI15" i="7"/>
  <c r="E15" i="8" s="1"/>
  <c r="AH15" i="7"/>
  <c r="AE15" i="7"/>
  <c r="X15" i="7"/>
  <c r="AF15" i="7" s="1"/>
  <c r="O15" i="7"/>
  <c r="N15" i="7"/>
  <c r="AS14" i="7"/>
  <c r="AP14" i="7"/>
  <c r="AK14" i="7"/>
  <c r="J13" i="6" s="1"/>
  <c r="AJ14" i="7"/>
  <c r="I13" i="6" s="1"/>
  <c r="AI14" i="7"/>
  <c r="H13" i="6" s="1"/>
  <c r="AE14" i="7"/>
  <c r="X14" i="7"/>
  <c r="O14" i="7"/>
  <c r="N14" i="7"/>
  <c r="AH14" i="7" s="1"/>
  <c r="AS13" i="7"/>
  <c r="AP13" i="7"/>
  <c r="AK13" i="7"/>
  <c r="J12" i="6" s="1"/>
  <c r="AJ13" i="7"/>
  <c r="AI13" i="7"/>
  <c r="H12" i="6" s="1"/>
  <c r="AE13" i="7"/>
  <c r="X13" i="7"/>
  <c r="O13" i="7"/>
  <c r="AF13" i="7" s="1"/>
  <c r="N13" i="7"/>
  <c r="AH13" i="7" s="1"/>
  <c r="G12" i="6" s="1"/>
  <c r="AS12" i="7"/>
  <c r="AP12" i="7"/>
  <c r="AK12" i="7"/>
  <c r="J11" i="6" s="1"/>
  <c r="AJ12" i="7"/>
  <c r="I11" i="6" s="1"/>
  <c r="AI12" i="7"/>
  <c r="E12" i="8" s="1"/>
  <c r="AE12" i="7"/>
  <c r="X12" i="7"/>
  <c r="O12" i="7"/>
  <c r="N12" i="7"/>
  <c r="AS11" i="7"/>
  <c r="AP11" i="7"/>
  <c r="AK11" i="7"/>
  <c r="AJ11" i="7"/>
  <c r="AI11" i="7"/>
  <c r="H10" i="6" s="1"/>
  <c r="AH11" i="7"/>
  <c r="G10" i="6" s="1"/>
  <c r="AG11" i="7"/>
  <c r="AF11" i="7"/>
  <c r="E10" i="6" s="1"/>
  <c r="AE11" i="7"/>
  <c r="X11" i="7"/>
  <c r="O11" i="7"/>
  <c r="N11" i="7"/>
  <c r="AS10" i="7"/>
  <c r="AP10" i="7"/>
  <c r="AK10" i="7"/>
  <c r="AJ10" i="7"/>
  <c r="I9" i="6" s="1"/>
  <c r="AI10" i="7"/>
  <c r="H9" i="6" s="1"/>
  <c r="AF10" i="7"/>
  <c r="AG10" i="7" s="1"/>
  <c r="AE10" i="7"/>
  <c r="X10" i="7"/>
  <c r="O10" i="7"/>
  <c r="N10" i="7"/>
  <c r="AH10" i="7" s="1"/>
  <c r="AS9" i="7"/>
  <c r="AP9" i="7"/>
  <c r="AK9" i="7"/>
  <c r="J8" i="6" s="1"/>
  <c r="AJ9" i="7"/>
  <c r="AI9" i="7"/>
  <c r="E9" i="8" s="1"/>
  <c r="AH9" i="7"/>
  <c r="AG9" i="7"/>
  <c r="C9" i="8" s="1"/>
  <c r="AF9" i="7"/>
  <c r="AE9" i="7"/>
  <c r="X9" i="7"/>
  <c r="O9" i="7"/>
  <c r="N9" i="7"/>
  <c r="AS8" i="7"/>
  <c r="AP8" i="7"/>
  <c r="AK8" i="7"/>
  <c r="J7" i="6" s="1"/>
  <c r="AJ8" i="7"/>
  <c r="AI8" i="7"/>
  <c r="E8" i="8" s="1"/>
  <c r="AE8" i="7"/>
  <c r="X8" i="7"/>
  <c r="O8" i="7"/>
  <c r="N8" i="7"/>
  <c r="AS7" i="7"/>
  <c r="AP7" i="7"/>
  <c r="AK7" i="7"/>
  <c r="AJ7" i="7"/>
  <c r="AI7" i="7"/>
  <c r="E7" i="8" s="1"/>
  <c r="AE7" i="7"/>
  <c r="X7" i="7"/>
  <c r="O7" i="7"/>
  <c r="AF7" i="7" s="1"/>
  <c r="N7" i="7"/>
  <c r="AH7" i="7" s="1"/>
  <c r="AS6" i="7"/>
  <c r="AP6" i="7"/>
  <c r="AK6" i="7"/>
  <c r="J5" i="6" s="1"/>
  <c r="AJ6" i="7"/>
  <c r="I5" i="6" s="1"/>
  <c r="AI6" i="7"/>
  <c r="H5" i="6" s="1"/>
  <c r="AE6" i="7"/>
  <c r="X6" i="7"/>
  <c r="O6" i="7"/>
  <c r="N6" i="7"/>
  <c r="AH6" i="7" s="1"/>
  <c r="AS5" i="7"/>
  <c r="AP5" i="7"/>
  <c r="AK5" i="7"/>
  <c r="J4" i="6" s="1"/>
  <c r="AJ5" i="7"/>
  <c r="AI5" i="7"/>
  <c r="H4" i="6" s="1"/>
  <c r="AH5" i="7"/>
  <c r="D5" i="8" s="1"/>
  <c r="AE5" i="7"/>
  <c r="X5" i="7"/>
  <c r="AF5" i="7" s="1"/>
  <c r="AG5" i="7" s="1"/>
  <c r="O5" i="7"/>
  <c r="N5" i="7"/>
  <c r="AS4" i="7"/>
  <c r="AP4" i="7"/>
  <c r="AK4" i="7"/>
  <c r="J3" i="6" s="1"/>
  <c r="AJ4" i="7"/>
  <c r="AI4" i="7"/>
  <c r="E4" i="8" s="1"/>
  <c r="AE4" i="7"/>
  <c r="X4" i="7"/>
  <c r="O4" i="7"/>
  <c r="N4" i="7"/>
  <c r="AS3" i="7"/>
  <c r="AP3" i="7"/>
  <c r="AK3" i="7"/>
  <c r="AJ3" i="7"/>
  <c r="AI3" i="7"/>
  <c r="E25" i="2" s="1"/>
  <c r="AE3" i="7"/>
  <c r="X3" i="7"/>
  <c r="O3" i="7"/>
  <c r="AF3" i="7" s="1"/>
  <c r="E2" i="6" s="1"/>
  <c r="N3" i="7"/>
  <c r="AH3" i="7" s="1"/>
  <c r="J50" i="6"/>
  <c r="I50" i="6"/>
  <c r="H50" i="6"/>
  <c r="D50" i="6"/>
  <c r="C50" i="6"/>
  <c r="B50" i="6"/>
  <c r="A50" i="6"/>
  <c r="J49" i="6"/>
  <c r="C49" i="6"/>
  <c r="B49" i="6"/>
  <c r="A49" i="6"/>
  <c r="I48" i="6"/>
  <c r="D48" i="6"/>
  <c r="C48" i="6"/>
  <c r="B48" i="6"/>
  <c r="A48" i="6"/>
  <c r="H47" i="6"/>
  <c r="C47" i="6"/>
  <c r="B47" i="6"/>
  <c r="A47" i="6"/>
  <c r="J46" i="6"/>
  <c r="I46" i="6"/>
  <c r="H46" i="6"/>
  <c r="D46" i="6"/>
  <c r="C46" i="6"/>
  <c r="B46" i="6"/>
  <c r="A46" i="6"/>
  <c r="J45" i="6"/>
  <c r="E45" i="6"/>
  <c r="D45" i="6"/>
  <c r="C45" i="6"/>
  <c r="B45" i="6"/>
  <c r="A45" i="6"/>
  <c r="I44" i="6"/>
  <c r="E44" i="6"/>
  <c r="D44" i="6"/>
  <c r="C44" i="6"/>
  <c r="B44" i="6"/>
  <c r="A44" i="6"/>
  <c r="H43" i="6"/>
  <c r="C43" i="6"/>
  <c r="B43" i="6"/>
  <c r="A43" i="6"/>
  <c r="J42" i="6"/>
  <c r="I42" i="6"/>
  <c r="H42" i="6"/>
  <c r="D42" i="6"/>
  <c r="C42" i="6"/>
  <c r="B42" i="6"/>
  <c r="A42" i="6"/>
  <c r="J41" i="6"/>
  <c r="E41" i="6"/>
  <c r="D41" i="6"/>
  <c r="C41" i="6"/>
  <c r="B41" i="6"/>
  <c r="A41" i="6"/>
  <c r="I40" i="6"/>
  <c r="E40" i="6"/>
  <c r="D40" i="6"/>
  <c r="C40" i="6"/>
  <c r="B40" i="6"/>
  <c r="A40" i="6"/>
  <c r="H39" i="6"/>
  <c r="C39" i="6"/>
  <c r="B39" i="6"/>
  <c r="A39" i="6"/>
  <c r="J38" i="6"/>
  <c r="I38" i="6"/>
  <c r="H38" i="6"/>
  <c r="D38" i="6"/>
  <c r="C38" i="6"/>
  <c r="B38" i="6"/>
  <c r="A38" i="6"/>
  <c r="J37" i="6"/>
  <c r="E37" i="6"/>
  <c r="D37" i="6"/>
  <c r="C37" i="6"/>
  <c r="B37" i="6"/>
  <c r="A37" i="6"/>
  <c r="I36" i="6"/>
  <c r="E36" i="6"/>
  <c r="D36" i="6"/>
  <c r="C36" i="6"/>
  <c r="B36" i="6"/>
  <c r="A36" i="6"/>
  <c r="H35" i="6"/>
  <c r="C35" i="6"/>
  <c r="B35" i="6"/>
  <c r="A35" i="6"/>
  <c r="I34" i="6"/>
  <c r="H34" i="6"/>
  <c r="D34" i="6"/>
  <c r="C34" i="6"/>
  <c r="B34" i="6"/>
  <c r="A34" i="6"/>
  <c r="E33" i="6"/>
  <c r="C33" i="6"/>
  <c r="B33" i="6"/>
  <c r="A33" i="6"/>
  <c r="I32" i="6"/>
  <c r="D32" i="6"/>
  <c r="C32" i="6"/>
  <c r="B32" i="6"/>
  <c r="A32" i="6"/>
  <c r="C31" i="6"/>
  <c r="B31" i="6"/>
  <c r="A31" i="6"/>
  <c r="J30" i="6"/>
  <c r="I30" i="6"/>
  <c r="H30" i="6"/>
  <c r="D30" i="6"/>
  <c r="C30" i="6"/>
  <c r="B30" i="6"/>
  <c r="A30" i="6"/>
  <c r="J29" i="6"/>
  <c r="E29" i="6"/>
  <c r="D29" i="6"/>
  <c r="C29" i="6"/>
  <c r="B29" i="6"/>
  <c r="A29" i="6"/>
  <c r="I28" i="6"/>
  <c r="E28" i="6"/>
  <c r="D28" i="6"/>
  <c r="C28" i="6"/>
  <c r="B28" i="6"/>
  <c r="A28" i="6"/>
  <c r="H27" i="6"/>
  <c r="C27" i="6"/>
  <c r="B27" i="6"/>
  <c r="A27" i="6"/>
  <c r="J26" i="6"/>
  <c r="I26" i="6"/>
  <c r="H26" i="6"/>
  <c r="D26" i="6"/>
  <c r="C26" i="6"/>
  <c r="B26" i="6"/>
  <c r="A26" i="6"/>
  <c r="J25" i="6"/>
  <c r="E25" i="6"/>
  <c r="D25" i="6"/>
  <c r="C25" i="6"/>
  <c r="B25" i="6"/>
  <c r="A25" i="6"/>
  <c r="E24" i="6"/>
  <c r="D24" i="6"/>
  <c r="C24" i="6"/>
  <c r="B24" i="6"/>
  <c r="A24" i="6"/>
  <c r="C23" i="6"/>
  <c r="B23" i="6"/>
  <c r="A23" i="6"/>
  <c r="I22" i="6"/>
  <c r="H22" i="6"/>
  <c r="D22" i="6"/>
  <c r="C22" i="6"/>
  <c r="B22" i="6"/>
  <c r="A22" i="6"/>
  <c r="J21" i="6"/>
  <c r="D21" i="6"/>
  <c r="C21" i="6"/>
  <c r="B21" i="6"/>
  <c r="A21" i="6"/>
  <c r="E20" i="6"/>
  <c r="C20" i="6"/>
  <c r="B20" i="6"/>
  <c r="A20" i="6"/>
  <c r="H19" i="6"/>
  <c r="C19" i="6"/>
  <c r="B19" i="6"/>
  <c r="A19" i="6"/>
  <c r="J18" i="6"/>
  <c r="I18" i="6"/>
  <c r="H18" i="6"/>
  <c r="D18" i="6"/>
  <c r="C18" i="6"/>
  <c r="B18" i="6"/>
  <c r="A18" i="6"/>
  <c r="D17" i="6"/>
  <c r="C17" i="6"/>
  <c r="B17" i="6"/>
  <c r="A17" i="6"/>
  <c r="I16" i="6"/>
  <c r="C16" i="6"/>
  <c r="B16" i="6"/>
  <c r="A16" i="6"/>
  <c r="H15" i="6"/>
  <c r="C15" i="6"/>
  <c r="B15" i="6"/>
  <c r="A15" i="6"/>
  <c r="J14" i="6"/>
  <c r="H14" i="6"/>
  <c r="D14" i="6"/>
  <c r="C14" i="6"/>
  <c r="B14" i="6"/>
  <c r="A14" i="6"/>
  <c r="C13" i="6"/>
  <c r="B13" i="6"/>
  <c r="A13" i="6"/>
  <c r="I12" i="6"/>
  <c r="D12" i="6"/>
  <c r="C12" i="6"/>
  <c r="B12" i="6"/>
  <c r="A12" i="6"/>
  <c r="C11" i="6"/>
  <c r="B11" i="6"/>
  <c r="A11" i="6"/>
  <c r="J10" i="6"/>
  <c r="I10" i="6"/>
  <c r="D10" i="6"/>
  <c r="C10" i="6"/>
  <c r="B10" i="6"/>
  <c r="A10" i="6"/>
  <c r="J9" i="6"/>
  <c r="E9" i="6"/>
  <c r="D9" i="6"/>
  <c r="C9" i="6"/>
  <c r="B9" i="6"/>
  <c r="A9" i="6"/>
  <c r="I8" i="6"/>
  <c r="E8" i="6"/>
  <c r="D8" i="6"/>
  <c r="C8" i="6"/>
  <c r="B8" i="6"/>
  <c r="A8" i="6"/>
  <c r="I7" i="6"/>
  <c r="C7" i="6"/>
  <c r="B7" i="6"/>
  <c r="A7" i="6"/>
  <c r="J6" i="6"/>
  <c r="I6" i="6"/>
  <c r="D6" i="6"/>
  <c r="C6" i="6"/>
  <c r="B6" i="6"/>
  <c r="A6" i="6"/>
  <c r="D5" i="6"/>
  <c r="C5" i="6"/>
  <c r="B5" i="6"/>
  <c r="A5" i="6"/>
  <c r="I4" i="6"/>
  <c r="D4" i="6"/>
  <c r="C4" i="6"/>
  <c r="B4" i="6"/>
  <c r="A4" i="6"/>
  <c r="I3" i="6"/>
  <c r="H3" i="6"/>
  <c r="C3" i="6"/>
  <c r="B3" i="6"/>
  <c r="A3" i="6"/>
  <c r="J2" i="6"/>
  <c r="I2" i="6"/>
  <c r="H2" i="6"/>
  <c r="D2" i="6"/>
  <c r="C2" i="6"/>
  <c r="B2" i="6"/>
  <c r="A2" i="6"/>
  <c r="A166" i="5"/>
  <c r="O51" i="4"/>
  <c r="O50" i="4"/>
  <c r="O49" i="4"/>
  <c r="O48" i="4"/>
  <c r="O47" i="4"/>
  <c r="O46" i="4"/>
  <c r="O45" i="4"/>
  <c r="O44" i="4"/>
  <c r="O43" i="4"/>
  <c r="O42" i="4"/>
  <c r="O41" i="4"/>
  <c r="O40" i="4"/>
  <c r="O39" i="4"/>
  <c r="O38" i="4"/>
  <c r="O37" i="4"/>
  <c r="O36" i="4"/>
  <c r="O35" i="4"/>
  <c r="O34" i="4"/>
  <c r="O33" i="4"/>
  <c r="O32" i="4"/>
  <c r="O31" i="4"/>
  <c r="O30" i="4"/>
  <c r="O29" i="4"/>
  <c r="O28" i="4"/>
  <c r="O27" i="4"/>
  <c r="O26" i="4"/>
  <c r="O25" i="4"/>
  <c r="P25" i="4" s="1"/>
  <c r="O24" i="4"/>
  <c r="O23" i="4"/>
  <c r="O22" i="4"/>
  <c r="O21" i="4"/>
  <c r="O20" i="4"/>
  <c r="O19" i="4"/>
  <c r="O18" i="4"/>
  <c r="O17" i="4"/>
  <c r="O16" i="4"/>
  <c r="O15" i="4"/>
  <c r="O14" i="4"/>
  <c r="P14" i="4" s="1"/>
  <c r="O13" i="4"/>
  <c r="O12" i="4"/>
  <c r="O11" i="4"/>
  <c r="P11" i="4" s="1"/>
  <c r="O10" i="4"/>
  <c r="O9" i="4"/>
  <c r="O8" i="4"/>
  <c r="O7" i="4"/>
  <c r="O6" i="4"/>
  <c r="O5" i="4"/>
  <c r="P5" i="4" s="1"/>
  <c r="O4" i="4"/>
  <c r="O3" i="4"/>
  <c r="H52" i="3"/>
  <c r="H51" i="3"/>
  <c r="H48" i="3"/>
  <c r="B48" i="3"/>
  <c r="G47" i="3"/>
  <c r="I47" i="3" s="1"/>
  <c r="F47" i="3"/>
  <c r="J45" i="3"/>
  <c r="G44" i="3"/>
  <c r="J43" i="3"/>
  <c r="F43" i="3"/>
  <c r="G43" i="3" s="1"/>
  <c r="J42" i="3"/>
  <c r="J41" i="3"/>
  <c r="F37" i="3"/>
  <c r="G37" i="3" s="1"/>
  <c r="J36" i="3"/>
  <c r="F36" i="3"/>
  <c r="G36" i="3" s="1"/>
  <c r="I36" i="3" s="1"/>
  <c r="F32" i="3"/>
  <c r="G32" i="3" s="1"/>
  <c r="J31" i="3"/>
  <c r="G31" i="3"/>
  <c r="I31" i="3" s="1"/>
  <c r="F31" i="3"/>
  <c r="G30" i="3"/>
  <c r="F30" i="3"/>
  <c r="F29" i="3"/>
  <c r="G29" i="3" s="1"/>
  <c r="J28" i="3"/>
  <c r="I28" i="3"/>
  <c r="G28" i="3"/>
  <c r="H25" i="3"/>
  <c r="B25" i="3"/>
  <c r="J21" i="3"/>
  <c r="G21" i="3"/>
  <c r="I21" i="3" s="1"/>
  <c r="F21" i="3"/>
  <c r="F20" i="3"/>
  <c r="G20" i="3" s="1"/>
  <c r="I20" i="3" s="1"/>
  <c r="F19" i="3"/>
  <c r="G19" i="3" s="1"/>
  <c r="F18" i="3"/>
  <c r="G18" i="3" s="1"/>
  <c r="F17" i="3"/>
  <c r="G17" i="3" s="1"/>
  <c r="F16" i="3"/>
  <c r="G16" i="3" s="1"/>
  <c r="J16" i="3" s="1"/>
  <c r="J15" i="3"/>
  <c r="G15" i="3"/>
  <c r="J14" i="3"/>
  <c r="I14" i="3"/>
  <c r="G14" i="3"/>
  <c r="E33" i="2"/>
  <c r="E24" i="2"/>
  <c r="E11" i="2"/>
  <c r="E10" i="2"/>
  <c r="E7" i="2"/>
  <c r="E6" i="2"/>
  <c r="E5" i="2"/>
  <c r="H50" i="4" a="1"/>
  <c r="H42" i="4" a="1"/>
  <c r="H34" i="4" a="1"/>
  <c r="H26" i="4" a="1"/>
  <c r="H18" i="4" a="1"/>
  <c r="H10" i="4" a="1"/>
  <c r="H48" i="4" a="1"/>
  <c r="H40" i="4" a="1"/>
  <c r="H45" i="4" a="1"/>
  <c r="H37" i="4" a="1"/>
  <c r="H29" i="4" a="1"/>
  <c r="H21" i="4" a="1"/>
  <c r="H13" i="4" a="1"/>
  <c r="H5" i="4" a="1"/>
  <c r="H51" i="4" a="1"/>
  <c r="H43" i="4" a="1"/>
  <c r="H35" i="4" a="1"/>
  <c r="H27" i="4" a="1"/>
  <c r="H19" i="4" a="1"/>
  <c r="H11" i="4" a="1"/>
  <c r="H3" i="4" a="1"/>
  <c r="H32" i="4" a="1"/>
  <c r="H25" i="4" a="1"/>
  <c r="H23" i="4" a="1"/>
  <c r="H16" i="4" a="1"/>
  <c r="H20" i="4" a="1"/>
  <c r="H9" i="4" a="1"/>
  <c r="H7" i="4" a="1"/>
  <c r="H22" i="4" a="1"/>
  <c r="H47" i="4" a="1"/>
  <c r="H44" i="4" a="1"/>
  <c r="H39" i="4" a="1"/>
  <c r="H36" i="4" a="1"/>
  <c r="H6" i="4" a="1"/>
  <c r="H41" i="4" a="1"/>
  <c r="H33" i="4" a="1"/>
  <c r="H31" i="4" a="1"/>
  <c r="H24" i="4" a="1"/>
  <c r="H17" i="4" a="1"/>
  <c r="H15" i="4" a="1"/>
  <c r="H49" i="4" a="1"/>
  <c r="H30" i="4" a="1"/>
  <c r="H8" i="4" a="1"/>
  <c r="H14" i="4" a="1"/>
  <c r="H4" i="4" a="1"/>
  <c r="H38" i="4" a="1"/>
  <c r="H28" i="4" a="1"/>
  <c r="H12" i="4" a="1"/>
  <c r="H46" i="4" a="1"/>
  <c r="G28" i="6" l="1"/>
  <c r="D29" i="8"/>
  <c r="AG13" i="7"/>
  <c r="E12" i="6"/>
  <c r="G48" i="6"/>
  <c r="D49" i="8"/>
  <c r="E14" i="6"/>
  <c r="AG15" i="7"/>
  <c r="F25" i="6"/>
  <c r="C26" i="8"/>
  <c r="F9" i="6"/>
  <c r="C10" i="8"/>
  <c r="AG3" i="7"/>
  <c r="D20" i="6"/>
  <c r="AF4" i="7"/>
  <c r="AF8" i="7"/>
  <c r="AF14" i="7"/>
  <c r="AG40" i="7"/>
  <c r="C40" i="8" s="1"/>
  <c r="E11" i="8"/>
  <c r="E34" i="8"/>
  <c r="G4" i="6"/>
  <c r="H7" i="6"/>
  <c r="H11" i="6"/>
  <c r="H31" i="6"/>
  <c r="AG23" i="7"/>
  <c r="AG28" i="7"/>
  <c r="C28" i="8" s="1"/>
  <c r="E14" i="8"/>
  <c r="E26" i="8"/>
  <c r="D16" i="6"/>
  <c r="D45" i="8"/>
  <c r="H6" i="6"/>
  <c r="D13" i="6"/>
  <c r="H23" i="6"/>
  <c r="E3" i="8"/>
  <c r="E18" i="8"/>
  <c r="E38" i="8"/>
  <c r="E45" i="8"/>
  <c r="E6" i="8"/>
  <c r="E30" i="8"/>
  <c r="E22" i="8"/>
  <c r="E32" i="2"/>
  <c r="AG22" i="7"/>
  <c r="C22" i="8" s="1"/>
  <c r="C42" i="8"/>
  <c r="E10" i="8"/>
  <c r="E42" i="8"/>
  <c r="J17" i="3"/>
  <c r="I17" i="3"/>
  <c r="J47" i="3"/>
  <c r="H46" i="4"/>
  <c r="I46" i="4" s="1"/>
  <c r="H12" i="4"/>
  <c r="H28" i="4"/>
  <c r="I28" i="4" s="1"/>
  <c r="H38" i="4"/>
  <c r="I38" i="4" s="1"/>
  <c r="H4" i="4"/>
  <c r="H14" i="4"/>
  <c r="H8" i="4"/>
  <c r="H30" i="4"/>
  <c r="H49" i="4"/>
  <c r="I49" i="4" s="1"/>
  <c r="P49" i="4" s="1"/>
  <c r="H15" i="4"/>
  <c r="H17" i="4"/>
  <c r="I17" i="4" s="1"/>
  <c r="P17" i="4" s="1"/>
  <c r="H24" i="4"/>
  <c r="I24" i="4" s="1"/>
  <c r="P24" i="4" s="1"/>
  <c r="H31" i="4"/>
  <c r="I31" i="4" s="1"/>
  <c r="P31" i="4" s="1"/>
  <c r="H33" i="4"/>
  <c r="I33" i="4" s="1"/>
  <c r="P33" i="4" s="1"/>
  <c r="H41" i="4"/>
  <c r="I41" i="4" s="1"/>
  <c r="P41" i="4" s="1"/>
  <c r="H6" i="4"/>
  <c r="H36" i="4"/>
  <c r="H39" i="4"/>
  <c r="H44" i="4"/>
  <c r="H47" i="4"/>
  <c r="I47" i="4" s="1"/>
  <c r="P47" i="4" s="1"/>
  <c r="H22" i="4"/>
  <c r="I22" i="4" s="1"/>
  <c r="P22" i="4" s="1"/>
  <c r="H7" i="4"/>
  <c r="H9" i="4"/>
  <c r="H20" i="4"/>
  <c r="I20" i="4" s="1"/>
  <c r="P20" i="4" s="1"/>
  <c r="H16" i="4"/>
  <c r="I16" i="4" s="1"/>
  <c r="P16" i="4" s="1"/>
  <c r="H23" i="4"/>
  <c r="I23" i="4" s="1"/>
  <c r="H25" i="4"/>
  <c r="I25" i="4" s="1"/>
  <c r="H32" i="4"/>
  <c r="I32" i="4" s="1"/>
  <c r="P32" i="4" s="1"/>
  <c r="H3" i="4"/>
  <c r="H11" i="4"/>
  <c r="H19" i="4"/>
  <c r="I19" i="4" s="1"/>
  <c r="P19" i="4" s="1"/>
  <c r="H27" i="4"/>
  <c r="I27" i="4" s="1"/>
  <c r="P27" i="4" s="1"/>
  <c r="H35" i="4"/>
  <c r="I35" i="4" s="1"/>
  <c r="P35" i="4" s="1"/>
  <c r="H43" i="4"/>
  <c r="H51" i="4"/>
  <c r="H5" i="4"/>
  <c r="H13" i="4"/>
  <c r="H21" i="4"/>
  <c r="I21" i="4" s="1"/>
  <c r="P21" i="4" s="1"/>
  <c r="H29" i="4"/>
  <c r="I29" i="4" s="1"/>
  <c r="P29" i="4" s="1"/>
  <c r="H37" i="4"/>
  <c r="I37" i="4" s="1"/>
  <c r="P37" i="4" s="1"/>
  <c r="H45" i="4"/>
  <c r="H40" i="4"/>
  <c r="I40" i="4" s="1"/>
  <c r="P40" i="4" s="1"/>
  <c r="H48" i="4"/>
  <c r="I48" i="4" s="1"/>
  <c r="P48" i="4" s="1"/>
  <c r="H10" i="4"/>
  <c r="H18" i="4"/>
  <c r="I18" i="4" s="1"/>
  <c r="P18" i="4" s="1"/>
  <c r="H26" i="4"/>
  <c r="I26" i="4" s="1"/>
  <c r="P26" i="4" s="1"/>
  <c r="H34" i="4"/>
  <c r="I34" i="4" s="1"/>
  <c r="P34" i="4" s="1"/>
  <c r="H42" i="4"/>
  <c r="I42" i="4" s="1"/>
  <c r="P42" i="4" s="1"/>
  <c r="H50" i="4"/>
  <c r="I50" i="4" s="1"/>
  <c r="P50" i="4" s="1"/>
  <c r="P23" i="4"/>
  <c r="C3" i="8"/>
  <c r="F2" i="6"/>
  <c r="D9" i="8"/>
  <c r="G8" i="6"/>
  <c r="F8" i="6"/>
  <c r="G14" i="6"/>
  <c r="D15" i="8"/>
  <c r="A18" i="11"/>
  <c r="N5" i="11"/>
  <c r="AH8" i="7"/>
  <c r="D7" i="6"/>
  <c r="C45" i="8"/>
  <c r="R45" i="8" s="1"/>
  <c r="S45" i="8" s="1"/>
  <c r="F44" i="6"/>
  <c r="A11" i="11"/>
  <c r="G5" i="11"/>
  <c r="V15" i="11"/>
  <c r="N15" i="11"/>
  <c r="E15" i="11"/>
  <c r="AB15" i="11"/>
  <c r="T15" i="11"/>
  <c r="L15" i="11"/>
  <c r="C15" i="11"/>
  <c r="Y15" i="11"/>
  <c r="Q15" i="11"/>
  <c r="H15" i="11"/>
  <c r="X15" i="11"/>
  <c r="P15" i="11"/>
  <c r="G15" i="11"/>
  <c r="S15" i="11"/>
  <c r="B15" i="11"/>
  <c r="R15" i="11"/>
  <c r="O15" i="11"/>
  <c r="M15" i="11"/>
  <c r="AA15" i="11"/>
  <c r="J15" i="11"/>
  <c r="Z15" i="11"/>
  <c r="I15" i="11"/>
  <c r="W15" i="11"/>
  <c r="F15" i="11"/>
  <c r="U15" i="11"/>
  <c r="D15" i="11"/>
  <c r="J37" i="3"/>
  <c r="J30" i="3"/>
  <c r="I30" i="3"/>
  <c r="I37" i="3"/>
  <c r="J44" i="3"/>
  <c r="I44" i="3"/>
  <c r="R25" i="8"/>
  <c r="S25" i="8" s="1"/>
  <c r="C35" i="8"/>
  <c r="F34" i="6"/>
  <c r="G36" i="6"/>
  <c r="F36" i="6"/>
  <c r="D37" i="8"/>
  <c r="A19" i="11"/>
  <c r="O5" i="11"/>
  <c r="V7" i="11"/>
  <c r="AA7" i="11"/>
  <c r="R7" i="11"/>
  <c r="J7" i="11"/>
  <c r="Z7" i="11"/>
  <c r="Q7" i="11"/>
  <c r="I7" i="11"/>
  <c r="Y7" i="11"/>
  <c r="X7" i="11"/>
  <c r="O7" i="11"/>
  <c r="G7" i="11"/>
  <c r="T7" i="11"/>
  <c r="L7" i="11"/>
  <c r="D7" i="11"/>
  <c r="AB7" i="11"/>
  <c r="S7" i="11"/>
  <c r="K7" i="11"/>
  <c r="B7" i="11"/>
  <c r="U7" i="11"/>
  <c r="P7" i="11"/>
  <c r="N7" i="11"/>
  <c r="H7" i="11"/>
  <c r="M7" i="11"/>
  <c r="F7" i="11"/>
  <c r="E7" i="11"/>
  <c r="W7" i="11"/>
  <c r="V23" i="11"/>
  <c r="M23" i="11"/>
  <c r="E23" i="11"/>
  <c r="U23" i="11"/>
  <c r="L23" i="11"/>
  <c r="D23" i="11"/>
  <c r="AB23" i="11"/>
  <c r="T23" i="11"/>
  <c r="K23" i="11"/>
  <c r="C23" i="11"/>
  <c r="AA23" i="11"/>
  <c r="R23" i="11"/>
  <c r="J23" i="11"/>
  <c r="B23" i="11"/>
  <c r="Z23" i="11"/>
  <c r="Q23" i="11"/>
  <c r="I23" i="11"/>
  <c r="Y23" i="11"/>
  <c r="P23" i="11"/>
  <c r="H23" i="11"/>
  <c r="X23" i="11"/>
  <c r="O23" i="11"/>
  <c r="G23" i="11"/>
  <c r="W23" i="11"/>
  <c r="N23" i="11"/>
  <c r="F23" i="11"/>
  <c r="Z28" i="11"/>
  <c r="Q28" i="11"/>
  <c r="I28" i="11"/>
  <c r="Y28" i="11"/>
  <c r="P28" i="11"/>
  <c r="H28" i="11"/>
  <c r="W28" i="11"/>
  <c r="O28" i="11"/>
  <c r="G28" i="11"/>
  <c r="V28" i="11"/>
  <c r="N28" i="11"/>
  <c r="F28" i="11"/>
  <c r="U28" i="11"/>
  <c r="M28" i="11"/>
  <c r="E28" i="11"/>
  <c r="T28" i="11"/>
  <c r="L28" i="11"/>
  <c r="D28" i="11"/>
  <c r="AB28" i="11"/>
  <c r="S28" i="11"/>
  <c r="K28" i="11"/>
  <c r="C28" i="11"/>
  <c r="R28" i="11"/>
  <c r="J28" i="11"/>
  <c r="B28" i="11"/>
  <c r="AA28" i="11"/>
  <c r="A26" i="11"/>
  <c r="V5" i="11"/>
  <c r="Z14" i="11"/>
  <c r="R14" i="11"/>
  <c r="I14" i="11"/>
  <c r="X14" i="11"/>
  <c r="P14" i="11"/>
  <c r="G14" i="11"/>
  <c r="U14" i="11"/>
  <c r="M14" i="11"/>
  <c r="D14" i="11"/>
  <c r="AB14" i="11"/>
  <c r="T14" i="11"/>
  <c r="L14" i="11"/>
  <c r="C14" i="11"/>
  <c r="O14" i="11"/>
  <c r="N14" i="11"/>
  <c r="AA14" i="11"/>
  <c r="K14" i="11"/>
  <c r="Y14" i="11"/>
  <c r="H14" i="11"/>
  <c r="W14" i="11"/>
  <c r="F14" i="11"/>
  <c r="V14" i="11"/>
  <c r="E14" i="11"/>
  <c r="S14" i="11"/>
  <c r="B14" i="11"/>
  <c r="AG14" i="11" s="1"/>
  <c r="Q14" i="11"/>
  <c r="U27" i="11"/>
  <c r="M27" i="11"/>
  <c r="E27" i="11"/>
  <c r="T27" i="11"/>
  <c r="L27" i="11"/>
  <c r="D27" i="11"/>
  <c r="AB27" i="11"/>
  <c r="S27" i="11"/>
  <c r="K27" i="11"/>
  <c r="C27" i="11"/>
  <c r="AA27" i="11"/>
  <c r="R27" i="11"/>
  <c r="J27" i="11"/>
  <c r="B27" i="11"/>
  <c r="Z27" i="11"/>
  <c r="Q27" i="11"/>
  <c r="I27" i="11"/>
  <c r="Y27" i="11"/>
  <c r="P27" i="11"/>
  <c r="H27" i="11"/>
  <c r="X27" i="11"/>
  <c r="O27" i="11"/>
  <c r="G27" i="11"/>
  <c r="V27" i="11"/>
  <c r="N27" i="11"/>
  <c r="F27" i="11"/>
  <c r="AH32" i="7"/>
  <c r="D31" i="6"/>
  <c r="G2" i="6"/>
  <c r="D3" i="8"/>
  <c r="E30" i="6"/>
  <c r="AG31" i="7"/>
  <c r="C17" i="8"/>
  <c r="F16" i="6"/>
  <c r="V6" i="11"/>
  <c r="N6" i="11"/>
  <c r="F6" i="11"/>
  <c r="U6" i="11"/>
  <c r="M6" i="11"/>
  <c r="E6" i="11"/>
  <c r="AA6" i="11"/>
  <c r="S6" i="11"/>
  <c r="K6" i="11"/>
  <c r="C6" i="11"/>
  <c r="X6" i="11"/>
  <c r="P6" i="11"/>
  <c r="H6" i="11"/>
  <c r="W6" i="11"/>
  <c r="O6" i="11"/>
  <c r="G6" i="11"/>
  <c r="Z6" i="11"/>
  <c r="D6" i="11"/>
  <c r="Y6" i="11"/>
  <c r="T6" i="11"/>
  <c r="I6" i="11"/>
  <c r="AB6" i="11"/>
  <c r="R6" i="11"/>
  <c r="Q6" i="11"/>
  <c r="L6" i="11"/>
  <c r="J6" i="11"/>
  <c r="Z22" i="11"/>
  <c r="Q22" i="11"/>
  <c r="I22" i="11"/>
  <c r="Y22" i="11"/>
  <c r="P22" i="11"/>
  <c r="H22" i="11"/>
  <c r="X22" i="11"/>
  <c r="O22" i="11"/>
  <c r="G22" i="11"/>
  <c r="W22" i="11"/>
  <c r="N22" i="11"/>
  <c r="F22" i="11"/>
  <c r="V22" i="11"/>
  <c r="M22" i="11"/>
  <c r="E22" i="11"/>
  <c r="U22" i="11"/>
  <c r="L22" i="11"/>
  <c r="D22" i="11"/>
  <c r="AB22" i="11"/>
  <c r="T22" i="11"/>
  <c r="K22" i="11"/>
  <c r="C22" i="11"/>
  <c r="AA22" i="11"/>
  <c r="S22" i="11"/>
  <c r="J22" i="11"/>
  <c r="B22" i="11"/>
  <c r="AH34" i="7"/>
  <c r="D33" i="6"/>
  <c r="A27" i="11"/>
  <c r="W5" i="11"/>
  <c r="E6" i="6"/>
  <c r="AG7" i="7"/>
  <c r="J18" i="3"/>
  <c r="I18" i="3"/>
  <c r="J20" i="3"/>
  <c r="G52" i="3"/>
  <c r="J29" i="3"/>
  <c r="F4" i="6"/>
  <c r="C5" i="8"/>
  <c r="AH20" i="7"/>
  <c r="AG20" i="7" s="1"/>
  <c r="D19" i="6"/>
  <c r="AH48" i="7"/>
  <c r="D47" i="6"/>
  <c r="AG49" i="7"/>
  <c r="E49" i="6"/>
  <c r="A10" i="11"/>
  <c r="F5" i="11"/>
  <c r="E3" i="6"/>
  <c r="AG4" i="7"/>
  <c r="F12" i="6"/>
  <c r="C13" i="8"/>
  <c r="AG33" i="7"/>
  <c r="G34" i="6"/>
  <c r="D35" i="8"/>
  <c r="I16" i="3"/>
  <c r="G20" i="6"/>
  <c r="F20" i="6"/>
  <c r="D21" i="8"/>
  <c r="F28" i="6"/>
  <c r="C29" i="8"/>
  <c r="AH50" i="7"/>
  <c r="D49" i="6"/>
  <c r="I19" i="3"/>
  <c r="J19" i="3"/>
  <c r="I32" i="3"/>
  <c r="J32" i="3"/>
  <c r="I29" i="3"/>
  <c r="I43" i="3"/>
  <c r="F24" i="6"/>
  <c r="F14" i="6"/>
  <c r="C15" i="8"/>
  <c r="R15" i="8" s="1"/>
  <c r="S15" i="8" s="1"/>
  <c r="AF16" i="7"/>
  <c r="E18" i="6"/>
  <c r="AG19" i="7"/>
  <c r="E46" i="6"/>
  <c r="AG47" i="7"/>
  <c r="P46" i="4"/>
  <c r="E7" i="6"/>
  <c r="AG8" i="7"/>
  <c r="D14" i="8"/>
  <c r="G13" i="6"/>
  <c r="E19" i="6"/>
  <c r="D30" i="8"/>
  <c r="G29" i="6"/>
  <c r="D33" i="8"/>
  <c r="G32" i="6"/>
  <c r="D46" i="8"/>
  <c r="R46" i="8" s="1"/>
  <c r="S46" i="8" s="1"/>
  <c r="G45" i="6"/>
  <c r="A12" i="11"/>
  <c r="H5" i="11"/>
  <c r="A20" i="11"/>
  <c r="P5" i="11"/>
  <c r="A28" i="11"/>
  <c r="X5" i="11"/>
  <c r="Z8" i="11"/>
  <c r="R8" i="11"/>
  <c r="J8" i="11"/>
  <c r="U8" i="11"/>
  <c r="M8" i="11"/>
  <c r="S8" i="11"/>
  <c r="H8" i="11"/>
  <c r="AB8" i="11"/>
  <c r="Q8" i="11"/>
  <c r="G8" i="11"/>
  <c r="AA8" i="11"/>
  <c r="P8" i="11"/>
  <c r="F8" i="11"/>
  <c r="Y8" i="11"/>
  <c r="O8" i="11"/>
  <c r="E8" i="11"/>
  <c r="V8" i="11"/>
  <c r="K8" i="11"/>
  <c r="T8" i="11"/>
  <c r="I8" i="11"/>
  <c r="X8" i="11"/>
  <c r="W8" i="11"/>
  <c r="L8" i="11"/>
  <c r="C8" i="11"/>
  <c r="N8" i="11"/>
  <c r="B8" i="11"/>
  <c r="Z16" i="11"/>
  <c r="R16" i="11"/>
  <c r="I16" i="11"/>
  <c r="X16" i="11"/>
  <c r="P16" i="11"/>
  <c r="G16" i="11"/>
  <c r="U16" i="11"/>
  <c r="M16" i="11"/>
  <c r="D16" i="11"/>
  <c r="AB16" i="11"/>
  <c r="T16" i="11"/>
  <c r="K16" i="11"/>
  <c r="C16" i="11"/>
  <c r="W16" i="11"/>
  <c r="F16" i="11"/>
  <c r="V16" i="11"/>
  <c r="E16" i="11"/>
  <c r="S16" i="11"/>
  <c r="B16" i="11"/>
  <c r="Q16" i="11"/>
  <c r="O16" i="11"/>
  <c r="N16" i="11"/>
  <c r="AA16" i="11"/>
  <c r="J16" i="11"/>
  <c r="Y16" i="11"/>
  <c r="H16" i="11"/>
  <c r="Z24" i="11"/>
  <c r="Q24" i="11"/>
  <c r="I24" i="11"/>
  <c r="Y24" i="11"/>
  <c r="P24" i="11"/>
  <c r="H24" i="11"/>
  <c r="X24" i="11"/>
  <c r="O24" i="11"/>
  <c r="G24" i="11"/>
  <c r="W24" i="11"/>
  <c r="N24" i="11"/>
  <c r="F24" i="11"/>
  <c r="V24" i="11"/>
  <c r="M24" i="11"/>
  <c r="E24" i="11"/>
  <c r="U24" i="11"/>
  <c r="L24" i="11"/>
  <c r="D24" i="11"/>
  <c r="AB24" i="11"/>
  <c r="S24" i="11"/>
  <c r="K24" i="11"/>
  <c r="C24" i="11"/>
  <c r="B24" i="11"/>
  <c r="AA24" i="11"/>
  <c r="R24" i="11"/>
  <c r="J24" i="11"/>
  <c r="P38" i="4"/>
  <c r="I15" i="3"/>
  <c r="P28" i="4"/>
  <c r="A52" i="6"/>
  <c r="G6" i="6"/>
  <c r="D7" i="8"/>
  <c r="AG14" i="7"/>
  <c r="E13" i="6"/>
  <c r="AH28" i="7"/>
  <c r="D27" i="6"/>
  <c r="G30" i="6"/>
  <c r="D31" i="8"/>
  <c r="R38" i="8"/>
  <c r="S38" i="8" s="1"/>
  <c r="AH44" i="7"/>
  <c r="D43" i="6"/>
  <c r="D47" i="8"/>
  <c r="G46" i="6"/>
  <c r="G17" i="6"/>
  <c r="D18" i="8"/>
  <c r="G25" i="6"/>
  <c r="D26" i="8"/>
  <c r="R26" i="8" s="1"/>
  <c r="S26" i="8" s="1"/>
  <c r="AG27" i="7"/>
  <c r="G41" i="6"/>
  <c r="D42" i="8"/>
  <c r="AG43" i="7"/>
  <c r="D13" i="8"/>
  <c r="R42" i="8"/>
  <c r="S42" i="8" s="1"/>
  <c r="D51" i="8"/>
  <c r="E4" i="6"/>
  <c r="AF6" i="7"/>
  <c r="AH12" i="7"/>
  <c r="D11" i="6"/>
  <c r="AF18" i="7"/>
  <c r="AH24" i="7"/>
  <c r="D23" i="6"/>
  <c r="F33" i="6"/>
  <c r="AH40" i="7"/>
  <c r="D39" i="6"/>
  <c r="D43" i="8"/>
  <c r="G42" i="6"/>
  <c r="R10" i="8"/>
  <c r="S10" i="8" s="1"/>
  <c r="E26" i="2"/>
  <c r="D6" i="8"/>
  <c r="G5" i="6"/>
  <c r="G9" i="6"/>
  <c r="D10" i="8"/>
  <c r="C11" i="8"/>
  <c r="F10" i="6"/>
  <c r="AF12" i="7"/>
  <c r="D17" i="8"/>
  <c r="G16" i="6"/>
  <c r="D22" i="8"/>
  <c r="R22" i="8" s="1"/>
  <c r="S22" i="8" s="1"/>
  <c r="G21" i="6"/>
  <c r="F22" i="6"/>
  <c r="C23" i="8"/>
  <c r="D25" i="8"/>
  <c r="G24" i="6"/>
  <c r="D38" i="8"/>
  <c r="G37" i="6"/>
  <c r="F38" i="6"/>
  <c r="C39" i="8"/>
  <c r="D41" i="8"/>
  <c r="R41" i="8" s="1"/>
  <c r="S41" i="8" s="1"/>
  <c r="G40" i="6"/>
  <c r="AG51" i="7"/>
  <c r="D27" i="8"/>
  <c r="AH4" i="7"/>
  <c r="D3" i="6"/>
  <c r="R9" i="8"/>
  <c r="S9" i="8" s="1"/>
  <c r="AH16" i="7"/>
  <c r="D15" i="6"/>
  <c r="G22" i="6"/>
  <c r="D23" i="8"/>
  <c r="R30" i="8"/>
  <c r="S30" i="8" s="1"/>
  <c r="AH36" i="7"/>
  <c r="D35" i="6"/>
  <c r="G38" i="6"/>
  <c r="D39" i="8"/>
  <c r="D11" i="8"/>
  <c r="D19" i="8"/>
  <c r="U29" i="11"/>
  <c r="M29" i="11"/>
  <c r="E29" i="11"/>
  <c r="T29" i="11"/>
  <c r="L29" i="11"/>
  <c r="D29" i="11"/>
  <c r="AB29" i="11"/>
  <c r="S29" i="11"/>
  <c r="K29" i="11"/>
  <c r="C29" i="11"/>
  <c r="AA29" i="11"/>
  <c r="R29" i="11"/>
  <c r="J29" i="11"/>
  <c r="B29" i="11"/>
  <c r="Z29" i="11"/>
  <c r="Q29" i="11"/>
  <c r="I29" i="11"/>
  <c r="X29" i="11"/>
  <c r="P29" i="11"/>
  <c r="H29" i="11"/>
  <c r="W29" i="11"/>
  <c r="O29" i="11"/>
  <c r="G29" i="11"/>
  <c r="V29" i="11"/>
  <c r="N29" i="11"/>
  <c r="F29" i="11"/>
  <c r="E5" i="8"/>
  <c r="E13" i="8"/>
  <c r="E21" i="8"/>
  <c r="R21" i="8" s="1"/>
  <c r="S21" i="8" s="1"/>
  <c r="E29" i="8"/>
  <c r="E37" i="8"/>
  <c r="R37" i="8" s="1"/>
  <c r="S37" i="8" s="1"/>
  <c r="E49" i="8"/>
  <c r="A13" i="11"/>
  <c r="I5" i="11"/>
  <c r="A21" i="11"/>
  <c r="Q5" i="11"/>
  <c r="A29" i="11"/>
  <c r="Y5" i="11"/>
  <c r="V9" i="11"/>
  <c r="N9" i="11"/>
  <c r="F9" i="11"/>
  <c r="Y9" i="11"/>
  <c r="Q9" i="11"/>
  <c r="I9" i="11"/>
  <c r="W9" i="11"/>
  <c r="L9" i="11"/>
  <c r="U9" i="11"/>
  <c r="K9" i="11"/>
  <c r="T9" i="11"/>
  <c r="J9" i="11"/>
  <c r="S9" i="11"/>
  <c r="H9" i="11"/>
  <c r="Z9" i="11"/>
  <c r="O9" i="11"/>
  <c r="C9" i="11"/>
  <c r="X9" i="11"/>
  <c r="M9" i="11"/>
  <c r="B9" i="11"/>
  <c r="D9" i="11"/>
  <c r="AB9" i="11"/>
  <c r="AA9" i="11"/>
  <c r="R9" i="11"/>
  <c r="P9" i="11"/>
  <c r="G9" i="11"/>
  <c r="V17" i="11"/>
  <c r="N17" i="11"/>
  <c r="E17" i="11"/>
  <c r="U17" i="11"/>
  <c r="AB17" i="11"/>
  <c r="T17" i="11"/>
  <c r="K17" i="11"/>
  <c r="C17" i="11"/>
  <c r="Z17" i="11"/>
  <c r="R17" i="11"/>
  <c r="Y17" i="11"/>
  <c r="Q17" i="11"/>
  <c r="H17" i="11"/>
  <c r="X17" i="11"/>
  <c r="P17" i="11"/>
  <c r="G17" i="11"/>
  <c r="J17" i="11"/>
  <c r="I17" i="11"/>
  <c r="F17" i="11"/>
  <c r="AA17" i="11"/>
  <c r="D17" i="11"/>
  <c r="W17" i="11"/>
  <c r="B17" i="11"/>
  <c r="S17" i="11"/>
  <c r="O17" i="11"/>
  <c r="L17" i="11"/>
  <c r="V25" i="11"/>
  <c r="M25" i="11"/>
  <c r="E25" i="11"/>
  <c r="T25" i="11"/>
  <c r="L25" i="11"/>
  <c r="D25" i="11"/>
  <c r="AB25" i="11"/>
  <c r="S25" i="11"/>
  <c r="K25" i="11"/>
  <c r="C25" i="11"/>
  <c r="AA25" i="11"/>
  <c r="R25" i="11"/>
  <c r="J25" i="11"/>
  <c r="B25" i="11"/>
  <c r="Z25" i="11"/>
  <c r="Q25" i="11"/>
  <c r="I25" i="11"/>
  <c r="Y25" i="11"/>
  <c r="P25" i="11"/>
  <c r="H25" i="11"/>
  <c r="X25" i="11"/>
  <c r="O25" i="11"/>
  <c r="G25" i="11"/>
  <c r="W25" i="11"/>
  <c r="N25" i="11"/>
  <c r="F25" i="11"/>
  <c r="Y30" i="11"/>
  <c r="Q30" i="11"/>
  <c r="I30" i="11"/>
  <c r="X30" i="11"/>
  <c r="P30" i="11"/>
  <c r="H30" i="11"/>
  <c r="W30" i="11"/>
  <c r="O30" i="11"/>
  <c r="G30" i="11"/>
  <c r="V30" i="11"/>
  <c r="N30" i="11"/>
  <c r="F30" i="11"/>
  <c r="U30" i="11"/>
  <c r="M30" i="11"/>
  <c r="E30" i="11"/>
  <c r="T30" i="11"/>
  <c r="L30" i="11"/>
  <c r="D30" i="11"/>
  <c r="AB30" i="11"/>
  <c r="S30" i="11"/>
  <c r="K30" i="11"/>
  <c r="C30" i="11"/>
  <c r="AA30" i="11"/>
  <c r="R30" i="11"/>
  <c r="J30" i="11"/>
  <c r="B30" i="11"/>
  <c r="H8" i="6"/>
  <c r="H16" i="6"/>
  <c r="F21" i="6"/>
  <c r="H24" i="6"/>
  <c r="F29" i="6"/>
  <c r="H32" i="6"/>
  <c r="F37" i="6"/>
  <c r="H40" i="6"/>
  <c r="F45" i="6"/>
  <c r="B5" i="11"/>
  <c r="A6" i="11"/>
  <c r="A14" i="11"/>
  <c r="J5" i="11"/>
  <c r="A22" i="11"/>
  <c r="R5" i="11"/>
  <c r="A30" i="11"/>
  <c r="Z5" i="11"/>
  <c r="Z10" i="11"/>
  <c r="R10" i="11"/>
  <c r="J10" i="11"/>
  <c r="X10" i="11"/>
  <c r="P10" i="11"/>
  <c r="U10" i="11"/>
  <c r="M10" i="11"/>
  <c r="D10" i="11"/>
  <c r="AB10" i="11"/>
  <c r="Q10" i="11"/>
  <c r="E10" i="11"/>
  <c r="O10" i="11"/>
  <c r="C10" i="11"/>
  <c r="AA10" i="11"/>
  <c r="N10" i="11"/>
  <c r="B10" i="11"/>
  <c r="Y10" i="11"/>
  <c r="L10" i="11"/>
  <c r="W10" i="11"/>
  <c r="K10" i="11"/>
  <c r="T10" i="11"/>
  <c r="H10" i="11"/>
  <c r="S10" i="11"/>
  <c r="G10" i="11"/>
  <c r="V10" i="11"/>
  <c r="I10" i="11"/>
  <c r="Z18" i="11"/>
  <c r="R18" i="11"/>
  <c r="I18" i="11"/>
  <c r="Y18" i="11"/>
  <c r="Q18" i="11"/>
  <c r="H18" i="11"/>
  <c r="X18" i="11"/>
  <c r="P18" i="11"/>
  <c r="G18" i="11"/>
  <c r="V18" i="11"/>
  <c r="M18" i="11"/>
  <c r="E18" i="11"/>
  <c r="U18" i="11"/>
  <c r="L18" i="11"/>
  <c r="D18" i="11"/>
  <c r="AB18" i="11"/>
  <c r="T18" i="11"/>
  <c r="K18" i="11"/>
  <c r="C18" i="11"/>
  <c r="J18" i="11"/>
  <c r="F18" i="11"/>
  <c r="B18" i="11"/>
  <c r="AA18" i="11"/>
  <c r="W18" i="11"/>
  <c r="S18" i="11"/>
  <c r="O18" i="11"/>
  <c r="Z26" i="11"/>
  <c r="Q26" i="11"/>
  <c r="I26" i="11"/>
  <c r="Y26" i="11"/>
  <c r="P26" i="11"/>
  <c r="H26" i="11"/>
  <c r="X26" i="11"/>
  <c r="O26" i="11"/>
  <c r="G26" i="11"/>
  <c r="W26" i="11"/>
  <c r="N26" i="11"/>
  <c r="F26" i="11"/>
  <c r="U26" i="11"/>
  <c r="M26" i="11"/>
  <c r="E26" i="11"/>
  <c r="T26" i="11"/>
  <c r="L26" i="11"/>
  <c r="D26" i="11"/>
  <c r="AB26" i="11"/>
  <c r="S26" i="11"/>
  <c r="K26" i="11"/>
  <c r="C26" i="11"/>
  <c r="J26" i="11"/>
  <c r="B26" i="11"/>
  <c r="AA26" i="11"/>
  <c r="R26" i="11"/>
  <c r="W31" i="11"/>
  <c r="O31" i="11"/>
  <c r="G31" i="11"/>
  <c r="U31" i="11"/>
  <c r="M31" i="11"/>
  <c r="E31" i="11"/>
  <c r="AB31" i="11"/>
  <c r="S31" i="11"/>
  <c r="K31" i="11"/>
  <c r="C31" i="11"/>
  <c r="T31" i="11"/>
  <c r="H31" i="11"/>
  <c r="R31" i="11"/>
  <c r="F31" i="11"/>
  <c r="Q31" i="11"/>
  <c r="D31" i="11"/>
  <c r="P31" i="11"/>
  <c r="B31" i="11"/>
  <c r="Z31" i="11"/>
  <c r="N31" i="11"/>
  <c r="Y31" i="11"/>
  <c r="L31" i="11"/>
  <c r="X31" i="11"/>
  <c r="J31" i="11"/>
  <c r="V31" i="11"/>
  <c r="I31" i="11"/>
  <c r="A15" i="11"/>
  <c r="K5" i="11"/>
  <c r="A23" i="11"/>
  <c r="S5" i="11"/>
  <c r="V11" i="11"/>
  <c r="N11" i="11"/>
  <c r="E11" i="11"/>
  <c r="AB11" i="11"/>
  <c r="T11" i="11"/>
  <c r="L11" i="11"/>
  <c r="C11" i="11"/>
  <c r="Y11" i="11"/>
  <c r="Q11" i="11"/>
  <c r="I11" i="11"/>
  <c r="X11" i="11"/>
  <c r="P11" i="11"/>
  <c r="H11" i="11"/>
  <c r="S11" i="11"/>
  <c r="B11" i="11"/>
  <c r="R11" i="11"/>
  <c r="O11" i="11"/>
  <c r="M11" i="11"/>
  <c r="AA11" i="11"/>
  <c r="K11" i="11"/>
  <c r="W11" i="11"/>
  <c r="F11" i="11"/>
  <c r="U11" i="11"/>
  <c r="D11" i="11"/>
  <c r="J11" i="11"/>
  <c r="Z11" i="11"/>
  <c r="AA32" i="11"/>
  <c r="S32" i="11"/>
  <c r="K32" i="11"/>
  <c r="C32" i="11"/>
  <c r="Z32" i="11"/>
  <c r="R32" i="11"/>
  <c r="Y32" i="11"/>
  <c r="Q32" i="11"/>
  <c r="I32" i="11"/>
  <c r="X32" i="11"/>
  <c r="W32" i="11"/>
  <c r="O32" i="11"/>
  <c r="G32" i="11"/>
  <c r="V32" i="11"/>
  <c r="N32" i="11"/>
  <c r="F32" i="11"/>
  <c r="U32" i="11"/>
  <c r="M32" i="11"/>
  <c r="T32" i="11"/>
  <c r="L32" i="11"/>
  <c r="E32" i="11"/>
  <c r="D32" i="11"/>
  <c r="B32" i="11"/>
  <c r="AG32" i="11" s="1"/>
  <c r="P32" i="11"/>
  <c r="J32" i="11"/>
  <c r="H32" i="11"/>
  <c r="U33" i="16"/>
  <c r="U36" i="16"/>
  <c r="U17" i="16"/>
  <c r="U31" i="16"/>
  <c r="U24" i="16"/>
  <c r="U22" i="16"/>
  <c r="U15" i="16"/>
  <c r="U30" i="16"/>
  <c r="U13" i="16"/>
  <c r="U27" i="16"/>
  <c r="U20" i="16"/>
  <c r="U18" i="16"/>
  <c r="U11" i="16"/>
  <c r="U29" i="16"/>
  <c r="U25" i="16"/>
  <c r="U35" i="16"/>
  <c r="U23" i="16"/>
  <c r="U16" i="16"/>
  <c r="U14" i="16"/>
  <c r="U21" i="16"/>
  <c r="U32" i="16"/>
  <c r="U28" i="16"/>
  <c r="U26" i="16"/>
  <c r="U19" i="16"/>
  <c r="U12" i="16"/>
  <c r="U10" i="16"/>
  <c r="H45" i="6"/>
  <c r="H49" i="6"/>
  <c r="A7" i="11"/>
  <c r="C5" i="11"/>
  <c r="A31" i="11"/>
  <c r="AA5" i="11"/>
  <c r="V19" i="11"/>
  <c r="M19" i="11"/>
  <c r="E19" i="11"/>
  <c r="U19" i="11"/>
  <c r="L19" i="11"/>
  <c r="D19" i="11"/>
  <c r="AB19" i="11"/>
  <c r="T19" i="11"/>
  <c r="K19" i="11"/>
  <c r="C19" i="11"/>
  <c r="AA19" i="11"/>
  <c r="S19" i="11"/>
  <c r="Z19" i="11"/>
  <c r="R19" i="11"/>
  <c r="I19" i="11"/>
  <c r="Y19" i="11"/>
  <c r="Q19" i="11"/>
  <c r="H19" i="11"/>
  <c r="X19" i="11"/>
  <c r="P19" i="11"/>
  <c r="G19" i="11"/>
  <c r="N19" i="11"/>
  <c r="J19" i="11"/>
  <c r="F19" i="11"/>
  <c r="B19" i="11"/>
  <c r="W19" i="11"/>
  <c r="A9" i="11"/>
  <c r="E5" i="11"/>
  <c r="A17" i="11"/>
  <c r="M5" i="11"/>
  <c r="A25" i="11"/>
  <c r="U5" i="11"/>
  <c r="V13" i="11"/>
  <c r="N13" i="11"/>
  <c r="E13" i="11"/>
  <c r="AB13" i="11"/>
  <c r="T13" i="11"/>
  <c r="L13" i="11"/>
  <c r="C13" i="11"/>
  <c r="Y13" i="11"/>
  <c r="Q13" i="11"/>
  <c r="H13" i="11"/>
  <c r="X13" i="11"/>
  <c r="P13" i="11"/>
  <c r="G13" i="11"/>
  <c r="AA13" i="11"/>
  <c r="K13" i="11"/>
  <c r="Z13" i="11"/>
  <c r="J13" i="11"/>
  <c r="W13" i="11"/>
  <c r="F13" i="11"/>
  <c r="U13" i="11"/>
  <c r="D13" i="11"/>
  <c r="S13" i="11"/>
  <c r="B13" i="11"/>
  <c r="R13" i="11"/>
  <c r="O13" i="11"/>
  <c r="M13" i="11"/>
  <c r="V21" i="11"/>
  <c r="M21" i="11"/>
  <c r="E21" i="11"/>
  <c r="U21" i="11"/>
  <c r="L21" i="11"/>
  <c r="D21" i="11"/>
  <c r="AB21" i="11"/>
  <c r="T21" i="11"/>
  <c r="K21" i="11"/>
  <c r="C21" i="11"/>
  <c r="AA21" i="11"/>
  <c r="S21" i="11"/>
  <c r="J21" i="11"/>
  <c r="B21" i="11"/>
  <c r="AG21" i="11" s="1"/>
  <c r="Z21" i="11"/>
  <c r="R21" i="11"/>
  <c r="I21" i="11"/>
  <c r="Y21" i="11"/>
  <c r="P21" i="11"/>
  <c r="H21" i="11"/>
  <c r="X21" i="11"/>
  <c r="O21" i="11"/>
  <c r="G21" i="11"/>
  <c r="W21" i="11"/>
  <c r="N21" i="11"/>
  <c r="F21" i="11"/>
  <c r="AB163" i="10"/>
  <c r="W140" i="10"/>
  <c r="AF140" i="10"/>
  <c r="AO140" i="10"/>
  <c r="Z141" i="10"/>
  <c r="AI141" i="10"/>
  <c r="AF142" i="10"/>
  <c r="AJ143" i="10"/>
  <c r="AH144" i="10"/>
  <c r="X145" i="10"/>
  <c r="AK145" i="10"/>
  <c r="AB146" i="10"/>
  <c r="AO146" i="10"/>
  <c r="Z147" i="10"/>
  <c r="AD148" i="10"/>
  <c r="AJ149" i="10"/>
  <c r="AE150" i="10"/>
  <c r="X151" i="10"/>
  <c r="AH153" i="10"/>
  <c r="AF154" i="10"/>
  <c r="W155" i="10"/>
  <c r="AI157" i="10"/>
  <c r="X158" i="10"/>
  <c r="AL159" i="10"/>
  <c r="AG160" i="10"/>
  <c r="W161" i="10"/>
  <c r="AN162" i="10"/>
  <c r="AC163" i="10"/>
  <c r="T5" i="11"/>
  <c r="W108" i="10"/>
  <c r="AE108" i="10"/>
  <c r="AM108" i="10"/>
  <c r="X109" i="10"/>
  <c r="AF109" i="10"/>
  <c r="AN109" i="10"/>
  <c r="Y110" i="10"/>
  <c r="AG110" i="10"/>
  <c r="AO110" i="10"/>
  <c r="Z111" i="10"/>
  <c r="AH111" i="10"/>
  <c r="AA112" i="10"/>
  <c r="AI112" i="10"/>
  <c r="AB113" i="10"/>
  <c r="AJ113" i="10"/>
  <c r="AC114" i="10"/>
  <c r="AK114" i="10"/>
  <c r="AD115" i="10"/>
  <c r="AL115" i="10"/>
  <c r="W116" i="10"/>
  <c r="AE116" i="10"/>
  <c r="AM116" i="10"/>
  <c r="X117" i="10"/>
  <c r="AF117" i="10"/>
  <c r="AN117" i="10"/>
  <c r="Y118" i="10"/>
  <c r="AG118" i="10"/>
  <c r="AO118" i="10"/>
  <c r="Z119" i="10"/>
  <c r="AH119" i="10"/>
  <c r="AA120" i="10"/>
  <c r="AI120" i="10"/>
  <c r="AB121" i="10"/>
  <c r="AJ121" i="10"/>
  <c r="AC122" i="10"/>
  <c r="AK122" i="10"/>
  <c r="AD123" i="10"/>
  <c r="AL123" i="10"/>
  <c r="W124" i="10"/>
  <c r="AE124" i="10"/>
  <c r="AM124" i="10"/>
  <c r="X125" i="10"/>
  <c r="AF125" i="10"/>
  <c r="AN125" i="10"/>
  <c r="Y126" i="10"/>
  <c r="AG126" i="10"/>
  <c r="AB127" i="10"/>
  <c r="AK127" i="10"/>
  <c r="W128" i="10"/>
  <c r="AG128" i="10"/>
  <c r="AB129" i="10"/>
  <c r="AK129" i="10"/>
  <c r="W130" i="10"/>
  <c r="AF130" i="10"/>
  <c r="AO130" i="10"/>
  <c r="Z131" i="10"/>
  <c r="AJ131" i="10"/>
  <c r="AD132" i="10"/>
  <c r="AM132" i="10"/>
  <c r="X133" i="10"/>
  <c r="AG133" i="10"/>
  <c r="AA134" i="10"/>
  <c r="AJ134" i="10"/>
  <c r="AF135" i="10"/>
  <c r="AO135" i="10"/>
  <c r="AA136" i="10"/>
  <c r="AJ136" i="10"/>
  <c r="AE137" i="10"/>
  <c r="AN137" i="10"/>
  <c r="AA138" i="10"/>
  <c r="AJ138" i="10"/>
  <c r="AD139" i="10"/>
  <c r="AM139" i="10"/>
  <c r="X140" i="10"/>
  <c r="AG140" i="10"/>
  <c r="AA141" i="10"/>
  <c r="AL141" i="10"/>
  <c r="W142" i="10"/>
  <c r="AG142" i="10"/>
  <c r="AK143" i="10"/>
  <c r="W144" i="10"/>
  <c r="AM144" i="10"/>
  <c r="Y145" i="10"/>
  <c r="AL145" i="10"/>
  <c r="AD146" i="10"/>
  <c r="AE147" i="10"/>
  <c r="AI148" i="10"/>
  <c r="AK149" i="10"/>
  <c r="AF150" i="10"/>
  <c r="AD151" i="10"/>
  <c r="AI153" i="10"/>
  <c r="AG154" i="10"/>
  <c r="AC155" i="10"/>
  <c r="AJ157" i="10"/>
  <c r="AE158" i="10"/>
  <c r="AH160" i="10"/>
  <c r="X161" i="10"/>
  <c r="AE163" i="10"/>
  <c r="AC89" i="10"/>
  <c r="AK89" i="10"/>
  <c r="AD90" i="10"/>
  <c r="AL90" i="10"/>
  <c r="W91" i="10"/>
  <c r="AE91" i="10"/>
  <c r="AM91" i="10"/>
  <c r="X92" i="10"/>
  <c r="AF92" i="10"/>
  <c r="AN92" i="10"/>
  <c r="Y93" i="10"/>
  <c r="AG93" i="10"/>
  <c r="AO93" i="10"/>
  <c r="Z94" i="10"/>
  <c r="AH94" i="10"/>
  <c r="AA95" i="10"/>
  <c r="AI95" i="10"/>
  <c r="AB96" i="10"/>
  <c r="AJ96" i="10"/>
  <c r="AC97" i="10"/>
  <c r="AK97" i="10"/>
  <c r="AD98" i="10"/>
  <c r="AL98" i="10"/>
  <c r="W99" i="10"/>
  <c r="AE99" i="10"/>
  <c r="AM99" i="10"/>
  <c r="X100" i="10"/>
  <c r="AF100" i="10"/>
  <c r="AN100" i="10"/>
  <c r="Y101" i="10"/>
  <c r="AG101" i="10"/>
  <c r="AO101" i="10"/>
  <c r="Z102" i="10"/>
  <c r="AH102" i="10"/>
  <c r="AA103" i="10"/>
  <c r="AI103" i="10"/>
  <c r="AB104" i="10"/>
  <c r="AJ104" i="10"/>
  <c r="AC105" i="10"/>
  <c r="AK105" i="10"/>
  <c r="AD106" i="10"/>
  <c r="AL106" i="10"/>
  <c r="W107" i="10"/>
  <c r="AE107" i="10"/>
  <c r="AM107" i="10"/>
  <c r="X108" i="10"/>
  <c r="AF108" i="10"/>
  <c r="AN108" i="10"/>
  <c r="Y109" i="10"/>
  <c r="AG109" i="10"/>
  <c r="AO109" i="10"/>
  <c r="Z110" i="10"/>
  <c r="AH110" i="10"/>
  <c r="AA111" i="10"/>
  <c r="AI111" i="10"/>
  <c r="AB112" i="10"/>
  <c r="AJ112" i="10"/>
  <c r="AC113" i="10"/>
  <c r="AK113" i="10"/>
  <c r="AD114" i="10"/>
  <c r="AL114" i="10"/>
  <c r="W115" i="10"/>
  <c r="AE115" i="10"/>
  <c r="AM115" i="10"/>
  <c r="X116" i="10"/>
  <c r="AF116" i="10"/>
  <c r="AN116" i="10"/>
  <c r="Y117" i="10"/>
  <c r="AG117" i="10"/>
  <c r="AO117" i="10"/>
  <c r="Z118" i="10"/>
  <c r="AH118" i="10"/>
  <c r="AA119" i="10"/>
  <c r="AI119" i="10"/>
  <c r="AB120" i="10"/>
  <c r="AJ120" i="10"/>
  <c r="AC121" i="10"/>
  <c r="AK121" i="10"/>
  <c r="AD122" i="10"/>
  <c r="AL122" i="10"/>
  <c r="W123" i="10"/>
  <c r="AE123" i="10"/>
  <c r="AM123" i="10"/>
  <c r="X124" i="10"/>
  <c r="AF124" i="10"/>
  <c r="AN124" i="10"/>
  <c r="Y125" i="10"/>
  <c r="AG125" i="10"/>
  <c r="AO125" i="10"/>
  <c r="Z126" i="10"/>
  <c r="AH126" i="10"/>
  <c r="AC127" i="10"/>
  <c r="AL127" i="10"/>
  <c r="Y128" i="10"/>
  <c r="AH128" i="10"/>
  <c r="AC129" i="10"/>
  <c r="AL129" i="10"/>
  <c r="X130" i="10"/>
  <c r="AG130" i="10"/>
  <c r="AB131" i="10"/>
  <c r="AK131" i="10"/>
  <c r="AE132" i="10"/>
  <c r="AN132" i="10"/>
  <c r="Y133" i="10"/>
  <c r="AH133" i="10"/>
  <c r="AB134" i="10"/>
  <c r="AK134" i="10"/>
  <c r="X135" i="10"/>
  <c r="AG135" i="10"/>
  <c r="AB136" i="10"/>
  <c r="AK136" i="10"/>
  <c r="W137" i="10"/>
  <c r="AF137" i="10"/>
  <c r="AB138" i="10"/>
  <c r="AK138" i="10"/>
  <c r="AE139" i="10"/>
  <c r="AN139" i="10"/>
  <c r="Y140" i="10"/>
  <c r="AH140" i="10"/>
  <c r="AB141" i="10"/>
  <c r="AM141" i="10"/>
  <c r="X142" i="10"/>
  <c r="AH142" i="10"/>
  <c r="AL143" i="10"/>
  <c r="X144" i="10"/>
  <c r="AN144" i="10"/>
  <c r="Z145" i="10"/>
  <c r="AE146" i="10"/>
  <c r="AF147" i="10"/>
  <c r="AJ148" i="10"/>
  <c r="W149" i="10"/>
  <c r="AH150" i="10"/>
  <c r="AF151" i="10"/>
  <c r="W152" i="10"/>
  <c r="AI154" i="10"/>
  <c r="AE155" i="10"/>
  <c r="X156" i="10"/>
  <c r="AL157" i="10"/>
  <c r="AF158" i="10"/>
  <c r="X159" i="10"/>
  <c r="AJ160" i="10"/>
  <c r="AE161" i="10"/>
  <c r="A16" i="11"/>
  <c r="L5" i="11"/>
  <c r="A32" i="11"/>
  <c r="AB5" i="11"/>
  <c r="Z12" i="11"/>
  <c r="R12" i="11"/>
  <c r="J12" i="11"/>
  <c r="X12" i="11"/>
  <c r="P12" i="11"/>
  <c r="G12" i="11"/>
  <c r="U12" i="11"/>
  <c r="M12" i="11"/>
  <c r="D12" i="11"/>
  <c r="AB12" i="11"/>
  <c r="T12" i="11"/>
  <c r="L12" i="11"/>
  <c r="C12" i="11"/>
  <c r="W12" i="11"/>
  <c r="F12" i="11"/>
  <c r="V12" i="11"/>
  <c r="E12" i="11"/>
  <c r="S12" i="11"/>
  <c r="B12" i="11"/>
  <c r="Q12" i="11"/>
  <c r="O12" i="11"/>
  <c r="AA12" i="11"/>
  <c r="K12" i="11"/>
  <c r="Y12" i="11"/>
  <c r="I12" i="11"/>
  <c r="N12" i="11"/>
  <c r="Z20" i="11"/>
  <c r="R20" i="11"/>
  <c r="I20" i="11"/>
  <c r="Y20" i="11"/>
  <c r="Q20" i="11"/>
  <c r="H20" i="11"/>
  <c r="X20" i="11"/>
  <c r="O20" i="11"/>
  <c r="G20" i="11"/>
  <c r="W20" i="11"/>
  <c r="N20" i="11"/>
  <c r="F20" i="11"/>
  <c r="V20" i="11"/>
  <c r="M20" i="11"/>
  <c r="E20" i="11"/>
  <c r="U20" i="11"/>
  <c r="L20" i="11"/>
  <c r="D20" i="11"/>
  <c r="AB20" i="11"/>
  <c r="T20" i="11"/>
  <c r="K20" i="11"/>
  <c r="C20" i="11"/>
  <c r="AA20" i="11"/>
  <c r="S20" i="11"/>
  <c r="J20" i="11"/>
  <c r="B20" i="11"/>
  <c r="X83" i="10"/>
  <c r="AF83" i="10"/>
  <c r="AN83" i="10"/>
  <c r="Y84" i="10"/>
  <c r="AG84" i="10"/>
  <c r="AO84" i="10"/>
  <c r="Z85" i="10"/>
  <c r="AH85" i="10"/>
  <c r="AA86" i="10"/>
  <c r="AI86" i="10"/>
  <c r="AB87" i="10"/>
  <c r="AJ87" i="10"/>
  <c r="AC88" i="10"/>
  <c r="AK88" i="10"/>
  <c r="AD89" i="10"/>
  <c r="AL89" i="10"/>
  <c r="W90" i="10"/>
  <c r="AE90" i="10"/>
  <c r="AM90" i="10"/>
  <c r="X91" i="10"/>
  <c r="AF91" i="10"/>
  <c r="AN91" i="10"/>
  <c r="Y92" i="10"/>
  <c r="AG92" i="10"/>
  <c r="AO92" i="10"/>
  <c r="Z93" i="10"/>
  <c r="AH93" i="10"/>
  <c r="AA94" i="10"/>
  <c r="AI94" i="10"/>
  <c r="AB95" i="10"/>
  <c r="AJ95" i="10"/>
  <c r="AC96" i="10"/>
  <c r="AK96" i="10"/>
  <c r="AD97" i="10"/>
  <c r="AL97" i="10"/>
  <c r="W98" i="10"/>
  <c r="AE98" i="10"/>
  <c r="AM98" i="10"/>
  <c r="X99" i="10"/>
  <c r="AF99" i="10"/>
  <c r="AN99" i="10"/>
  <c r="Y100" i="10"/>
  <c r="AG100" i="10"/>
  <c r="AO100" i="10"/>
  <c r="Z101" i="10"/>
  <c r="AH101" i="10"/>
  <c r="AA102" i="10"/>
  <c r="AI102" i="10"/>
  <c r="AB103" i="10"/>
  <c r="AJ103" i="10"/>
  <c r="AC104" i="10"/>
  <c r="AK104" i="10"/>
  <c r="AD105" i="10"/>
  <c r="AL105" i="10"/>
  <c r="W106" i="10"/>
  <c r="AE106" i="10"/>
  <c r="AM106" i="10"/>
  <c r="X107" i="10"/>
  <c r="AF107" i="10"/>
  <c r="AN107" i="10"/>
  <c r="Y108" i="10"/>
  <c r="AG108" i="10"/>
  <c r="AO108" i="10"/>
  <c r="Z109" i="10"/>
  <c r="AH109" i="10"/>
  <c r="AA110" i="10"/>
  <c r="AI110" i="10"/>
  <c r="AB111" i="10"/>
  <c r="AJ111" i="10"/>
  <c r="AC112" i="10"/>
  <c r="AK112" i="10"/>
  <c r="AD113" i="10"/>
  <c r="AL113" i="10"/>
  <c r="W114" i="10"/>
  <c r="AE114" i="10"/>
  <c r="AM114" i="10"/>
  <c r="X115" i="10"/>
  <c r="AF115" i="10"/>
  <c r="AN115" i="10"/>
  <c r="Y116" i="10"/>
  <c r="AG116" i="10"/>
  <c r="AO116" i="10"/>
  <c r="Z117" i="10"/>
  <c r="AH117" i="10"/>
  <c r="AA118" i="10"/>
  <c r="AI118" i="10"/>
  <c r="AB119" i="10"/>
  <c r="AJ119" i="10"/>
  <c r="AC120" i="10"/>
  <c r="AK120" i="10"/>
  <c r="AD121" i="10"/>
  <c r="AL121" i="10"/>
  <c r="W122" i="10"/>
  <c r="AE122" i="10"/>
  <c r="AM122" i="10"/>
  <c r="X123" i="10"/>
  <c r="AF123" i="10"/>
  <c r="AN123" i="10"/>
  <c r="Y124" i="10"/>
  <c r="AG124" i="10"/>
  <c r="AO124" i="10"/>
  <c r="Z125" i="10"/>
  <c r="AH125" i="10"/>
  <c r="AA126" i="10"/>
  <c r="AI126" i="10"/>
  <c r="AD127" i="10"/>
  <c r="AN127" i="10"/>
  <c r="AN163" i="10"/>
  <c r="AF163" i="10"/>
  <c r="X163" i="10"/>
  <c r="AM162" i="10"/>
  <c r="AE162" i="10"/>
  <c r="W162" i="10"/>
  <c r="AL161" i="10"/>
  <c r="AD161" i="10"/>
  <c r="AK160" i="10"/>
  <c r="AC160" i="10"/>
  <c r="AJ159" i="10"/>
  <c r="AB159" i="10"/>
  <c r="AI158" i="10"/>
  <c r="AA158" i="10"/>
  <c r="AH157" i="10"/>
  <c r="Z157" i="10"/>
  <c r="AO156" i="10"/>
  <c r="AG156" i="10"/>
  <c r="Y156" i="10"/>
  <c r="AN155" i="10"/>
  <c r="AF155" i="10"/>
  <c r="X155" i="10"/>
  <c r="AM154" i="10"/>
  <c r="AE154" i="10"/>
  <c r="W154" i="10"/>
  <c r="AL153" i="10"/>
  <c r="AD153" i="10"/>
  <c r="AK152" i="10"/>
  <c r="AC152" i="10"/>
  <c r="AJ151" i="10"/>
  <c r="AB151" i="10"/>
  <c r="AI150" i="10"/>
  <c r="AA150" i="10"/>
  <c r="AH149" i="10"/>
  <c r="Z149" i="10"/>
  <c r="AL163" i="10"/>
  <c r="AD163" i="10"/>
  <c r="AK162" i="10"/>
  <c r="AC162" i="10"/>
  <c r="AJ161" i="10"/>
  <c r="AB161" i="10"/>
  <c r="AI160" i="10"/>
  <c r="AA160" i="10"/>
  <c r="AH159" i="10"/>
  <c r="Z159" i="10"/>
  <c r="AO158" i="10"/>
  <c r="AG158" i="10"/>
  <c r="Y158" i="10"/>
  <c r="AN157" i="10"/>
  <c r="AF157" i="10"/>
  <c r="X157" i="10"/>
  <c r="AM156" i="10"/>
  <c r="AE156" i="10"/>
  <c r="W156" i="10"/>
  <c r="AL155" i="10"/>
  <c r="AD155" i="10"/>
  <c r="AK154" i="10"/>
  <c r="AC154" i="10"/>
  <c r="AJ153" i="10"/>
  <c r="AB153" i="10"/>
  <c r="AI152" i="10"/>
  <c r="AA152" i="10"/>
  <c r="AH151" i="10"/>
  <c r="Z151" i="10"/>
  <c r="AO150" i="10"/>
  <c r="AG150" i="10"/>
  <c r="Y150" i="10"/>
  <c r="AN149" i="10"/>
  <c r="AF149" i="10"/>
  <c r="X149" i="10"/>
  <c r="AM148" i="10"/>
  <c r="AE148" i="10"/>
  <c r="W148" i="10"/>
  <c r="AL147" i="10"/>
  <c r="AD147" i="10"/>
  <c r="AK146" i="10"/>
  <c r="AC146" i="10"/>
  <c r="AJ145" i="10"/>
  <c r="AB145" i="10"/>
  <c r="AI144" i="10"/>
  <c r="AA144" i="10"/>
  <c r="AH143" i="10"/>
  <c r="Z143" i="10"/>
  <c r="AO142" i="10"/>
  <c r="AI163" i="10"/>
  <c r="AA163" i="10"/>
  <c r="AH162" i="10"/>
  <c r="Z162" i="10"/>
  <c r="AO161" i="10"/>
  <c r="AG161" i="10"/>
  <c r="Y161" i="10"/>
  <c r="AN160" i="10"/>
  <c r="AF160" i="10"/>
  <c r="X160" i="10"/>
  <c r="AM159" i="10"/>
  <c r="AE159" i="10"/>
  <c r="W159" i="10"/>
  <c r="AL158" i="10"/>
  <c r="AD158" i="10"/>
  <c r="AK157" i="10"/>
  <c r="AC157" i="10"/>
  <c r="AJ156" i="10"/>
  <c r="AB156" i="10"/>
  <c r="AI155" i="10"/>
  <c r="AA155" i="10"/>
  <c r="AH154" i="10"/>
  <c r="Z154" i="10"/>
  <c r="AO153" i="10"/>
  <c r="AG153" i="10"/>
  <c r="Y153" i="10"/>
  <c r="AN152" i="10"/>
  <c r="AF152" i="10"/>
  <c r="X152" i="10"/>
  <c r="AM151" i="10"/>
  <c r="AE151" i="10"/>
  <c r="W151" i="10"/>
  <c r="AL150" i="10"/>
  <c r="AD150" i="10"/>
  <c r="AH163" i="10"/>
  <c r="Z163" i="10"/>
  <c r="AO162" i="10"/>
  <c r="AG162" i="10"/>
  <c r="Y162" i="10"/>
  <c r="AK163" i="10"/>
  <c r="AF162" i="10"/>
  <c r="AC161" i="10"/>
  <c r="AD160" i="10"/>
  <c r="AD159" i="10"/>
  <c r="AC158" i="10"/>
  <c r="AD157" i="10"/>
  <c r="AC156" i="10"/>
  <c r="AO155" i="10"/>
  <c r="AB155" i="10"/>
  <c r="AO154" i="10"/>
  <c r="AB154" i="10"/>
  <c r="AN153" i="10"/>
  <c r="AA153" i="10"/>
  <c r="AO152" i="10"/>
  <c r="AB152" i="10"/>
  <c r="AO151" i="10"/>
  <c r="AC151" i="10"/>
  <c r="AN150" i="10"/>
  <c r="AB150" i="10"/>
  <c r="AO149" i="10"/>
  <c r="AD149" i="10"/>
  <c r="AH148" i="10"/>
  <c r="Y148" i="10"/>
  <c r="AM147" i="10"/>
  <c r="AC147" i="10"/>
  <c r="AI146" i="10"/>
  <c r="Z146" i="10"/>
  <c r="AO145" i="10"/>
  <c r="AF145" i="10"/>
  <c r="W145" i="10"/>
  <c r="AL144" i="10"/>
  <c r="AC144" i="10"/>
  <c r="AI143" i="10"/>
  <c r="Y143" i="10"/>
  <c r="AJ163" i="10"/>
  <c r="AD162" i="10"/>
  <c r="AN161" i="10"/>
  <c r="AA161" i="10"/>
  <c r="AO160" i="10"/>
  <c r="AB160" i="10"/>
  <c r="AO159" i="10"/>
  <c r="AC159" i="10"/>
  <c r="AN158" i="10"/>
  <c r="AB158" i="10"/>
  <c r="AO157" i="10"/>
  <c r="AB157" i="10"/>
  <c r="AN156" i="10"/>
  <c r="AA156" i="10"/>
  <c r="AM155" i="10"/>
  <c r="Z155" i="10"/>
  <c r="AN154" i="10"/>
  <c r="AA154" i="10"/>
  <c r="AM153" i="10"/>
  <c r="Z153" i="10"/>
  <c r="AM152" i="10"/>
  <c r="Z152" i="10"/>
  <c r="AN151" i="10"/>
  <c r="AA151" i="10"/>
  <c r="AM150" i="10"/>
  <c r="Z150" i="10"/>
  <c r="AM149" i="10"/>
  <c r="AC149" i="10"/>
  <c r="AG148" i="10"/>
  <c r="X148" i="10"/>
  <c r="AK147" i="10"/>
  <c r="AB147" i="10"/>
  <c r="AH146" i="10"/>
  <c r="Y146" i="10"/>
  <c r="AN145" i="10"/>
  <c r="AE145" i="10"/>
  <c r="AK144" i="10"/>
  <c r="AB144" i="10"/>
  <c r="AG143" i="10"/>
  <c r="X143" i="10"/>
  <c r="AL142" i="10"/>
  <c r="AD142" i="10"/>
  <c r="AK141" i="10"/>
  <c r="AC141" i="10"/>
  <c r="AJ140" i="10"/>
  <c r="AB140" i="10"/>
  <c r="AI139" i="10"/>
  <c r="AA139" i="10"/>
  <c r="AH138" i="10"/>
  <c r="Z138" i="10"/>
  <c r="AO137" i="10"/>
  <c r="AG137" i="10"/>
  <c r="Y137" i="10"/>
  <c r="AN136" i="10"/>
  <c r="AF136" i="10"/>
  <c r="X136" i="10"/>
  <c r="AM135" i="10"/>
  <c r="AE135" i="10"/>
  <c r="W135" i="10"/>
  <c r="AL134" i="10"/>
  <c r="AD134" i="10"/>
  <c r="AK133" i="10"/>
  <c r="AC133" i="10"/>
  <c r="AJ132" i="10"/>
  <c r="AB132" i="10"/>
  <c r="AI131" i="10"/>
  <c r="AA131" i="10"/>
  <c r="AH130" i="10"/>
  <c r="Z130" i="10"/>
  <c r="AO129" i="10"/>
  <c r="AG129" i="10"/>
  <c r="Y129" i="10"/>
  <c r="AN128" i="10"/>
  <c r="AF128" i="10"/>
  <c r="X128" i="10"/>
  <c r="AM127" i="10"/>
  <c r="AE127" i="10"/>
  <c r="W127" i="10"/>
  <c r="AL126" i="10"/>
  <c r="AG163" i="10"/>
  <c r="AB162" i="10"/>
  <c r="AM161" i="10"/>
  <c r="Z161" i="10"/>
  <c r="AM160" i="10"/>
  <c r="Z160" i="10"/>
  <c r="AN159" i="10"/>
  <c r="AA159" i="10"/>
  <c r="AM158" i="10"/>
  <c r="Z158" i="10"/>
  <c r="AM157" i="10"/>
  <c r="AA157" i="10"/>
  <c r="AL156" i="10"/>
  <c r="Z156" i="10"/>
  <c r="AK155" i="10"/>
  <c r="Y155" i="10"/>
  <c r="AL154" i="10"/>
  <c r="Y154" i="10"/>
  <c r="AK153" i="10"/>
  <c r="X153" i="10"/>
  <c r="AL152" i="10"/>
  <c r="Y152" i="10"/>
  <c r="AL151" i="10"/>
  <c r="Y151" i="10"/>
  <c r="AK150" i="10"/>
  <c r="X150" i="10"/>
  <c r="AL149" i="10"/>
  <c r="AB149" i="10"/>
  <c r="AO148" i="10"/>
  <c r="AF148" i="10"/>
  <c r="AJ147" i="10"/>
  <c r="AA147" i="10"/>
  <c r="AG146" i="10"/>
  <c r="X146" i="10"/>
  <c r="AM145" i="10"/>
  <c r="AD145" i="10"/>
  <c r="AJ144" i="10"/>
  <c r="Z144" i="10"/>
  <c r="AO143" i="10"/>
  <c r="AF143" i="10"/>
  <c r="W143" i="10"/>
  <c r="AK142" i="10"/>
  <c r="AC142" i="10"/>
  <c r="AJ141" i="10"/>
  <c r="Z128" i="10"/>
  <c r="AI128" i="10"/>
  <c r="AD129" i="10"/>
  <c r="AM129" i="10"/>
  <c r="Y130" i="10"/>
  <c r="AI130" i="10"/>
  <c r="AC131" i="10"/>
  <c r="AL131" i="10"/>
  <c r="W132" i="10"/>
  <c r="AF132" i="10"/>
  <c r="AO132" i="10"/>
  <c r="Z133" i="10"/>
  <c r="AI133" i="10"/>
  <c r="AC134" i="10"/>
  <c r="AM134" i="10"/>
  <c r="Y135" i="10"/>
  <c r="AH135" i="10"/>
  <c r="AC136" i="10"/>
  <c r="AL136" i="10"/>
  <c r="X137" i="10"/>
  <c r="AH137" i="10"/>
  <c r="AC138" i="10"/>
  <c r="AL138" i="10"/>
  <c r="W139" i="10"/>
  <c r="AF139" i="10"/>
  <c r="AO139" i="10"/>
  <c r="Z140" i="10"/>
  <c r="AI140" i="10"/>
  <c r="AD141" i="10"/>
  <c r="AN141" i="10"/>
  <c r="Y142" i="10"/>
  <c r="AI142" i="10"/>
  <c r="AA143" i="10"/>
  <c r="AM143" i="10"/>
  <c r="Y144" i="10"/>
  <c r="AO144" i="10"/>
  <c r="AA145" i="10"/>
  <c r="AF146" i="10"/>
  <c r="AG147" i="10"/>
  <c r="AK148" i="10"/>
  <c r="Y149" i="10"/>
  <c r="AJ150" i="10"/>
  <c r="AG151" i="10"/>
  <c r="AD152" i="10"/>
  <c r="AJ154" i="10"/>
  <c r="AG155" i="10"/>
  <c r="AD156" i="10"/>
  <c r="AH158" i="10"/>
  <c r="Y159" i="10"/>
  <c r="AL160" i="10"/>
  <c r="AF161" i="10"/>
  <c r="X162" i="10"/>
  <c r="AO163" i="10"/>
  <c r="D5" i="11"/>
  <c r="AJ102" i="10"/>
  <c r="AC103" i="10"/>
  <c r="AK103" i="10"/>
  <c r="AD104" i="10"/>
  <c r="AL104" i="10"/>
  <c r="W105" i="10"/>
  <c r="AE105" i="10"/>
  <c r="AM105" i="10"/>
  <c r="X106" i="10"/>
  <c r="AF106" i="10"/>
  <c r="AN106" i="10"/>
  <c r="Y107" i="10"/>
  <c r="AG107" i="10"/>
  <c r="AO107" i="10"/>
  <c r="Z108" i="10"/>
  <c r="AH108" i="10"/>
  <c r="AA109" i="10"/>
  <c r="AI109" i="10"/>
  <c r="AB110" i="10"/>
  <c r="AJ110" i="10"/>
  <c r="AC111" i="10"/>
  <c r="AK111" i="10"/>
  <c r="AD112" i="10"/>
  <c r="AL112" i="10"/>
  <c r="W113" i="10"/>
  <c r="AE113" i="10"/>
  <c r="AM113" i="10"/>
  <c r="X114" i="10"/>
  <c r="AF114" i="10"/>
  <c r="AN114" i="10"/>
  <c r="Y115" i="10"/>
  <c r="AG115" i="10"/>
  <c r="AO115" i="10"/>
  <c r="Z116" i="10"/>
  <c r="AH116" i="10"/>
  <c r="AA117" i="10"/>
  <c r="AI117" i="10"/>
  <c r="AB118" i="10"/>
  <c r="AJ118" i="10"/>
  <c r="AC119" i="10"/>
  <c r="AK119" i="10"/>
  <c r="AD120" i="10"/>
  <c r="AL120" i="10"/>
  <c r="W121" i="10"/>
  <c r="AE121" i="10"/>
  <c r="AM121" i="10"/>
  <c r="X122" i="10"/>
  <c r="AF122" i="10"/>
  <c r="AN122" i="10"/>
  <c r="Y123" i="10"/>
  <c r="AG123" i="10"/>
  <c r="AO123" i="10"/>
  <c r="Z124" i="10"/>
  <c r="AH124" i="10"/>
  <c r="AA125" i="10"/>
  <c r="AI125" i="10"/>
  <c r="AB126" i="10"/>
  <c r="AJ126" i="10"/>
  <c r="AF127" i="10"/>
  <c r="AO127" i="10"/>
  <c r="AA128" i="10"/>
  <c r="AJ128" i="10"/>
  <c r="AE129" i="10"/>
  <c r="AN129" i="10"/>
  <c r="AA130" i="10"/>
  <c r="AJ130" i="10"/>
  <c r="AD131" i="10"/>
  <c r="AM131" i="10"/>
  <c r="X132" i="10"/>
  <c r="AG132" i="10"/>
  <c r="AA133" i="10"/>
  <c r="AJ133" i="10"/>
  <c r="AE134" i="10"/>
  <c r="AN134" i="10"/>
  <c r="Z135" i="10"/>
  <c r="AI135" i="10"/>
  <c r="AD136" i="10"/>
  <c r="AM136" i="10"/>
  <c r="Z137" i="10"/>
  <c r="AI137" i="10"/>
  <c r="AD138" i="10"/>
  <c r="AM138" i="10"/>
  <c r="X139" i="10"/>
  <c r="AA140" i="10"/>
  <c r="AK140" i="10"/>
  <c r="AE141" i="10"/>
  <c r="AO141" i="10"/>
  <c r="Z142" i="10"/>
  <c r="AJ142" i="10"/>
  <c r="AB143" i="10"/>
  <c r="AN143" i="10"/>
  <c r="AD144" i="10"/>
  <c r="AC145" i="10"/>
  <c r="AJ146" i="10"/>
  <c r="AH147" i="10"/>
  <c r="Z148" i="10"/>
  <c r="AL148" i="10"/>
  <c r="AA149" i="10"/>
  <c r="AI151" i="10"/>
  <c r="AE152" i="10"/>
  <c r="W153" i="10"/>
  <c r="AH155" i="10"/>
  <c r="AF156" i="10"/>
  <c r="W157" i="10"/>
  <c r="AJ158" i="10"/>
  <c r="AF159" i="10"/>
  <c r="AH161" i="10"/>
  <c r="AA162" i="10"/>
  <c r="G19" i="12"/>
  <c r="F19" i="12"/>
  <c r="G22" i="12"/>
  <c r="F22" i="12"/>
  <c r="G37" i="12"/>
  <c r="F37" i="12"/>
  <c r="G13" i="12"/>
  <c r="F13" i="12"/>
  <c r="F34" i="12"/>
  <c r="G34" i="12"/>
  <c r="Q21" i="16"/>
  <c r="F10" i="12"/>
  <c r="G10" i="12"/>
  <c r="G35" i="12"/>
  <c r="F35" i="12"/>
  <c r="G38" i="12"/>
  <c r="F38" i="12"/>
  <c r="Q19" i="16"/>
  <c r="D4" i="12"/>
  <c r="E4" i="12" s="1"/>
  <c r="C5" i="12"/>
  <c r="G11" i="12"/>
  <c r="F11" i="12"/>
  <c r="G14" i="12"/>
  <c r="F14" i="12"/>
  <c r="G29" i="12"/>
  <c r="F29" i="12"/>
  <c r="F26" i="12"/>
  <c r="G26" i="12"/>
  <c r="AA7" i="16"/>
  <c r="AB7" i="16"/>
  <c r="AB8" i="16"/>
  <c r="AA8" i="16"/>
  <c r="G27" i="12"/>
  <c r="F27" i="12"/>
  <c r="G30" i="12"/>
  <c r="F30" i="12"/>
  <c r="G21" i="12"/>
  <c r="F21" i="12"/>
  <c r="F42" i="12"/>
  <c r="G42" i="12"/>
  <c r="F18" i="12"/>
  <c r="G18" i="12"/>
  <c r="Z6" i="16"/>
  <c r="Q16" i="16"/>
  <c r="Q35" i="16"/>
  <c r="AC39" i="16"/>
  <c r="X42" i="16"/>
  <c r="AB44" i="16"/>
  <c r="Z3" i="16"/>
  <c r="D3" i="12"/>
  <c r="F9" i="12"/>
  <c r="F17" i="12"/>
  <c r="F25" i="12"/>
  <c r="F33" i="12"/>
  <c r="F41" i="12"/>
  <c r="W7" i="16"/>
  <c r="X7" i="16" s="1"/>
  <c r="O8" i="16"/>
  <c r="Q8" i="16" s="1"/>
  <c r="W4" i="16"/>
  <c r="AC6" i="16"/>
  <c r="Q30" i="16"/>
  <c r="Q31" i="16"/>
  <c r="Q43" i="16"/>
  <c r="Q44" i="16"/>
  <c r="Q24" i="16"/>
  <c r="F8" i="12"/>
  <c r="F16" i="12"/>
  <c r="F24" i="12"/>
  <c r="F32" i="12"/>
  <c r="F40" i="12"/>
  <c r="V3" i="16"/>
  <c r="AA37" i="16"/>
  <c r="X38" i="16"/>
  <c r="AB41" i="16"/>
  <c r="AC44" i="16"/>
  <c r="X44" i="16"/>
  <c r="W5" i="16"/>
  <c r="X5" i="16" s="1"/>
  <c r="AC8" i="16"/>
  <c r="Z9" i="16"/>
  <c r="Q28" i="16"/>
  <c r="Q32" i="16"/>
  <c r="Z43" i="16"/>
  <c r="V43" i="16"/>
  <c r="AA39" i="16"/>
  <c r="C2" i="18"/>
  <c r="Z38" i="16"/>
  <c r="Z40" i="16"/>
  <c r="Z42" i="16"/>
  <c r="W41" i="16"/>
  <c r="W34" i="16"/>
  <c r="R29" i="8" l="1"/>
  <c r="S29" i="8" s="1"/>
  <c r="R39" i="8"/>
  <c r="S39" i="8" s="1"/>
  <c r="C20" i="8"/>
  <c r="F19" i="6"/>
  <c r="W11" i="16"/>
  <c r="V11" i="16"/>
  <c r="Z11" i="16"/>
  <c r="AA34" i="16"/>
  <c r="X34" i="16"/>
  <c r="AB43" i="16"/>
  <c r="AA43" i="16"/>
  <c r="AB34" i="16"/>
  <c r="AA5" i="16"/>
  <c r="Z10" i="16"/>
  <c r="W10" i="16"/>
  <c r="V10" i="16"/>
  <c r="Z16" i="16"/>
  <c r="W16" i="16"/>
  <c r="V16" i="16"/>
  <c r="W27" i="16"/>
  <c r="V27" i="16"/>
  <c r="Z27" i="16"/>
  <c r="W36" i="16"/>
  <c r="Z36" i="16"/>
  <c r="V36" i="16"/>
  <c r="D12" i="8"/>
  <c r="G11" i="6"/>
  <c r="AG16" i="11"/>
  <c r="F46" i="6"/>
  <c r="C47" i="8"/>
  <c r="R47" i="8" s="1"/>
  <c r="S47" i="8" s="1"/>
  <c r="D50" i="8"/>
  <c r="G49" i="6"/>
  <c r="R13" i="8"/>
  <c r="S13" i="8" s="1"/>
  <c r="AG50" i="7"/>
  <c r="I52" i="3"/>
  <c r="F6" i="6"/>
  <c r="C7" i="8"/>
  <c r="R7" i="8" s="1"/>
  <c r="S7" i="8" s="1"/>
  <c r="R17" i="8"/>
  <c r="S17" i="8" s="1"/>
  <c r="G7" i="6"/>
  <c r="D8" i="8"/>
  <c r="F39" i="3"/>
  <c r="G39" i="3" s="1"/>
  <c r="F6" i="3"/>
  <c r="G6" i="3" s="1"/>
  <c r="I6" i="4"/>
  <c r="P6" i="4" s="1"/>
  <c r="I30" i="4"/>
  <c r="P30" i="4" s="1"/>
  <c r="F22" i="3"/>
  <c r="G22" i="3" s="1"/>
  <c r="V24" i="16"/>
  <c r="Z24" i="16"/>
  <c r="W24" i="16"/>
  <c r="X41" i="16"/>
  <c r="AA41" i="16"/>
  <c r="AA3" i="16"/>
  <c r="AB3" i="16"/>
  <c r="AB5" i="16"/>
  <c r="AG20" i="11"/>
  <c r="AG19" i="11"/>
  <c r="Z12" i="16"/>
  <c r="W12" i="16"/>
  <c r="V12" i="16"/>
  <c r="Z23" i="16"/>
  <c r="W23" i="16"/>
  <c r="V23" i="16"/>
  <c r="V13" i="16"/>
  <c r="W13" i="16"/>
  <c r="E51" i="16" s="1"/>
  <c r="Z13" i="16"/>
  <c r="Z33" i="16"/>
  <c r="W33" i="16"/>
  <c r="V33" i="16"/>
  <c r="AG25" i="11"/>
  <c r="F50" i="6"/>
  <c r="C51" i="8"/>
  <c r="R51" i="8" s="1"/>
  <c r="S51" i="8" s="1"/>
  <c r="E11" i="6"/>
  <c r="AG12" i="7"/>
  <c r="AG6" i="7"/>
  <c r="E5" i="6"/>
  <c r="C43" i="8"/>
  <c r="R43" i="8" s="1"/>
  <c r="S43" i="8" s="1"/>
  <c r="F42" i="6"/>
  <c r="F48" i="6"/>
  <c r="C49" i="8"/>
  <c r="R49" i="8" s="1"/>
  <c r="S49" i="8" s="1"/>
  <c r="AG22" i="11"/>
  <c r="F30" i="6"/>
  <c r="C31" i="8"/>
  <c r="R31" i="8" s="1"/>
  <c r="S31" i="8" s="1"/>
  <c r="G31" i="6"/>
  <c r="F31" i="6"/>
  <c r="D32" i="8"/>
  <c r="R32" i="8" s="1"/>
  <c r="S32" i="8" s="1"/>
  <c r="AG28" i="11"/>
  <c r="I9" i="4"/>
  <c r="P9" i="4" s="1"/>
  <c r="F34" i="3"/>
  <c r="G34" i="3" s="1"/>
  <c r="F9" i="3"/>
  <c r="G9" i="3" s="1"/>
  <c r="I8" i="4"/>
  <c r="P8" i="4" s="1"/>
  <c r="F8" i="3"/>
  <c r="G8" i="3" s="1"/>
  <c r="AB42" i="16"/>
  <c r="AA42" i="16"/>
  <c r="Z19" i="16"/>
  <c r="W19" i="16"/>
  <c r="V19" i="16"/>
  <c r="V35" i="16"/>
  <c r="Z35" i="16"/>
  <c r="W35" i="16"/>
  <c r="W30" i="16"/>
  <c r="V30" i="16"/>
  <c r="Z30" i="16"/>
  <c r="AG31" i="11"/>
  <c r="AG18" i="11"/>
  <c r="AG10" i="11"/>
  <c r="AG17" i="11"/>
  <c r="G39" i="6"/>
  <c r="D40" i="8"/>
  <c r="R40" i="8" s="1"/>
  <c r="S40" i="8" s="1"/>
  <c r="F39" i="6"/>
  <c r="D28" i="8"/>
  <c r="R28" i="8" s="1"/>
  <c r="S28" i="8" s="1"/>
  <c r="G27" i="6"/>
  <c r="F27" i="6"/>
  <c r="AG24" i="11"/>
  <c r="C4" i="8"/>
  <c r="F3" i="6"/>
  <c r="F11" i="3"/>
  <c r="G11" i="3" s="1"/>
  <c r="I11" i="4"/>
  <c r="F7" i="3"/>
  <c r="G7" i="3" s="1"/>
  <c r="I7" i="4"/>
  <c r="P7" i="4" s="1"/>
  <c r="I14" i="4"/>
  <c r="F40" i="3"/>
  <c r="G40" i="3" s="1"/>
  <c r="AG13" i="11"/>
  <c r="Z26" i="16"/>
  <c r="W26" i="16"/>
  <c r="V26" i="16"/>
  <c r="V25" i="16"/>
  <c r="Z25" i="16"/>
  <c r="W25" i="16"/>
  <c r="V15" i="16"/>
  <c r="Z15" i="16"/>
  <c r="W15" i="16"/>
  <c r="AG30" i="11"/>
  <c r="AG29" i="11"/>
  <c r="R23" i="8"/>
  <c r="S23" i="8" s="1"/>
  <c r="R11" i="8"/>
  <c r="S11" i="8" s="1"/>
  <c r="AG8" i="11"/>
  <c r="C19" i="8"/>
  <c r="R19" i="8" s="1"/>
  <c r="S19" i="8" s="1"/>
  <c r="F18" i="6"/>
  <c r="D48" i="8"/>
  <c r="R48" i="8" s="1"/>
  <c r="S48" i="8" s="1"/>
  <c r="G47" i="6"/>
  <c r="F47" i="6"/>
  <c r="AG6" i="11"/>
  <c r="R3" i="8"/>
  <c r="I13" i="4"/>
  <c r="P13" i="4" s="1"/>
  <c r="F33" i="3"/>
  <c r="G33" i="3" s="1"/>
  <c r="F3" i="3"/>
  <c r="G3" i="3" s="1"/>
  <c r="I3" i="4"/>
  <c r="P3" i="4" s="1"/>
  <c r="I4" i="4"/>
  <c r="P4" i="4" s="1"/>
  <c r="F38" i="3"/>
  <c r="G38" i="3" s="1"/>
  <c r="F4" i="3"/>
  <c r="G4" i="3" s="1"/>
  <c r="AG12" i="11"/>
  <c r="AB40" i="16"/>
  <c r="AA40" i="16"/>
  <c r="AA9" i="16"/>
  <c r="AB9" i="16"/>
  <c r="X3" i="16"/>
  <c r="D56" i="16"/>
  <c r="AC3" i="16"/>
  <c r="AB38" i="16"/>
  <c r="AA38" i="16"/>
  <c r="E56" i="16"/>
  <c r="Z28" i="16"/>
  <c r="W28" i="16"/>
  <c r="V28" i="16"/>
  <c r="V29" i="16"/>
  <c r="Z29" i="16"/>
  <c r="W29" i="16"/>
  <c r="V22" i="16"/>
  <c r="Z22" i="16"/>
  <c r="W22" i="16"/>
  <c r="G15" i="6"/>
  <c r="D16" i="8"/>
  <c r="AG7" i="11"/>
  <c r="R35" i="8"/>
  <c r="S35" i="8" s="1"/>
  <c r="AG15" i="11"/>
  <c r="F10" i="3"/>
  <c r="G10" i="3" s="1"/>
  <c r="F46" i="3"/>
  <c r="G46" i="3" s="1"/>
  <c r="I10" i="4"/>
  <c r="P10" i="4" s="1"/>
  <c r="I5" i="4"/>
  <c r="F5" i="3"/>
  <c r="G5" i="3" s="1"/>
  <c r="I51" i="4"/>
  <c r="P51" i="4" s="1"/>
  <c r="F24" i="3"/>
  <c r="G24" i="3" s="1"/>
  <c r="I44" i="4"/>
  <c r="P44" i="4" s="1"/>
  <c r="F42" i="3"/>
  <c r="G42" i="3" s="1"/>
  <c r="D5" i="12"/>
  <c r="E5" i="12" s="1"/>
  <c r="C6" i="12"/>
  <c r="G23" i="6"/>
  <c r="D24" i="8"/>
  <c r="R24" i="8" s="1"/>
  <c r="S24" i="8" s="1"/>
  <c r="F23" i="6"/>
  <c r="C27" i="8"/>
  <c r="R27" i="8" s="1"/>
  <c r="S27" i="8" s="1"/>
  <c r="F26" i="6"/>
  <c r="D44" i="8"/>
  <c r="R44" i="8" s="1"/>
  <c r="S44" i="8" s="1"/>
  <c r="G43" i="6"/>
  <c r="F43" i="6"/>
  <c r="C14" i="8"/>
  <c r="R14" i="8" s="1"/>
  <c r="S14" i="8" s="1"/>
  <c r="F13" i="6"/>
  <c r="F7" i="6"/>
  <c r="C8" i="8"/>
  <c r="R8" i="8" s="1"/>
  <c r="S8" i="8" s="1"/>
  <c r="D20" i="8"/>
  <c r="G19" i="6"/>
  <c r="V21" i="16"/>
  <c r="Z21" i="16"/>
  <c r="W21" i="16"/>
  <c r="V31" i="16"/>
  <c r="W31" i="16"/>
  <c r="Z31" i="16"/>
  <c r="AG26" i="11"/>
  <c r="AG18" i="7"/>
  <c r="E17" i="6"/>
  <c r="R5" i="8"/>
  <c r="S5" i="8" s="1"/>
  <c r="AG27" i="11"/>
  <c r="AG23" i="11"/>
  <c r="I43" i="4"/>
  <c r="P43" i="4" s="1"/>
  <c r="F41" i="3"/>
  <c r="G41" i="3" s="1"/>
  <c r="I39" i="4"/>
  <c r="P39" i="4" s="1"/>
  <c r="F45" i="3"/>
  <c r="G45" i="3" s="1"/>
  <c r="F35" i="3"/>
  <c r="G35" i="3" s="1"/>
  <c r="I15" i="4"/>
  <c r="P15" i="4" s="1"/>
  <c r="F12" i="3"/>
  <c r="G12" i="3" s="1"/>
  <c r="I12" i="4"/>
  <c r="P12" i="4" s="1"/>
  <c r="V32" i="16"/>
  <c r="Z32" i="16"/>
  <c r="W32" i="16"/>
  <c r="E15" i="6"/>
  <c r="AG16" i="7"/>
  <c r="E23" i="2"/>
  <c r="E50" i="16"/>
  <c r="G4" i="12"/>
  <c r="F4" i="12"/>
  <c r="Z18" i="16"/>
  <c r="W18" i="16"/>
  <c r="V18" i="16"/>
  <c r="X43" i="16"/>
  <c r="AC43" i="16"/>
  <c r="AA4" i="16"/>
  <c r="X4" i="16"/>
  <c r="AB4" i="16"/>
  <c r="E3" i="12"/>
  <c r="AB6" i="16"/>
  <c r="AA6" i="16"/>
  <c r="E49" i="16"/>
  <c r="Z14" i="16"/>
  <c r="D50" i="16" s="1"/>
  <c r="W14" i="16"/>
  <c r="V14" i="16"/>
  <c r="W20" i="16"/>
  <c r="V20" i="16"/>
  <c r="Z20" i="16"/>
  <c r="V17" i="16"/>
  <c r="Z17" i="16"/>
  <c r="W17" i="16"/>
  <c r="AG11" i="11"/>
  <c r="AG9" i="11"/>
  <c r="D36" i="8"/>
  <c r="R36" i="8" s="1"/>
  <c r="S36" i="8" s="1"/>
  <c r="F35" i="6"/>
  <c r="G35" i="6"/>
  <c r="D4" i="8"/>
  <c r="G3" i="6"/>
  <c r="C33" i="8"/>
  <c r="R33" i="8" s="1"/>
  <c r="S33" i="8" s="1"/>
  <c r="F32" i="6"/>
  <c r="G33" i="6"/>
  <c r="D34" i="8"/>
  <c r="R34" i="8" s="1"/>
  <c r="S34" i="8" s="1"/>
  <c r="I45" i="4"/>
  <c r="P45" i="4" s="1"/>
  <c r="F13" i="3"/>
  <c r="G13" i="3" s="1"/>
  <c r="F23" i="3"/>
  <c r="G23" i="3" s="1"/>
  <c r="I36" i="4"/>
  <c r="P36" i="4" s="1"/>
  <c r="L45" i="3" l="1"/>
  <c r="K45" i="3"/>
  <c r="I45" i="3"/>
  <c r="F17" i="6"/>
  <c r="C18" i="8"/>
  <c r="R18" i="8" s="1"/>
  <c r="S18" i="8" s="1"/>
  <c r="L42" i="3"/>
  <c r="K42" i="3"/>
  <c r="I42" i="3"/>
  <c r="L10" i="3"/>
  <c r="J10" i="3"/>
  <c r="I10" i="3"/>
  <c r="K10" i="3"/>
  <c r="X22" i="16"/>
  <c r="AC22" i="16"/>
  <c r="H56" i="16"/>
  <c r="L38" i="3"/>
  <c r="J38" i="3"/>
  <c r="K38" i="3"/>
  <c r="I38" i="3"/>
  <c r="X26" i="16"/>
  <c r="AC26" i="16"/>
  <c r="AC30" i="16"/>
  <c r="X30" i="16"/>
  <c r="E58" i="16"/>
  <c r="E52" i="16"/>
  <c r="AC36" i="16"/>
  <c r="X36" i="16"/>
  <c r="AA16" i="16"/>
  <c r="AB16" i="16"/>
  <c r="AC31" i="16"/>
  <c r="X31" i="16"/>
  <c r="F50" i="16"/>
  <c r="G50" i="16" s="1"/>
  <c r="I50" i="16" s="1"/>
  <c r="X18" i="16"/>
  <c r="AC18" i="16"/>
  <c r="X14" i="16"/>
  <c r="AC14" i="16"/>
  <c r="J11" i="3"/>
  <c r="I11" i="3"/>
  <c r="L11" i="3"/>
  <c r="K11" i="3"/>
  <c r="D59" i="16"/>
  <c r="AC33" i="16"/>
  <c r="X33" i="16"/>
  <c r="AA23" i="16"/>
  <c r="AB23" i="16"/>
  <c r="AB24" i="16"/>
  <c r="AA24" i="16"/>
  <c r="AB36" i="16"/>
  <c r="AA36" i="16"/>
  <c r="X10" i="16"/>
  <c r="AC10" i="16"/>
  <c r="D57" i="16"/>
  <c r="AB32" i="16"/>
  <c r="AA32" i="16"/>
  <c r="K41" i="3"/>
  <c r="L41" i="3"/>
  <c r="I41" i="3"/>
  <c r="AA31" i="16"/>
  <c r="AB31" i="16"/>
  <c r="K24" i="3"/>
  <c r="J24" i="3"/>
  <c r="I24" i="3"/>
  <c r="L24" i="3"/>
  <c r="AA29" i="16"/>
  <c r="AB29" i="16"/>
  <c r="AB26" i="16"/>
  <c r="AA26" i="16"/>
  <c r="L8" i="3"/>
  <c r="K8" i="3"/>
  <c r="I8" i="3"/>
  <c r="J8" i="3"/>
  <c r="E59" i="16"/>
  <c r="F59" i="16" s="1"/>
  <c r="AC12" i="16"/>
  <c r="X12" i="16"/>
  <c r="AC24" i="16"/>
  <c r="X24" i="16"/>
  <c r="E57" i="16"/>
  <c r="F57" i="16" s="1"/>
  <c r="E47" i="16"/>
  <c r="F47" i="16" s="1"/>
  <c r="AA11" i="16"/>
  <c r="AB11" i="16"/>
  <c r="L12" i="3"/>
  <c r="K12" i="3"/>
  <c r="I12" i="3"/>
  <c r="J12" i="3"/>
  <c r="G3" i="12"/>
  <c r="F3" i="12"/>
  <c r="AB18" i="16"/>
  <c r="AA18" i="16"/>
  <c r="AB14" i="16"/>
  <c r="AA14" i="16"/>
  <c r="X32" i="16"/>
  <c r="AC32" i="16"/>
  <c r="X29" i="16"/>
  <c r="AC29" i="16"/>
  <c r="D52" i="16"/>
  <c r="G25" i="3"/>
  <c r="J3" i="3"/>
  <c r="I3" i="3"/>
  <c r="G51" i="3"/>
  <c r="L52" i="3" s="1"/>
  <c r="K17" i="3"/>
  <c r="K3" i="3"/>
  <c r="L14" i="3"/>
  <c r="L21" i="3"/>
  <c r="K21" i="3"/>
  <c r="L3" i="3"/>
  <c r="L17" i="3"/>
  <c r="K14" i="3"/>
  <c r="L28" i="3"/>
  <c r="L47" i="3"/>
  <c r="L44" i="3"/>
  <c r="L36" i="3"/>
  <c r="L18" i="3"/>
  <c r="L19" i="3"/>
  <c r="L30" i="3"/>
  <c r="L16" i="3"/>
  <c r="L43" i="3"/>
  <c r="L15" i="3"/>
  <c r="K18" i="3"/>
  <c r="K16" i="3"/>
  <c r="K19" i="3"/>
  <c r="K15" i="3"/>
  <c r="L37" i="3"/>
  <c r="K20" i="3"/>
  <c r="L32" i="3"/>
  <c r="L20" i="3"/>
  <c r="L29" i="3"/>
  <c r="L31" i="3"/>
  <c r="AA15" i="16"/>
  <c r="AB15" i="16"/>
  <c r="R4" i="8"/>
  <c r="S4" i="8" s="1"/>
  <c r="AA35" i="16"/>
  <c r="AB35" i="16"/>
  <c r="C6" i="8"/>
  <c r="R6" i="8" s="1"/>
  <c r="S6" i="8" s="1"/>
  <c r="F5" i="6"/>
  <c r="AB33" i="16"/>
  <c r="AA33" i="16"/>
  <c r="D49" i="16"/>
  <c r="J22" i="3"/>
  <c r="I22" i="3"/>
  <c r="K22" i="3"/>
  <c r="L22" i="3"/>
  <c r="AA27" i="16"/>
  <c r="AB27" i="16"/>
  <c r="AB10" i="16"/>
  <c r="AA10" i="16"/>
  <c r="X11" i="16"/>
  <c r="AC11" i="16"/>
  <c r="K5" i="3"/>
  <c r="J5" i="3"/>
  <c r="I5" i="3"/>
  <c r="L5" i="3"/>
  <c r="X28" i="16"/>
  <c r="AC28" i="16"/>
  <c r="D47" i="16"/>
  <c r="K33" i="3"/>
  <c r="J33" i="3"/>
  <c r="L33" i="3"/>
  <c r="I33" i="3"/>
  <c r="K29" i="3"/>
  <c r="G48" i="3"/>
  <c r="K43" i="3"/>
  <c r="K44" i="3"/>
  <c r="K30" i="3"/>
  <c r="K28" i="3"/>
  <c r="K47" i="3"/>
  <c r="K36" i="3"/>
  <c r="K31" i="3"/>
  <c r="K37" i="3"/>
  <c r="K32" i="3"/>
  <c r="AC15" i="16"/>
  <c r="X15" i="16"/>
  <c r="I40" i="3"/>
  <c r="L40" i="3"/>
  <c r="J40" i="3"/>
  <c r="K40" i="3"/>
  <c r="AC35" i="16"/>
  <c r="X35" i="16"/>
  <c r="K9" i="3"/>
  <c r="L9" i="3"/>
  <c r="J9" i="3"/>
  <c r="I9" i="3"/>
  <c r="C12" i="8"/>
  <c r="R12" i="8" s="1"/>
  <c r="S12" i="8" s="1"/>
  <c r="F11" i="6"/>
  <c r="AB13" i="16"/>
  <c r="AA13" i="16"/>
  <c r="AB12" i="16"/>
  <c r="AA12" i="16"/>
  <c r="X27" i="16"/>
  <c r="AC27" i="16"/>
  <c r="AB17" i="16"/>
  <c r="AA17" i="16"/>
  <c r="AC19" i="16"/>
  <c r="X19" i="16"/>
  <c r="L34" i="3"/>
  <c r="J34" i="3"/>
  <c r="K34" i="3"/>
  <c r="I34" i="3"/>
  <c r="K13" i="3"/>
  <c r="L13" i="3"/>
  <c r="I13" i="3"/>
  <c r="J13" i="3"/>
  <c r="AB20" i="16"/>
  <c r="AA20" i="16"/>
  <c r="AB28" i="16"/>
  <c r="AA28" i="16"/>
  <c r="S3" i="8"/>
  <c r="AA25" i="16"/>
  <c r="AB25" i="16"/>
  <c r="X13" i="16"/>
  <c r="AC13" i="16"/>
  <c r="L6" i="3"/>
  <c r="J6" i="3"/>
  <c r="K6" i="3"/>
  <c r="I6" i="3"/>
  <c r="AC16" i="16"/>
  <c r="X16" i="16"/>
  <c r="F49" i="16"/>
  <c r="L23" i="3"/>
  <c r="K23" i="3"/>
  <c r="I23" i="3"/>
  <c r="J23" i="3"/>
  <c r="AC17" i="16"/>
  <c r="X17" i="16"/>
  <c r="AB21" i="16"/>
  <c r="AA21" i="16"/>
  <c r="C7" i="12"/>
  <c r="D7" i="12" s="1"/>
  <c r="E7" i="12" s="1"/>
  <c r="D6" i="12"/>
  <c r="D48" i="16"/>
  <c r="AC20" i="16"/>
  <c r="X20" i="16"/>
  <c r="F15" i="6"/>
  <c r="C16" i="8"/>
  <c r="R16" i="8" s="1"/>
  <c r="S16" i="8" s="1"/>
  <c r="L35" i="3"/>
  <c r="K35" i="3"/>
  <c r="J35" i="3"/>
  <c r="I35" i="3"/>
  <c r="AC21" i="16"/>
  <c r="X21" i="16"/>
  <c r="G5" i="12"/>
  <c r="F5" i="12"/>
  <c r="K46" i="3"/>
  <c r="L46" i="3"/>
  <c r="J46" i="3"/>
  <c r="I46" i="3"/>
  <c r="AB22" i="16"/>
  <c r="AA22" i="16"/>
  <c r="F56" i="16"/>
  <c r="G56" i="16" s="1"/>
  <c r="I56" i="16" s="1"/>
  <c r="D51" i="16"/>
  <c r="L4" i="3"/>
  <c r="K4" i="3"/>
  <c r="I4" i="3"/>
  <c r="J4" i="3"/>
  <c r="J2" i="11"/>
  <c r="X25" i="16"/>
  <c r="AC25" i="16"/>
  <c r="J7" i="3"/>
  <c r="I7" i="3"/>
  <c r="L7" i="3"/>
  <c r="K7" i="3"/>
  <c r="AA30" i="16"/>
  <c r="AB30" i="16"/>
  <c r="AA19" i="16"/>
  <c r="AB19" i="16"/>
  <c r="X23" i="16"/>
  <c r="D58" i="16"/>
  <c r="AC23" i="16"/>
  <c r="E48" i="16"/>
  <c r="F48" i="16" s="1"/>
  <c r="L39" i="3"/>
  <c r="K39" i="3"/>
  <c r="J39" i="3"/>
  <c r="I39" i="3"/>
  <c r="C50" i="8"/>
  <c r="R50" i="8" s="1"/>
  <c r="S50" i="8" s="1"/>
  <c r="F49" i="6"/>
  <c r="R20" i="8"/>
  <c r="S20" i="8" s="1"/>
  <c r="L25" i="3" l="1"/>
  <c r="I48" i="3"/>
  <c r="J49" i="3" s="1"/>
  <c r="K25" i="3"/>
  <c r="K48" i="3"/>
  <c r="L48" i="3"/>
  <c r="E6" i="12"/>
  <c r="E18" i="2"/>
  <c r="E19" i="2"/>
  <c r="G57" i="16"/>
  <c r="H57" i="16"/>
  <c r="G48" i="16"/>
  <c r="H48" i="16"/>
  <c r="G47" i="16"/>
  <c r="H47" i="16"/>
  <c r="I51" i="3"/>
  <c r="I25" i="3"/>
  <c r="G58" i="16"/>
  <c r="H58" i="16"/>
  <c r="G59" i="16"/>
  <c r="H59" i="16"/>
  <c r="F52" i="16"/>
  <c r="F53" i="16" s="1"/>
  <c r="J48" i="3"/>
  <c r="G7" i="12"/>
  <c r="F7" i="12"/>
  <c r="E20" i="2" s="1"/>
  <c r="G49" i="16"/>
  <c r="I49" i="16" s="1"/>
  <c r="E60" i="16"/>
  <c r="F60" i="16" s="1"/>
  <c r="F58" i="16"/>
  <c r="J3" i="11"/>
  <c r="E14" i="2" s="1"/>
  <c r="E15" i="2"/>
  <c r="E28" i="2"/>
  <c r="G52" i="16"/>
  <c r="D60" i="16"/>
  <c r="F51" i="16"/>
  <c r="G51" i="16" s="1"/>
  <c r="I51" i="16" s="1"/>
  <c r="I59" i="16" l="1"/>
  <c r="I48" i="16"/>
  <c r="G60" i="16"/>
  <c r="J60" i="16"/>
  <c r="H60" i="16"/>
  <c r="I58" i="16"/>
  <c r="G53" i="16"/>
  <c r="I53" i="16" s="1"/>
  <c r="I52" i="16"/>
  <c r="I57" i="16"/>
  <c r="J26" i="3"/>
  <c r="J25" i="3"/>
  <c r="I47" i="16"/>
  <c r="G6" i="12"/>
  <c r="F6" i="12"/>
  <c r="I60" i="1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2" authorId="0" shapeId="0" xr:uid="{00000000-0006-0000-0200-000001000000}">
      <text>
        <r>
          <rPr>
            <sz val="10"/>
            <rFont val="Arial"/>
            <family val="2"/>
          </rPr>
          <t>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G5" authorId="0" shapeId="0" xr:uid="{00000000-0006-0000-0A00-000001000000}">
      <text>
        <r>
          <rPr>
            <sz val="10"/>
            <rFont val="Arial"/>
            <family val="2"/>
          </rPr>
          <t>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4" authorId="0" shapeId="0" xr:uid="{00000000-0006-0000-1100-000001000000}">
      <text>
        <r>
          <rPr>
            <sz val="10"/>
            <rFont val="Arial"/>
            <family val="2"/>
          </rPr>
          <t>Event must match a value in Journal col B exactly (case-sensitive) for the Event Due Date lookup to resolve -- e.g. 'DCA-CATCHUP-7', not 'Catchup 7' or 'DCA CATCHUP 7'. If Journal's event codes ever get renamed, update here too.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4" authorId="0" shapeId="0" xr:uid="{00000000-0006-0000-1200-000001000000}">
      <text>
        <r>
          <rPr>
            <sz val="10"/>
            <rFont val="Arial"/>
            <family val="2"/>
          </rPr>
          <t>Priority order, not a stable ticket ID -- fine to renumber when priorities change or a new item gets inserted partway down the list.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futureMetadata>
  <valueMetadata count="4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valueMetadata>
</metadata>
</file>

<file path=xl/sharedStrings.xml><?xml version="1.0" encoding="utf-8"?>
<sst xmlns="http://schemas.openxmlformats.org/spreadsheetml/2006/main" count="2620" uniqueCount="1072">
  <si>
    <t>THE LANDRY FAMILY EQUITY INVESTMENT OPERATING SYSTEM — 
STOCK SCORING &amp; PORTFOLIO RISK WORKBOOK</t>
  </si>
  <si>
    <t>Companion workbook to Landry System v1.05. Aligned to: Version 1.05 (51 numbered Hard Rules, Parts 1–12, and the Part 6 Stop-Review Ladder).</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</si>
  <si>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</si>
  <si>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</si>
  <si>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</si>
  <si>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</si>
  <si>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</si>
  <si>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</si>
  <si>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</si>
  <si>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</si>
  <si>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filter it, never sort it (its rows mirror Scoring by formula).</t>
  </si>
  <si>
    <t>4. Price History / Returns (Calc) / Correlation Matrix tabs — enter weekly closing prices for current</t>
  </si>
  <si>
    <t>holdings (ex-cash-sweep); pairwise correlation and the Rule 38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</si>
  <si>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</si>
  <si>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</si>
  <si>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v1.05)</t>
  </si>
  <si>
    <t>Rules 1–4 (Part 3) — Tier 1 floor of 3.0, mandatory review of any Tier 1 score of 1, automatic Avoid if</t>
  </si>
  <si>
    <t>two or more Tier 1 indicators score 2.0 or below, Strong Buy capped when two or more are Low Confidence.</t>
  </si>
  <si>
    <t>Rule 5 (Part 3) — Relative Strength or Technical Trend scored 1: documented review before a Buy is relied on.</t>
  </si>
  <si>
    <t>Rule 16 (Part 5) — No sector above 25% of portfolio, measured at market value on direct holdings (v1.05).</t>
  </si>
  <si>
    <t>Rule 34 (Part 6) — Early Partial Trim: Probationary Hold, indicator reconfirmed unimproved: trim a third, up to 3x.</t>
  </si>
  <si>
    <t>Stop-Review Ladder (Part 6, v1.05) — 20% below cost + weak relative strength or under the 200-day average: no adds,</t>
  </si>
  <si>
    <t>re-underwrite in 10 trading days; 30% below + deterioration found: trim a third; 40% + 8 weeks under: Exit Review.</t>
  </si>
  <si>
    <t>Rule 38 (Part 7) — Correlation Cap: no position may carry pairwise correlation above 0.70 with more than one other holding.</t>
  </si>
  <si>
    <t>Rule 39 (Part 7) — Portfolio drawdown response levels apply automatically; only a documented Tier 1 re-score restores normal sizing.</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</si>
  <si>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</si>
  <si>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</si>
  <si>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</si>
  <si>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</si>
  <si>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</si>
  <si>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</si>
  <si>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</si>
  <si>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</si>
  <si>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</si>
  <si>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</si>
  <si>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</si>
  <si>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</si>
  <si>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12-14 prep).</t>
  </si>
  <si>
    <t>Holding Monitor: populated during scheduled quarterly reviews / fundamental refreshes (see Journal for</t>
  </si>
  <si>
    <t>the standing calendar).</t>
  </si>
  <si>
    <t>Performance Tracking: populated the same moment a confirmed trade updates Current Positions -- one new lot row per purchase (landry.perf_tab.add_lot); prices and SPY refresh with the weekly run.</t>
  </si>
  <si>
    <t>Journal: for decisions, reasoning, and corrections that don't have a natural home in a structured tab -- not a duplicate of what the Scoring/Correlation/Drawdown tabs already record as data.</t>
  </si>
  <si>
    <t>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</si>
  <si>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Monitor &amp; Recheck Triggers: col G (Price at Last Score) is stamped every time a ticker is re-scored on the Scoring tab -- not tied to a fixed review cadence, since re-scores happen for reasons beyond scheduled reviews (see Journal, e.g. VRTX 8/7/26). Col H (Current Price) is a live</t>
  </si>
  <si>
    <t>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</si>
  <si>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Price History: ticker list tracks current holdings (ex-cash-sweep) exactly, added/removed when a</t>
  </si>
  <si>
    <t>position opens/fully exits. Weekly closes are Claude-populated (fetch_daily/weekly_closes in</t>
  </si>
  <si>
    <t>landry.data_auto, same tooling as Market Data) as of 2026-08-26 -- previously Alan pulled via</t>
  </si>
  <si>
    <t>yFinance and handed it to Claude to enter; now Claude fetches and writes directly, refreshed</t>
  </si>
  <si>
    <t>periodically, not live. Only write fully-completed weeks (week-ending Friday has occurred) --</t>
  </si>
  <si>
    <t>a partial current week resamples to a misleading "Friday" label before Friday actually happens.</t>
  </si>
  <si>
    <t>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</si>
  <si>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</si>
  <si>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</si>
  <si>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32-36 (see Watch List Tracker tab for detail)</t>
  </si>
  <si>
    <t>Deadlines passed (sell required within 30 days):</t>
  </si>
  <si>
    <t>Deadlines approaching (within 14 days):</t>
  </si>
  <si>
    <t>Recovered — ready to remove/reclassify:</t>
  </si>
  <si>
    <t>2. ACTIVE SELL TRIGGERS — Rules 22-31 (see Holding Monitor tab for detail)</t>
  </si>
  <si>
    <t>Holdings with action required within 30 days:</t>
  </si>
  <si>
    <t>Holdings under Hold Through (monitor only, no action):</t>
  </si>
  <si>
    <t>3. CORRELATION CAP — Rule 38 (see Correlation Matrix tab for detail)</t>
  </si>
  <si>
    <t>Rule 38 status:</t>
  </si>
  <si>
    <t>Positions exceeding cap:</t>
  </si>
  <si>
    <t>4. PORTFOLIO DRAWDOWN STATUS — Rule 39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</si>
  <si>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</si>
  <si>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</si>
  <si>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</si>
  <si>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</si>
  <si>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</si>
  <si>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Stocks flagged Avoid by Rule 3 (candidates and holdings):</t>
  </si>
  <si>
    <t>Candidates flagged for mandatory Tier 1 review (Rule 2):</t>
  </si>
  <si>
    <t>Candidates capped at Buy despite Strong Buy score (Rule 4):</t>
  </si>
  <si>
    <t>6. ENTRY AUTHORIZATION — Rules 6-14 (see Entry Checklist tab for detail)</t>
  </si>
  <si>
    <t>Candidates NOT authorized to enter (failing one or more Entry Rules):</t>
  </si>
  <si>
    <t>Candidates authorized, staged at reduced size (50%, per Rules 9-10):</t>
  </si>
  <si>
    <t>7. PIOTROSKI CROSS-CHECKS -- RETIRED 9/11/26. Tested on an 8-ticker diagnostic batch, dropped as redundant for how this system is actually used (see Journal row 42-43). Historical data left in place at Scoring cols AN-AS as a record of the experiment; no longer live-tallied here.</t>
  </si>
  <si>
    <t>Candidates flagged LOW CONF on Accruals (CFO does not exceed Net Income):</t>
  </si>
  <si>
    <t>Candidates with Debt/FCF trending up year-over-year:</t>
  </si>
  <si>
    <t>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</si>
  <si>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</si>
  <si>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</si>
  <si>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</si>
  <si>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</si>
  <si>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</si>
  <si>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</si>
  <si>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</si>
  <si>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</si>
  <si>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</si>
  <si>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</si>
  <si>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</si>
  <si>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</si>
  <si>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</si>
  <si>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</si>
  <si>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</si>
  <si>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</si>
  <si>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</si>
  <si>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</si>
  <si>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</si>
  <si>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</si>
  <si>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</si>
  <si>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</si>
  <si>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</si>
  <si>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</si>
  <si>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</si>
  <si>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</si>
  <si>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</si>
  <si>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</si>
  <si>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</si>
  <si>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</si>
  <si>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</si>
  <si>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</si>
  <si>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</si>
  <si>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</si>
  <si>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</si>
  <si>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</si>
  <si>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</si>
  <si>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</si>
  <si>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</si>
  <si>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V</t>
  </si>
  <si>
    <t>Visa Inc.</t>
  </si>
  <si>
    <t>NEW position 9/8/26 -- DCA-TRANCHE-2, opened per Entry Checklist authorization (Composite 86.4, STRONG BUY). 2 lots: 25sh @ $368.38 + 25sh @ $369.565.</t>
  </si>
  <si>
    <t>FZDXX</t>
  </si>
  <si>
    <t>Fidelity Money Market Premium</t>
  </si>
  <si>
    <t>Cash</t>
  </si>
  <si>
    <t>10/10/26: $15,713.12, estimate (site read + download, 10/10/26) until the monthly statement reconciles it. Made of the account shows $669.69 + $43.43 of cash not yet swept in + a PENDING transfer of $15,000.00 (10/9, announced by Alan, not yet posted at Fidelity). Booked by `landry accounts`.</t>
  </si>
  <si>
    <t>FZFXX</t>
  </si>
  <si>
    <t>Fidelity Core Money Market</t>
  </si>
  <si>
    <t>DVY</t>
  </si>
  <si>
    <t>iShares Select Dividend ETF</t>
  </si>
  <si>
    <t>NEW position since 8/5/26 -- cash/dry powder per Alan 9/7/26, not a scored Landry position.</t>
  </si>
  <si>
    <t>VFLO</t>
  </si>
  <si>
    <t>VictoryShares Free Cash Flow ETF</t>
  </si>
  <si>
    <t>NEW to this account since 8/5/26 (already held in Self-Directed) -- cash/dry powder per Alan 9/7/26, not a scored Landry position.</t>
  </si>
  <si>
    <t>SCHD</t>
  </si>
  <si>
    <t>Schwab US Dividend Equity ETF</t>
  </si>
  <si>
    <t>VYM</t>
  </si>
  <si>
    <t>Vanguard High Dividend Yield ETF</t>
  </si>
  <si>
    <t>MLPI</t>
  </si>
  <si>
    <t>NEOS MLP &amp; Energy Income ETF</t>
  </si>
  <si>
    <t>SPMO</t>
  </si>
  <si>
    <t>Invesco S&amp;P 500 Momentum ETF</t>
  </si>
  <si>
    <t>NEW to this account since 8/5/26 (already held in Self-Directed) -- cash/dry powder per Alan 9/7/26, not a scored Landry position. 10/6/26: sold 30 sh at $153.54 ($4,606.10) to fund DCA-CATCHUP-2. One tax lot (Alan), so the remaining 70 sh keep the same per-share basis; the sale realized about $197.</t>
  </si>
  <si>
    <t>GE</t>
  </si>
  <si>
    <t>GE Aerospace</t>
  </si>
  <si>
    <t>NEW position 9/30/26 -- DCA-CATCHUP-1, opened per Composite 84.2 STRONG BUY (rescored 9/13/26, reconfirmed fresh 9/29/26, zero Tier 1 drift). 75sh @ $314.71.</t>
  </si>
  <si>
    <t>NFLX</t>
  </si>
  <si>
    <t>Netflix, Inc.</t>
  </si>
  <si>
    <t>NEW position 9/30/26 -- DCA-CATCHUP-1, opened per Composite 83.8 STRONG BUY (rescored 9/13/26, reconfirmed fresh 9/29/26, zero Tier 1 drift). 300sh @ $69.795.</t>
  </si>
  <si>
    <t>VEEV</t>
  </si>
  <si>
    <t>Veeva Systems Class A</t>
  </si>
  <si>
    <t>DCA-CATCHUP-2, 10/7/26: 100 sh at $283.25 ($28,325.00). Composite 81.6 STRONG BUY (Moat 4); Entry Checklist row 51, Implied-Return row 52; Journal rows 100-104.</t>
  </si>
  <si>
    <t>Positions</t>
  </si>
  <si>
    <t>JT ULTRA (Fidelity) SUBTOTAL</t>
  </si>
  <si>
    <t>Excluding Cash</t>
  </si>
  <si>
    <t>Self-Directed (Chase)</t>
  </si>
  <si>
    <t>VMFXX</t>
  </si>
  <si>
    <t>Vanguard Federal Money Market</t>
  </si>
  <si>
    <t>10/7/26: $27,966.40, confirmed by Alan from the Chase page (Vanguard Money Market Reserves, Federal Portfolio) = the 9/30 statement's $36,854.47 + about $111.93 of October dividend - $9,000 redeemed to the core sweep. Journal rows 104-105.</t>
  </si>
  <si>
    <t>JEPQ</t>
  </si>
  <si>
    <t>JPMorgan Nasdaq Equity Premium Income ETF</t>
  </si>
  <si>
    <t>Alternative Assets</t>
  </si>
  <si>
    <t>Qty 840.4-&gt;850.4sh since 8/5, likely DRIP reinvestment. Reclassified as cash/dry powder per Alan 9/7/26, not a scored Landry position.</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</si>
  <si>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</si>
  <si>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</si>
  <si>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</si>
  <si>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</si>
  <si>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</si>
  <si>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</si>
  <si>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</si>
  <si>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</si>
  <si>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BOUGHT +200sh since 8/5 (300-&gt;500sh) -- expanding income sleeve. Reclassified as cash/dry powder per Alan 9/7/26, not a scored Landry position.</t>
  </si>
  <si>
    <t>AVGO</t>
  </si>
  <si>
    <t>Broadcom Inc.</t>
  </si>
  <si>
    <t>VRTX</t>
  </si>
  <si>
    <t>Vertex Pharmaceuticals</t>
  </si>
  <si>
    <t>BOUGHT +15sh 9/8/26 @ ~$527.47 ($7,912.09) -- DCA-TRANCHE-2 diversifier add.</t>
  </si>
  <si>
    <t>PLD</t>
  </si>
  <si>
    <t>Prologis Inc.</t>
  </si>
  <si>
    <t>BOUGHT +64sh 8/7/26 @ $139.92 -- DCA tranche 1 diversifier add</t>
  </si>
  <si>
    <t>SFM</t>
  </si>
  <si>
    <t>Sprouts Farmers Market</t>
  </si>
  <si>
    <t>SOLD 08/07/26 -- confirmed: -65 sh, $5,601.58 proceeds. Rule 3 Avoid. Proceeds added to VMFXX.</t>
  </si>
  <si>
    <t>TSLA</t>
  </si>
  <si>
    <t>Tesla Inc.</t>
  </si>
  <si>
    <t>SOLD 08/07/26 -- confirmed: -15 sh, $4,783.25 proceeds. Rule 3 Avoid. Proceeds added to VMFXX.</t>
  </si>
  <si>
    <t>VGT</t>
  </si>
  <si>
    <t>Vanguard Information Technology ETF</t>
  </si>
  <si>
    <t>SOLD 8/7/26 -- confirmed: -40.18sh, $4,851.48 proceeds. Worst correlation offender (5 violations), cleared per plan.</t>
  </si>
  <si>
    <t>QACDS</t>
  </si>
  <si>
    <t>Schwab Cash Features (Sweep)</t>
  </si>
  <si>
    <t>10/10/26: $427.26, estimate (site read + download, 10/10/26) until the monthly statement reconciles it. Booked by `landry accounts`.</t>
  </si>
  <si>
    <t>ONON</t>
  </si>
  <si>
    <t>On Holding AG</t>
  </si>
  <si>
    <t>SOLD 08/07/26 -- confirmed: -100 sh, $3,764.92 proceeds. Rule 3 Avoid. Proceeds added to VMFXX.</t>
  </si>
  <si>
    <t>JEPI</t>
  </si>
  <si>
    <t>JPMorgan Equity Premium Income ETF</t>
  </si>
  <si>
    <t>Self-Directed (Chase) SUBTOTAL</t>
  </si>
  <si>
    <t>COMBINED PORTFOLIO TOTAL</t>
  </si>
  <si>
    <t>Cash / Cash Equivalents</t>
  </si>
  <si>
    <t>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</si>
  <si>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</si>
  <si>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</si>
  <si>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Insider / analyst signals refreshed</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</si>
  <si>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</si>
  <si>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</si>
  <si>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</si>
  <si>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</si>
  <si>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</si>
  <si>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</si>
  <si>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</si>
  <si>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</si>
  <si>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</si>
  <si>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</si>
  <si>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</si>
  <si>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</si>
  <si>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Analyst Shift
Note</t>
  </si>
  <si>
    <t>Days Since
Last Score</t>
  </si>
  <si>
    <t>Recheck Status</t>
  </si>
  <si>
    <t>Notes</t>
  </si>
  <si>
    <t>Owned</t>
  </si>
  <si>
    <t>STRONG BUY</t>
  </si>
  <si>
    <t>Y</t>
  </si>
  <si>
    <t>2026-09-18: NARAYEN SHANTANU (Chair and CEO) sold $2,091,376, 2% of holding (+11 more in last 30d)</t>
  </si>
  <si>
    <t>N</t>
  </si>
  <si>
    <t>2026-09-29: Ullal Jayshree (CEO and Chairperson) sold $1,891,569, 0% of holding (+33 more in last 30d)</t>
  </si>
  <si>
    <t>BUY</t>
  </si>
  <si>
    <t>AVOID</t>
  </si>
  <si>
    <t>2026-10-02: Sentonas Michael (PRESIDENT) sold $3,487,213, 1% of holding (+153 more in last 30d)</t>
  </si>
  <si>
    <t>2026-09-16: WALLACE RICHARD P (President and CEO) sold $12,378,626, 9% of holding</t>
  </si>
  <si>
    <t>2026-09-23: Teter Timothy S. (EVP, General Counsel and Sec) sold $2,773,638, 0% of holding (+14 more in last 30d)</t>
  </si>
  <si>
    <t>2026-09-17: Moore Alexander D. (Director) sold $222,702, 0% of holding (+5 more in last 30d)</t>
  </si>
  <si>
    <t>2026-09-09: Wu Yi-Huang (VP) bought $3,048, 33% of holding (+6 more in last 30d)</t>
  </si>
  <si>
    <t>2026-09-25: SAMUELI HENRY (Director) sold $8,025,864, 0% of holding (+15 more in last 30d)</t>
  </si>
  <si>
    <t>Re-scored 10/5/26 on the latest 10-Q figures (Journal row 92): Rule 3 cleared.</t>
  </si>
  <si>
    <t>Re-scored 8/7/26: original Avoid was bad source data, corrected. See Journal. Re-scored 10/5/26 on the latest 10-Q figures (Journal row 92): Rule 3 cleared.</t>
  </si>
  <si>
    <t>AAP</t>
  </si>
  <si>
    <t>Tier-1 Avoid (external)</t>
  </si>
  <si>
    <t>BABA</t>
  </si>
  <si>
    <t>2026-08-25: Tsai Joseph C (Other) bought $10,418,400, 1% of holding (+2 more in last 30d)</t>
  </si>
  <si>
    <t>CE</t>
  </si>
  <si>
    <t>CLF</t>
  </si>
  <si>
    <t>CMG</t>
  </si>
  <si>
    <t>Watch List</t>
  </si>
  <si>
    <t>COST</t>
  </si>
  <si>
    <t>CRK</t>
  </si>
  <si>
    <t>DEO</t>
  </si>
  <si>
    <t>DIS</t>
  </si>
  <si>
    <t>2026-08-20: Roeder Paul M (Sr EVP and Chief Comm Officer) sold $382,327, 100% of holding (+1 more in last 30d)</t>
  </si>
  <si>
    <t>DPZ</t>
  </si>
  <si>
    <t>EL</t>
  </si>
  <si>
    <t>2026-08-25: La Lande Rashida (Exec VP &amp; General Counsel) sold $553,896, 100% of holding</t>
  </si>
  <si>
    <t>ET</t>
  </si>
  <si>
    <t>2026-08-20: WARREN KELCY L (Other) bought $7,487,721, 0% of holding (+2 more in last 30d)</t>
  </si>
  <si>
    <t>ETN</t>
  </si>
  <si>
    <t>2026-08-13: Monesmith Heath B. (See Remarks below.) sold $8,261,224, 26% of holding (+1 more in last 30d)</t>
  </si>
  <si>
    <t>ETSY</t>
  </si>
  <si>
    <t>2026-08-19: Buckley Merilee (CHIEF ACCOUNTING OFFICER) sold $18,850, 59% of holding (+9 more in last 30d)</t>
  </si>
  <si>
    <t>GOOS</t>
  </si>
  <si>
    <t>HRL</t>
  </si>
  <si>
    <t>LBRT</t>
  </si>
  <si>
    <t>2026-07-30: Murti Arjun N (Director) bought $250,009, 51% of holding</t>
  </si>
  <si>
    <t>LIN</t>
  </si>
  <si>
    <t>2026-08-19: Reynolds Paula Rosput (Director) bought $47,912, 14% of holding</t>
  </si>
  <si>
    <t>NEE</t>
  </si>
  <si>
    <t>2026-09-10: BARTON RICHARD N (Director) sold $54,907, 23% of holding (+2 more in last 30d)</t>
  </si>
  <si>
    <t>NKE</t>
  </si>
  <si>
    <t>2026-08-11: Montagne Amy (PRESIDENT, NIKE) sold $204,657, 8% of holding (+1 more in last 30d)</t>
  </si>
  <si>
    <t>Consensus declined 0.19 (1-5 scale) over 3 months (3.39 -&gt; 3.21, 39 analysts currently)</t>
  </si>
  <si>
    <t>NOV</t>
  </si>
  <si>
    <t>2026-07-31: HARRISON DAVID D (Other) sold $184,301, 7% of holding</t>
  </si>
  <si>
    <t>Consensus improved 0.21 (1-5 scale) over 3 months (3.19 -&gt; 3.40, 20 analysts currently)</t>
  </si>
  <si>
    <t>2026-08-17: Bernhard Olivier (Executive Officer) bought $1,993,790, 1% of holding (+1 more in last 30d)</t>
  </si>
  <si>
    <t>PG</t>
  </si>
  <si>
    <t>2026-08-24: Janzaruk Matthew W. (SVP - Chief Accounting Officer) sold $52,141, 22% of holding (+12 more in last 30d)</t>
  </si>
  <si>
    <t>PH</t>
  </si>
  <si>
    <t>2026-08-19: Scott Patrick (VP &amp; Pres-Fluid Conn. Grp.) sold $1,294,800, 25% of holding (+12 more in last 30d)</t>
  </si>
  <si>
    <t>PZZA</t>
  </si>
  <si>
    <t>Consensus declined 0.29 (1-5 scale) over 3 months (3.29 -&gt; 3.00, 14 analysts currently)</t>
  </si>
  <si>
    <t>2026-08-17: O'Leary Joseph D (Director) sold $214,440, 15% of holding (+2 more in last 30d)</t>
  </si>
  <si>
    <t>2026-10-02: MCINERNEY RYAN (Chief Executive Officer) sold $2,108,009, 28% of holding (+1 more in last 30d)</t>
  </si>
  <si>
    <t>VFC</t>
  </si>
  <si>
    <t>2026-08-17: Carucci Richard (Director) bought $294,600, 6% of holding (+1 more in last 30d)</t>
  </si>
  <si>
    <t>YUM</t>
  </si>
  <si>
    <t>2026-08-24: Skeans Tracy L (COO and CPO) sold $552,052, 100% of holding (+2 more in last 30d)</t>
  </si>
  <si>
    <t>KGS</t>
  </si>
  <si>
    <t>Diversification candidate (Energy -- gas compression services, contract-based revenue, not upstream E&amp;P). Fresh Tier 1 quant screen 9/11/26; Moat/Rev Visibility not yet assessed (Part 12).</t>
  </si>
  <si>
    <t>ABT</t>
  </si>
  <si>
    <t>Bench candidate (Healthcare / Medical Devices). Scored 9/13/26: BUY 70.8, Tier 1 avg 3.50. Relative Strength=1 -&gt; Rule 5 review before any purchase. Added to Monitor 10/4/26 (Open Items #28).</t>
  </si>
  <si>
    <t>SLB</t>
  </si>
  <si>
    <t>Bench candidate (Energy / Oil &amp; Gas Equipment &amp; Services). Scored 9/13/26: BUY 72.4, Tier 1 avg 3.50. Added to Monitor 10/4/26 (Open Items #28).</t>
  </si>
  <si>
    <t>2026-09-16: Schwenger Thomas D. (Pres. &amp; Chief Customer Officer) sold $265,200, 5% of holding (+1 more in last 30d)</t>
  </si>
  <si>
    <t>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</si>
  <si>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</si>
  <si>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Week Ending</t>
  </si>
  <si>
    <t>Weeks</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</si>
  <si>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</si>
  <si>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</si>
  <si>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</si>
  <si>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</si>
  <si>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</si>
  <si>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</si>
  <si>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</si>
  <si>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</si>
  <si>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</si>
  <si>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</si>
  <si>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Tickers</t>
  </si>
  <si>
    <t>Do not sort this tab: Dashboard, Entry Checklist and Implied-Return read it by row.</t>
  </si>
  <si>
    <t>TIER 1 — 70% of Decision</t>
  </si>
  <si>
    <t>TIER 2 — 25% of Decision</t>
  </si>
  <si>
    <t>TIER 3 — 5% of Decision</t>
  </si>
  <si>
    <t>RULE FLAGS (1–4)</t>
  </si>
  <si>
    <t>CLASSIFICATION</t>
  </si>
  <si>
    <t>PIOTROSKI-DERIVED CROSS-CHECKS 
(confidence-tagging inputs only — do not feed Composite Score)</t>
  </si>
  <si>
    <t>DO NOT SORT
Company</t>
  </si>
  <si>
    <t>Date
Scored</t>
  </si>
  <si>
    <t>FCF Yield &amp;
Trend (20%)
Score</t>
  </si>
  <si>
    <t>Conf
(H/M/L)</t>
  </si>
  <si>
    <t>Rev Growth
Consist. (15%)
Score</t>
  </si>
  <si>
    <t>Moat
Quality (15%)
Score</t>
  </si>
  <si>
    <t>Rev
Visibility (10%)
Score</t>
  </si>
  <si>
    <t>FCF Margin
Trend (10%)
Score</t>
  </si>
  <si>
    <t>Confidence
(H/M/L)</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</si>
  <si>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</si>
  <si>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</si>
  <si>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</si>
  <si>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</si>
  <si>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</si>
  <si>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</si>
  <si>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</si>
  <si>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</si>
  <si>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</si>
  <si>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</si>
  <si>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</si>
  <si>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</si>
  <si>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</si>
  <si>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</si>
  <si>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
Avoid</t>
  </si>
  <si>
    <t>Rule 4
2+Low=
Cap Buy</t>
  </si>
  <si>
    <t>Sector</t>
  </si>
  <si>
    <t>Industry</t>
  </si>
  <si>
    <t>CFO
($)</t>
  </si>
  <si>
    <t>Net Income
($)</t>
  </si>
  <si>
    <t>Accruals
Check</t>
  </si>
  <si>
    <t>Debt/FCF
(current)</t>
  </si>
  <si>
    <t>Debt/FCF
(prior yr)</t>
  </si>
  <si>
    <t>Leverage
Trajectory</t>
  </si>
  <si>
    <t>M</t>
  </si>
  <si>
    <t>H</t>
  </si>
  <si>
    <t>L</t>
  </si>
  <si>
    <t>Technology</t>
  </si>
  <si>
    <t>Semiconductors</t>
  </si>
  <si>
    <t>Software - Infrastructure</t>
  </si>
  <si>
    <t>Healthcare</t>
  </si>
  <si>
    <t>Biotechnology</t>
  </si>
  <si>
    <t>Prologis Inc. (REIT-adapted)</t>
  </si>
  <si>
    <t>Real Estate</t>
  </si>
  <si>
    <t>REIT - Industrial</t>
  </si>
  <si>
    <t>Consumer Defensive</t>
  </si>
  <si>
    <t>Grocery Stores</t>
  </si>
  <si>
    <t>Consumer Cyclical</t>
  </si>
  <si>
    <t>Footwear &amp; Accessories</t>
  </si>
  <si>
    <t>Auto Manufacturers</t>
  </si>
  <si>
    <t>Software - Application</t>
  </si>
  <si>
    <t>Computer Hardware</t>
  </si>
  <si>
    <t>Semiconductor Equipment &amp; Materials</t>
  </si>
  <si>
    <t>Taiwan Semiconductor Mfg.</t>
  </si>
  <si>
    <t>Industrials</t>
  </si>
  <si>
    <t>Electrical Equipment &amp; Parts</t>
  </si>
  <si>
    <t>Costco Wholesale Corp.</t>
  </si>
  <si>
    <t>Discount Stores</t>
  </si>
  <si>
    <t>Financial Services</t>
  </si>
  <si>
    <t>Credit Services</t>
  </si>
  <si>
    <t>NextEra Energy Inc.</t>
  </si>
  <si>
    <t>Utilities</t>
  </si>
  <si>
    <t>Utilities - Regulated Electric</t>
  </si>
  <si>
    <t>Comstock Resources Inc.</t>
  </si>
  <si>
    <t>Energy</t>
  </si>
  <si>
    <t>Oil &amp; Gas E&amp;P</t>
  </si>
  <si>
    <t>Energy Transfer LP</t>
  </si>
  <si>
    <t>Oil &amp; Gas Midstream</t>
  </si>
  <si>
    <t>Liberty Energy Inc.</t>
  </si>
  <si>
    <t>Oil &amp; Gas Equipment &amp; Services</t>
  </si>
  <si>
    <t>NOV Inc.</t>
  </si>
  <si>
    <t>Celanese Corp.</t>
  </si>
  <si>
    <t>Basic Materials</t>
  </si>
  <si>
    <t>Chemicals</t>
  </si>
  <si>
    <t>Cleveland-Cliffs Inc.</t>
  </si>
  <si>
    <t>Steel</t>
  </si>
  <si>
    <t>Linde plc</t>
  </si>
  <si>
    <t>Specialty Chemicals</t>
  </si>
  <si>
    <t>Diageo plc</t>
  </si>
  <si>
    <t>Beverages - Wineries &amp; Distilleries</t>
  </si>
  <si>
    <t>Estee Lauder Companies</t>
  </si>
  <si>
    <t>Household &amp; Personal Products</t>
  </si>
  <si>
    <t>Hormel Foods Corp.</t>
  </si>
  <si>
    <t>Packaged Foods</t>
  </si>
  <si>
    <t>Procter &amp; Gamble Co.</t>
  </si>
  <si>
    <t>Chipotle Mexican Grill</t>
  </si>
  <si>
    <t>Restaurants</t>
  </si>
  <si>
    <t>Domino's Pizza Inc.</t>
  </si>
  <si>
    <t>Papa John's Intl.</t>
  </si>
  <si>
    <t>Yum! Brands Inc.</t>
  </si>
  <si>
    <t>Nike Inc.</t>
  </si>
  <si>
    <t>V.F. Corporation</t>
  </si>
  <si>
    <t>Apparel Manufacturing</t>
  </si>
  <si>
    <t>Canada Goose Holdings</t>
  </si>
  <si>
    <t>Advance Auto Parts Inc.</t>
  </si>
  <si>
    <t>Auto Parts</t>
  </si>
  <si>
    <t>Alibaba Group Holding Ltd.</t>
  </si>
  <si>
    <t>Internet Retail</t>
  </si>
  <si>
    <t>Etsy Inc.</t>
  </si>
  <si>
    <t>Aerospace &amp; Defense</t>
  </si>
  <si>
    <t>Parker-Hannifin Corporation</t>
  </si>
  <si>
    <t>Specialty Industrial Machinery</t>
  </si>
  <si>
    <t>Eaton Corporation plc</t>
  </si>
  <si>
    <t>The Walt Disney Company</t>
  </si>
  <si>
    <t>Communication Services</t>
  </si>
  <si>
    <t>Entertainment</t>
  </si>
  <si>
    <t>Kodiak Gas Services, Inc.</t>
  </si>
  <si>
    <t>Abbott Laboratories</t>
  </si>
  <si>
    <t>Medical Devices</t>
  </si>
  <si>
    <t>SLB N.V.</t>
  </si>
  <si>
    <t>Veeva Systems Inc.</t>
  </si>
  <si>
    <t>Health Information Services</t>
  </si>
  <si>
    <t>Part 4 Entry Rules (6-11, 14). Rules 6-8 pull from the Scoring tab; Rules 12-13 pull from the Implied-Return Calculator; Rules 9-10-11-14 are entered here. Keep this tab's row order matching Scoring/Dashboard/Implied-Return Calculator for the same stock (row 3 = same stock across all four).</t>
  </si>
  <si>
    <t>Rule 6
Composite
≥65?</t>
  </si>
  <si>
    <t>Rule 7
Tier1
≥3.0?</t>
  </si>
  <si>
    <t>Rule 8
No Tier1
=1?</t>
  </si>
  <si>
    <t>Rule 9
Above / reclaimed
200-wk MA?
(Y/N)</t>
  </si>
  <si>
    <t>Rule 10
Monthly MACD
positive / turning?
(Y/N)</t>
  </si>
  <si>
    <t>Staging
Result
(Rules 9-10)</t>
  </si>
  <si>
    <t>Rule 11
Binary event
risk present?
(Y/N)</t>
  </si>
  <si>
    <t>Risk included
in thesis?
(Y/N)</t>
  </si>
  <si>
    <t>Rule 11
Result</t>
  </si>
  <si>
    <t>Base Case
&gt;10%?</t>
  </si>
  <si>
    <t>Rule 12
Bear Case
≥0%?</t>
  </si>
  <si>
    <t>Rule 13
Scenario tags
OK?</t>
  </si>
  <si>
    <t>P/FCF
(current)</t>
  </si>
  <si>
    <t>Consensus FCF
growth, 2-yr
annualized</t>
  </si>
  <si>
    <t>Rule 14
Valuation
Ceiling</t>
  </si>
  <si>
    <t>ENTRY
AUTHORIZED?</t>
  </si>
  <si>
    <t>Recommended Action</t>
  </si>
  <si>
    <t>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</si>
  <si>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Price ($)</t>
  </si>
  <si>
    <t>Volume</t>
  </si>
  <si>
    <t>Market Cap ($M)</t>
  </si>
  <si>
    <t>P/E</t>
  </si>
  <si>
    <t>52-Wk Low</t>
  </si>
  <si>
    <t>52-Wk High</t>
  </si>
  <si>
    <t>Div Yield (%)</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</si>
  <si>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</si>
  <si>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</si>
  <si>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</si>
  <si>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</si>
  <si>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</si>
  <si>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</si>
  <si>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</si>
  <si>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</si>
  <si>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</si>
  <si>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</si>
  <si>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</si>
  <si>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</si>
  <si>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</si>
  <si>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</si>
  <si>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</si>
  <si>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</si>
  <si>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</si>
  <si>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</si>
  <si>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</si>
  <si>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V trend</t>
  </si>
  <si>
    <t>Pairwise correlation of weekly returns, 12-36 month window (Rule 38, Part 7). Covers stocks and held ETFs together. Recalculate quarterly.</t>
  </si>
  <si>
    <t>Positions exceeding cap (correlated &gt;0.70 with 2+ other holdings):</t>
  </si>
  <si>
    <t>Rule 38 status (no position may exceed 0.70 with more than one other holding):</t>
  </si>
  <si>
    <t>Positions &gt;0.70 with</t>
  </si>
  <si>
    <t>Portfolio-level drawdown tracking (Part 7, Rules 38-39). Enter Date and Portfolio Value; all other columns calculate automatically.</t>
  </si>
  <si>
    <t>Date</t>
  </si>
  <si>
    <t>Portfolio Value ($)</t>
  </si>
  <si>
    <t>Running Peak ($)</t>
  </si>
  <si>
    <t>Drawdown %</t>
  </si>
  <si>
    <t>Status</t>
  </si>
  <si>
    <t>Required Cash Floor</t>
  </si>
  <si>
    <t>New Position Initiation</t>
  </si>
  <si>
    <t>DCA-TRANCHE-2 prerequisite check, 9/7/26 -- see Journal.</t>
  </si>
  <si>
    <t>Corrected 10/4/26 to the 9/30 statements, net of $20,019.99 external withdrawals (Part 7); was 776,662.72 -- see Journal row 81.</t>
  </si>
  <si>
    <t>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</si>
  <si>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Weekly catch-up 10/10/26 (landry accounts): positions at the 10/9 closes plus cash = $713,945.21 (estimate: site read + downloads 10/10, including a PENDING $15,000 transfer into Fidelity 3711 announced by Alan and not yet posted), plus $40,019.99 net external withdrawals since the 9/4 peak (35,019.99 + the 10/9 $20,000 out of Chase 3693 - the pending $15,000 in). The same value results if the pending transfer is left out of both. See Journal ACCOUNTS-CATCHUP-10-10.</t>
  </si>
  <si>
    <t>Tracks every holding in Probationary Hold (50-64) or Exit Review (35-49) per Part 6. The 90-day deadline and its consequence are calculated automatically — this tab is what makes Rules 32-36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</si>
  <si>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</si>
  <si>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</si>
  <si>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</si>
  <si>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</si>
  <si>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</si>
  <si>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</si>
  <si>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</si>
  <si>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</si>
  <si>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</si>
  <si>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</si>
  <si>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Trims Taken
(0-3, Rule 34)</t>
  </si>
  <si>
    <t>Exit Review</t>
  </si>
  <si>
    <t>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</si>
  <si>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Standardized Implied-Return Methodology (Rule 12, Part 4): Expected annualized return = [(Year-5 equity value + cumulative distributions) ÷ current equity value]^(1/5) − 1. Run Base, Bear, and Bull cases together (Rule 13) — exactly one gets the Likely tag.</t>
  </si>
  <si>
    <t>BASE CASE</t>
  </si>
  <si>
    <t>BEAR CASE</t>
  </si>
  <si>
    <t>BULL CASE</t>
  </si>
  <si>
    <t>RULE 12 / 13 CHECKS</t>
  </si>
  <si>
    <t>Current
Price ($)</t>
  </si>
  <si>
    <t>Yr-5 FCF
/sh ($)</t>
  </si>
  <si>
    <t>Terminal
P/FCF</t>
  </si>
  <si>
    <t>Implied
Annual Return</t>
  </si>
  <si>
    <t>Tag (L/P/U)</t>
  </si>
  <si>
    <t>Exactly 1
Likely?</t>
  </si>
  <si>
    <t>Costco Wholesale Corporation</t>
  </si>
  <si>
    <t>Possible</t>
  </si>
  <si>
    <t>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</si>
  <si>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</si>
  <si>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FUNDAMENTAL TRIGGERS (Rules 22-26) — flags if declined 2 consecutive periods</t>
  </si>
  <si>
    <t>VALUATION / SIZING TRIGGERS (Rules 27-31)</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</si>
  <si>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</si>
  <si>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</si>
  <si>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</si>
  <si>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</si>
  <si>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</si>
  <si>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</si>
  <si>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</si>
  <si>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</si>
  <si>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</si>
  <si>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</si>
  <si>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</si>
  <si>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</si>
  <si>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</si>
  <si>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
trigger)</t>
  </si>
  <si>
    <t>P/FCF
(&gt;50x+gr
&lt;15%)</t>
  </si>
  <si>
    <t>FCF Growth
%</t>
  </si>
  <si>
    <t>Implied Return
(&lt;7%=
trigger)</t>
  </si>
  <si>
    <t>Current
Tier</t>
  </si>
  <si>
    <t>Prior
Tier</t>
  </si>
  <si>
    <t>Valuation
Flags</t>
  </si>
  <si>
    <t>Hold Through
Applies? (Y/N)</t>
  </si>
  <si>
    <t>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</si>
  <si>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Entry
Date</t>
  </si>
  <si>
    <t>Entry
Price</t>
  </si>
  <si>
    <t>Entry
Confidence</t>
  </si>
  <si>
    <t>Entry
Decision Band</t>
  </si>
  <si>
    <t>SPY Price
at Entry</t>
  </si>
  <si>
    <t>Status
(Held / Exited)</t>
  </si>
  <si>
    <t>Exit
Date</t>
  </si>
  <si>
    <t>Exit
Price</t>
  </si>
  <si>
    <t>Exit
Reason</t>
  </si>
  <si>
    <t>Current /
Exit Price</t>
  </si>
  <si>
    <t>SPY Price
(current / exit)</t>
  </si>
  <si>
    <t>Total Return
Since Entry</t>
  </si>
  <si>
    <t>SPY Return
Same Period</t>
  </si>
  <si>
    <t>Excess
Return</t>
  </si>
  <si>
    <t>Type</t>
  </si>
  <si>
    <t>Basis</t>
  </si>
  <si>
    <t>Lot
Shares</t>
  </si>
  <si>
    <t>Shares</t>
  </si>
  <si>
    <t>Entry
Value</t>
  </si>
  <si>
    <t>Current /
Exit Value</t>
  </si>
  <si>
    <t>Gain /
(Loss)</t>
  </si>
  <si>
    <t>YTD Base
Price</t>
  </si>
  <si>
    <t>YTD Base
Value</t>
  </si>
  <si>
    <t>YTD Gain /
(Loss)</t>
  </si>
  <si>
    <t>YTD
Return</t>
  </si>
  <si>
    <t>SPY Gain
(same $)</t>
  </si>
  <si>
    <t>Strong Buy</t>
  </si>
  <si>
    <t>Held</t>
  </si>
  <si>
    <t>Stock</t>
  </si>
  <si>
    <t>System</t>
  </si>
  <si>
    <t>Buy</t>
  </si>
  <si>
    <t>Vertex (9/8 add)</t>
  </si>
  <si>
    <t>Adobe (pre-System)</t>
  </si>
  <si>
    <t>Baseline</t>
  </si>
  <si>
    <t>Vertex (pre-System)</t>
  </si>
  <si>
    <t>Prologis (pre-System)</t>
  </si>
  <si>
    <t>Avantis US Small Value</t>
  </si>
  <si>
    <t>ETF</t>
  </si>
  <si>
    <t>iShares Select Dividend</t>
  </si>
  <si>
    <t>JPMorgan Hedged Equity</t>
  </si>
  <si>
    <t>JPMorgan Equity Premium</t>
  </si>
  <si>
    <t>JPMorgan Nasdaq Equity</t>
  </si>
  <si>
    <t>NEOS MLP &amp; Energy Inc.</t>
  </si>
  <si>
    <t>Schwab US Dividend ETF</t>
  </si>
  <si>
    <t>S&amp;P 500 Momentum ETF</t>
  </si>
  <si>
    <t>VictoryShares FCF ETF</t>
  </si>
  <si>
    <t>Vanguard High Dividend</t>
  </si>
  <si>
    <t>Fidelity MM Premium</t>
  </si>
  <si>
    <t>Fidelity Core Money Mkt</t>
  </si>
  <si>
    <t>Exited</t>
  </si>
  <si>
    <t>Fund emptied at the 10/1 settlement of the 9/30 GE / NFLX buys (Fidelity history)</t>
  </si>
  <si>
    <t>Schwab Cash Features</t>
  </si>
  <si>
    <t>Vanguard Fed Money Mkt</t>
  </si>
  <si>
    <t>Pacer US Cash Cows ETF</t>
  </si>
  <si>
    <t>Consolidated into AVUV</t>
  </si>
  <si>
    <t>Rule 3 Avoid</t>
  </si>
  <si>
    <t>Rule 3 Avoid (2nd pass)</t>
  </si>
  <si>
    <t>Vanguard Info Tech ETF</t>
  </si>
  <si>
    <t>Worst correlation offender</t>
  </si>
  <si>
    <t>Sold at Fidelity to fund DCA-CATCHUP-2 (draw from SPMO first)</t>
  </si>
  <si>
    <t>Performance summary</t>
  </si>
  <si>
    <t>Basis ($)</t>
  </si>
  <si>
    <t>Value ($)</t>
  </si>
  <si>
    <t>Gain/(Loss) ($)</t>
  </si>
  <si>
    <t>Return</t>
  </si>
  <si>
    <t>SPY</t>
  </si>
  <si>
    <t>Excess</t>
  </si>
  <si>
    <t>How it is measured</t>
  </si>
  <si>
    <t>Subtotal</t>
  </si>
  <si>
    <t>stocks held now -- not the cash &amp; cash equivalents (green); each lot from its entry (8/5/26 close for baseline lots); SPY = the same dollars in SPY over each lot's own period</t>
  </si>
  <si>
    <t>TOTAL</t>
  </si>
  <si>
    <t>every position held now, cash &amp; cash equivalents included; Value ties to Current Positions' combined total</t>
  </si>
  <si>
    <t>YTD Subtotal</t>
  </si>
  <si>
    <t>stocks, held + sold; from the 12/31/25 close (System lots from their entry); SPY 12/31/25 -&gt; now</t>
  </si>
  <si>
    <t>YTD TOTAL</t>
  </si>
  <si>
    <t>every position, held + sold; Value includes the proceeds of the sold names</t>
  </si>
  <si>
    <t>Cumulative Subtotal</t>
  </si>
  <si>
    <t>stocks, held + sold, since inception 8/5/26 (System lots from their entry); SPY 8/5/26 -&gt; now</t>
  </si>
  <si>
    <t>Cumulative TOTAL (since inception 8/5)</t>
  </si>
  <si>
    <t>every position, held + sold; price return only -- no dividends, interest or cash flows</t>
  </si>
  <si>
    <t>Avg Annual Gain/(Loss)</t>
  </si>
  <si>
    <t>Cumulative TOTAL / years since 8/5/26, simple not compounded -- extrapolated from under a year, not a forecast</t>
  </si>
  <si>
    <t>By source (since 8/5; held + sold)</t>
  </si>
  <si>
    <t>System lots only (from entry)</t>
  </si>
  <si>
    <t>the System's own purchases (Basis = System), held + sold, from each entry date; SPY = the same dollars in SPY over each lot's own period</t>
  </si>
  <si>
    <t>Legacy stocks (from the 8/5 close)</t>
  </si>
  <si>
    <t>Basis = Baseline, stocks: held at the 8/5/26 snapshot (pre-System shares of ADBE / VRTX / PLD included) and sold 8/7/26; same SPY measure</t>
  </si>
  <si>
    <t>Dry-powder ETFs (from the 8/5 close)</t>
  </si>
  <si>
    <t>Basis = Baseline, ETFs: held at the 8/5/26 snapshot (and any sold since); same SPY measure</t>
  </si>
  <si>
    <t>Cash &amp; money funds</t>
  </si>
  <si>
    <t>Basis = Baseline, cash: money-market and sweep funds at $1.00 -- price return 0%, interest not captured</t>
  </si>
  <si>
    <t>All sources (= Cumulative TOTAL)</t>
  </si>
  <si>
    <t>Benchmark &amp; dates</t>
  </si>
  <si>
    <t>Prices as of</t>
  </si>
  <si>
    <t>written by `landry weekly` (the last close it saw)</t>
  </si>
  <si>
    <t>SPY current</t>
  </si>
  <si>
    <t>written by `landry weekly`</t>
  </si>
  <si>
    <t>SPY close at inception (8/5/26)</t>
  </si>
  <si>
    <t>typed; every baseline lot's SPY at Entry</t>
  </si>
  <si>
    <t>SPY close 12/31/25</t>
  </si>
  <si>
    <t>typed; the YTD benchmark's start</t>
  </si>
  <si>
    <t>Inception date</t>
  </si>
  <si>
    <t>typed; the first Current Positions snapshot</t>
  </si>
  <si>
    <t>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</si>
  <si>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</si>
  <si>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</si>
  <si>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</si>
  <si>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</si>
  <si>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</si>
  <si>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</si>
  <si>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</si>
  <si>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</si>
  <si>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</si>
  <si>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</si>
  <si>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</si>
  <si>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</si>
  <si>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</si>
  <si>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</si>
  <si>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</si>
  <si>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</si>
  <si>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</si>
  <si>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</si>
  <si>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</si>
  <si>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</si>
  <si>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</si>
  <si>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</si>
  <si>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</si>
  <si>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</si>
  <si>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</si>
  <si>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</si>
  <si>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</si>
  <si>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DARRYL-SCREEN-METHOD</t>
  </si>
  <si>
    <t>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</si>
  <si>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ETF-CASH-BUCKET-TODO</t>
  </si>
  <si>
    <t>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</si>
  <si>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PRE-TRANCHE-SCORING-TODO</t>
  </si>
  <si>
    <t>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</si>
  <si>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DCA-CATCHUP-PLAN-V1</t>
  </si>
  <si>
    <t>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</si>
  <si>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DCA-CATCHUP-1-V1</t>
  </si>
  <si>
    <t>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</si>
  <si>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DCA-CATCHUP-2-V1</t>
  </si>
  <si>
    <t>DCA-CATCHUP-3-V1</t>
  </si>
  <si>
    <t>DCA-CATCHUP-4-V1</t>
  </si>
  <si>
    <t>DCA-CATCHUP-5-V1</t>
  </si>
  <si>
    <t>DCA-CATCHUP-6-V1</t>
  </si>
  <si>
    <t>DCA-CATCHUP-7-V1</t>
  </si>
  <si>
    <t>DCA-CATCHUP-8-V1</t>
  </si>
  <si>
    <t>DCA-CATCHUP-9-V1</t>
  </si>
  <si>
    <t>DCA-CATCHUP-10-V1</t>
  </si>
  <si>
    <t>DCA-CATCHUP-11-V1</t>
  </si>
  <si>
    <t>DCA-CATCHUP-12-V1</t>
  </si>
  <si>
    <t>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</si>
  <si>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VRTX,V,PLD</t>
  </si>
  <si>
    <t>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</si>
  <si>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DCA-ACCELERATION-POLICY</t>
  </si>
  <si>
    <t>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</si>
  <si>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ETF-CASH-BUCKET-TODO,PRE-TRANCHE-SCORING-TODO</t>
  </si>
  <si>
    <t>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</si>
  <si>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WILDCARD-ALLOCATION-TODO</t>
  </si>
  <si>
    <t>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</si>
  <si>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PIOTROSKI-DIAGNOSTIC-BATCH</t>
  </si>
  <si>
    <t>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</si>
  <si>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</si>
  <si>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</si>
  <si>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</si>
  <si>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PIOTROSKI-VERDICT</t>
  </si>
  <si>
    <t>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</si>
  <si>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DCA-CATCHUP-PLAN-2</t>
  </si>
  <si>
    <t>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</si>
  <si>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DCA-CATCHUP-1</t>
  </si>
  <si>
    <t>Target: $40,000-$50,000 (see DCA-CATCHUP-PLAN-2). Shifted from 9/22 (the plan's regular cadence date) to 9/30 -- Alan traveling abroad last week of September, no market access. Same prerequisite checklist as prior tranches.</t>
  </si>
  <si>
    <t>DCA-CATCHUP-2</t>
  </si>
  <si>
    <t>Target: $40,000-$50,000 (see DCA-CATCHUP-PLAN-2). Only 7 days after DCA-CATCHUP-1 (which itself shifted to 9/30) -- a shorter-than-usual gap, kept as-is rather than reflowing the whole schedule, same convention as prior holiday/weekend shifts. Same prerequisite checklist as prior tranches.</t>
  </si>
  <si>
    <t>DCA-CATCHUP-3</t>
  </si>
  <si>
    <t>Target: $40,000-$50,000 (see DCA-CATCHUP-PLAN-2). Same prerequisite checklist as prior tranches.</t>
  </si>
  <si>
    <t>DCA-CATCHUP-4</t>
  </si>
  <si>
    <t>Target: $40,000-$50,000 (see DCA-CATCHUP-PLAN-2). Rescheduled from 11/7 to 11/9: 11/7/2026 is a Saturday. Same prerequisite checklist as prior tranches.</t>
  </si>
  <si>
    <t>DCA-CATCHUP-5</t>
  </si>
  <si>
    <t>Target: $40,000-$50,000 (see DCA-CATCHUP-PLAN-2). Rescheduled from 11/22 to 11/23: 11/22/2026 is a Sunday. Same prerequisite checklist as prior tranches.</t>
  </si>
  <si>
    <t>DCA-CATCHUP-6</t>
  </si>
  <si>
    <t>DCA-CATCHUP-7</t>
  </si>
  <si>
    <t>DCA-CATCHUP-8</t>
  </si>
  <si>
    <t>Target: $40,000-$50,000 (see DCA-CATCHUP-PLAN-2). Last tranche of the revised catch-up cadence -- after this, downshift to steady-state twice-monthly tranches sized as a % of portfolio, same as originally planned. Same prerequisite checklist as prior tranches.</t>
  </si>
  <si>
    <t>LIN,ET,KGS</t>
  </si>
  <si>
    <t>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</si>
  <si>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DPZ,PG,GE</t>
  </si>
  <si>
    <t>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</si>
  <si>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NFLX,YUM</t>
  </si>
  <si>
    <t>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</si>
  <si>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V,SCORING-VERIFICATION-AUDIT</t>
  </si>
  <si>
    <t>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</si>
  <si>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NVDA,SPMO-SEQUENCING</t>
  </si>
  <si>
    <t>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</si>
  <si>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VRTX,ANET,KLAC,CRWD,ADBE,PLD,PLTR,AVGO,ASML,TSM,VRT,MU</t>
  </si>
  <si>
    <t>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</si>
  <si>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RULE-33-EARLY-PARTIAL-TRIM</t>
  </si>
  <si>
    <t>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</si>
  <si>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PYPL,XRAY,GXO</t>
  </si>
  <si>
    <t>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</si>
  <si>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ABT,SLB,CCI,SCORING-EXPORT-BUGS</t>
  </si>
  <si>
    <t>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</si>
  <si>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DCA-CATCHUP-1-PREP</t>
  </si>
  <si>
    <t>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</si>
  <si>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PROCESS-CHECKLIST-FRESH-CHECK-STEP</t>
  </si>
  <si>
    <t>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</si>
  <si>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</si>
  <si>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VRTX,PLD,ADBE</t>
  </si>
  <si>
    <t>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</si>
  <si>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</si>
  <si>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</si>
  <si>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</si>
  <si>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UNH,ACN</t>
  </si>
  <si>
    <t>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</si>
  <si>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SPOT,PFE,UPS</t>
  </si>
  <si>
    <t>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</si>
  <si>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</si>
  <si>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</si>
  <si>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AZN,OKE,INTU</t>
  </si>
  <si>
    <t>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</si>
  <si>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AZN,INTU</t>
  </si>
  <si>
    <t>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</si>
  <si>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CANDIDATE-SCREENING-PRIORITY</t>
  </si>
  <si>
    <t>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</si>
  <si>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</si>
  <si>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DB-PHASE-C-SWITCH-ON</t>
  </si>
  <si>
    <t>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</si>
  <si>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BSX,MIR,SUNB</t>
  </si>
  <si>
    <t>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</si>
  <si>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BAX,SWK,QXO,COLD,BE,SMR,CBRS,UBER,NTRA,VEEV,ICLR</t>
  </si>
  <si>
    <t>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</si>
  <si>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</si>
  <si>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QTR-REVIEW-1,STATEMENTS</t>
  </si>
  <si>
    <t>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</si>
  <si>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PRICE-HISTORY-REPAIR</t>
  </si>
  <si>
    <t>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</si>
  <si>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</si>
  <si>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WEEKLY-ROUTINE</t>
  </si>
  <si>
    <t>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</si>
  <si>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MARKET-DATA-MEMBERSHIP</t>
  </si>
  <si>
    <t>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</si>
  <si>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TEST-REPAIR</t>
  </si>
  <si>
    <t>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</si>
  <si>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MONITOR-MEMBERSHIP</t>
  </si>
  <si>
    <t>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</si>
  <si>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RULE-3-HOLDINGS-CORRECTION</t>
  </si>
  <si>
    <t>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</si>
  <si>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RULE-3-HOLDINGS</t>
  </si>
  <si>
    <t>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</si>
  <si>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FALLBACK-PRICES</t>
  </si>
  <si>
    <t>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</si>
  <si>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DATE-SCORED,RULE-CITATIONS</t>
  </si>
  <si>
    <t>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</si>
  <si>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AVGO,VRTX-RESCORE</t>
  </si>
  <si>
    <t>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</si>
  <si>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CRWD-SELL-BY,RESCORE-DECISIONS</t>
  </si>
  <si>
    <t>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</si>
  <si>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OPEN-ITEMS-31,TTM-POLICY</t>
  </si>
  <si>
    <t>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</si>
  <si>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PERFORMANCE-TRACKING-ALL-POSITIONS</t>
  </si>
  <si>
    <t>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</si>
  <si>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PERFORMANCE-TRACKING-SUMMARY</t>
  </si>
  <si>
    <t>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</si>
  <si>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CRWD-ENTRY-DATE</t>
  </si>
  <si>
    <t>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</si>
  <si>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MONITOR-STAMP</t>
  </si>
  <si>
    <t>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</si>
  <si>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PERFORMANCE-TRACKING-SOURCES</t>
  </si>
  <si>
    <t>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</si>
  <si>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DCA-CATCHUP-2-PREP</t>
  </si>
  <si>
    <t>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</si>
  <si>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FIDELITY-3711-CASH-RECON</t>
  </si>
  <si>
    <t>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</si>
  <si>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ENTRY-CHECKLIST-BACKFILL</t>
  </si>
  <si>
    <t>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</si>
  <si>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DCA-CATCHUP-2-DECISIONS</t>
  </si>
  <si>
    <t>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</si>
  <si>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DCA-CATCHUP-2-EXECUTED</t>
  </si>
  <si>
    <t>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</si>
  <si>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DCA-CATCHUP-2-CONFIRMED</t>
  </si>
  <si>
    <t>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</si>
  <si>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SECTOR-REVIEW-DECISIONS</t>
  </si>
  <si>
    <t>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</si>
  <si>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ADBE-REVIEW-FACTS</t>
  </si>
  <si>
    <t>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</si>
  <si>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STOP-LOSS-EVIDENCE-OPTIONS</t>
  </si>
  <si>
    <t>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</si>
  <si>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STOP-REVIEW-LADDER-ADOPTED</t>
  </si>
  <si>
    <t>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</si>
  <si>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ADBE-RULE5-REVIEW</t>
  </si>
  <si>
    <t>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</si>
  <si>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SCREEN-SLATE-REVISED</t>
  </si>
  <si>
    <t>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</si>
  <si>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STOPS-CHECK-BUILT</t>
  </si>
  <si>
    <t>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</si>
  <si>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RULEBOOK-V1-05</t>
  </si>
  <si>
    <t>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</si>
  <si>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SCREEN-WAVE1-RULE12</t>
  </si>
  <si>
    <t>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</si>
  <si>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SCREEN-REORDER-ETF-STRATEGY</t>
  </si>
  <si>
    <t>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</si>
  <si>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DXCM-SCORING-PROPOSAL</t>
  </si>
  <si>
    <t>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</si>
  <si>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DXCM-SCORES-APPROVED</t>
  </si>
  <si>
    <t>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</si>
  <si>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CTAS-UNIFIRST-BINARY-EVENT</t>
  </si>
  <si>
    <t>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</si>
  <si>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EXPE-SCORING-PROPOSAL</t>
  </si>
  <si>
    <t>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</si>
  <si>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DXCM-EXPE-APPROVED</t>
  </si>
  <si>
    <t>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</si>
  <si>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SCREEN-GATE-TABLE</t>
  </si>
  <si>
    <t>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</si>
  <si>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SEC-TTM-FISCAL-YEAR-FIX</t>
  </si>
  <si>
    <t>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</si>
  <si>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RL-SCORING-PROPOSAL</t>
  </si>
  <si>
    <t>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</si>
  <si>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MNST-SCORING-PROPOSAL</t>
  </si>
  <si>
    <t>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</si>
  <si>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QUANT-APPROVED</t>
  </si>
  <si>
    <t>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</si>
  <si>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ETF-REPORT-BUILT</t>
  </si>
  <si>
    <t>ETF REPORT built 10/8/26 (Alan: "Turn it into an ETF Report, and we'll pick up the discussion tomorrow"). `python -m landry etf [--docx [PATH]] [--pdf]` (landry/etf_report.py, 13 tests) reads the workbook and prints, or writes docs/Landry ETF Report &lt;date&gt;.docx (+ PDF, three Letter pages): the sleeve, average-linkage groups at 0.70, Fama-French five-factor plus momentum loadings, sector look-through and overlap, risk contributions, candidate diversifiers, the rules the sleeve touches and the open design questions. It is read-only (yfinance prices and fund facts, Kenneth French's monthly factor files) and takes the ETF list from the Performance Tracking ledger's Type column. THE 10/8 RESULTS: ten ETFs, $321.5K = 45.1% of $712.6K (direct stocks 48.0%, cash and other 6.9%), weighted cost 0.35% (about $1.1K a year); JT ULTRA ETFs $154.6K with -$7.9K unrealized, Chase $166.9K with +$19.0K. Two groups that are each one bet and each over Rule 38's 20% cluster cap: AVUV + VFLO + VYM + DVY + SCHD + JEPI = 22.6% (average correlation 0.81, 14.1% of variance) and JEPQ + HELO + SPMO + the direct NVDA = 22.3% (0.80, 27.1%); KLAC + ASML is 4.7% (0.78). MLPI (7.2%, 94% energy) adds -0.5% of variance but has only 42 weeks of history. Direct stocks are 48.0% of weight and 74.5% of variance, the sleeve 45.1% and 25.5%; portfolio volatility 15.6% against SPY's 14.3%, beta 1.03, about 9.5 effective independent bets. Look-through of invested equity: Technology 42.1% against SPY's 40.5% (direct Technology is 27.5% of the portfolio against the 25% cap, 39.2% looked through), Energy +7.9 points, Health Care +3.9, Consumer Cyclical -4.6, Communication -4.0, Financials -3.5, Staples -1.6; NVDA is effectively 8.0% and semiconductors at least 20.0% of the portfolio. There are no bonds and no international: moving 7% of the portfolio into T-bills, bonds, Staples, gold, Utilities or Health Care cuts volatility by 0.7-1.2 points, while equal-weight, quality, Financials, international and Discretionary give 0.1-0.4 (a three-year bull-market window; bond and defensive correlations can flip). Part 5's cash band reads 6.9% if the ETFs are invested equity and 52.0% if they count as cash, which is how the workbook's Cash / Cash Equivalents aggregate counts them. SIX DESIGN QUESTIONS stay OPEN for the discussion on 10/9 (Open Items #7): the role of the sleeve (reservoir, permanent core, both), classification for the cash band and the sector cap, which exposures ETFs should supply, selection rules, caps and funding order, and scoring. ALAN'S REFERENCE: he saved docs/ETF Strategy Review_v1.docx (a generic core-and-satellite framework: asset allocation first, a broad core of US, international and bond ETFs with 0-20% tilts, selection by cost, tracking difference, liquidity and premium to NAV, account placement, rebalancing at about a 5-point drift, no technical indicators for the core) and docs/BEST SOURCE FOR FCF TICKER LISTING.docx; both are untracked and stay uncommitted unless he says so.</t>
  </si>
  <si>
    <t>ETF-POLICY-DIRECTION</t>
  </si>
  <si>
    <t>ETF STRATEGY DIRECTION, Alan, 10/9/26 (Open Items #7; design basis: docs/Landry ETF Report 2026-10-08, docs/ETF Strategy Review_v1.docx, Journal rows 115 and 126). Direction agreed in discussion; rulebook text is NOT written yet (a later version; numbered or un-numbered block to be chosen then).
CONTEXT (Alan): this portfolio is about one third of his total wealth and his highest-risk bucket, inclined to higher return / higher risk but within modest downside bounds. Single stocks remain the return engine; the ETF sleeve is not a core-and-satellite core.
DECISIONS
1. CEILING: ETFs are at most about 40% of the portfolio. A ceiling, not a target; lower if no stocks qualify under the current rules. The sleeve was 45.1% on 10/8.
2. CASH RESERVE: 10-15% of the portfolio, held ONLY in cash-like funds (money market, T-bill, ultra-short), and it IS the Part 5 cash band (not additive to it). Purpose: supplemental funding in a serious drawdown, worst-case withdrawal about $50K a year, 1-2 years, never more than about $50K a year. Bonds, staples or gold are not the reserve.
3. SATELLITE: about 25-30% of the portfolio: sector FILLERS (sectors the direct book does not cover, low correlation to it; threshold of about 0.5 proposed) plus a small capped speculative / shorter-term momentum slice ("nothing wild"). Overlap with direct holdings is limited in favour of fillers (the direct stocks are expected to beat what an ETF can do); no new ETF in a sector already at its cap (Technology direct is about 27.5% against 25%); look-through checked at purchase. Rule 16 stays direct-holdings only at market value (Alan, 10/7); look-through is a reported monitor.
4. SCREEN: a trend / relative-strength floor used as a FILTER (RS vs SPY above zero, price above the 40-week average), never to pick last year's leaders (the 10/7 sector study found rank persistence near zero); RANKING by structural indicators: cost, liquidity and size, marginal diversification, down-capture, overlap. Rule 9 and 10 staging and the stop-review ladder apply.
5. COVERED-CALL / INCOME ETFs (JEPI, JEPQ, HELO, MLPI): interim holdings, no firm view; kept long term only if they earn a place under the final strategy.
6. FREEZE: no NEW ETF purchases until the policy is settled. Sales of ETFs to fund stock buys and the cash reserve remain allowed.
7. RESERVE BUILD: funded by ETF SALES FIRST, SPMO first and then the over-cap clusters in order of correlation to the direct book (Rule 38 clusters at 22.6% and 22.3% on 10/8). Sizes and timing are Alan's decision, tranche by tranche.
RESERVE ARITHMETIC (workbook prices, 10/9/26, total_portfolio_value): portfolio $712.6K; cash $49.0K (6.9%). The 10-15% band is $71K-$107K; two years at $50K needs $100K (about 14%); the 10% floor covers about 1.4 years. Build needed about $22K-$58K (about $37K at 12%). To align: the Drawdown Log's cash floors (generate.py) and the 10/22 and 11/6 tranche plans.
STILL OPEN: per-ETF cap and exact speculative-slice size; the cost / size / spread gate values; whether bond or staples ETFs have a defensive slice inside the satellite; the filler candidate list and its screen; the light ETF scorecard definition; rulebook wording; how the freeze interacts with the DCA-CATCHUP-3 (10/22) funding. Analysis support only; Alan decides names and sizes.</t>
  </si>
  <si>
    <t>ACCOUNTS-CATCHUP-10-10</t>
  </si>
  <si>
    <t>ACCOUNT CATCH-UP and the new `landry accounts` command, 10/10/26 (Alan: "use the totals that I've posted", then "book as pending and enter Drawdown txns ... Build it").
Inputs: Alan's update sheet (docs/LANDRY SYSTEM UPDATES_10-10-26.pdf), the month-to-date exports (docs/CHA3693_transactions_MTD_10-10-26.csv, docs/FID3711_Accounts_History_MTD_10-10-26.csv, the latter gitignored) and a read of both sites through Alan's signed-in Chrome on 10/10 (Fidelity Activity &amp; Orders and Positions for 3711; Chase Summary and Transactions for 3693). Every October amount on the sites matched the exports.
Booked on Current Positions (all ESTIMATES until the October statements):
- Chase QACDS 20,408.02 -&gt; 427.26: the 10/9 $20,000 ACH push to Alan's personal account, less the $19.24 VFLO dividend of the same day. Chase's own Cash &amp; sweep figure is $427.26. VMFXX unchanged at 27,966.40.
- Fidelity FZDXX 648.04 -&gt; 15,713.12 = the account's 669.69 (the 10/7 figure plus the TSM dividend net of foreign tax, 27.41 - 5.76) + 43.43 VFLO dividend not yet swept in + a PENDING $15,000 transfer from personal into 3711 dated 10/9. Fidelity showed no such deposit on 10/10, posted or pending; Alan: transfers often take 2-3 days to appear, book it as pending. It is parked on FZDXX because FZFXX's row is at zero with a closed Performance Tracking lot. Alan, 10/10: FZFXX is the account's default money fund and FZDXX (a slightly higher rate) will be used less going forward, so the deposit will most likely land in FZFXX; when it does, move it and reopen that lot in the same pass.
- Ties: Fidelity 3711 total $400,337.60 at the broker = the workbook to the cent before the pending amount; Chase 3693 $298,607.58 vs the workbook's $298,607.61. Portfolio total $713,945.21.
External flows: net withdrawals since the 9/4 peak go from $35,019.99 to $40,019.99 (+ $20,000 out of Chase, - the pending $15,000 in). Drawdown Log entry for 10/9: $753,965.20 = 713,945.21 + 40,019.99, a new running peak, Normal. The value is the same whether or not the pending transfer is counted, since it is in both the cash and the flow ledger.
New tooling: `python -m landry accounts check|apply|pending|flows` (landry/accounts.py, tests/test_landry_accounts.py, state in landry_accounts.json, procedure in docs/ops/accounts.md). It walks the cash (booked cash + new transactions must equal what the account shows, to the cent, or nothing is written for that account), books the cash rows with an estimate-labelled note, keeps the external-flow ledger the Drawdown Log is net of, and reports what it does not do: buys, sales and reinvestments (position rows and lots) and a money fund crossing zero. Standing arrangement (Alan, 10/10): he will try to be signed in to Chase and Fidelity in Chrome on Saturday mornings so the weekly routine can read both accounts itself; when the sessions are not live the routine reports that and the catch-up runs later on "read the accts". Claude only reads Positions / Balances / Transactions for 3711 and 3693, never signs in and never uses Trade, Transfer or Pay. During the 10/10 test a mis-click opened the Alan Lisa Checking summary page for a moment; nothing was read from it.</t>
  </si>
  <si>
    <t>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</si>
  <si>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Steps currently overdue (event date passed, not marked Done):</t>
  </si>
  <si>
    <t>Event</t>
  </si>
  <si>
    <t>Step</t>
  </si>
  <si>
    <t>Done (Y/N)</t>
  </si>
  <si>
    <t>Date Done</t>
  </si>
  <si>
    <t>Event Due Date</t>
  </si>
  <si>
    <t>Portfolio Drawdown Log -- log quarter-end portfolio value, confirm regime</t>
  </si>
  <si>
    <t>Correlation Matrix -- `python -m landry prices rebuild` (restates every close for dividends; `prices status` first), then confirm Rule 38 status</t>
  </si>
  <si>
    <t>Watch List Tracker -- check all 90-day deadlines (Rules 32-33), flag any DEADLINE PASSED / APPROACHING</t>
  </si>
  <si>
    <t>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</si>
  <si>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</si>
  <si>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Log any conversational (non-CLI-draft) scoring to landry_scores.json (source=manual, approved_by=Alan)</t>
  </si>
  <si>
    <t>Run `python -m landry audit`, confirm clean or explain any failures</t>
  </si>
  <si>
    <t>Run `python -m landry.xlsx_recalc` after any workbook edit</t>
  </si>
  <si>
    <t>Re-score Tier 1 indicators (FCF Yield, Revenue Growth, Moat, Rev Visibility, FCF Margin) for existing holdings using new Q3 results -- update Scoring tab for anything material</t>
  </si>
  <si>
    <t>Complete COST/Visa Entry Checklist work if not finished at 9/30 review</t>
  </si>
  <si>
    <t>Holding Monitor -- snapshot pre-refresh Tier 1 sub-scores into Prior columns, then populate Current columns with post-refresh values; also populate Position Pct, Max Full Pct, Debt/FCF, P/FCF, FCF Growth%, Implied Return, Current/Prior Tier</t>
  </si>
  <si>
    <t>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</si>
  <si>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Re-score Tier 1 indicators using Q4/FY results</t>
  </si>
  <si>
    <t>Holding Monitor -- shift each held ticker's Current columns into Prior, then populate Current with newly re-scored Tier 1 sub-scores and refreshed valuation/sizing metrics; review any TRIGGER/ACTION REQUIRED flags</t>
  </si>
  <si>
    <t>Pull fresh prices for all held positions -- update Current Positions col F</t>
  </si>
  <si>
    <t>Log this month's total portfolio value into Portfolio Drawdown Log -- note the resulting regime (Normal/Elevated/Severe/Critical)</t>
  </si>
  <si>
    <t>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</si>
  <si>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Scan Monitor &amp; Recheck Triggers Recheck Status -- re-score whatever's DUE before adding to it, not after</t>
  </si>
  <si>
    <t>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</si>
  <si>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Confirm Correlation Matrix status hasn't moved unfavorably before buying</t>
  </si>
  <si>
    <t>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</si>
  <si>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</si>
  <si>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</si>
  <si>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Open (unresolved) items:</t>
  </si>
  <si>
    <t>#</t>
  </si>
  <si>
    <t>Item</t>
  </si>
  <si>
    <t>Date Raised</t>
  </si>
  <si>
    <t>Date Resolved</t>
  </si>
  <si>
    <t>Piotroski: add 1-2 currently-held, Management-Quality-scored tickers to the diagnostic batch, specifically to make the Leverage Trajectory check testable (0 of the first 4 tickers had a Mgmt Quality score on record to compare against).</t>
  </si>
  <si>
    <t>Added MU and VRT -- both now testable, both agree with existing Mgmt Quality (no divergence). See Journal row 40.</t>
  </si>
  <si>
    <t>Piotroski: diagnose why VRTX's FY2025 CFO ($3.63B) came in under Net Income ($3.95B) -- one-time item vs. a genuine earnings-quality concern -- before treating that divergence as conclusive on its own.</t>
  </si>
  <si>
    <t>Growth/launch-driven working-capital build (Journavx launch), not an earnings-quality concern. See Journal row 41.</t>
  </si>
  <si>
    <t>Scoring completion queue: LIN, NFLX, DPZ, PG, GE cleared Tier 1 months ago. GE and NFLX fully completed (STRONG BUY); LIN, ET(added), DPZ, and PG all rechecked and parked below/at the 4.0 bar.</t>
  </si>
  <si>
    <t>See Journal rows 53-55.</t>
  </si>
  <si>
    <t>Implied-Return backfill: 16 pre-existing holdings (13 held, 3 sold) entered the portfolio before the Rules 12-14 gate existed and have never been run through it.</t>
  </si>
  <si>
    <t>Action Items E25/E26: same truncated-range bug already fixed in E28/E29 (Entry Authorization tallies) also exists here (Rule 2/4 candidate-flag tallies against Scoring, still capped at row 27).</t>
  </si>
  <si>
    <t>Holding Monitor's template caps at 20 tickers; Implied-Return Calculator extends to the full 45-ticker universe. Not urgent today (14 non-ETF holdings), but a real ceiling if holdings keep growing.</t>
  </si>
  <si>
    <t>Formalize how ETFs should be treated as portfolio positions. Current holdings are being treated as dry powder for now (a tactical decision), but the general policy question is still genuinely undecided.</t>
  </si>
  <si>
    <t>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 10/8/26: the read-only inventory is done and is now a command, `python -m landry etf [--docx] [--pdf]` (Journal row 126; docs/Landry ETF Report 2026-10-08.docx): the sleeve is 45.1% of the portfolio; two groups each over Rule 38's 20% cluster cap (value / dividend / FCF + JEPI 22.6%; JEPQ + HELO + SPMO + NVDA 22.3%); no bonds or international; Staples / bond / gold / utility ETFs cut volatility most. The six design questions above are the agenda; discussion resumes 10/9. Alan's reference: docs/ETF Strategy Review_v1.docx (core-and-satellite framework; untracked). 10/9/26: direction agreed with Alan (ceiling about 40%, cash-like reserve 10-15% = the Part 5 band, satellite 25-30% of fillers plus a small capped speculative slice, trend filter + structural ranking, covered-call ETFs interim, new ETF buys frozen, reserve built by ETF sales first, SPMO first); see Journal row 127. Open: caps, gate values, filler list, scorecard, rulebook text.</t>
  </si>
  <si>
    <t>Database migration: Phase A shipped 8/18/26; Phases B/C (cutting the CLI/webapp over to the DB, generated-report export) were paused pending Tranche 2. That gate cleared 9/8/26 but resuming hasn't been asked for.</t>
  </si>
  <si>
    <t>Consider a 5-10% "wild card" portfolio allocation -- rule-disregarding, or governed by a new/separate rule set -- for exceptional opportunities outside the current Landry Strategy's normal gates. Genuinely undefined, discussion-only for now.</t>
  </si>
  <si>
    <t>See Journal row 38.</t>
  </si>
  <si>
    <t>Reconcile the Instructions tab's print layout with Alan's separately reformatted _copy version (one page wide). Recommended Alan do this directly on the live file to avoid cross-contamination from a _copy file.</t>
  </si>
  <si>
    <t>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</si>
  <si>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See Journal row 53. DPZ and PG both showed real deterioration (parked, same as LIN/ET); GE improved and was advanced to full Tier 2/3 (Composite 84.2, STRONG BUY). See Journal row 54.</t>
  </si>
  <si>
    <t>CMG, ETSY, PH, and ETN are the remaining names from the same stale 8/11-13 PENDING batch as the scoring completion queue (LIN/ET/DPZ/PG/GE/YUM). Deliberately not rechecked -- Alan's call, 9/13/26: 'only YUM worth a revisit at this point.' Not an oversight; revisit only if Alan raises it.</t>
  </si>
  <si>
    <t>Traced provenance: CMG and ETSY ARE Darryl-sourced and still unverified; PH/ETN are not Darryl-sourced. V (held position) also Darryl-sourced -- rechecked, fell to BUY from STRONG BUY. See Journal row 56.</t>
  </si>
  <si>
    <t>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</si>
  <si>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ADBE Moat Quality: holding at 4, flagged for revisit at next earnings (not before).</t>
  </si>
  <si>
    <t>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</si>
  <si>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UNH: quant screen clears (~3.33) but Fidelity scan found active CalPERS litigation (motion to dismiss denied in part 9/30/26) and a genuinely Bearish 1.5/10 analyst consensus -- flagged to score further only after the situation settles, not scored now.</t>
  </si>
  <si>
    <t>See Journal row 69. Revisit on a clearer CalPERS resolution or after Q3 earnings (10/13/26).</t>
  </si>
  <si>
    <t>ACN: quant screen marginal (~2.875, driven almost entirely by severe relative-strength weakness) but Fidelity scan found a Very Bullish 9.4/10 analyst consensus and a cheap relative valuation -- held open, no score until after Q4 earnings.</t>
  </si>
  <si>
    <t>See Journal row 69. Revisit after the 10/1/26 earnings print.</t>
  </si>
  <si>
    <t>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</si>
  <si>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</si>
  <si>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</si>
  <si>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</si>
  <si>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</si>
  <si>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</si>
  <si>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Portfolio Performance snapshot (simple): track in detail ONLY the System-selected equities in the portfolio over time -- excluding cash and cash equivalents.</t>
  </si>
  <si>
    <t>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</si>
  <si>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</si>
  <si>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</si>
  <si>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</si>
  <si>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</si>
  <si>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NTRA: quant screen clears the floor (~3.44) with no Rule 5 trigger, but Fidelity shows the INTU pattern: independent-firm Equity Summary Score Bearish 1.5 vs a 91% buy sell-side, +154% in a year, normalized FCF negative after SBC, no valuation anchor. Held at Watch - Pending Earnings.</t>
  </si>
  <si>
    <t>See Journal row 79. Revisit after Q3 earnings 11/4/26 (unconfirmed): look for normalized FCF (CFO - capex - SBC) turning positive and whether the bearish score eases before any Part 12 spend.</t>
  </si>
  <si>
    <t>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</si>
  <si>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</si>
  <si>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</si>
  <si>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See Journal row 82. Extends #13 (the ETF cluster) and the SPMO-first funding rule. The matrix is the source of record from 10/4/26; detail is the Correlation Matrix tab's AG column.</t>
  </si>
  <si>
    <t>Charts and trend columns for the seven tickers added to Price History after the original 19 (DVY, SCHD, VYM, MLPI, JEPI, GE, NFLX): none exist, so those names appear on the Correlation Matrix but not in Returns (Calc)'s chart block. Optional.</t>
  </si>
  <si>
    <t>See Journal row 82 and Schema Reference (Returns (Calc)). Needs new trend columns plus charts keyed to the new tickers' columns; the existing 19 are correct again.</t>
  </si>
  <si>
    <t>Price History holds 160 weeks, over Rule 38's 36-month (~156-week) maximum, and the Correlation Matrix ranges (rows 3-500) never roll, so the window only grows (~52 rows a year). Decide: roll it (drop the oldest row or use OFFSET-based ranges) or accept 3 years plus growth.</t>
  </si>
  <si>
    <t>See Journal row 82. Low urgency; `landry prices append` never deletes a row.</t>
  </si>
  <si>
    <t>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</si>
  <si>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Done 10/4/26: Market Data got ABT, SLB, VEEV and KGS (Journal row 85); Monitor got ABT, SLB and VEEV as rows 49-51 (Journal row 87). The weekly routine now refreshes all four in both tabs.</t>
  </si>
  <si>
    <t>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</si>
  <si>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Done 10/4/26: Alan chose to apply Rule 3 as written. Decision column now applies the Rule 3/1/4 gates; AVGO, VRTX and CRWD are in Exit Review (Journal row 89); the v1.05 clarification was drafted but not adopted. The follow-up with a date is #30.</t>
  </si>
  <si>
    <t>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</si>
  <si>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</si>
  <si>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</si>
  <si>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</si>
  <si>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</si>
  <si>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See Journal row 94 (policy and first-run results). Re-run the command after FUND-REFRESH-1 (10/25) once Q3 10-Qs land.</t>
  </si>
  <si>
    <t>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</si>
  <si>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</si>
  <si>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</si>
  <si>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</si>
  <si>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</si>
  <si>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</si>
  <si>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Sector-driver study: which macro, political, international and global factors drive each sector's returns, and how the book and each candidate are exposed to them. BUILD AFTER 10/22/26 (Alan, 10/7).</t>
  </si>
  <si>
    <t>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</si>
  <si>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Even-pace screening to DCA-CATCHUP-3 (10/22/26): the slate and pace were accepted ('works', Alan 10/7).</t>
  </si>
  <si>
    <t>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</si>
  <si>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CANDIDATES LIST.xlsx: refresh the Sector Exposure Reference (Screen_Candidates N2:O13, stale as of 8/30/26) and the Sector Cap Headroom column to current weights.</t>
  </si>
  <si>
    <t>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</si>
  <si>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Rulebook (next revision, v1.05): state in Part 5 that the 25% sector cap is measured at market value on direct holdings. Alan ruled 'market' on 10/7/26.</t>
  </si>
  <si>
    <t>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</si>
  <si>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ADBE and stop-loss policy (Alan, 10/7/26): ADBE is 21% below cost and 35% below its 52-week high; decide what the System does with a falling holding.</t>
  </si>
  <si>
    <t>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</si>
  <si>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</si>
  <si>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</si>
  <si>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Build the ladder check: python -m landry stops (status in the weekly report and at each tranche prep), plus the Holding Monitor rows for ADBE, VRTX and PLD.</t>
  </si>
  <si>
    <t>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</si>
  <si>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Candidate pool: sector-targeted FCF screen of the S&amp;P 500 (322 non-technology, non-financial names) on the System's own Tier 1 quant rubric, run 10/8/26 (Alan: do we need additional FCF-driven candidates for a better fill / fit?). Answer: yes.</t>
  </si>
  <si>
    <t>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</si>
  <si>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Rulebook companions for a later revision (v1.06): a leading-indicator qualifier for ARR / backlog names and a cluster-level drawdown review for the AI / semiconductor names.</t>
  </si>
  <si>
    <t>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</si>
  <si>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Rule 12's Base &gt;10% test screens out low-growth defensive single names (Staples: PG, SJM, CHD, CL; also JNJ, CMG and COST) at any price. Decide how Staples ballast, if wanted, is obtained.</t>
  </si>
  <si>
    <t>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</si>
  <si>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</si>
  <si>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</si>
  <si>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</si>
  <si>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</si>
  <si>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</si>
  <si>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</si>
  <si>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</si>
  <si>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</si>
  <si>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</si>
  <si>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</si>
  <si>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</si>
  <si>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</si>
  <si>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</si>
  <si>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</si>
  <si>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Current Positions</t>
  </si>
  <si>
    <t>Table</t>
  </si>
  <si>
    <t>CurrentPositionsTable</t>
  </si>
  <si>
    <t>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</si>
  <si>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</si>
  <si>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Monitor &amp; Recheck Triggers</t>
  </si>
  <si>
    <t>MonitorTable</t>
  </si>
  <si>
    <t>A2:Q51 (col N=Analyst Shift Note, mirrors K/L; RecheckStatus now P, Notes now Q; row 48 added 2026-09-11 for KGS and rows 49-51 on 2026-10-04 for ABT, SLB and VEEV, tracked non-owned candidates)</t>
  </si>
  <si>
    <t>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</si>
  <si>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Price History</t>
  </si>
  <si>
    <t>Fixed range, single header</t>
  </si>
  <si>
    <t>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</si>
  <si>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</si>
  <si>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Dashboard</t>
  </si>
  <si>
    <t>DashboardTable</t>
  </si>
  <si>
    <t>A1:J50 (header is row 1 here, not row 2 like most other tabs)</t>
  </si>
  <si>
    <t>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</si>
  <si>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Scoring</t>
  </si>
  <si>
    <t>Fixed range, 2-row merged header</t>
  </si>
  <si>
    <t>n/a (not a Table -- Tier1/2/3 group headers span multiple columns in row 1)</t>
  </si>
  <si>
    <t>Rows 3-47 populated (45 tickers), formulas/formatting run through row 60 for headroom; row 62 holds a visible-ticker-count subtotal (SUBTOTAL 103, respects collapsed groups).</t>
  </si>
  <si>
    <t>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</si>
  <si>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Entry Checklist</t>
  </si>
  <si>
    <t>EntryChecklistTable</t>
  </si>
  <si>
    <t>A2:S51</t>
  </si>
  <si>
    <t>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</si>
  <si>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Market Data</t>
  </si>
  <si>
    <t>Rows 3-42 (40 tickers: held equities/ETFs ex-cash + Tier-1-passed bench candidates), cols A-I. Refreshed in place each Saturday by `python -m landry weekly` (landry/market.py) -- not a live formula.</t>
  </si>
  <si>
    <t>A=Ticker,B=Company,C=Price,D=Volume,E=MarketCap,F=P/E,G=52wkLow,H=52wkHigh,I=DivYield. The tool never adds or removes rows; a provider gap keeps the cell (ETF market caps), except a yield the provider reports as nothing paid, which is cleared.</t>
  </si>
  <si>
    <t>Returns (Calc)</t>
  </si>
  <si>
    <t>Fixed range, formula-derived</t>
  </si>
  <si>
    <t>Rows 3-161, cols A-V and W-AO</t>
  </si>
  <si>
    <t>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</si>
  <si>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Correlation Matrix</t>
  </si>
  <si>
    <t>Fixed range, formula-derived headers</t>
  </si>
  <si>
    <t>Rows 1-27, cols A-AG</t>
  </si>
  <si>
    <t>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</si>
  <si>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Portfolio Drawdown Log</t>
  </si>
  <si>
    <t>DrawdownLogTable</t>
  </si>
  <si>
    <t>A2:H42 as of 2026-09-08; grows one row per quarterly review, re-verify against the live Table ref</t>
  </si>
  <si>
    <t>A=Date,B=PortfolioValue,C=RunningPeak,D=Drawdown%,E=Status,F=RequiredCashFloor,G=NewPositionInitiation,H=Notes. Enter Date + PortfolioValue only; C-G calculate automatically (Part 7, Rules 38-39 drawdown-response tiers).</t>
  </si>
  <si>
    <t>Watch List Tracker</t>
  </si>
  <si>
    <t>WatchListTable</t>
  </si>
  <si>
    <t>A2:M22</t>
  </si>
  <si>
    <t>A=Ticker,B=Company,C=Status,D=EntryDate,E=EntryScore,F=CurrentScore,G=CurrentScoreDate,H=CredibleRemediationPlan(Y/N),I=90DayDeadline,J=DaysRemaining,K=ActionStatus,L=Notes,M=TrimsTaken(0-3, Rule 34). Rows 4-5 emptied 2026-10-05 when AVGO/VRTX cleared Rule 3 (rows are pre-built blanks with the formulas in I-K).</t>
  </si>
  <si>
    <t>Implied-Return Calculator</t>
  </si>
  <si>
    <t>n/a (Base/Bear/Bull scenario groups span multiple columns in row 2)</t>
  </si>
  <si>
    <t>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</si>
  <si>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A=Ticker,B=Company,C=Price. D-H=Base[FCF5,Mult,Dist,Return,Tag]. I-M=Bear[same]. N-R=Bull[same]. S=Base&gt;10%check,T=Bear&gt;=0%check,U=ExactlyOneLikelyCheck.</t>
  </si>
  <si>
    <t>Holding Monitor</t>
  </si>
  <si>
    <t>n/a (Fundamental-trigger group header spans multiple columns in row 2)</t>
  </si>
  <si>
    <t>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</si>
  <si>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A=Ticker,B=Company,C=PositionPct,D=MaxFullPct. E-S=5 fundamental indicators x [Prior,Current,Flag]. T=Debt/FCF,U=P/FCF,V=FCFGrowth,W=ImpliedReturn,X=CurrentTier,Y=PriorTier,Z=ValuationFlags,AA=HoldThroughY/N,AB=ActionStatus.</t>
  </si>
  <si>
    <t>Performance Tracking</t>
  </si>
  <si>
    <t>PerformanceTrackingTable</t>
  </si>
  <si>
    <t>A2:AC44</t>
  </si>
  <si>
    <t>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</si>
  <si>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Journal</t>
  </si>
  <si>
    <t>JournalTable</t>
  </si>
  <si>
    <t>A2:C302</t>
  </si>
  <si>
    <t>A=Date,B=Ticker,C=Notes. Freeform; filter/sort via the Table's built-in header dropdowns.</t>
  </si>
  <si>
    <t>Process Checklist</t>
  </si>
  <si>
    <t>ProcessChecklistTable</t>
  </si>
  <si>
    <t>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</si>
  <si>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</si>
  <si>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Open Items</t>
  </si>
  <si>
    <t>OpenItemsTable</t>
  </si>
  <si>
    <t>A4:F49 as of 2026-10-08 (45 items) -- grows as new open items get added, shrinks only if a row is deliberately removed (resolved items stay, marked Done, not deleted)</t>
  </si>
  <si>
    <t>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</si>
  <si>
    <t>Base &gt;10%?</t>
  </si>
  <si>
    <t>Bear ≥0%?</t>
  </si>
  <si>
    <t>Cum.
Distrib/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</si>
</sst>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0000"/>
    <numFmt numFmtId="166" formatCode="_(* #,##0.00_);_(* \(#,##0.00\);_(* \-??_);_(@_)"/>
    <numFmt numFmtId="167" formatCode="\$#,##0.00"/>
    <numFmt numFmtId="168" formatCode="mm/dd/yyyy"/>
    <numFmt numFmtId="169" formatCode="yyyy\-mm\-dd"/>
    <numFmt numFmtId="170" formatCode="0.0"/>
    <numFmt numFmtId="171" formatCode="0.000"/>
    <numFmt numFmtId="172" formatCode="\$#,##0"/>
    <numFmt numFmtId="173" formatCode="0.0\x"/>
    <numFmt numFmtId="174" formatCode="\$#,##0_);&quot;($&quot;#,##0\)"/>
    <numFmt numFmtId="175" formatCode="0.0%_);\(0.0%\)"/>
    <numFmt numFmtId="176" formatCode="yyyy\-mm\-dd\ h:mm:ss"/>
  </numFmts>
  <fonts count="71" x14ac:knownFonts="1">
    <font>
      <sz val="11"/>
      <color theme="1"/>
      <name val="Calibri"/>
      <family val="2"/>
      <charset val="1"/>
    </font>
    <font>
      <b/>
      <sz val="13"/>
      <color rgb="FF1F3864"/>
      <name val="Arial"/>
      <family val="2"/>
      <charset val="1"/>
    </font>
    <font>
      <sz val="9"/>
      <color rgb="FF000000"/>
      <name val="Arial"/>
      <family val="2"/>
      <charset val="1"/>
    </font>
    <font>
      <i/>
      <sz val="9"/>
      <color rgb="FF000000"/>
      <name val="Arial"/>
      <family val="2"/>
      <charset val="1"/>
    </font>
    <font>
      <b/>
      <sz val="10"/>
      <color rgb="FF1F3864"/>
      <name val="Arial"/>
      <family val="2"/>
      <charset val="1"/>
    </font>
    <font>
      <sz val="9"/>
      <name val="Arial"/>
      <family val="2"/>
      <charset val="1"/>
    </font>
    <font>
      <b/>
      <sz val="14"/>
      <color rgb="FF1F3864"/>
      <name val="Arial"/>
      <family val="2"/>
      <charset val="1"/>
    </font>
    <font>
      <sz val="14"/>
      <color theme="1"/>
      <name val="Calibri"/>
      <family val="2"/>
      <charset val="1"/>
    </font>
    <font>
      <i/>
      <sz val="10"/>
      <color rgb="FF808080"/>
      <name val="Arial"/>
      <family val="2"/>
      <charset val="1"/>
    </font>
    <font>
      <b/>
      <sz val="11"/>
      <color rgb="FFFFFFFF"/>
      <name val="Arial"/>
      <family val="2"/>
      <charset val="1"/>
    </font>
    <font>
      <sz val="10"/>
      <color rgb="FF000000"/>
      <name val="Arial"/>
      <family val="2"/>
      <charset val="1"/>
    </font>
    <font>
      <b/>
      <sz val="10"/>
      <color rgb="FF000000"/>
      <name val="Arial"/>
      <family val="2"/>
      <charset val="1"/>
    </font>
    <font>
      <sz val="10"/>
      <color theme="1"/>
      <name val="Calibri"/>
      <family val="2"/>
      <charset val="1"/>
    </font>
    <font>
      <sz val="11"/>
      <color theme="1"/>
      <name val="Arial Narrow"/>
      <family val="2"/>
      <charset val="1"/>
    </font>
    <font>
      <i/>
      <sz val="10"/>
      <color rgb="FF000000"/>
      <name val="Arial Narrow"/>
      <family val="2"/>
      <charset val="1"/>
    </font>
    <font>
      <b/>
      <sz val="11"/>
      <color rgb="FFFFFFFF"/>
      <name val="Arial Narrow"/>
      <family val="2"/>
      <charset val="1"/>
    </font>
    <font>
      <sz val="8"/>
      <color rgb="FF002060"/>
      <name val="Arial Narrow"/>
      <family val="2"/>
      <charset val="1"/>
    </font>
    <font>
      <b/>
      <sz val="10"/>
      <color rgb="FF002060"/>
      <name val="Arial Narrow"/>
      <family val="2"/>
      <charset val="1"/>
    </font>
    <font>
      <sz val="10"/>
      <color rgb="FF002060"/>
      <name val="Arial Narrow"/>
      <family val="2"/>
      <charset val="1"/>
    </font>
    <font>
      <sz val="10"/>
      <name val="Arial Narrow"/>
      <family val="2"/>
      <charset val="1"/>
    </font>
    <font>
      <b/>
      <sz val="10"/>
      <color rgb="FF000000"/>
      <name val="Arial Narrow"/>
      <family val="2"/>
      <charset val="1"/>
    </font>
    <font>
      <sz val="10"/>
      <color rgb="FF000000"/>
      <name val="Arial Narrow"/>
      <family val="2"/>
      <charset val="1"/>
    </font>
    <font>
      <sz val="9"/>
      <color rgb="FF002060"/>
      <name val="Arial Narrow"/>
      <family val="2"/>
      <charset val="1"/>
    </font>
    <font>
      <i/>
      <sz val="11"/>
      <color rgb="FF808080"/>
      <name val="Arial Narrow"/>
      <family val="2"/>
      <charset val="1"/>
    </font>
    <font>
      <sz val="10"/>
      <name val="Arial"/>
      <family val="2"/>
    </font>
    <font>
      <b/>
      <sz val="11"/>
      <color theme="1"/>
      <name val="Calibri"/>
      <family val="2"/>
      <charset val="1"/>
    </font>
    <font>
      <i/>
      <sz val="11"/>
      <color rgb="FF000000"/>
      <name val="Arial Narrow"/>
      <family val="2"/>
      <charset val="1"/>
    </font>
    <font>
      <sz val="9"/>
      <color rgb="FF002060"/>
      <name val="Arial Narrow"/>
      <charset val="1"/>
    </font>
    <font>
      <b/>
      <sz val="11"/>
      <color rgb="FF002060"/>
      <name val="Arial Narrow"/>
      <family val="2"/>
      <charset val="1"/>
    </font>
    <font>
      <sz val="11"/>
      <color rgb="FF000000"/>
      <name val="Arial Narrow"/>
      <family val="2"/>
      <charset val="1"/>
    </font>
    <font>
      <b/>
      <sz val="11"/>
      <color rgb="FF002060"/>
      <name val="Arial"/>
      <family val="2"/>
      <charset val="1"/>
    </font>
    <font>
      <sz val="10"/>
      <color rgb="FF002060"/>
      <name val="Arial"/>
      <family val="2"/>
      <charset val="1"/>
    </font>
    <font>
      <sz val="10"/>
      <color theme="1"/>
      <name val="Arial Narrow"/>
      <family val="2"/>
      <charset val="1"/>
    </font>
    <font>
      <i/>
      <sz val="12"/>
      <color rgb="FF000000"/>
      <name val="Arial Narrow"/>
      <family val="2"/>
      <charset val="1"/>
    </font>
    <font>
      <b/>
      <sz val="12"/>
      <color theme="1"/>
      <name val="Arial Narrow"/>
      <family val="2"/>
      <charset val="1"/>
    </font>
    <font>
      <b/>
      <sz val="12"/>
      <color rgb="FFFFFFFF"/>
      <name val="Arial Narrow"/>
      <family val="2"/>
      <charset val="1"/>
    </font>
    <font>
      <b/>
      <sz val="11"/>
      <color rgb="FF000000"/>
      <name val="Arial Narrow"/>
      <family val="2"/>
      <charset val="1"/>
    </font>
    <font>
      <i/>
      <sz val="9"/>
      <color rgb="FFC00000"/>
      <name val="Arial Narrow"/>
      <charset val="1"/>
    </font>
    <font>
      <b/>
      <sz val="16"/>
      <color rgb="FFFFFFFF"/>
      <name val="Arial Narrow"/>
      <family val="2"/>
      <charset val="1"/>
    </font>
    <font>
      <b/>
      <sz val="11"/>
      <color theme="1"/>
      <name val="Arial Narrow"/>
      <family val="2"/>
      <charset val="1"/>
    </font>
    <font>
      <b/>
      <sz val="10"/>
      <color rgb="FFFFFFFF"/>
      <name val="Arial Narrow"/>
      <family val="2"/>
      <charset val="1"/>
    </font>
    <font>
      <b/>
      <sz val="10"/>
      <color rgb="FFFF0000"/>
      <name val="Arial Narrow"/>
      <charset val="1"/>
    </font>
    <font>
      <b/>
      <sz val="9"/>
      <color rgb="FFFFFFFF"/>
      <name val="Arial Narrow"/>
      <family val="2"/>
      <charset val="1"/>
    </font>
    <font>
      <sz val="11"/>
      <color rgb="FF002060"/>
      <name val="Arial Narrow"/>
      <family val="2"/>
      <charset val="1"/>
    </font>
    <font>
      <b/>
      <sz val="8"/>
      <color rgb="FF000000"/>
      <name val="Arial Narrow"/>
      <family val="2"/>
      <charset val="1"/>
    </font>
    <font>
      <b/>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sz val="10"/>
      <name val="Arial Narrow"/>
      <family val="2"/>
      <charset val="1"/>
    </font>
    <font>
      <b/>
      <sz val="12"/>
      <color rgb="FF1F3864"/>
      <name val="Arial Narrow"/>
      <family val="2"/>
      <charset val="1"/>
    </font>
    <font>
      <sz val="11"/>
      <color rgb="FF002060"/>
      <name val="Arial Narrow"/>
      <charset val="1"/>
    </font>
    <font>
      <sz val="11"/>
      <color rgb="FF000000"/>
      <name val="Arial Narrow"/>
      <charset val="1"/>
    </font>
    <font>
      <b/>
      <sz val="11"/>
      <color rgb="FF000000"/>
      <name val="Arial Narrow"/>
      <charset val="1"/>
    </font>
    <font>
      <b/>
      <i/>
      <sz val="11"/>
      <color rgb="FF000000"/>
      <name val="Arial Narrow"/>
      <family val="2"/>
      <charset val="1"/>
    </font>
    <font>
      <b/>
      <sz val="8"/>
      <color rgb="FF002060"/>
      <name val="Arial"/>
      <family val="2"/>
      <charset val="1"/>
    </font>
    <font>
      <sz val="8"/>
      <color rgb="FF002060"/>
      <name val="Arial"/>
      <family val="2"/>
      <charset val="1"/>
    </font>
    <font>
      <b/>
      <sz val="8"/>
      <color rgb="FF000000"/>
      <name val="Arial"/>
      <family val="2"/>
      <charset val="1"/>
    </font>
    <font>
      <b/>
      <sz val="8"/>
      <color rgb="FF002060"/>
      <name val="Arial Narrow"/>
      <family val="2"/>
      <charset val="1"/>
    </font>
    <font>
      <b/>
      <sz val="10"/>
      <color rgb="FF006100"/>
      <name val="Arial Narrow"/>
      <family val="2"/>
      <charset val="1"/>
    </font>
    <font>
      <b/>
      <sz val="9"/>
      <color rgb="FFFFFFFF"/>
      <name val="Arial Narrow"/>
      <charset val="1"/>
    </font>
    <font>
      <sz val="11"/>
      <name val="Cambria"/>
      <charset val="1"/>
    </font>
    <font>
      <sz val="9"/>
      <name val="Arial Narrow"/>
      <charset val="1"/>
    </font>
    <font>
      <i/>
      <sz val="8"/>
      <color rgb="FF808080"/>
      <name val="Arial Narrow"/>
      <charset val="1"/>
    </font>
    <font>
      <b/>
      <sz val="9"/>
      <name val="Arial Narrow"/>
      <charset val="1"/>
    </font>
    <font>
      <i/>
      <sz val="11"/>
      <color rgb="FF808080"/>
      <name val="Arial Narrow"/>
      <charset val="1"/>
    </font>
    <font>
      <sz val="10"/>
      <color rgb="FF002060"/>
      <name val="Arial Narrow"/>
      <charset val="1"/>
    </font>
    <font>
      <b/>
      <sz val="12"/>
      <color rgb="FF1F3864"/>
      <name val="Arial"/>
      <family val="2"/>
      <charset val="1"/>
    </font>
    <font>
      <b/>
      <sz val="10"/>
      <color rgb="FFFFFFFF"/>
      <name val="Arial"/>
      <family val="2"/>
      <charset val="1"/>
    </font>
    <font>
      <b/>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79857783745845"/>
        <bgColor rgb="FFE2EFDA"/>
      </patternFill>
    </fill>
    <fill>
      <patternFill patternType="solid">
        <fgColor rgb="FFDDEBF7"/>
        <bgColor rgb="FFDCE6F1"/>
      </patternFill>
    </fill>
    <fill>
      <patternFill patternType="solid">
        <fgColor theme="2" tint="-9.9978637043366805E-2"/>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left/>
      <right/>
      <top/>
      <bottom/>
      <diagonal/>
    </border>
    <border>
      <left style="thin">
        <color rgb="FF999999"/>
      </left>
      <right style="thin">
        <color rgb="FF999999"/>
      </right>
      <top style="thin">
        <color rgb="FF999999"/>
      </top>
      <bottom style="thin">
        <color rgb="FF999999"/>
      </bottom>
      <diagonal/>
    </border>
    <border>
      <left/>
      <right/>
      <top style="medium">
        <color auto="1"/>
      </top>
      <bottom/>
      <diagonal/>
    </border>
    <border>
      <left style="thin">
        <color rgb="FFA6A6A6"/>
      </left>
      <right style="thin">
        <color rgb="FFA6A6A6"/>
      </right>
      <top style="thin">
        <color rgb="FFA6A6A6"/>
      </top>
      <bottom style="thin">
        <color rgb="FFA6A6A6"/>
      </bottom>
      <diagonal/>
    </border>
    <border>
      <left style="thin">
        <color rgb="FF999999"/>
      </left>
      <right style="thin">
        <color rgb="FF999999"/>
      </right>
      <top style="thin">
        <color rgb="FF999999"/>
      </top>
      <bottom style="medium">
        <color auto="1"/>
      </bottom>
      <diagonal/>
    </border>
    <border>
      <left style="thin">
        <color rgb="FF999999"/>
      </left>
      <right style="thin">
        <color rgb="FF999999"/>
      </right>
      <top/>
      <bottom style="thin">
        <color rgb="FF999999"/>
      </bottom>
      <diagonal/>
    </border>
    <border>
      <left style="thin">
        <color rgb="FF999999"/>
      </left>
      <right style="thin">
        <color rgb="FF999999"/>
      </right>
      <top style="thin">
        <color rgb="FF999999"/>
      </top>
      <bottom/>
      <diagonal/>
    </border>
    <border>
      <left style="thin">
        <color auto="1"/>
      </left>
      <right style="thin">
        <color auto="1"/>
      </right>
      <top style="thin">
        <color auto="1"/>
      </top>
      <bottom style="thin">
        <color auto="1"/>
      </bottom>
      <diagonal/>
    </border>
    <border>
      <left style="thin">
        <color auto="1"/>
      </left>
      <right style="thin">
        <color rgb="FF999999"/>
      </right>
      <top style="thin">
        <color rgb="FF999999"/>
      </top>
      <bottom style="thin">
        <color auto="1"/>
      </bottom>
      <diagonal/>
    </border>
    <border>
      <left style="thin">
        <color rgb="FF999999"/>
      </left>
      <right style="thin">
        <color rgb="FF999999"/>
      </right>
      <top style="thin">
        <color rgb="FF999999"/>
      </top>
      <bottom style="thin">
        <color auto="1"/>
      </bottom>
      <diagonal/>
    </border>
    <border>
      <left/>
      <right/>
      <top style="thin">
        <color rgb="FF999999"/>
      </top>
      <bottom style="thin">
        <color rgb="FF999999"/>
      </bottom>
      <diagonal/>
    </border>
    <border>
      <left/>
      <right/>
      <top/>
      <bottom style="thin">
        <color rgb="FF999999"/>
      </bottom>
      <diagonal/>
    </border>
    <border>
      <left style="thin">
        <color rgb="FF999999"/>
      </left>
      <right/>
      <top style="thin">
        <color rgb="FF999999"/>
      </top>
      <bottom style="thin">
        <color rgb="FF999999"/>
      </bottom>
      <diagonal/>
    </border>
    <border>
      <left/>
      <right/>
      <top style="dashed">
        <color auto="1"/>
      </top>
      <bottom style="dashed">
        <color auto="1"/>
      </bottom>
      <diagonal/>
    </border>
  </borders>
  <cellStyleXfs count="1">
    <xf numFmtId="0" fontId="0" fillId="0" borderId="0"/>
  </cellStyleXfs>
  <cellXfs count="262">
    <xf numFmtId="0" fontId="0" fillId="0" borderId="0" xfId="0"/>
    <xf numFmtId="0" fontId="23" fillId="0" borderId="0" xfId="0" applyFont="1" applyAlignment="1">
      <alignment horizontal="left" vertical="center" wrapText="1"/>
    </xf>
    <xf numFmtId="0" fontId="0" fillId="0" borderId="0" xfId="0"/>
    <xf numFmtId="0" fontId="14" fillId="0" borderId="0" xfId="0" applyFont="1" applyAlignment="1">
      <alignment horizontal="left" vertical="center" wrapText="1"/>
    </xf>
    <xf numFmtId="0" fontId="10" fillId="0" borderId="0" xfId="0" applyFont="1" applyAlignment="1">
      <alignment horizontal="right" vertical="center" wrapText="1"/>
    </xf>
    <xf numFmtId="0" fontId="9" fillId="2" borderId="0" xfId="0" applyFont="1" applyFill="1" applyAlignment="1">
      <alignment wrapText="1"/>
    </xf>
    <xf numFmtId="0" fontId="10" fillId="0" borderId="0" xfId="0" applyFont="1" applyAlignment="1">
      <alignment horizontal="left" vertical="center"/>
    </xf>
    <xf numFmtId="164" fontId="11" fillId="0" borderId="1" xfId="0" applyNumberFormat="1" applyFont="1" applyBorder="1" applyAlignment="1">
      <alignment horizontal="center" vertical="center"/>
    </xf>
    <xf numFmtId="1" fontId="11" fillId="0" borderId="1" xfId="0" applyNumberFormat="1" applyFont="1" applyBorder="1" applyAlignment="1">
      <alignment horizontal="center" vertical="center"/>
    </xf>
    <xf numFmtId="2" fontId="11" fillId="0" borderId="1" xfId="0" applyNumberFormat="1" applyFont="1" applyBorder="1" applyAlignment="1">
      <alignment horizontal="center" vertical="center"/>
    </xf>
    <xf numFmtId="0" fontId="11" fillId="0" borderId="1" xfId="0" applyFont="1" applyBorder="1" applyAlignment="1">
      <alignment horizontal="center" vertical="center"/>
    </xf>
    <xf numFmtId="0" fontId="10" fillId="0" borderId="0" xfId="0" applyFont="1" applyAlignment="1">
      <alignment horizontal="right" vertical="center"/>
    </xf>
    <xf numFmtId="0" fontId="9" fillId="2" borderId="0" xfId="0" applyFont="1" applyFill="1"/>
    <xf numFmtId="0" fontId="8" fillId="0" borderId="0" xfId="0" applyFont="1"/>
    <xf numFmtId="0" fontId="6" fillId="0" borderId="0" xfId="0" applyFont="1" applyAlignment="1">
      <alignment wrapText="1"/>
    </xf>
    <xf numFmtId="0" fontId="1" fillId="0" borderId="0" xfId="0" applyFont="1" applyAlignment="1">
      <alignment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2" fillId="0" borderId="0" xfId="0" applyFont="1"/>
    <xf numFmtId="0" fontId="4" fillId="0" borderId="0" xfId="0" applyFont="1"/>
    <xf numFmtId="0" fontId="5" fillId="0" borderId="0" xfId="0" applyFont="1" applyAlignment="1">
      <alignment wrapText="1"/>
    </xf>
    <xf numFmtId="0" fontId="0" fillId="0" borderId="0" xfId="0" applyAlignment="1">
      <alignment wrapText="1"/>
    </xf>
    <xf numFmtId="0" fontId="7" fillId="0" borderId="0" xfId="0" applyFont="1"/>
    <xf numFmtId="0" fontId="11" fillId="0" borderId="1" xfId="0" applyFont="1" applyBorder="1" applyAlignment="1">
      <alignment horizontal="center" vertical="center"/>
    </xf>
    <xf numFmtId="0" fontId="12" fillId="0" borderId="0" xfId="0" applyFont="1"/>
    <xf numFmtId="164" fontId="11" fillId="0" borderId="1" xfId="0" applyNumberFormat="1" applyFont="1" applyBorder="1" applyAlignment="1">
      <alignment horizontal="center" vertical="center"/>
    </xf>
    <xf numFmtId="0" fontId="0" fillId="0" borderId="0" xfId="0" applyAlignment="1">
      <alignment horizontal="center"/>
    </xf>
    <xf numFmtId="0" fontId="13" fillId="0" borderId="0" xfId="0" applyFont="1"/>
    <xf numFmtId="0" fontId="15" fillId="3" borderId="0" xfId="0" applyFont="1" applyFill="1" applyAlignment="1">
      <alignment horizontal="center" vertical="top" wrapText="1"/>
    </xf>
    <xf numFmtId="0" fontId="16" fillId="0" borderId="0" xfId="0" applyFont="1"/>
    <xf numFmtId="0" fontId="17" fillId="0" borderId="0" xfId="0" applyFont="1" applyAlignment="1">
      <alignment horizontal="center"/>
    </xf>
    <xf numFmtId="0" fontId="18" fillId="0" borderId="0" xfId="0" applyFont="1"/>
    <xf numFmtId="0" fontId="18" fillId="0" borderId="0" xfId="0" applyFont="1" applyAlignment="1">
      <alignment horizontal="center"/>
    </xf>
    <xf numFmtId="165" fontId="18" fillId="0" borderId="0" xfId="0" applyNumberFormat="1" applyFont="1"/>
    <xf numFmtId="166" fontId="19" fillId="0" borderId="0" xfId="0" applyNumberFormat="1" applyFont="1"/>
    <xf numFmtId="167" fontId="20" fillId="0" borderId="0" xfId="0" applyNumberFormat="1" applyFont="1"/>
    <xf numFmtId="4" fontId="18" fillId="0" borderId="0" xfId="0" applyNumberFormat="1" applyFont="1"/>
    <xf numFmtId="167" fontId="18" fillId="0" borderId="0" xfId="0" applyNumberFormat="1" applyFont="1"/>
    <xf numFmtId="164" fontId="21" fillId="0" borderId="0" xfId="0" applyNumberFormat="1" applyFont="1" applyAlignment="1">
      <alignment horizontal="center"/>
    </xf>
    <xf numFmtId="0" fontId="17" fillId="4" borderId="0" xfId="0" applyFont="1" applyFill="1" applyAlignment="1">
      <alignment horizontal="center"/>
    </xf>
    <xf numFmtId="0" fontId="22" fillId="0" borderId="2" xfId="0" applyFont="1" applyBorder="1" applyAlignment="1">
      <alignment horizontal="right"/>
    </xf>
    <xf numFmtId="0" fontId="17" fillId="0" borderId="2" xfId="0" applyFont="1" applyBorder="1" applyAlignment="1">
      <alignment horizontal="center"/>
    </xf>
    <xf numFmtId="0" fontId="17" fillId="0" borderId="2" xfId="0" applyFont="1" applyBorder="1" applyAlignment="1">
      <alignment horizontal="right"/>
    </xf>
    <xf numFmtId="0" fontId="18" fillId="0" borderId="2" xfId="0" applyFont="1" applyBorder="1" applyAlignment="1">
      <alignment horizontal="center"/>
    </xf>
    <xf numFmtId="165" fontId="18" fillId="0" borderId="2" xfId="0" applyNumberFormat="1" applyFont="1" applyBorder="1"/>
    <xf numFmtId="166" fontId="19" fillId="0" borderId="2" xfId="0" applyNumberFormat="1" applyFont="1" applyBorder="1"/>
    <xf numFmtId="167" fontId="20" fillId="0" borderId="2" xfId="0" applyNumberFormat="1" applyFont="1" applyBorder="1"/>
    <xf numFmtId="4" fontId="17" fillId="0" borderId="2" xfId="0" applyNumberFormat="1" applyFont="1" applyBorder="1"/>
    <xf numFmtId="167" fontId="17" fillId="0" borderId="2" xfId="0" applyNumberFormat="1" applyFont="1" applyBorder="1"/>
    <xf numFmtId="164" fontId="20" fillId="0" borderId="2" xfId="0" applyNumberFormat="1" applyFont="1" applyBorder="1" applyAlignment="1">
      <alignment horizontal="center"/>
    </xf>
    <xf numFmtId="0" fontId="16" fillId="0" borderId="2" xfId="0" applyFont="1" applyBorder="1"/>
    <xf numFmtId="0" fontId="0" fillId="0" borderId="2" xfId="0" applyBorder="1"/>
    <xf numFmtId="165" fontId="0" fillId="0" borderId="0" xfId="0" applyNumberFormat="1"/>
    <xf numFmtId="0" fontId="19" fillId="0" borderId="0" xfId="0" applyFont="1" applyAlignment="1">
      <alignment horizontal="right"/>
    </xf>
    <xf numFmtId="164" fontId="19" fillId="0" borderId="0" xfId="0" applyNumberFormat="1" applyFont="1" applyAlignment="1">
      <alignment horizontal="center"/>
    </xf>
    <xf numFmtId="0" fontId="25" fillId="0" borderId="0" xfId="0" applyFont="1" applyAlignment="1">
      <alignment horizontal="center"/>
    </xf>
    <xf numFmtId="4" fontId="0" fillId="0" borderId="0" xfId="0" applyNumberFormat="1"/>
    <xf numFmtId="0" fontId="26" fillId="0" borderId="0" xfId="0" applyFont="1" applyAlignment="1">
      <alignment vertical="center" wrapText="1"/>
    </xf>
    <xf numFmtId="0" fontId="17" fillId="0" borderId="3" xfId="0" applyFont="1" applyBorder="1" applyAlignment="1">
      <alignment horizontal="right" vertical="center" wrapText="1"/>
    </xf>
    <xf numFmtId="168" fontId="27" fillId="5" borderId="3" xfId="0" applyNumberFormat="1" applyFont="1" applyFill="1" applyBorder="1" applyAlignment="1">
      <alignment horizontal="center" vertical="center" wrapText="1"/>
    </xf>
    <xf numFmtId="0" fontId="15" fillId="3" borderId="1" xfId="0" applyFont="1" applyFill="1" applyBorder="1" applyAlignment="1">
      <alignment horizontal="center" vertical="top" wrapText="1"/>
    </xf>
    <xf numFmtId="4" fontId="15" fillId="3" borderId="1" xfId="0" applyNumberFormat="1" applyFont="1" applyFill="1" applyBorder="1" applyAlignment="1">
      <alignment horizontal="center" vertical="top" wrapText="1"/>
    </xf>
    <xf numFmtId="0" fontId="0" fillId="0" borderId="0" xfId="0" applyAlignment="1">
      <alignment vertical="top"/>
    </xf>
    <xf numFmtId="0" fontId="28" fillId="5" borderId="1" xfId="0" applyFont="1" applyFill="1" applyBorder="1" applyAlignment="1">
      <alignment horizontal="center" vertical="center"/>
    </xf>
    <xf numFmtId="0" fontId="18" fillId="5" borderId="1" xfId="0" applyFont="1" applyFill="1" applyBorder="1" applyAlignment="1">
      <alignment horizontal="center" vertical="center"/>
    </xf>
    <xf numFmtId="169" fontId="18" fillId="5" borderId="1" xfId="0" applyNumberFormat="1" applyFont="1" applyFill="1" applyBorder="1" applyAlignment="1">
      <alignment horizontal="center" vertical="center"/>
    </xf>
    <xf numFmtId="0" fontId="29" fillId="0" borderId="1" xfId="0" applyFont="1" applyBorder="1" applyAlignment="1">
      <alignment horizontal="center" vertical="center"/>
    </xf>
    <xf numFmtId="4" fontId="18" fillId="5" borderId="1" xfId="0" applyNumberFormat="1" applyFont="1" applyFill="1" applyBorder="1" applyAlignment="1">
      <alignment horizontal="center" vertical="center"/>
    </xf>
    <xf numFmtId="167" fontId="18" fillId="5" borderId="1" xfId="0" applyNumberFormat="1" applyFont="1" applyFill="1" applyBorder="1" applyAlignment="1">
      <alignment horizontal="center" vertical="center"/>
    </xf>
    <xf numFmtId="164" fontId="20" fillId="0" borderId="1" xfId="0" applyNumberFormat="1" applyFont="1" applyBorder="1" applyAlignment="1">
      <alignment horizontal="center" vertical="center"/>
    </xf>
    <xf numFmtId="168" fontId="18" fillId="5" borderId="1" xfId="0" applyNumberFormat="1" applyFont="1" applyFill="1" applyBorder="1" applyAlignment="1">
      <alignment horizontal="center" vertical="center"/>
    </xf>
    <xf numFmtId="0" fontId="18" fillId="5" borderId="1" xfId="0" applyFont="1" applyFill="1" applyBorder="1" applyAlignment="1">
      <alignment horizontal="left" vertical="center"/>
    </xf>
    <xf numFmtId="1" fontId="21" fillId="0" borderId="1" xfId="0" applyNumberFormat="1" applyFont="1" applyBorder="1" applyAlignment="1">
      <alignment horizontal="center" vertical="center"/>
    </xf>
    <xf numFmtId="0" fontId="20" fillId="0" borderId="1" xfId="0" applyFont="1" applyBorder="1" applyAlignment="1">
      <alignment horizontal="center" vertical="center"/>
    </xf>
    <xf numFmtId="0" fontId="18" fillId="6" borderId="1" xfId="0" applyFont="1" applyFill="1" applyBorder="1" applyAlignment="1">
      <alignment horizontal="center" vertical="center"/>
    </xf>
    <xf numFmtId="0" fontId="18" fillId="6" borderId="1" xfId="0" applyFont="1" applyFill="1" applyBorder="1" applyAlignment="1">
      <alignment horizontal="left" vertical="center"/>
    </xf>
    <xf numFmtId="0" fontId="30" fillId="5" borderId="1" xfId="0" applyFont="1" applyFill="1" applyBorder="1" applyAlignment="1">
      <alignment horizontal="center" vertical="center"/>
    </xf>
    <xf numFmtId="0" fontId="31" fillId="5" borderId="1" xfId="0" applyFont="1" applyFill="1" applyBorder="1" applyAlignment="1">
      <alignment horizontal="left" vertical="center"/>
    </xf>
    <xf numFmtId="169" fontId="31" fillId="5" borderId="1" xfId="0" applyNumberFormat="1" applyFont="1" applyFill="1" applyBorder="1" applyAlignment="1">
      <alignment horizontal="center" vertical="center"/>
    </xf>
    <xf numFmtId="0" fontId="31" fillId="5" borderId="1" xfId="0" applyFont="1" applyFill="1" applyBorder="1" applyAlignment="1">
      <alignment horizontal="center" vertical="center"/>
    </xf>
    <xf numFmtId="4" fontId="31" fillId="5" borderId="1" xfId="0" applyNumberFormat="1" applyFont="1" applyFill="1" applyBorder="1" applyAlignment="1">
      <alignment horizontal="center" vertical="center"/>
    </xf>
    <xf numFmtId="167" fontId="31" fillId="5" borderId="1" xfId="0" applyNumberFormat="1" applyFont="1" applyFill="1" applyBorder="1" applyAlignment="1">
      <alignment horizontal="center" vertical="center"/>
    </xf>
    <xf numFmtId="168" fontId="31" fillId="5" borderId="1" xfId="0" applyNumberFormat="1" applyFont="1" applyFill="1" applyBorder="1" applyAlignment="1">
      <alignment horizontal="center" vertical="center"/>
    </xf>
    <xf numFmtId="1" fontId="10" fillId="0" borderId="1" xfId="0" applyNumberFormat="1" applyFont="1" applyBorder="1" applyAlignment="1">
      <alignment horizontal="center" vertical="center"/>
    </xf>
    <xf numFmtId="0" fontId="32" fillId="0" borderId="0" xfId="0" applyFont="1"/>
    <xf numFmtId="0" fontId="33" fillId="0" borderId="0" xfId="0" applyFont="1" applyAlignment="1">
      <alignment vertical="center"/>
    </xf>
    <xf numFmtId="0" fontId="14" fillId="0" borderId="0" xfId="0" applyFont="1" applyAlignment="1">
      <alignment vertical="center"/>
    </xf>
    <xf numFmtId="0" fontId="17" fillId="5" borderId="4" xfId="0" applyFont="1" applyFill="1" applyBorder="1" applyAlignment="1">
      <alignment horizontal="center" vertical="center" wrapText="1"/>
    </xf>
    <xf numFmtId="168" fontId="18" fillId="5" borderId="5" xfId="0" applyNumberFormat="1" applyFont="1" applyFill="1" applyBorder="1" applyAlignment="1">
      <alignment horizontal="center" vertical="center"/>
    </xf>
    <xf numFmtId="4" fontId="18" fillId="5" borderId="5" xfId="0" applyNumberFormat="1" applyFont="1" applyFill="1" applyBorder="1" applyAlignment="1">
      <alignment horizontal="center" vertical="center"/>
    </xf>
    <xf numFmtId="2" fontId="18" fillId="5" borderId="1" xfId="0" applyNumberFormat="1" applyFont="1" applyFill="1" applyBorder="1" applyAlignment="1">
      <alignment horizontal="center" vertical="center"/>
    </xf>
    <xf numFmtId="0" fontId="34" fillId="0" borderId="2" xfId="0" applyFont="1" applyBorder="1" applyAlignment="1">
      <alignment horizontal="center"/>
    </xf>
    <xf numFmtId="0" fontId="35" fillId="3" borderId="1" xfId="0" applyFont="1" applyFill="1" applyBorder="1" applyAlignment="1">
      <alignment horizontal="center" vertical="top" wrapText="1"/>
    </xf>
    <xf numFmtId="0" fontId="35" fillId="3" borderId="1" xfId="0" applyFont="1" applyFill="1" applyBorder="1" applyAlignment="1">
      <alignment horizontal="center" vertical="center" wrapText="1"/>
    </xf>
    <xf numFmtId="0" fontId="36" fillId="0" borderId="1" xfId="0" applyFont="1" applyBorder="1" applyAlignment="1">
      <alignment horizontal="center" vertical="center"/>
    </xf>
    <xf numFmtId="0" fontId="29" fillId="0" borderId="1" xfId="0" applyFont="1" applyBorder="1" applyAlignment="1">
      <alignment horizontal="left" vertical="center"/>
    </xf>
    <xf numFmtId="168" fontId="29" fillId="0" borderId="1" xfId="0" applyNumberFormat="1" applyFont="1" applyBorder="1" applyAlignment="1">
      <alignment horizontal="center" vertical="center"/>
    </xf>
    <xf numFmtId="2" fontId="29" fillId="0" borderId="1" xfId="0" applyNumberFormat="1" applyFont="1" applyBorder="1" applyAlignment="1">
      <alignment horizontal="center" vertical="center"/>
    </xf>
    <xf numFmtId="170" fontId="36" fillId="0" borderId="1" xfId="0" applyNumberFormat="1" applyFont="1" applyBorder="1" applyAlignment="1">
      <alignment horizontal="center" vertical="center"/>
    </xf>
    <xf numFmtId="0" fontId="36" fillId="0" borderId="6" xfId="0" applyFont="1" applyBorder="1" applyAlignment="1">
      <alignment horizontal="center" vertical="center"/>
    </xf>
    <xf numFmtId="0" fontId="29" fillId="0" borderId="6" xfId="0" applyFont="1" applyBorder="1" applyAlignment="1">
      <alignment horizontal="left" vertical="center"/>
    </xf>
    <xf numFmtId="168" fontId="29" fillId="0" borderId="6" xfId="0" applyNumberFormat="1" applyFont="1" applyBorder="1" applyAlignment="1">
      <alignment horizontal="center" vertical="center"/>
    </xf>
    <xf numFmtId="2" fontId="29" fillId="0" borderId="6" xfId="0" applyNumberFormat="1" applyFont="1" applyBorder="1" applyAlignment="1">
      <alignment horizontal="center" vertical="center"/>
    </xf>
    <xf numFmtId="170" fontId="36" fillId="0" borderId="6" xfId="0" applyNumberFormat="1" applyFont="1" applyBorder="1" applyAlignment="1">
      <alignment horizontal="center" vertical="center"/>
    </xf>
    <xf numFmtId="0" fontId="29" fillId="0" borderId="6" xfId="0" applyFont="1" applyBorder="1" applyAlignment="1">
      <alignment horizontal="center" vertical="center"/>
    </xf>
    <xf numFmtId="0" fontId="36" fillId="0" borderId="7" xfId="0" applyFont="1" applyBorder="1" applyAlignment="1">
      <alignment horizontal="center"/>
    </xf>
    <xf numFmtId="0" fontId="29" fillId="0" borderId="7" xfId="0" applyFont="1" applyBorder="1"/>
    <xf numFmtId="0" fontId="29" fillId="0" borderId="7" xfId="0" applyFont="1" applyBorder="1" applyAlignment="1">
      <alignment horizontal="left"/>
    </xf>
    <xf numFmtId="168" fontId="29" fillId="0" borderId="8" xfId="0" applyNumberFormat="1" applyFont="1" applyBorder="1" applyAlignment="1">
      <alignment horizontal="center" vertical="center"/>
    </xf>
    <xf numFmtId="2" fontId="29" fillId="0" borderId="9" xfId="0" applyNumberFormat="1" applyFont="1" applyBorder="1" applyAlignment="1">
      <alignment horizontal="center" vertical="center"/>
    </xf>
    <xf numFmtId="170" fontId="36" fillId="0" borderId="9" xfId="0" applyNumberFormat="1" applyFont="1" applyBorder="1" applyAlignment="1">
      <alignment horizontal="center" vertical="center"/>
    </xf>
    <xf numFmtId="0" fontId="29" fillId="0" borderId="9" xfId="0" applyFont="1" applyBorder="1" applyAlignment="1">
      <alignment horizontal="center" vertical="center"/>
    </xf>
    <xf numFmtId="0" fontId="34" fillId="0" borderId="0" xfId="0" applyFont="1"/>
    <xf numFmtId="0" fontId="37" fillId="0" borderId="0" xfId="0" applyFont="1"/>
    <xf numFmtId="0" fontId="35" fillId="7" borderId="1" xfId="0" applyFont="1" applyFill="1" applyBorder="1" applyAlignment="1">
      <alignment horizontal="center" vertical="center" wrapText="1"/>
    </xf>
    <xf numFmtId="0" fontId="40" fillId="3" borderId="1" xfId="0" applyFont="1" applyFill="1" applyBorder="1" applyAlignment="1">
      <alignment horizontal="center" vertical="top" wrapText="1"/>
    </xf>
    <xf numFmtId="0" fontId="41" fillId="8" borderId="1" xfId="0" applyFont="1" applyFill="1" applyBorder="1" applyAlignment="1">
      <alignment horizontal="center" vertical="top" wrapText="1"/>
    </xf>
    <xf numFmtId="0" fontId="15" fillId="7" borderId="1" xfId="0" applyFont="1" applyFill="1" applyBorder="1" applyAlignment="1">
      <alignment horizontal="center" vertical="top" wrapText="1"/>
    </xf>
    <xf numFmtId="0" fontId="15" fillId="3" borderId="1" xfId="0" applyFont="1" applyFill="1" applyBorder="1" applyAlignment="1">
      <alignment horizontal="center" vertical="center" wrapText="1"/>
    </xf>
    <xf numFmtId="0" fontId="42" fillId="7" borderId="1" xfId="0" applyFont="1" applyFill="1" applyBorder="1" applyAlignment="1">
      <alignment horizontal="center" vertical="center" wrapText="1"/>
    </xf>
    <xf numFmtId="0" fontId="43" fillId="5" borderId="1" xfId="0" applyFont="1" applyFill="1" applyBorder="1" applyAlignment="1">
      <alignment horizontal="left" vertical="center"/>
    </xf>
    <xf numFmtId="168" fontId="43" fillId="5" borderId="1" xfId="0" applyNumberFormat="1" applyFont="1" applyFill="1" applyBorder="1" applyAlignment="1">
      <alignment horizontal="center" vertical="center"/>
    </xf>
    <xf numFmtId="0" fontId="43" fillId="5" borderId="1" xfId="0" applyFont="1" applyFill="1" applyBorder="1" applyAlignment="1">
      <alignment horizontal="center" vertical="center"/>
    </xf>
    <xf numFmtId="171" fontId="29" fillId="0" borderId="1" xfId="0" applyNumberFormat="1" applyFont="1" applyBorder="1" applyAlignment="1">
      <alignment horizontal="center" vertical="center"/>
    </xf>
    <xf numFmtId="2" fontId="36"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22" fillId="5" borderId="1" xfId="0" applyFont="1" applyFill="1" applyBorder="1" applyAlignment="1">
      <alignment horizontal="center" vertical="center"/>
    </xf>
    <xf numFmtId="3" fontId="43" fillId="5" borderId="1" xfId="0" applyNumberFormat="1" applyFont="1" applyFill="1" applyBorder="1" applyAlignment="1">
      <alignment horizontal="center" vertical="center"/>
    </xf>
    <xf numFmtId="3" fontId="36" fillId="0" borderId="1" xfId="0" applyNumberFormat="1" applyFont="1" applyBorder="1" applyAlignment="1">
      <alignment horizontal="center" vertical="center"/>
    </xf>
    <xf numFmtId="2" fontId="43" fillId="5" borderId="1" xfId="0" applyNumberFormat="1" applyFont="1" applyFill="1" applyBorder="1" applyAlignment="1">
      <alignment horizontal="center" vertical="center"/>
    </xf>
    <xf numFmtId="0" fontId="44" fillId="0" borderId="1" xfId="0" applyFont="1" applyBorder="1" applyAlignment="1">
      <alignment horizontal="center" vertical="center"/>
    </xf>
    <xf numFmtId="0" fontId="45" fillId="0" borderId="1" xfId="0" applyFont="1" applyBorder="1" applyAlignment="1">
      <alignment horizontal="center" vertical="center"/>
    </xf>
    <xf numFmtId="0" fontId="46" fillId="0" borderId="0" xfId="0" applyFont="1"/>
    <xf numFmtId="0" fontId="34" fillId="0" borderId="0" xfId="0" applyFont="1" applyAlignment="1">
      <alignment horizontal="center"/>
    </xf>
    <xf numFmtId="169" fontId="0" fillId="0" borderId="0" xfId="0" applyNumberFormat="1"/>
    <xf numFmtId="0" fontId="14" fillId="0" borderId="0" xfId="0" applyFont="1"/>
    <xf numFmtId="0" fontId="14" fillId="0" borderId="0" xfId="0" applyFont="1" applyAlignment="1">
      <alignment horizontal="center"/>
    </xf>
    <xf numFmtId="0" fontId="40" fillId="3" borderId="0" xfId="0" applyFont="1" applyFill="1" applyAlignment="1">
      <alignment horizontal="center" vertical="top" wrapText="1"/>
    </xf>
    <xf numFmtId="0" fontId="20" fillId="0" borderId="0" xfId="0" applyFont="1" applyAlignment="1">
      <alignment horizontal="center"/>
    </xf>
    <xf numFmtId="0" fontId="20" fillId="0" borderId="0" xfId="0" applyFont="1"/>
    <xf numFmtId="0" fontId="20" fillId="0" borderId="0" xfId="0" applyFont="1" applyAlignment="1">
      <alignment horizontal="left"/>
    </xf>
    <xf numFmtId="0" fontId="0" fillId="0" borderId="0" xfId="0" applyAlignment="1">
      <alignment horizontal="left"/>
    </xf>
    <xf numFmtId="167" fontId="43" fillId="5" borderId="1" xfId="0" applyNumberFormat="1" applyFont="1" applyFill="1" applyBorder="1" applyAlignment="1">
      <alignment horizontal="center" vertical="center"/>
    </xf>
    <xf numFmtId="172" fontId="43" fillId="5" borderId="1" xfId="0" applyNumberFormat="1" applyFont="1" applyFill="1" applyBorder="1" applyAlignment="1">
      <alignment horizontal="center" vertical="center"/>
    </xf>
    <xf numFmtId="170" fontId="43" fillId="5" borderId="1" xfId="0" applyNumberFormat="1" applyFont="1" applyFill="1" applyBorder="1" applyAlignment="1">
      <alignment horizontal="center" vertical="center"/>
    </xf>
    <xf numFmtId="0" fontId="26" fillId="0" borderId="0" xfId="0" applyFont="1" applyAlignment="1">
      <alignment vertical="center"/>
    </xf>
    <xf numFmtId="0" fontId="15" fillId="0" borderId="0" xfId="0" applyFont="1"/>
    <xf numFmtId="0" fontId="15" fillId="3" borderId="1" xfId="0" applyFont="1" applyFill="1" applyBorder="1" applyAlignment="1">
      <alignment horizontal="center" vertical="center"/>
    </xf>
    <xf numFmtId="168" fontId="47" fillId="0" borderId="1" xfId="0" applyNumberFormat="1" applyFont="1" applyBorder="1" applyAlignment="1">
      <alignment horizontal="center" vertical="center"/>
    </xf>
    <xf numFmtId="164" fontId="47" fillId="0" borderId="1" xfId="0" applyNumberFormat="1" applyFont="1" applyBorder="1" applyAlignment="1">
      <alignment horizontal="center" vertical="center"/>
    </xf>
    <xf numFmtId="164" fontId="47" fillId="0" borderId="0" xfId="0" applyNumberFormat="1" applyFont="1"/>
    <xf numFmtId="4" fontId="48" fillId="0" borderId="1" xfId="0" applyNumberFormat="1" applyFont="1" applyBorder="1" applyAlignment="1">
      <alignment horizontal="center" vertical="center"/>
    </xf>
    <xf numFmtId="4" fontId="48" fillId="0" borderId="0" xfId="0" applyNumberFormat="1" applyFont="1"/>
    <xf numFmtId="0" fontId="19" fillId="0" borderId="0" xfId="0" applyFont="1"/>
    <xf numFmtId="0" fontId="49" fillId="0" borderId="0" xfId="0" applyFont="1" applyAlignment="1">
      <alignment horizontal="center"/>
    </xf>
    <xf numFmtId="0" fontId="35" fillId="3" borderId="0" xfId="0" applyFont="1" applyFill="1" applyAlignment="1">
      <alignment horizontal="center" vertical="center" wrapText="1"/>
    </xf>
    <xf numFmtId="0" fontId="0" fillId="3" borderId="0" xfId="0" applyFill="1"/>
    <xf numFmtId="0" fontId="50" fillId="9" borderId="0" xfId="0" applyFont="1" applyFill="1"/>
    <xf numFmtId="2" fontId="21" fillId="0" borderId="0" xfId="0" applyNumberFormat="1" applyFont="1" applyAlignment="1">
      <alignment horizontal="center"/>
    </xf>
    <xf numFmtId="0" fontId="21" fillId="0" borderId="0" xfId="0" applyFont="1"/>
    <xf numFmtId="168" fontId="51" fillId="5" borderId="1" xfId="0" applyNumberFormat="1" applyFont="1" applyFill="1" applyBorder="1" applyAlignment="1">
      <alignment horizontal="center" vertical="center"/>
    </xf>
    <xf numFmtId="172" fontId="51" fillId="5" borderId="1" xfId="0" applyNumberFormat="1" applyFont="1" applyFill="1" applyBorder="1" applyAlignment="1">
      <alignment horizontal="center" vertical="center"/>
    </xf>
    <xf numFmtId="172" fontId="52" fillId="0" borderId="1" xfId="0" applyNumberFormat="1" applyFont="1" applyBorder="1" applyAlignment="1">
      <alignment horizontal="center" vertical="center"/>
    </xf>
    <xf numFmtId="164" fontId="53" fillId="0" borderId="1" xfId="0" applyNumberFormat="1" applyFont="1" applyBorder="1" applyAlignment="1">
      <alignment horizontal="center" vertical="center"/>
    </xf>
    <xf numFmtId="0" fontId="53" fillId="0" borderId="1" xfId="0" applyFont="1" applyBorder="1" applyAlignment="1">
      <alignment horizontal="center" vertical="center"/>
    </xf>
    <xf numFmtId="0" fontId="52" fillId="0" borderId="1" xfId="0" applyFont="1" applyBorder="1" applyAlignment="1">
      <alignment horizontal="center" vertical="center"/>
    </xf>
    <xf numFmtId="0" fontId="51" fillId="5" borderId="1" xfId="0" applyFont="1" applyFill="1" applyBorder="1" applyAlignment="1">
      <alignment horizontal="left" vertical="center"/>
    </xf>
    <xf numFmtId="0" fontId="25" fillId="0" borderId="0" xfId="0" applyFont="1"/>
    <xf numFmtId="0" fontId="54" fillId="0" borderId="0" xfId="0" applyFont="1" applyAlignment="1">
      <alignment vertical="center"/>
    </xf>
    <xf numFmtId="168" fontId="22" fillId="5" borderId="1" xfId="0" applyNumberFormat="1" applyFont="1" applyFill="1" applyBorder="1" applyAlignment="1">
      <alignment horizontal="center" vertical="center"/>
    </xf>
    <xf numFmtId="0" fontId="22" fillId="5" borderId="12" xfId="0" applyFont="1" applyFill="1" applyBorder="1" applyAlignment="1">
      <alignment horizontal="left" vertical="center" wrapText="1"/>
    </xf>
    <xf numFmtId="0" fontId="22" fillId="0" borderId="7" xfId="0" applyFont="1" applyBorder="1" applyAlignment="1">
      <alignment horizontal="center" vertical="center"/>
    </xf>
    <xf numFmtId="0" fontId="0" fillId="0" borderId="7" xfId="0" applyBorder="1"/>
    <xf numFmtId="0" fontId="22" fillId="5" borderId="12" xfId="0" applyFont="1" applyFill="1" applyBorder="1" applyAlignment="1">
      <alignment horizontal="center" vertical="center"/>
    </xf>
    <xf numFmtId="173" fontId="18" fillId="5" borderId="1" xfId="0" applyNumberFormat="1" applyFont="1" applyFill="1" applyBorder="1" applyAlignment="1">
      <alignment horizontal="center" vertical="center"/>
    </xf>
    <xf numFmtId="0" fontId="55" fillId="5" borderId="1" xfId="0" applyFont="1" applyFill="1" applyBorder="1" applyAlignment="1">
      <alignment horizontal="center" vertical="center"/>
    </xf>
    <xf numFmtId="0" fontId="56" fillId="5" borderId="1" xfId="0" applyFont="1" applyFill="1" applyBorder="1" applyAlignment="1">
      <alignment horizontal="left" vertical="center"/>
    </xf>
    <xf numFmtId="167" fontId="56" fillId="5" borderId="1" xfId="0" applyNumberFormat="1" applyFont="1" applyFill="1" applyBorder="1" applyAlignment="1">
      <alignment horizontal="center" vertical="center"/>
    </xf>
    <xf numFmtId="173" fontId="56" fillId="5" borderId="1" xfId="0" applyNumberFormat="1" applyFont="1" applyFill="1" applyBorder="1" applyAlignment="1">
      <alignment horizontal="center" vertical="center"/>
    </xf>
    <xf numFmtId="164" fontId="57" fillId="0" borderId="1" xfId="0" applyNumberFormat="1" applyFont="1" applyBorder="1" applyAlignment="1">
      <alignment horizontal="center" vertical="center"/>
    </xf>
    <xf numFmtId="0" fontId="56" fillId="5" borderId="1" xfId="0" applyFont="1" applyFill="1" applyBorder="1" applyAlignment="1">
      <alignment horizontal="center" vertical="center"/>
    </xf>
    <xf numFmtId="0" fontId="56" fillId="5" borderId="12" xfId="0" applyFont="1" applyFill="1" applyBorder="1" applyAlignment="1">
      <alignment horizontal="center" vertical="center"/>
    </xf>
    <xf numFmtId="0" fontId="58" fillId="5" borderId="1" xfId="0" applyFont="1" applyFill="1" applyBorder="1" applyAlignment="1">
      <alignment horizontal="center" vertical="center"/>
    </xf>
    <xf numFmtId="164" fontId="16" fillId="5" borderId="1" xfId="0" applyNumberFormat="1" applyFont="1" applyFill="1" applyBorder="1" applyAlignment="1">
      <alignment horizontal="center" vertical="center"/>
    </xf>
    <xf numFmtId="0" fontId="48" fillId="0" borderId="1" xfId="0" applyFont="1" applyBorder="1" applyAlignment="1">
      <alignment horizontal="center" vertical="center"/>
    </xf>
    <xf numFmtId="173" fontId="16" fillId="5" borderId="1" xfId="0" applyNumberFormat="1" applyFont="1" applyFill="1" applyBorder="1" applyAlignment="1">
      <alignment horizontal="center" vertical="center"/>
    </xf>
    <xf numFmtId="0" fontId="17" fillId="5" borderId="1" xfId="0" applyFont="1" applyFill="1" applyBorder="1" applyAlignment="1">
      <alignment horizontal="center" vertical="center"/>
    </xf>
    <xf numFmtId="168" fontId="16" fillId="5" borderId="1" xfId="0" applyNumberFormat="1" applyFont="1" applyFill="1" applyBorder="1" applyAlignment="1">
      <alignment horizontal="center" vertical="center"/>
    </xf>
    <xf numFmtId="167" fontId="16" fillId="5" borderId="1" xfId="0" applyNumberFormat="1" applyFont="1" applyFill="1" applyBorder="1" applyAlignment="1">
      <alignment horizontal="center" vertical="center"/>
    </xf>
    <xf numFmtId="170" fontId="16" fillId="5" borderId="1" xfId="0" applyNumberFormat="1" applyFont="1" applyFill="1" applyBorder="1" applyAlignment="1">
      <alignment horizontal="center" vertical="center"/>
    </xf>
    <xf numFmtId="164" fontId="44" fillId="0" borderId="1" xfId="0" applyNumberFormat="1" applyFont="1" applyBorder="1" applyAlignment="1">
      <alignment horizontal="center" vertical="center"/>
    </xf>
    <xf numFmtId="4" fontId="16" fillId="5" borderId="1" xfId="0" applyNumberFormat="1" applyFont="1" applyFill="1" applyBorder="1" applyAlignment="1">
      <alignment horizontal="center" vertical="center"/>
    </xf>
    <xf numFmtId="4" fontId="44" fillId="0" borderId="1" xfId="0" applyNumberFormat="1" applyFont="1" applyBorder="1" applyAlignment="1">
      <alignment horizontal="center" vertical="center"/>
    </xf>
    <xf numFmtId="172" fontId="44" fillId="0" borderId="1" xfId="0" applyNumberFormat="1" applyFont="1" applyBorder="1" applyAlignment="1">
      <alignment horizontal="center" vertical="center"/>
    </xf>
    <xf numFmtId="174" fontId="44" fillId="0" borderId="1" xfId="0" applyNumberFormat="1" applyFont="1" applyBorder="1" applyAlignment="1">
      <alignment horizontal="center" vertical="center"/>
    </xf>
    <xf numFmtId="0" fontId="59" fillId="12" borderId="1" xfId="0" applyFont="1" applyFill="1" applyBorder="1" applyAlignment="1">
      <alignment horizontal="center" vertical="center"/>
    </xf>
    <xf numFmtId="0" fontId="60" fillId="3" borderId="0" xfId="0" applyFont="1" applyFill="1" applyAlignment="1">
      <alignment horizontal="left" vertical="center"/>
    </xf>
    <xf numFmtId="0" fontId="60" fillId="3" borderId="0" xfId="0" applyFont="1" applyFill="1" applyAlignment="1">
      <alignment horizontal="center" vertical="center"/>
    </xf>
    <xf numFmtId="0" fontId="61" fillId="0" borderId="0" xfId="0" applyFont="1"/>
    <xf numFmtId="174" fontId="62" fillId="13" borderId="3" xfId="0" applyNumberFormat="1" applyFont="1" applyFill="1" applyBorder="1" applyAlignment="1">
      <alignment horizontal="center" vertical="center"/>
    </xf>
    <xf numFmtId="175" fontId="62" fillId="13" borderId="3" xfId="0" applyNumberFormat="1" applyFont="1" applyFill="1" applyBorder="1" applyAlignment="1">
      <alignment horizontal="center" vertical="center"/>
    </xf>
    <xf numFmtId="0" fontId="63" fillId="0" borderId="0" xfId="0" applyFont="1" applyAlignment="1">
      <alignment horizontal="left" vertical="center"/>
    </xf>
    <xf numFmtId="174" fontId="64" fillId="5" borderId="3" xfId="0" applyNumberFormat="1" applyFont="1" applyFill="1" applyBorder="1" applyAlignment="1">
      <alignment horizontal="center" vertical="center"/>
    </xf>
    <xf numFmtId="175" fontId="64" fillId="5" borderId="3" xfId="0" applyNumberFormat="1" applyFont="1" applyFill="1" applyBorder="1" applyAlignment="1">
      <alignment horizontal="center" vertical="center"/>
    </xf>
    <xf numFmtId="168" fontId="27" fillId="5" borderId="3" xfId="0" applyNumberFormat="1" applyFont="1" applyFill="1" applyBorder="1" applyAlignment="1">
      <alignment horizontal="center" vertical="center"/>
    </xf>
    <xf numFmtId="167" fontId="27" fillId="5" borderId="3" xfId="0" applyNumberFormat="1" applyFont="1" applyFill="1" applyBorder="1" applyAlignment="1">
      <alignment horizontal="center" vertical="center"/>
    </xf>
    <xf numFmtId="0" fontId="0" fillId="0" borderId="0" xfId="0" applyAlignment="1">
      <alignment vertical="center"/>
    </xf>
    <xf numFmtId="168" fontId="66" fillId="14" borderId="1" xfId="0" applyNumberFormat="1" applyFont="1" applyFill="1" applyBorder="1" applyAlignment="1">
      <alignment horizontal="center" vertical="center"/>
    </xf>
    <xf numFmtId="0" fontId="51" fillId="14" borderId="1" xfId="0" applyFont="1" applyFill="1" applyBorder="1" applyAlignment="1">
      <alignment horizontal="center" vertical="center" wrapText="1"/>
    </xf>
    <xf numFmtId="0" fontId="66" fillId="14" borderId="1" xfId="0" applyFont="1" applyFill="1" applyBorder="1" applyAlignment="1">
      <alignment horizontal="left" vertical="top" wrapText="1"/>
    </xf>
    <xf numFmtId="0" fontId="49" fillId="0" borderId="0" xfId="0" applyFont="1"/>
    <xf numFmtId="0" fontId="21" fillId="0" borderId="0" xfId="0" applyFont="1" applyAlignment="1">
      <alignment vertical="top" wrapText="1"/>
    </xf>
    <xf numFmtId="176" fontId="21" fillId="0" borderId="0" xfId="0" applyNumberFormat="1" applyFont="1"/>
    <xf numFmtId="168" fontId="21" fillId="0" borderId="0" xfId="0" applyNumberFormat="1" applyFont="1"/>
    <xf numFmtId="0" fontId="13" fillId="0" borderId="0" xfId="0" applyFont="1" applyAlignment="1">
      <alignment horizontal="center"/>
    </xf>
    <xf numFmtId="0" fontId="13" fillId="0" borderId="0" xfId="0" applyFont="1" applyAlignment="1">
      <alignment wrapText="1"/>
    </xf>
    <xf numFmtId="0" fontId="19" fillId="0" borderId="0" xfId="0" applyFont="1" applyAlignment="1">
      <alignment horizontal="left"/>
    </xf>
    <xf numFmtId="0" fontId="13" fillId="0" borderId="0" xfId="0" applyFont="1" applyAlignment="1">
      <alignment horizontal="left"/>
    </xf>
    <xf numFmtId="0" fontId="49" fillId="0" borderId="0" xfId="0" applyFont="1" applyAlignment="1">
      <alignment horizontal="left"/>
    </xf>
    <xf numFmtId="0" fontId="13" fillId="0" borderId="0" xfId="0" applyFont="1" applyAlignment="1">
      <alignment horizontal="left" wrapText="1"/>
    </xf>
    <xf numFmtId="0" fontId="21" fillId="0" borderId="13" xfId="0" applyFont="1" applyBorder="1" applyAlignment="1">
      <alignment horizontal="center" vertical="center"/>
    </xf>
    <xf numFmtId="0" fontId="21" fillId="0" borderId="13" xfId="0" applyFont="1" applyBorder="1" applyAlignment="1">
      <alignment vertical="center" wrapText="1"/>
    </xf>
    <xf numFmtId="168" fontId="21" fillId="0" borderId="13" xfId="0" applyNumberFormat="1" applyFont="1" applyBorder="1" applyAlignment="1">
      <alignment horizontal="center" vertical="center"/>
    </xf>
    <xf numFmtId="176" fontId="21" fillId="0" borderId="13" xfId="0" applyNumberFormat="1" applyFont="1" applyBorder="1" applyAlignment="1">
      <alignment horizontal="center" vertical="center"/>
    </xf>
    <xf numFmtId="0" fontId="13" fillId="0" borderId="13" xfId="0" applyFont="1" applyBorder="1" applyAlignment="1">
      <alignment vertical="center"/>
    </xf>
    <xf numFmtId="168" fontId="21" fillId="0" borderId="13" xfId="0" applyNumberFormat="1" applyFont="1" applyBorder="1" applyAlignment="1">
      <alignment vertical="center"/>
    </xf>
    <xf numFmtId="176" fontId="13" fillId="0" borderId="13" xfId="0" applyNumberFormat="1" applyFont="1" applyBorder="1" applyAlignment="1">
      <alignment horizontal="center" vertical="center"/>
    </xf>
    <xf numFmtId="0" fontId="13" fillId="0" borderId="13" xfId="0" applyFont="1" applyBorder="1" applyAlignment="1">
      <alignment vertical="center" wrapText="1"/>
    </xf>
    <xf numFmtId="0" fontId="13" fillId="0" borderId="13" xfId="0" applyFont="1" applyBorder="1" applyAlignment="1">
      <alignment horizontal="center" vertical="center"/>
    </xf>
    <xf numFmtId="0" fontId="69" fillId="3" borderId="0" xfId="0" applyFont="1" applyFill="1" applyAlignment="1">
      <alignment horizontal="center" vertical="center" wrapText="1"/>
    </xf>
    <xf numFmtId="0" fontId="70" fillId="0" borderId="0" xfId="0" applyFont="1" applyAlignment="1">
      <alignment horizontal="left" vertical="top" wrapText="1"/>
    </xf>
    <xf numFmtId="0" fontId="26" fillId="0" borderId="0" xfId="0" applyFont="1" applyAlignment="1">
      <alignment vertical="center" wrapText="1"/>
    </xf>
    <xf numFmtId="0" fontId="15" fillId="2"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5" fillId="7" borderId="1" xfId="0" applyFont="1" applyFill="1" applyBorder="1" applyAlignment="1">
      <alignment horizontal="center" vertical="center" wrapText="1"/>
    </xf>
    <xf numFmtId="0" fontId="39" fillId="0" borderId="10" xfId="0" applyFont="1" applyBorder="1" applyAlignment="1">
      <alignment vertical="center" wrapText="1"/>
    </xf>
    <xf numFmtId="0" fontId="26" fillId="0" borderId="11" xfId="0" applyFont="1" applyBorder="1" applyAlignment="1">
      <alignment horizontal="left" vertical="top" wrapText="1"/>
    </xf>
    <xf numFmtId="0" fontId="26" fillId="0" borderId="0" xfId="0" applyFont="1" applyAlignment="1">
      <alignment vertical="center"/>
    </xf>
    <xf numFmtId="0" fontId="14" fillId="0" borderId="0" xfId="0" applyFont="1"/>
    <xf numFmtId="0" fontId="33" fillId="0" borderId="0" xfId="0" applyFont="1" applyAlignment="1">
      <alignment vertical="center"/>
    </xf>
    <xf numFmtId="0" fontId="40" fillId="2" borderId="1" xfId="0" applyFont="1" applyFill="1" applyBorder="1" applyAlignment="1">
      <alignment horizontal="center" vertical="center" wrapText="1"/>
    </xf>
    <xf numFmtId="0" fontId="40" fillId="7" borderId="1" xfId="0" applyFont="1" applyFill="1" applyBorder="1" applyAlignment="1">
      <alignment horizontal="center" vertical="center" wrapText="1"/>
    </xf>
    <xf numFmtId="0" fontId="40" fillId="10" borderId="1" xfId="0" applyFont="1" applyFill="1" applyBorder="1" applyAlignment="1">
      <alignment horizontal="center" vertical="center" wrapText="1"/>
    </xf>
    <xf numFmtId="0" fontId="40" fillId="11" borderId="1" xfId="0" applyFont="1" applyFill="1" applyBorder="1" applyAlignment="1">
      <alignment horizontal="center" vertical="center" wrapText="1"/>
    </xf>
    <xf numFmtId="0" fontId="26" fillId="0" borderId="0" xfId="0" applyFont="1" applyAlignment="1">
      <alignment horizontal="left" vertical="center" wrapText="1"/>
    </xf>
    <xf numFmtId="0" fontId="35" fillId="11" borderId="1" xfId="0" applyFont="1" applyFill="1" applyBorder="1" applyAlignment="1">
      <alignment horizontal="center" vertical="center" wrapText="1"/>
    </xf>
    <xf numFmtId="0" fontId="26" fillId="0" borderId="11" xfId="0" applyFont="1" applyBorder="1" applyAlignment="1">
      <alignment horizontal="left" vertical="center" wrapText="1"/>
    </xf>
    <xf numFmtId="0" fontId="62" fillId="13" borderId="3" xfId="0" applyFont="1" applyFill="1" applyBorder="1" applyAlignment="1">
      <alignment horizontal="left" vertical="center"/>
    </xf>
    <xf numFmtId="0" fontId="64" fillId="5" borderId="3" xfId="0" applyFont="1" applyFill="1" applyBorder="1" applyAlignment="1">
      <alignment horizontal="left" vertical="center"/>
    </xf>
    <xf numFmtId="0" fontId="62" fillId="0" borderId="3" xfId="0" applyFont="1" applyBorder="1" applyAlignment="1">
      <alignment horizontal="left" vertical="center"/>
    </xf>
    <xf numFmtId="0" fontId="65" fillId="0" borderId="0" xfId="0" applyFont="1" applyAlignment="1">
      <alignment horizontal="left" vertical="center" wrapText="1"/>
    </xf>
    <xf numFmtId="0" fontId="26" fillId="0" borderId="0" xfId="0" applyFont="1" applyAlignment="1">
      <alignment wrapText="1"/>
    </xf>
    <xf numFmtId="0" fontId="14" fillId="0" borderId="0" xfId="0" applyFont="1" applyAlignment="1">
      <alignment vertical="top" wrapText="1"/>
    </xf>
    <xf numFmtId="0" fontId="14" fillId="0" borderId="0" xfId="0" applyFont="1" applyAlignment="1">
      <alignment horizontal="left" vertical="top" wrapText="1"/>
    </xf>
    <xf numFmtId="0" fontId="67" fillId="0" borderId="0" xfId="0" applyFont="1"/>
    <xf numFmtId="0" fontId="3" fillId="0" borderId="0" xfId="0" applyFont="1"/>
    <xf numFmtId="0" fontId="68" fillId="2" borderId="0" xfId="0" applyFont="1" applyFill="1"/>
    <xf numFmtId="0" fontId="70" fillId="0" borderId="0" xfId="0" applyFont="1" applyAlignment="1">
      <alignment horizontal="left" vertical="top" wrapText="1"/>
    </xf>
    <xf numFmtId="168" fontId="36" fillId="0" borderId="1" xfId="0" applyNumberFormat="1" applyFont="1" applyBorder="1" applyAlignment="1">
      <alignment horizontal="center" vertical="center"/>
    </xf>
    <xf numFmtId="1" fontId="29" fillId="0" borderId="1" xfId="0" applyNumberFormat="1" applyFont="1" applyBorder="1" applyAlignment="1">
      <alignment horizontal="center" vertical="center"/>
    </xf>
    <xf numFmtId="0" fontId="36" fillId="0" borderId="1" xfId="0" applyFont="1" applyBorder="1" applyAlignment="1">
      <alignment horizontal="center" vertical="center" wrapText="1"/>
    </xf>
  </cellXfs>
  <cellStyles count="1">
    <cellStyle name="Normal" xfId="0" builtinId="0"/>
  </cellStyles>
  <dxfs count="108">
    <dxf>
      <font>
        <strike val="0"/>
        <outline val="0"/>
        <shadow val="0"/>
        <u val="none"/>
        <vertAlign val="baseline"/>
        <sz val="11"/>
        <name val="Arial Narrow"/>
        <family val="2"/>
        <charset val="1"/>
        <scheme val="none"/>
      </font>
      <border outline="0">
        <left style="thin">
          <color rgb="FF999999"/>
        </left>
      </border>
    </dxf>
    <dxf>
      <border outline="0">
        <left style="thin">
          <color rgb="FF999999"/>
        </lef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left style="thin">
          <color rgb="FF999999"/>
        </left>
        <right style="thin">
          <color rgb="FF999999"/>
        </right>
      </border>
    </dxf>
    <dxf>
      <font>
        <strike val="0"/>
        <outline val="0"/>
        <shadow val="0"/>
        <u val="none"/>
        <vertAlign val="baseline"/>
        <sz val="11"/>
        <name val="Arial Narrow"/>
        <family val="2"/>
        <charset val="1"/>
        <scheme val="none"/>
      </font>
      <border outline="0">
        <right style="thin">
          <color rgb="FF999999"/>
        </right>
      </border>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6500"/>
      </font>
      <fill>
        <patternFill>
          <bgColor rgb="FFFFEB9C"/>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C65911"/>
      </font>
      <fill>
        <patternFill>
          <bgColor rgb="FFFCE4D6"/>
        </patternFill>
      </fill>
    </dxf>
    <dxf>
      <font>
        <color rgb="FF9C0006"/>
      </font>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Array" Target="richData/rdarray.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(Calc)'!$B$3:$B$500</c:f>
              <c:numCache>
                <c:formatCode>0.0%</c:formatCode>
                <c:ptCount val="498"/>
                <c:pt idx="0">
                  <c:v>-3.02331297623325E-2</c:v>
                </c:pt>
                <c:pt idx="1">
                  <c:v>-5.849093390524418E-3</c:v>
                </c:pt>
                <c:pt idx="2">
                  <c:v>3.2908413414394877E-2</c:v>
                </c:pt>
                <c:pt idx="3">
                  <c:v>4.1922989291410362E-2</c:v>
                </c:pt>
                <c:pt idx="4">
                  <c:v>-1.4213863984255282E-2</c:v>
                </c:pt>
                <c:pt idx="5">
                  <c:v>-6.0706891452233069E-2</c:v>
                </c:pt>
                <c:pt idx="6">
                  <c:v>0.10930488860899001</c:v>
                </c:pt>
                <c:pt idx="7">
                  <c:v>5.953943866870115E-2</c:v>
                </c:pt>
                <c:pt idx="8">
                  <c:v>9.1088711027760283E-3</c:v>
                </c:pt>
                <c:pt idx="9">
                  <c:v>2.7826635250389975E-2</c:v>
                </c:pt>
                <c:pt idx="10">
                  <c:v>-1.1236136448024681E-2</c:v>
                </c:pt>
                <c:pt idx="11">
                  <c:v>-4.0165232582820565E-3</c:v>
                </c:pt>
                <c:pt idx="12">
                  <c:v>-4.1523909444107554E-2</c:v>
                </c:pt>
                <c:pt idx="13">
                  <c:v>2.4064445508654497E-2</c:v>
                </c:pt>
                <c:pt idx="14">
                  <c:v>-3.5908141962421869E-3</c:v>
                </c:pt>
                <c:pt idx="15">
                  <c:v>-5.3637277908146208E-2</c:v>
                </c:pt>
                <c:pt idx="16">
                  <c:v>5.6571023733616554E-2</c:v>
                </c:pt>
                <c:pt idx="17">
                  <c:v>2.5161766185000101E-2</c:v>
                </c:pt>
                <c:pt idx="18">
                  <c:v>3.891750470116806E-3</c:v>
                </c:pt>
                <c:pt idx="19">
                  <c:v>3.3928949554509646E-2</c:v>
                </c:pt>
                <c:pt idx="20">
                  <c:v>-1.1894259247589578E-2</c:v>
                </c:pt>
                <c:pt idx="21">
                  <c:v>-0.12842588606686767</c:v>
                </c:pt>
                <c:pt idx="22">
                  <c:v>1.2402590275491399E-2</c:v>
                </c:pt>
                <c:pt idx="23">
                  <c:v>3.1602341717259064E-2</c:v>
                </c:pt>
                <c:pt idx="24">
                  <c:v>-3.3699402728880723E-2</c:v>
                </c:pt>
                <c:pt idx="25">
                  <c:v>-0.10736101796298658</c:v>
                </c:pt>
                <c:pt idx="26">
                  <c:v>1.4336189741298799E-2</c:v>
                </c:pt>
                <c:pt idx="27">
                  <c:v>1.0169762972453533E-2</c:v>
                </c:pt>
                <c:pt idx="28">
                  <c:v>-3.8604835513277869E-2</c:v>
                </c:pt>
                <c:pt idx="29">
                  <c:v>-2.2736642480211122E-2</c:v>
                </c:pt>
                <c:pt idx="30">
                  <c:v>-1.9131388554915696E-2</c:v>
                </c:pt>
                <c:pt idx="31">
                  <c:v>2.6966582082491142E-2</c:v>
                </c:pt>
                <c:pt idx="32">
                  <c:v>1.8050087947064197E-2</c:v>
                </c:pt>
                <c:pt idx="33">
                  <c:v>-8.0011518367681944E-3</c:v>
                </c:pt>
                <c:pt idx="34">
                  <c:v>2.3637230711812673E-3</c:v>
                </c:pt>
                <c:pt idx="35">
                  <c:v>-1.6548414455040072E-2</c:v>
                </c:pt>
                <c:pt idx="36">
                  <c:v>-6.4510022505942066E-2</c:v>
                </c:pt>
                <c:pt idx="37">
                  <c:v>4.6474503102797105E-2</c:v>
                </c:pt>
                <c:pt idx="38">
                  <c:v>0.12865522205272528</c:v>
                </c:pt>
                <c:pt idx="39">
                  <c:v>1.5476575736232068E-2</c:v>
                </c:pt>
                <c:pt idx="40">
                  <c:v>4.1429214157168381E-2</c:v>
                </c:pt>
                <c:pt idx="41">
                  <c:v>4.1041149152176493E-2</c:v>
                </c:pt>
                <c:pt idx="42">
                  <c:v>-3.3354082373690308E-2</c:v>
                </c:pt>
                <c:pt idx="43">
                  <c:v>-1.4399427600393477E-2</c:v>
                </c:pt>
                <c:pt idx="44">
                  <c:v>-1.55353901996369E-2</c:v>
                </c:pt>
                <c:pt idx="45">
                  <c:v>-2.9994100730034834E-2</c:v>
                </c:pt>
                <c:pt idx="46">
                  <c:v>1.9252332896212199E-2</c:v>
                </c:pt>
                <c:pt idx="47">
                  <c:v>3.1997016595189498E-2</c:v>
                </c:pt>
                <c:pt idx="48">
                  <c:v>8.7449860875219443E-3</c:v>
                </c:pt>
                <c:pt idx="49">
                  <c:v>2.8855454056958552E-2</c:v>
                </c:pt>
                <c:pt idx="50">
                  <c:v>-1.9150084434463199E-2</c:v>
                </c:pt>
                <c:pt idx="51">
                  <c:v>-4.7106015157700409E-2</c:v>
                </c:pt>
                <c:pt idx="52">
                  <c:v>-2.7138785925829412E-2</c:v>
                </c:pt>
                <c:pt idx="53">
                  <c:v>-1.305762971472324E-2</c:v>
                </c:pt>
                <c:pt idx="54">
                  <c:v>-1.6023900054318307E-2</c:v>
                </c:pt>
                <c:pt idx="55">
                  <c:v>-2.3264066874334577E-2</c:v>
                </c:pt>
                <c:pt idx="56">
                  <c:v>-1.049614468531801E-3</c:v>
                </c:pt>
                <c:pt idx="57">
                  <c:v>-2.2590422307536828E-2</c:v>
                </c:pt>
                <c:pt idx="58">
                  <c:v>-1.901926734474535E-3</c:v>
                </c:pt>
                <c:pt idx="59">
                  <c:v>2.4606462303231158E-2</c:v>
                </c:pt>
                <c:pt idx="60">
                  <c:v>1.7566911943074359E-2</c:v>
                </c:pt>
                <c:pt idx="61">
                  <c:v>1.7442437968095081E-2</c:v>
                </c:pt>
                <c:pt idx="62">
                  <c:v>7.3806502001365626E-3</c:v>
                </c:pt>
                <c:pt idx="63">
                  <c:v>7.1773302579807519E-2</c:v>
                </c:pt>
                <c:pt idx="64">
                  <c:v>-0.15782335069444453</c:v>
                </c:pt>
                <c:pt idx="65">
                  <c:v>-3.9768945006334655E-2</c:v>
                </c:pt>
                <c:pt idx="66">
                  <c:v>-1.5430373236129391E-3</c:v>
                </c:pt>
                <c:pt idx="67">
                  <c:v>-3.5634294929224208E-2</c:v>
                </c:pt>
                <c:pt idx="68">
                  <c:v>-5.7249692268388386E-2</c:v>
                </c:pt>
                <c:pt idx="69">
                  <c:v>5.9297398502167864E-2</c:v>
                </c:pt>
                <c:pt idx="70">
                  <c:v>1.2535175236633389E-2</c:v>
                </c:pt>
                <c:pt idx="71">
                  <c:v>4.7544673618447053E-3</c:v>
                </c:pt>
                <c:pt idx="72">
                  <c:v>-1.0012572865470304E-2</c:v>
                </c:pt>
                <c:pt idx="73">
                  <c:v>6.2553397834068436E-2</c:v>
                </c:pt>
                <c:pt idx="74">
                  <c:v>-3.4422809457580028E-2</c:v>
                </c:pt>
                <c:pt idx="75">
                  <c:v>-1.2963629816348576E-2</c:v>
                </c:pt>
                <c:pt idx="76">
                  <c:v>2.4717256475738747E-2</c:v>
                </c:pt>
                <c:pt idx="77">
                  <c:v>-0.12162883845126826</c:v>
                </c:pt>
                <c:pt idx="78">
                  <c:v>-1.8949181739879473E-2</c:v>
                </c:pt>
                <c:pt idx="79">
                  <c:v>-4.0024789547075112E-3</c:v>
                </c:pt>
                <c:pt idx="80">
                  <c:v>-9.4993648077571158E-2</c:v>
                </c:pt>
                <c:pt idx="81">
                  <c:v>9.7401667287364546E-3</c:v>
                </c:pt>
                <c:pt idx="82">
                  <c:v>-1.0412233665276549E-2</c:v>
                </c:pt>
                <c:pt idx="83">
                  <c:v>5.4243119266055073E-2</c:v>
                </c:pt>
                <c:pt idx="84">
                  <c:v>3.5760905036440693E-2</c:v>
                </c:pt>
                <c:pt idx="85">
                  <c:v>6.3276183474676451E-3</c:v>
                </c:pt>
                <c:pt idx="86">
                  <c:v>8.8316635357962969E-2</c:v>
                </c:pt>
                <c:pt idx="87">
                  <c:v>-2.2630834512022635E-2</c:v>
                </c:pt>
                <c:pt idx="88">
                  <c:v>1.8151046137997007E-2</c:v>
                </c:pt>
                <c:pt idx="89">
                  <c:v>4.4086824544076197E-3</c:v>
                </c:pt>
                <c:pt idx="90">
                  <c:v>-6.0539192171159995E-2</c:v>
                </c:pt>
                <c:pt idx="91">
                  <c:v>-3.7683823529411686E-2</c:v>
                </c:pt>
                <c:pt idx="92">
                  <c:v>2.3638968481375366E-2</c:v>
                </c:pt>
                <c:pt idx="93">
                  <c:v>-1.6898634113469591E-2</c:v>
                </c:pt>
                <c:pt idx="94">
                  <c:v>-4.207640188763806E-2</c:v>
                </c:pt>
                <c:pt idx="95">
                  <c:v>6.7152882895280541E-3</c:v>
                </c:pt>
                <c:pt idx="96">
                  <c:v>1.3532354629705479E-2</c:v>
                </c:pt>
                <c:pt idx="97">
                  <c:v>-6.187624750498999E-2</c:v>
                </c:pt>
                <c:pt idx="98">
                  <c:v>-1.9407705577918377E-2</c:v>
                </c:pt>
                <c:pt idx="99">
                  <c:v>4.0463275179592362E-2</c:v>
                </c:pt>
                <c:pt idx="100">
                  <c:v>2.0402987177680521E-2</c:v>
                </c:pt>
                <c:pt idx="101">
                  <c:v>-1.4885801872462578E-2</c:v>
                </c:pt>
                <c:pt idx="102">
                  <c:v>-2.1670871881132481E-2</c:v>
                </c:pt>
                <c:pt idx="103">
                  <c:v>1.1175745766112133E-3</c:v>
                </c:pt>
                <c:pt idx="104">
                  <c:v>4.734371422028838E-2</c:v>
                </c:pt>
                <c:pt idx="105">
                  <c:v>-1.5113418966930747E-2</c:v>
                </c:pt>
                <c:pt idx="106">
                  <c:v>-3.782223825512665E-2</c:v>
                </c:pt>
                <c:pt idx="107">
                  <c:v>-2.6619368979639013E-2</c:v>
                </c:pt>
                <c:pt idx="108">
                  <c:v>-1.2592219489792944E-2</c:v>
                </c:pt>
                <c:pt idx="109">
                  <c:v>6.0793374542399192E-2</c:v>
                </c:pt>
                <c:pt idx="110">
                  <c:v>-3.7367051369088022E-2</c:v>
                </c:pt>
                <c:pt idx="111">
                  <c:v>-3.9258323293467789E-2</c:v>
                </c:pt>
                <c:pt idx="112">
                  <c:v>1.2723658051689846E-2</c:v>
                </c:pt>
                <c:pt idx="113">
                  <c:v>-2.08993989912718E-2</c:v>
                </c:pt>
                <c:pt idx="114">
                  <c:v>-1.2523520157932122E-2</c:v>
                </c:pt>
                <c:pt idx="115">
                  <c:v>8.1623090619435734E-2</c:v>
                </c:pt>
                <c:pt idx="116">
                  <c:v>2.9370992895512149E-2</c:v>
                </c:pt>
                <c:pt idx="117">
                  <c:v>-1.599191987206483E-3</c:v>
                </c:pt>
                <c:pt idx="118">
                  <c:v>-5.788793345697707E-3</c:v>
                </c:pt>
                <c:pt idx="119">
                  <c:v>-5.7942340305257245E-2</c:v>
                </c:pt>
                <c:pt idx="120">
                  <c:v>1.950195019501777E-3</c:v>
                </c:pt>
                <c:pt idx="121">
                  <c:v>-0.11328043120227571</c:v>
                </c:pt>
                <c:pt idx="122">
                  <c:v>1.6716196136701278E-2</c:v>
                </c:pt>
                <c:pt idx="123">
                  <c:v>-2.5974025974025983E-2</c:v>
                </c:pt>
                <c:pt idx="124">
                  <c:v>-8.4808184143222554E-2</c:v>
                </c:pt>
                <c:pt idx="125">
                  <c:v>-1.6431924882629012E-2</c:v>
                </c:pt>
                <c:pt idx="126">
                  <c:v>-2.0305337727772099E-2</c:v>
                </c:pt>
                <c:pt idx="127">
                  <c:v>1.4693940682881657E-2</c:v>
                </c:pt>
                <c:pt idx="128">
                  <c:v>8.0827712358522819E-2</c:v>
                </c:pt>
                <c:pt idx="129">
                  <c:v>-0.12093646428319582</c:v>
                </c:pt>
                <c:pt idx="130">
                  <c:v>-4.6927643189474955E-3</c:v>
                </c:pt>
                <c:pt idx="131">
                  <c:v>-5.3636913157364519E-2</c:v>
                </c:pt>
                <c:pt idx="132">
                  <c:v>3.4406404360415532E-2</c:v>
                </c:pt>
                <c:pt idx="133">
                  <c:v>-7.2328338547669957E-2</c:v>
                </c:pt>
                <c:pt idx="134">
                  <c:v>8.4757044597293163E-2</c:v>
                </c:pt>
                <c:pt idx="135">
                  <c:v>4.0499079566373997E-3</c:v>
                </c:pt>
                <c:pt idx="136">
                  <c:v>2.1471642764015586E-2</c:v>
                </c:pt>
                <c:pt idx="137">
                  <c:v>9.2936061585098262E-3</c:v>
                </c:pt>
                <c:pt idx="138">
                  <c:v>-2.1498577300031574E-2</c:v>
                </c:pt>
                <c:pt idx="139">
                  <c:v>-1.1470113085621958E-2</c:v>
                </c:pt>
                <c:pt idx="140">
                  <c:v>5.9037424415754103E-2</c:v>
                </c:pt>
                <c:pt idx="141">
                  <c:v>-2.9975695382122525E-2</c:v>
                </c:pt>
                <c:pt idx="142">
                  <c:v>-0.18859370028635059</c:v>
                </c:pt>
                <c:pt idx="143">
                  <c:v>-4.3427114988726645E-2</c:v>
                </c:pt>
                <c:pt idx="144">
                  <c:v>3.8788686206189693E-2</c:v>
                </c:pt>
                <c:pt idx="145">
                  <c:v>8.3806047452276378E-2</c:v>
                </c:pt>
                <c:pt idx="146">
                  <c:v>1.7840888403422461E-2</c:v>
                </c:pt>
                <c:pt idx="147">
                  <c:v>6.0856734036844884E-2</c:v>
                </c:pt>
                <c:pt idx="148">
                  <c:v>-5.1169652265542598E-2</c:v>
                </c:pt>
                <c:pt idx="149">
                  <c:v>0.11238949846741586</c:v>
                </c:pt>
                <c:pt idx="150">
                  <c:v>5.9103070963619553E-2</c:v>
                </c:pt>
                <c:pt idx="151">
                  <c:v>-4.4870102937294432E-3</c:v>
                </c:pt>
                <c:pt idx="152">
                  <c:v>4.2724036057874448E-2</c:v>
                </c:pt>
                <c:pt idx="153">
                  <c:v>5.8917544496912333E-2</c:v>
                </c:pt>
                <c:pt idx="154">
                  <c:v>-8.579171240395167E-2</c:v>
                </c:pt>
                <c:pt idx="155">
                  <c:v>-5.3581479118982367E-2</c:v>
                </c:pt>
                <c:pt idx="156">
                  <c:v>-1.312294334535935E-2</c:v>
                </c:pt>
                <c:pt idx="157">
                  <c:v>-5.4033424393379326E-2</c:v>
                </c:pt>
                <c:pt idx="158">
                  <c:v>9.4279526054275031E-3</c:v>
                </c:pt>
                <c:pt idx="159">
                  <c:v>1.9268795489923995E-2</c:v>
                </c:pt>
                <c:pt idx="160">
                  <c:v>0</c:v>
                </c:pt>
              </c:numCache>
            </c:numRef>
          </c:val>
          <c:extLst>
            <c:ext xmlns:c16="http://schemas.microsoft.com/office/drawing/2014/chart" uri="{C3380CC4-5D6E-409C-BE32-E72D297353CC}">
              <c16:uniqueId val="{00000000-9298-0A4D-A71A-59258CC030C8}"/>
            </c:ext>
          </c:extLst>
        </c:ser>
        <c:dLbls>
          <c:showLegendKey val="0"/>
          <c:showVal val="0"/>
          <c:showCatName val="0"/>
          <c:showSerName val="0"/>
          <c:showPercent val="0"/>
          <c:showBubbleSize val="0"/>
        </c:dLbls>
        <c:gapWidth val="150"/>
        <c:axId val="36541789"/>
        <c:axId val="96061050"/>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(Calc)'!$W$3:$W$500</c:f>
              <c:numCache>
                <c:formatCode>#,##0.00</c:formatCode>
                <c:ptCount val="498"/>
                <c:pt idx="0">
                  <c:v>528.89</c:v>
                </c:pt>
                <c:pt idx="1">
                  <c:v>527.08735849056598</c:v>
                </c:pt>
                <c:pt idx="2">
                  <c:v>525.28471698113208</c:v>
                </c:pt>
                <c:pt idx="3">
                  <c:v>523.48207547169807</c:v>
                </c:pt>
                <c:pt idx="4">
                  <c:v>521.67943396226417</c:v>
                </c:pt>
                <c:pt idx="5">
                  <c:v>519.87679245283016</c:v>
                </c:pt>
                <c:pt idx="6">
                  <c:v>518.07415094339626</c:v>
                </c:pt>
                <c:pt idx="7">
                  <c:v>516.27150943396225</c:v>
                </c:pt>
                <c:pt idx="8">
                  <c:v>514.46886792452824</c:v>
                </c:pt>
                <c:pt idx="9">
                  <c:v>512.66622641509434</c:v>
                </c:pt>
                <c:pt idx="10">
                  <c:v>510.86358490566039</c:v>
                </c:pt>
                <c:pt idx="11">
                  <c:v>509.06094339622638</c:v>
                </c:pt>
                <c:pt idx="12">
                  <c:v>507.25830188679242</c:v>
                </c:pt>
                <c:pt idx="13">
                  <c:v>505.45566037735847</c:v>
                </c:pt>
                <c:pt idx="14">
                  <c:v>503.65301886792452</c:v>
                </c:pt>
                <c:pt idx="15">
                  <c:v>501.85037735849056</c:v>
                </c:pt>
                <c:pt idx="16">
                  <c:v>500.04773584905661</c:v>
                </c:pt>
                <c:pt idx="17">
                  <c:v>498.24509433962265</c:v>
                </c:pt>
                <c:pt idx="18">
                  <c:v>496.44245283018864</c:v>
                </c:pt>
                <c:pt idx="19">
                  <c:v>494.63981132075469</c:v>
                </c:pt>
                <c:pt idx="20">
                  <c:v>492.83716981132073</c:v>
                </c:pt>
                <c:pt idx="21">
                  <c:v>491.03452830188678</c:v>
                </c:pt>
                <c:pt idx="22">
                  <c:v>489.23188679245283</c:v>
                </c:pt>
                <c:pt idx="23">
                  <c:v>487.42924528301887</c:v>
                </c:pt>
                <c:pt idx="24">
                  <c:v>485.62660377358486</c:v>
                </c:pt>
                <c:pt idx="25">
                  <c:v>483.82396226415091</c:v>
                </c:pt>
                <c:pt idx="26">
                  <c:v>482.02132075471695</c:v>
                </c:pt>
                <c:pt idx="27">
                  <c:v>480.218679245283</c:v>
                </c:pt>
                <c:pt idx="28">
                  <c:v>478.41603773584905</c:v>
                </c:pt>
                <c:pt idx="29">
                  <c:v>476.61339622641509</c:v>
                </c:pt>
                <c:pt idx="30">
                  <c:v>474.81075471698114</c:v>
                </c:pt>
                <c:pt idx="31">
                  <c:v>473.00811320754718</c:v>
                </c:pt>
                <c:pt idx="32">
                  <c:v>471.20547169811317</c:v>
                </c:pt>
                <c:pt idx="33">
                  <c:v>469.40283018867922</c:v>
                </c:pt>
                <c:pt idx="34">
                  <c:v>467.60018867924526</c:v>
                </c:pt>
                <c:pt idx="35">
                  <c:v>465.79754716981131</c:v>
                </c:pt>
                <c:pt idx="36">
                  <c:v>463.99490566037736</c:v>
                </c:pt>
                <c:pt idx="37">
                  <c:v>462.1922641509434</c:v>
                </c:pt>
                <c:pt idx="38">
                  <c:v>460.38962264150939</c:v>
                </c:pt>
                <c:pt idx="39">
                  <c:v>458.58698113207544</c:v>
                </c:pt>
                <c:pt idx="40">
                  <c:v>456.78433962264148</c:v>
                </c:pt>
                <c:pt idx="41">
                  <c:v>454.98169811320753</c:v>
                </c:pt>
                <c:pt idx="42">
                  <c:v>453.17905660377357</c:v>
                </c:pt>
                <c:pt idx="43">
                  <c:v>451.37641509433962</c:v>
                </c:pt>
                <c:pt idx="44">
                  <c:v>449.57377358490567</c:v>
                </c:pt>
                <c:pt idx="45">
                  <c:v>447.77113207547166</c:v>
                </c:pt>
                <c:pt idx="46">
                  <c:v>445.9684905660377</c:v>
                </c:pt>
                <c:pt idx="47">
                  <c:v>444.16584905660375</c:v>
                </c:pt>
                <c:pt idx="48">
                  <c:v>442.36320754716979</c:v>
                </c:pt>
                <c:pt idx="49">
                  <c:v>440.56056603773584</c:v>
                </c:pt>
                <c:pt idx="50">
                  <c:v>438.75792452830188</c:v>
                </c:pt>
                <c:pt idx="51">
                  <c:v>436.95528301886793</c:v>
                </c:pt>
                <c:pt idx="52">
                  <c:v>435.15264150943392</c:v>
                </c:pt>
                <c:pt idx="53">
                  <c:v>433.34999999999997</c:v>
                </c:pt>
                <c:pt idx="54">
                  <c:v>431.54735849056601</c:v>
                </c:pt>
                <c:pt idx="55">
                  <c:v>429.74471698113206</c:v>
                </c:pt>
                <c:pt idx="56">
                  <c:v>427.9420754716981</c:v>
                </c:pt>
                <c:pt idx="57">
                  <c:v>426.13943396226415</c:v>
                </c:pt>
                <c:pt idx="58">
                  <c:v>424.3367924528302</c:v>
                </c:pt>
                <c:pt idx="59">
                  <c:v>422.53415094339618</c:v>
                </c:pt>
                <c:pt idx="60">
                  <c:v>420.73150943396223</c:v>
                </c:pt>
                <c:pt idx="61">
                  <c:v>418.92886792452828</c:v>
                </c:pt>
                <c:pt idx="62">
                  <c:v>417.12622641509432</c:v>
                </c:pt>
                <c:pt idx="63">
                  <c:v>415.32358490566037</c:v>
                </c:pt>
                <c:pt idx="64">
                  <c:v>413.52094339622641</c:v>
                </c:pt>
                <c:pt idx="65">
                  <c:v>411.71830188679246</c:v>
                </c:pt>
                <c:pt idx="66">
                  <c:v>409.91566037735845</c:v>
                </c:pt>
                <c:pt idx="67">
                  <c:v>408.1130188679245</c:v>
                </c:pt>
                <c:pt idx="68">
                  <c:v>406.31037735849054</c:v>
                </c:pt>
                <c:pt idx="69">
                  <c:v>404.50773584905659</c:v>
                </c:pt>
                <c:pt idx="70">
                  <c:v>402.70509433962263</c:v>
                </c:pt>
                <c:pt idx="71">
                  <c:v>400.90245283018868</c:v>
                </c:pt>
                <c:pt idx="72">
                  <c:v>399.09981132075472</c:v>
                </c:pt>
                <c:pt idx="73">
                  <c:v>397.29716981132071</c:v>
                </c:pt>
                <c:pt idx="74">
                  <c:v>395.49452830188676</c:v>
                </c:pt>
                <c:pt idx="75">
                  <c:v>393.69188679245281</c:v>
                </c:pt>
                <c:pt idx="76">
                  <c:v>391.88924528301885</c:v>
                </c:pt>
                <c:pt idx="77">
                  <c:v>390.0866037735849</c:v>
                </c:pt>
                <c:pt idx="78">
                  <c:v>388.28396226415089</c:v>
                </c:pt>
                <c:pt idx="79">
                  <c:v>386.48132075471699</c:v>
                </c:pt>
                <c:pt idx="80">
                  <c:v>384.67867924528298</c:v>
                </c:pt>
                <c:pt idx="81">
                  <c:v>382.87603773584902</c:v>
                </c:pt>
                <c:pt idx="82">
                  <c:v>381.07339622641507</c:v>
                </c:pt>
                <c:pt idx="83">
                  <c:v>379.27075471698112</c:v>
                </c:pt>
                <c:pt idx="84">
                  <c:v>377.46811320754716</c:v>
                </c:pt>
                <c:pt idx="85">
                  <c:v>375.66547169811315</c:v>
                </c:pt>
                <c:pt idx="86">
                  <c:v>373.86283018867925</c:v>
                </c:pt>
                <c:pt idx="87">
                  <c:v>372.06018867924524</c:v>
                </c:pt>
                <c:pt idx="88">
                  <c:v>370.25754716981129</c:v>
                </c:pt>
                <c:pt idx="89">
                  <c:v>368.45490566037734</c:v>
                </c:pt>
                <c:pt idx="90">
                  <c:v>366.65226415094338</c:v>
                </c:pt>
                <c:pt idx="91">
                  <c:v>364.84962264150943</c:v>
                </c:pt>
                <c:pt idx="92">
                  <c:v>363.04698113207542</c:v>
                </c:pt>
                <c:pt idx="93">
                  <c:v>361.24433962264152</c:v>
                </c:pt>
                <c:pt idx="94">
                  <c:v>359.44169811320751</c:v>
                </c:pt>
                <c:pt idx="95">
                  <c:v>357.63905660377355</c:v>
                </c:pt>
                <c:pt idx="96">
                  <c:v>355.8364150943396</c:v>
                </c:pt>
                <c:pt idx="97">
                  <c:v>354.03377358490565</c:v>
                </c:pt>
                <c:pt idx="98">
                  <c:v>352.23113207547169</c:v>
                </c:pt>
                <c:pt idx="99">
                  <c:v>350.42849056603768</c:v>
                </c:pt>
                <c:pt idx="100">
                  <c:v>348.62584905660378</c:v>
                </c:pt>
                <c:pt idx="101">
                  <c:v>346.82320754716977</c:v>
                </c:pt>
                <c:pt idx="102">
                  <c:v>345.02056603773582</c:v>
                </c:pt>
                <c:pt idx="103">
                  <c:v>343.21792452830186</c:v>
                </c:pt>
                <c:pt idx="104">
                  <c:v>341.41528301886791</c:v>
                </c:pt>
                <c:pt idx="105">
                  <c:v>339.61264150943396</c:v>
                </c:pt>
                <c:pt idx="106">
                  <c:v>337.80999999999995</c:v>
                </c:pt>
                <c:pt idx="107">
                  <c:v>336.00735849056605</c:v>
                </c:pt>
                <c:pt idx="108">
                  <c:v>334.20471698113204</c:v>
                </c:pt>
                <c:pt idx="109">
                  <c:v>332.40207547169808</c:v>
                </c:pt>
                <c:pt idx="110">
                  <c:v>330.59943396226413</c:v>
                </c:pt>
                <c:pt idx="111">
                  <c:v>328.79679245283018</c:v>
                </c:pt>
                <c:pt idx="112">
                  <c:v>326.99415094339622</c:v>
                </c:pt>
                <c:pt idx="113">
                  <c:v>325.19150943396221</c:v>
                </c:pt>
                <c:pt idx="114">
                  <c:v>323.38886792452831</c:v>
                </c:pt>
                <c:pt idx="115">
                  <c:v>321.5862264150943</c:v>
                </c:pt>
                <c:pt idx="116">
                  <c:v>319.7835849056604</c:v>
                </c:pt>
                <c:pt idx="117">
                  <c:v>317.98094339622639</c:v>
                </c:pt>
                <c:pt idx="118">
                  <c:v>316.17830188679238</c:v>
                </c:pt>
                <c:pt idx="119">
                  <c:v>314.37566037735849</c:v>
                </c:pt>
                <c:pt idx="120">
                  <c:v>312.57301886792447</c:v>
                </c:pt>
                <c:pt idx="121">
                  <c:v>310.77037735849052</c:v>
                </c:pt>
                <c:pt idx="122">
                  <c:v>308.96773584905657</c:v>
                </c:pt>
                <c:pt idx="123">
                  <c:v>307.16509433962261</c:v>
                </c:pt>
                <c:pt idx="124">
                  <c:v>305.36245283018866</c:v>
                </c:pt>
                <c:pt idx="125">
                  <c:v>303.5598113207547</c:v>
                </c:pt>
                <c:pt idx="126">
                  <c:v>301.75716981132075</c:v>
                </c:pt>
                <c:pt idx="127">
                  <c:v>299.9545283018868</c:v>
                </c:pt>
                <c:pt idx="128">
                  <c:v>298.15188679245284</c:v>
                </c:pt>
                <c:pt idx="129">
                  <c:v>296.34924528301883</c:v>
                </c:pt>
                <c:pt idx="130">
                  <c:v>294.54660377358493</c:v>
                </c:pt>
                <c:pt idx="131">
                  <c:v>292.74396226415092</c:v>
                </c:pt>
                <c:pt idx="132">
                  <c:v>290.94132075471691</c:v>
                </c:pt>
                <c:pt idx="133">
                  <c:v>289.13867924528302</c:v>
                </c:pt>
                <c:pt idx="134">
                  <c:v>287.336037735849</c:v>
                </c:pt>
                <c:pt idx="135">
                  <c:v>285.53339622641511</c:v>
                </c:pt>
                <c:pt idx="136">
                  <c:v>283.7307547169811</c:v>
                </c:pt>
                <c:pt idx="137">
                  <c:v>281.92811320754714</c:v>
                </c:pt>
                <c:pt idx="138">
                  <c:v>280.12547169811319</c:v>
                </c:pt>
                <c:pt idx="139">
                  <c:v>278.32283018867923</c:v>
                </c:pt>
                <c:pt idx="140">
                  <c:v>276.52018867924528</c:v>
                </c:pt>
                <c:pt idx="141">
                  <c:v>274.71754716981133</c:v>
                </c:pt>
                <c:pt idx="142">
                  <c:v>272.91490566037737</c:v>
                </c:pt>
                <c:pt idx="143">
                  <c:v>271.11226415094336</c:v>
                </c:pt>
                <c:pt idx="144">
                  <c:v>269.30962264150941</c:v>
                </c:pt>
                <c:pt idx="145">
                  <c:v>267.50698113207545</c:v>
                </c:pt>
                <c:pt idx="146">
                  <c:v>265.7043396226415</c:v>
                </c:pt>
                <c:pt idx="147">
                  <c:v>263.90169811320754</c:v>
                </c:pt>
                <c:pt idx="148">
                  <c:v>262.09905660377353</c:v>
                </c:pt>
                <c:pt idx="149">
                  <c:v>260.29641509433964</c:v>
                </c:pt>
                <c:pt idx="150">
                  <c:v>258.49377358490563</c:v>
                </c:pt>
                <c:pt idx="151">
                  <c:v>256.69113207547167</c:v>
                </c:pt>
                <c:pt idx="152">
                  <c:v>254.88849056603772</c:v>
                </c:pt>
                <c:pt idx="153">
                  <c:v>253.08584905660376</c:v>
                </c:pt>
                <c:pt idx="154">
                  <c:v>251.28320754716975</c:v>
                </c:pt>
                <c:pt idx="155">
                  <c:v>249.48056603773585</c:v>
                </c:pt>
                <c:pt idx="156">
                  <c:v>247.67792452830184</c:v>
                </c:pt>
                <c:pt idx="157">
                  <c:v>245.87528301886789</c:v>
                </c:pt>
                <c:pt idx="158">
                  <c:v>244.07264150943394</c:v>
                </c:pt>
                <c:pt idx="159">
                  <c:v>242.26999999999998</c:v>
                </c:pt>
                <c:pt idx="160">
                  <c:v>240.46735849056603</c:v>
                </c:pt>
              </c:numCache>
            </c:numRef>
          </c:val>
          <c:smooth val="0"/>
          <c:extLst>
            <c:ext xmlns:c16="http://schemas.microsoft.com/office/drawing/2014/chart" uri="{C3380CC4-5D6E-409C-BE32-E72D297353CC}">
              <c16:uniqueId val="{00000001-9298-0A4D-A71A-59258CC030C8}"/>
            </c:ext>
          </c:extLst>
        </c:ser>
        <c:dLbls>
          <c:showLegendKey val="0"/>
          <c:showVal val="0"/>
          <c:showCatName val="0"/>
          <c:showSerName val="0"/>
          <c:showPercent val="0"/>
          <c:showBubbleSize val="0"/>
        </c:dLbls>
        <c:hiLowLines>
          <c:spPr>
            <a:ln w="0">
              <a:noFill/>
            </a:ln>
          </c:spPr>
        </c:hiLowLines>
        <c:marker val="1"/>
        <c:smooth val="0"/>
        <c:axId val="45787001"/>
        <c:axId val="25824119"/>
      </c:lineChart>
      <c:dateAx>
        <c:axId val="36541789"/>
        <c:scaling>
          <c:orientation val="minMax"/>
        </c:scaling>
        <c:delete val="1"/>
        <c:axPos val="b"/>
        <c:numFmt formatCode="mm/dd/yyyy" sourceLinked="1"/>
        <c:majorTickMark val="none"/>
        <c:minorTickMark val="none"/>
        <c:tickLblPos val="nextTo"/>
        <c:crossAx val="96061050"/>
        <c:crosses val="autoZero"/>
        <c:auto val="1"/>
        <c:lblOffset val="100"/>
        <c:baseTimeUnit val="days"/>
      </c:dateAx>
      <c:valAx>
        <c:axId val="960610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6541789"/>
        <c:crosses val="autoZero"/>
        <c:crossBetween val="between"/>
      </c:valAx>
      <c:dateAx>
        <c:axId val="45787001"/>
        <c:scaling>
          <c:orientation val="minMax"/>
        </c:scaling>
        <c:delete val="1"/>
        <c:axPos val="b"/>
        <c:numFmt formatCode="mm/dd/yyyy" sourceLinked="1"/>
        <c:majorTickMark val="none"/>
        <c:minorTickMark val="none"/>
        <c:tickLblPos val="nextTo"/>
        <c:crossAx val="25824119"/>
        <c:crosses val="autoZero"/>
        <c:auto val="1"/>
        <c:lblOffset val="100"/>
        <c:baseTimeUnit val="days"/>
      </c:dateAx>
      <c:valAx>
        <c:axId val="258241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578700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(Calc)'!$C$3:$C$500</c:f>
              <c:numCache>
                <c:formatCode>0.0%</c:formatCode>
                <c:ptCount val="498"/>
                <c:pt idx="0">
                  <c:v>-2.3819835426591607E-2</c:v>
                </c:pt>
                <c:pt idx="1">
                  <c:v>1.9964507542147292E-2</c:v>
                </c:pt>
                <c:pt idx="2">
                  <c:v>5.5023923444976086E-2</c:v>
                </c:pt>
                <c:pt idx="3">
                  <c:v>-2.1645021645021578E-2</c:v>
                </c:pt>
                <c:pt idx="4">
                  <c:v>-1.9595448798988668E-2</c:v>
                </c:pt>
                <c:pt idx="5">
                  <c:v>-5.3298946915968259E-2</c:v>
                </c:pt>
                <c:pt idx="6">
                  <c:v>0.20590238365493763</c:v>
                </c:pt>
                <c:pt idx="7">
                  <c:v>-2.654367469879515E-2</c:v>
                </c:pt>
                <c:pt idx="8">
                  <c:v>3.7710307484045469E-2</c:v>
                </c:pt>
                <c:pt idx="9">
                  <c:v>1.7517704062616657E-2</c:v>
                </c:pt>
                <c:pt idx="10">
                  <c:v>-8.058608058608141E-3</c:v>
                </c:pt>
                <c:pt idx="11">
                  <c:v>3.4158050221565706E-2</c:v>
                </c:pt>
                <c:pt idx="12">
                  <c:v>5.1597928941260474E-2</c:v>
                </c:pt>
                <c:pt idx="13">
                  <c:v>1.1205432937181792E-2</c:v>
                </c:pt>
                <c:pt idx="14">
                  <c:v>-1.1417058428475513E-2</c:v>
                </c:pt>
                <c:pt idx="15">
                  <c:v>-1.9531250000000111E-2</c:v>
                </c:pt>
                <c:pt idx="16">
                  <c:v>9.1460245972631249E-2</c:v>
                </c:pt>
                <c:pt idx="17">
                  <c:v>4.5548325662593259E-2</c:v>
                </c:pt>
                <c:pt idx="18">
                  <c:v>3.3394049787491831E-3</c:v>
                </c:pt>
                <c:pt idx="19">
                  <c:v>3.2980332829046999E-2</c:v>
                </c:pt>
                <c:pt idx="20">
                  <c:v>3.4124194493263094E-2</c:v>
                </c:pt>
                <c:pt idx="21">
                  <c:v>-7.3219090780342722E-2</c:v>
                </c:pt>
                <c:pt idx="22">
                  <c:v>2.261613691931541E-2</c:v>
                </c:pt>
                <c:pt idx="23">
                  <c:v>7.4865511057979672E-2</c:v>
                </c:pt>
                <c:pt idx="24">
                  <c:v>-5.0743778673710604E-2</c:v>
                </c:pt>
                <c:pt idx="25">
                  <c:v>1.6842413591095617E-2</c:v>
                </c:pt>
                <c:pt idx="26">
                  <c:v>0.10341351001008192</c:v>
                </c:pt>
                <c:pt idx="27">
                  <c:v>-5.3648348779532729E-2</c:v>
                </c:pt>
                <c:pt idx="28">
                  <c:v>2.6206896551724146E-2</c:v>
                </c:pt>
                <c:pt idx="29">
                  <c:v>-8.8575268817204345E-2</c:v>
                </c:pt>
                <c:pt idx="30">
                  <c:v>-9.2759180061937729E-2</c:v>
                </c:pt>
                <c:pt idx="31">
                  <c:v>7.5747724317295262E-2</c:v>
                </c:pt>
                <c:pt idx="32">
                  <c:v>3.6566938652160541E-2</c:v>
                </c:pt>
                <c:pt idx="33">
                  <c:v>0.14446064139941717</c:v>
                </c:pt>
                <c:pt idx="34">
                  <c:v>1.8596357151955178E-2</c:v>
                </c:pt>
                <c:pt idx="35">
                  <c:v>-4.1640615230711497E-2</c:v>
                </c:pt>
                <c:pt idx="36">
                  <c:v>-2.9097077244258918E-2</c:v>
                </c:pt>
                <c:pt idx="37">
                  <c:v>-2.8222013170271509E-3</c:v>
                </c:pt>
                <c:pt idx="38">
                  <c:v>0.10673854447439357</c:v>
                </c:pt>
                <c:pt idx="39">
                  <c:v>2.7033609352167476E-2</c:v>
                </c:pt>
                <c:pt idx="40">
                  <c:v>3.8890206307801822E-2</c:v>
                </c:pt>
                <c:pt idx="41">
                  <c:v>4.4738644145172257E-2</c:v>
                </c:pt>
                <c:pt idx="42">
                  <c:v>-1.1688879178501255E-2</c:v>
                </c:pt>
                <c:pt idx="43">
                  <c:v>-8.6548026970266423E-2</c:v>
                </c:pt>
                <c:pt idx="44">
                  <c:v>-3.436592449177156E-2</c:v>
                </c:pt>
                <c:pt idx="45">
                  <c:v>3.7593984962414062E-4</c:v>
                </c:pt>
                <c:pt idx="46">
                  <c:v>5.1609670549918718E-2</c:v>
                </c:pt>
                <c:pt idx="47">
                  <c:v>5.384157236450271E-2</c:v>
                </c:pt>
                <c:pt idx="48">
                  <c:v>3.5040126596586063E-3</c:v>
                </c:pt>
                <c:pt idx="49">
                  <c:v>-4.8434332056770391E-3</c:v>
                </c:pt>
                <c:pt idx="50">
                  <c:v>-0.11058290888511602</c:v>
                </c:pt>
                <c:pt idx="51">
                  <c:v>0.1445660473402901</c:v>
                </c:pt>
                <c:pt idx="52">
                  <c:v>6.8601289748721372E-2</c:v>
                </c:pt>
                <c:pt idx="53">
                  <c:v>-1.0820934346061906E-2</c:v>
                </c:pt>
                <c:pt idx="54">
                  <c:v>4.1232775849374237E-2</c:v>
                </c:pt>
                <c:pt idx="55">
                  <c:v>5.2934639862612487E-2</c:v>
                </c:pt>
                <c:pt idx="56">
                  <c:v>-3.5786241964885335E-2</c:v>
                </c:pt>
                <c:pt idx="57">
                  <c:v>-1.9701492537313459E-2</c:v>
                </c:pt>
                <c:pt idx="58">
                  <c:v>2.0300446609833322E-4</c:v>
                </c:pt>
                <c:pt idx="59">
                  <c:v>1.5932616196468352E-2</c:v>
                </c:pt>
                <c:pt idx="60">
                  <c:v>-6.5028468684447116E-2</c:v>
                </c:pt>
                <c:pt idx="61">
                  <c:v>8.5683760683760823E-2</c:v>
                </c:pt>
                <c:pt idx="62">
                  <c:v>-1.5744932099981401E-3</c:v>
                </c:pt>
                <c:pt idx="63">
                  <c:v>6.6922925290755053E-2</c:v>
                </c:pt>
                <c:pt idx="64">
                  <c:v>3.8060046189376529E-2</c:v>
                </c:pt>
                <c:pt idx="65">
                  <c:v>3.9156358458662943E-3</c:v>
                </c:pt>
                <c:pt idx="66">
                  <c:v>1.9501817214786499E-3</c:v>
                </c:pt>
                <c:pt idx="67">
                  <c:v>1.9198442891267931E-2</c:v>
                </c:pt>
                <c:pt idx="68">
                  <c:v>-7.4652777777777235E-3</c:v>
                </c:pt>
                <c:pt idx="69">
                  <c:v>4.9064194507608905E-2</c:v>
                </c:pt>
                <c:pt idx="70">
                  <c:v>7.6865360566902741E-2</c:v>
                </c:pt>
                <c:pt idx="71">
                  <c:v>-0.10791979561817744</c:v>
                </c:pt>
                <c:pt idx="72">
                  <c:v>2.8117677688102027E-2</c:v>
                </c:pt>
                <c:pt idx="73">
                  <c:v>-9.7915083987507368E-2</c:v>
                </c:pt>
                <c:pt idx="74">
                  <c:v>-8.0190886123327476E-2</c:v>
                </c:pt>
                <c:pt idx="75">
                  <c:v>-5.3407934893184184E-2</c:v>
                </c:pt>
                <c:pt idx="76">
                  <c:v>-0.10413756045137024</c:v>
                </c:pt>
                <c:pt idx="77">
                  <c:v>1.7994241842611558E-3</c:v>
                </c:pt>
                <c:pt idx="78">
                  <c:v>-4.5503532511077527E-3</c:v>
                </c:pt>
                <c:pt idx="79">
                  <c:v>-6.2432334897149055E-2</c:v>
                </c:pt>
                <c:pt idx="80">
                  <c:v>-0.17410828842699499</c:v>
                </c:pt>
                <c:pt idx="81">
                  <c:v>0.12894205375174761</c:v>
                </c:pt>
                <c:pt idx="82">
                  <c:v>-2.0228429888537236E-2</c:v>
                </c:pt>
                <c:pt idx="83">
                  <c:v>9.4241573033707837E-2</c:v>
                </c:pt>
                <c:pt idx="84">
                  <c:v>0.16827108201771268</c:v>
                </c:pt>
                <c:pt idx="85">
                  <c:v>-4.9439683586025018E-2</c:v>
                </c:pt>
                <c:pt idx="86">
                  <c:v>0.11442441054091557</c:v>
                </c:pt>
                <c:pt idx="87">
                  <c:v>-5.4138145612943389E-2</c:v>
                </c:pt>
                <c:pt idx="88">
                  <c:v>-5.0000000000000044E-2</c:v>
                </c:pt>
                <c:pt idx="89">
                  <c:v>0.12246075715604809</c:v>
                </c:pt>
                <c:pt idx="90">
                  <c:v>-5.0385604113110549E-2</c:v>
                </c:pt>
                <c:pt idx="91">
                  <c:v>-6.6053059014618221E-2</c:v>
                </c:pt>
                <c:pt idx="92">
                  <c:v>0.15234782608695663</c:v>
                </c:pt>
                <c:pt idx="93">
                  <c:v>3.1492101821108731E-2</c:v>
                </c:pt>
                <c:pt idx="94">
                  <c:v>5.9012875536480713E-2</c:v>
                </c:pt>
                <c:pt idx="95">
                  <c:v>2.9566178502348883E-2</c:v>
                </c:pt>
                <c:pt idx="96">
                  <c:v>2.2365360529611689E-2</c:v>
                </c:pt>
                <c:pt idx="97">
                  <c:v>2.878893944697225E-2</c:v>
                </c:pt>
                <c:pt idx="98">
                  <c:v>0.18380539253210859</c:v>
                </c:pt>
                <c:pt idx="99">
                  <c:v>-1.35076878861905E-2</c:v>
                </c:pt>
                <c:pt idx="100">
                  <c:v>-2.949745083758204E-2</c:v>
                </c:pt>
                <c:pt idx="101">
                  <c:v>2.4765478424014997E-2</c:v>
                </c:pt>
                <c:pt idx="102">
                  <c:v>4.6136946173562565E-2</c:v>
                </c:pt>
                <c:pt idx="103">
                  <c:v>-2.4221211060553083E-2</c:v>
                </c:pt>
                <c:pt idx="104">
                  <c:v>7.3319463376139149E-2</c:v>
                </c:pt>
                <c:pt idx="105">
                  <c:v>-4.752356125927415E-2</c:v>
                </c:pt>
                <c:pt idx="106">
                  <c:v>2.1052631578947434E-2</c:v>
                </c:pt>
                <c:pt idx="107">
                  <c:v>5.9106529209622005E-2</c:v>
                </c:pt>
                <c:pt idx="108">
                  <c:v>-7.138221933809219E-2</c:v>
                </c:pt>
                <c:pt idx="109">
                  <c:v>7.4912648497554191E-2</c:v>
                </c:pt>
                <c:pt idx="110">
                  <c:v>2.5159277077103193E-2</c:v>
                </c:pt>
                <c:pt idx="111">
                  <c:v>-0.14610945526032082</c:v>
                </c:pt>
                <c:pt idx="112">
                  <c:v>-2.4359450427033025E-2</c:v>
                </c:pt>
                <c:pt idx="113">
                  <c:v>-0.10611250666057692</c:v>
                </c:pt>
                <c:pt idx="114">
                  <c:v>0.11283317721195596</c:v>
                </c:pt>
                <c:pt idx="115">
                  <c:v>-1.5993265993266004E-2</c:v>
                </c:pt>
                <c:pt idx="116">
                  <c:v>-2.9784586670814184E-2</c:v>
                </c:pt>
                <c:pt idx="117">
                  <c:v>5.0977877524847726E-2</c:v>
                </c:pt>
                <c:pt idx="118">
                  <c:v>5.4911531421597548E-3</c:v>
                </c:pt>
                <c:pt idx="119">
                  <c:v>1.3349514563106624E-2</c:v>
                </c:pt>
                <c:pt idx="120">
                  <c:v>-8.0164670658682602E-2</c:v>
                </c:pt>
                <c:pt idx="121">
                  <c:v>5.6473268776955132E-2</c:v>
                </c:pt>
                <c:pt idx="122">
                  <c:v>5.0142494030655405E-2</c:v>
                </c:pt>
                <c:pt idx="123">
                  <c:v>3.9606865189966367E-2</c:v>
                </c:pt>
                <c:pt idx="124">
                  <c:v>-2.998447862283049E-2</c:v>
                </c:pt>
                <c:pt idx="125">
                  <c:v>2.9820350570950671E-2</c:v>
                </c:pt>
                <c:pt idx="126">
                  <c:v>-6.2151281870188702E-2</c:v>
                </c:pt>
                <c:pt idx="127">
                  <c:v>5.3467881617592639E-3</c:v>
                </c:pt>
                <c:pt idx="128">
                  <c:v>-4.5692883895132042E-3</c:v>
                </c:pt>
                <c:pt idx="129">
                  <c:v>5.1170140717886614E-3</c:v>
                </c:pt>
                <c:pt idx="130">
                  <c:v>-1.7593771056374941E-2</c:v>
                </c:pt>
                <c:pt idx="131">
                  <c:v>-7.963725041914349E-2</c:v>
                </c:pt>
                <c:pt idx="132">
                  <c:v>4.8935994038254549E-2</c:v>
                </c:pt>
                <c:pt idx="133">
                  <c:v>0.16316703504894203</c:v>
                </c:pt>
                <c:pt idx="134">
                  <c:v>0.11455717678995581</c:v>
                </c:pt>
                <c:pt idx="135">
                  <c:v>7.7208792547037719E-2</c:v>
                </c:pt>
                <c:pt idx="136">
                  <c:v>-2.3797411112995381E-2</c:v>
                </c:pt>
                <c:pt idx="137">
                  <c:v>-0.17909669947886497</c:v>
                </c:pt>
                <c:pt idx="138">
                  <c:v>1.4107356986667874E-3</c:v>
                </c:pt>
                <c:pt idx="139">
                  <c:v>8.494752412481521E-2</c:v>
                </c:pt>
                <c:pt idx="140">
                  <c:v>3.5317795234694582E-2</c:v>
                </c:pt>
                <c:pt idx="141">
                  <c:v>-3.2608014046529021E-2</c:v>
                </c:pt>
                <c:pt idx="142">
                  <c:v>5.8144811045569345E-2</c:v>
                </c:pt>
                <c:pt idx="143">
                  <c:v>3.9389855427591103E-2</c:v>
                </c:pt>
                <c:pt idx="144">
                  <c:v>-7.1138091589556196E-2</c:v>
                </c:pt>
                <c:pt idx="145">
                  <c:v>1.5164974619289451E-2</c:v>
                </c:pt>
                <c:pt idx="146">
                  <c:v>0.16857303581473837</c:v>
                </c:pt>
                <c:pt idx="147">
                  <c:v>-9.8149336756525374E-2</c:v>
                </c:pt>
                <c:pt idx="148">
                  <c:v>3.1907953264930899E-2</c:v>
                </c:pt>
                <c:pt idx="149">
                  <c:v>3.6553824932467283E-2</c:v>
                </c:pt>
                <c:pt idx="150">
                  <c:v>4.6132520099805951E-2</c:v>
                </c:pt>
                <c:pt idx="151">
                  <c:v>5.3797636084168099E-2</c:v>
                </c:pt>
                <c:pt idx="152">
                  <c:v>-5.1151795594004512E-2</c:v>
                </c:pt>
                <c:pt idx="153">
                  <c:v>3.5674529552080614E-2</c:v>
                </c:pt>
                <c:pt idx="154">
                  <c:v>-8.1891698229091814E-3</c:v>
                </c:pt>
                <c:pt idx="155">
                  <c:v>2.9982454329652297E-2</c:v>
                </c:pt>
                <c:pt idx="156">
                  <c:v>-1.0020542111328634E-3</c:v>
                </c:pt>
                <c:pt idx="157">
                  <c:v>3.5909524048347574E-2</c:v>
                </c:pt>
                <c:pt idx="158">
                  <c:v>3.8731541999514896E-3</c:v>
                </c:pt>
                <c:pt idx="159">
                  <c:v>4.5285748734024578E-2</c:v>
                </c:pt>
                <c:pt idx="160">
                  <c:v>0</c:v>
                </c:pt>
              </c:numCache>
            </c:numRef>
          </c:val>
          <c:extLst>
            <c:ext xmlns:c16="http://schemas.microsoft.com/office/drawing/2014/chart" uri="{C3380CC4-5D6E-409C-BE32-E72D297353CC}">
              <c16:uniqueId val="{00000000-618D-3746-BA16-611AAC5B6B70}"/>
            </c:ext>
          </c:extLst>
        </c:ser>
        <c:dLbls>
          <c:showLegendKey val="0"/>
          <c:showVal val="0"/>
          <c:showCatName val="0"/>
          <c:showSerName val="0"/>
          <c:showPercent val="0"/>
          <c:showBubbleSize val="0"/>
        </c:dLbls>
        <c:gapWidth val="150"/>
        <c:axId val="85492168"/>
        <c:axId val="26293968"/>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(Calc)'!$X$3:$X$500</c:f>
              <c:numCache>
                <c:formatCode>#,##0.00</c:formatCode>
                <c:ptCount val="498"/>
                <c:pt idx="0">
                  <c:v>46.18</c:v>
                </c:pt>
                <c:pt idx="1">
                  <c:v>47.252704402515725</c:v>
                </c:pt>
                <c:pt idx="2">
                  <c:v>48.325408805031444</c:v>
                </c:pt>
                <c:pt idx="3">
                  <c:v>49.398113207547169</c:v>
                </c:pt>
                <c:pt idx="4">
                  <c:v>50.470817610062895</c:v>
                </c:pt>
                <c:pt idx="5">
                  <c:v>51.543522012578613</c:v>
                </c:pt>
                <c:pt idx="6">
                  <c:v>52.616226415094339</c:v>
                </c:pt>
                <c:pt idx="7">
                  <c:v>53.688930817610064</c:v>
                </c:pt>
                <c:pt idx="8">
                  <c:v>54.761635220125783</c:v>
                </c:pt>
                <c:pt idx="9">
                  <c:v>55.834339622641508</c:v>
                </c:pt>
                <c:pt idx="10">
                  <c:v>56.907044025157234</c:v>
                </c:pt>
                <c:pt idx="11">
                  <c:v>57.979748427672959</c:v>
                </c:pt>
                <c:pt idx="12">
                  <c:v>59.052452830188678</c:v>
                </c:pt>
                <c:pt idx="13">
                  <c:v>60.125157232704403</c:v>
                </c:pt>
                <c:pt idx="14">
                  <c:v>61.197861635220129</c:v>
                </c:pt>
                <c:pt idx="15">
                  <c:v>62.270566037735847</c:v>
                </c:pt>
                <c:pt idx="16">
                  <c:v>63.343270440251572</c:v>
                </c:pt>
                <c:pt idx="17">
                  <c:v>64.415974842767298</c:v>
                </c:pt>
                <c:pt idx="18">
                  <c:v>65.488679245283009</c:v>
                </c:pt>
                <c:pt idx="19">
                  <c:v>66.561383647798749</c:v>
                </c:pt>
                <c:pt idx="20">
                  <c:v>67.63408805031446</c:v>
                </c:pt>
                <c:pt idx="21">
                  <c:v>68.706792452830186</c:v>
                </c:pt>
                <c:pt idx="22">
                  <c:v>69.779496855345911</c:v>
                </c:pt>
                <c:pt idx="23">
                  <c:v>70.852201257861637</c:v>
                </c:pt>
                <c:pt idx="24">
                  <c:v>71.924905660377362</c:v>
                </c:pt>
                <c:pt idx="25">
                  <c:v>72.997610062893074</c:v>
                </c:pt>
                <c:pt idx="26">
                  <c:v>74.070314465408813</c:v>
                </c:pt>
                <c:pt idx="27">
                  <c:v>75.143018867924525</c:v>
                </c:pt>
                <c:pt idx="28">
                  <c:v>76.21572327044025</c:v>
                </c:pt>
                <c:pt idx="29">
                  <c:v>77.288427672955976</c:v>
                </c:pt>
                <c:pt idx="30">
                  <c:v>78.361132075471701</c:v>
                </c:pt>
                <c:pt idx="31">
                  <c:v>79.433836477987427</c:v>
                </c:pt>
                <c:pt idx="32">
                  <c:v>80.506540880503138</c:v>
                </c:pt>
                <c:pt idx="33">
                  <c:v>81.579245283018878</c:v>
                </c:pt>
                <c:pt idx="34">
                  <c:v>82.651949685534589</c:v>
                </c:pt>
                <c:pt idx="35">
                  <c:v>83.724654088050315</c:v>
                </c:pt>
                <c:pt idx="36">
                  <c:v>84.79735849056604</c:v>
                </c:pt>
                <c:pt idx="37">
                  <c:v>85.870062893081766</c:v>
                </c:pt>
                <c:pt idx="38">
                  <c:v>86.942767295597491</c:v>
                </c:pt>
                <c:pt idx="39">
                  <c:v>88.015471698113203</c:v>
                </c:pt>
                <c:pt idx="40">
                  <c:v>89.088176100628928</c:v>
                </c:pt>
                <c:pt idx="41">
                  <c:v>90.160880503144654</c:v>
                </c:pt>
                <c:pt idx="42">
                  <c:v>91.233584905660379</c:v>
                </c:pt>
                <c:pt idx="43">
                  <c:v>92.306289308176105</c:v>
                </c:pt>
                <c:pt idx="44">
                  <c:v>93.378993710691816</c:v>
                </c:pt>
                <c:pt idx="45">
                  <c:v>94.451698113207556</c:v>
                </c:pt>
                <c:pt idx="46">
                  <c:v>95.524402515723267</c:v>
                </c:pt>
                <c:pt idx="47">
                  <c:v>96.597106918238993</c:v>
                </c:pt>
                <c:pt idx="48">
                  <c:v>97.669811320754718</c:v>
                </c:pt>
                <c:pt idx="49">
                  <c:v>98.742515723270444</c:v>
                </c:pt>
                <c:pt idx="50">
                  <c:v>99.815220125786169</c:v>
                </c:pt>
                <c:pt idx="51">
                  <c:v>100.88792452830188</c:v>
                </c:pt>
                <c:pt idx="52">
                  <c:v>101.96062893081762</c:v>
                </c:pt>
                <c:pt idx="53">
                  <c:v>103.03333333333333</c:v>
                </c:pt>
                <c:pt idx="54">
                  <c:v>104.10603773584906</c:v>
                </c:pt>
                <c:pt idx="55">
                  <c:v>105.17874213836478</c:v>
                </c:pt>
                <c:pt idx="56">
                  <c:v>106.25144654088051</c:v>
                </c:pt>
                <c:pt idx="57">
                  <c:v>107.32415094339623</c:v>
                </c:pt>
                <c:pt idx="58">
                  <c:v>108.39685534591194</c:v>
                </c:pt>
                <c:pt idx="59">
                  <c:v>109.46955974842768</c:v>
                </c:pt>
                <c:pt idx="60">
                  <c:v>110.5422641509434</c:v>
                </c:pt>
                <c:pt idx="61">
                  <c:v>111.61496855345911</c:v>
                </c:pt>
                <c:pt idx="62">
                  <c:v>112.68767295597485</c:v>
                </c:pt>
                <c:pt idx="63">
                  <c:v>113.76037735849056</c:v>
                </c:pt>
                <c:pt idx="64">
                  <c:v>114.8330817610063</c:v>
                </c:pt>
                <c:pt idx="65">
                  <c:v>115.90578616352201</c:v>
                </c:pt>
                <c:pt idx="66">
                  <c:v>116.97849056603775</c:v>
                </c:pt>
                <c:pt idx="67">
                  <c:v>118.05119496855346</c:v>
                </c:pt>
                <c:pt idx="68">
                  <c:v>119.12389937106917</c:v>
                </c:pt>
                <c:pt idx="69">
                  <c:v>120.19660377358491</c:v>
                </c:pt>
                <c:pt idx="70">
                  <c:v>121.26930817610062</c:v>
                </c:pt>
                <c:pt idx="71">
                  <c:v>122.34201257861636</c:v>
                </c:pt>
                <c:pt idx="72">
                  <c:v>123.41471698113207</c:v>
                </c:pt>
                <c:pt idx="73">
                  <c:v>124.48742138364781</c:v>
                </c:pt>
                <c:pt idx="74">
                  <c:v>125.56012578616352</c:v>
                </c:pt>
                <c:pt idx="75">
                  <c:v>126.63283018867924</c:v>
                </c:pt>
                <c:pt idx="76">
                  <c:v>127.70553459119498</c:v>
                </c:pt>
                <c:pt idx="77">
                  <c:v>128.77823899371069</c:v>
                </c:pt>
                <c:pt idx="78">
                  <c:v>129.85094339622643</c:v>
                </c:pt>
                <c:pt idx="79">
                  <c:v>130.92364779874214</c:v>
                </c:pt>
                <c:pt idx="80">
                  <c:v>131.99635220125785</c:v>
                </c:pt>
                <c:pt idx="81">
                  <c:v>133.06905660377359</c:v>
                </c:pt>
                <c:pt idx="82">
                  <c:v>134.1417610062893</c:v>
                </c:pt>
                <c:pt idx="83">
                  <c:v>135.21446540880504</c:v>
                </c:pt>
                <c:pt idx="84">
                  <c:v>136.28716981132075</c:v>
                </c:pt>
                <c:pt idx="85">
                  <c:v>137.35987421383649</c:v>
                </c:pt>
                <c:pt idx="86">
                  <c:v>138.4325786163522</c:v>
                </c:pt>
                <c:pt idx="87">
                  <c:v>139.50528301886791</c:v>
                </c:pt>
                <c:pt idx="88">
                  <c:v>140.57798742138365</c:v>
                </c:pt>
                <c:pt idx="89">
                  <c:v>141.65069182389936</c:v>
                </c:pt>
                <c:pt idx="90">
                  <c:v>142.7233962264151</c:v>
                </c:pt>
                <c:pt idx="91">
                  <c:v>143.79610062893082</c:v>
                </c:pt>
                <c:pt idx="92">
                  <c:v>144.86880503144656</c:v>
                </c:pt>
                <c:pt idx="93">
                  <c:v>145.94150943396227</c:v>
                </c:pt>
                <c:pt idx="94">
                  <c:v>147.01421383647798</c:v>
                </c:pt>
                <c:pt idx="95">
                  <c:v>148.08691823899372</c:v>
                </c:pt>
                <c:pt idx="96">
                  <c:v>149.15962264150943</c:v>
                </c:pt>
                <c:pt idx="97">
                  <c:v>150.23232704402517</c:v>
                </c:pt>
                <c:pt idx="98">
                  <c:v>151.30503144654088</c:v>
                </c:pt>
                <c:pt idx="99">
                  <c:v>152.37773584905659</c:v>
                </c:pt>
                <c:pt idx="100">
                  <c:v>153.45044025157233</c:v>
                </c:pt>
                <c:pt idx="101">
                  <c:v>154.52314465408807</c:v>
                </c:pt>
                <c:pt idx="102">
                  <c:v>155.59584905660375</c:v>
                </c:pt>
                <c:pt idx="103">
                  <c:v>156.66855345911949</c:v>
                </c:pt>
                <c:pt idx="104">
                  <c:v>157.74125786163523</c:v>
                </c:pt>
                <c:pt idx="105">
                  <c:v>158.81396226415094</c:v>
                </c:pt>
                <c:pt idx="106">
                  <c:v>159.88666666666666</c:v>
                </c:pt>
                <c:pt idx="107">
                  <c:v>160.9593710691824</c:v>
                </c:pt>
                <c:pt idx="108">
                  <c:v>162.03207547169811</c:v>
                </c:pt>
                <c:pt idx="109">
                  <c:v>163.10477987421385</c:v>
                </c:pt>
                <c:pt idx="110">
                  <c:v>164.17748427672956</c:v>
                </c:pt>
                <c:pt idx="111">
                  <c:v>165.25018867924527</c:v>
                </c:pt>
                <c:pt idx="112">
                  <c:v>166.32289308176101</c:v>
                </c:pt>
                <c:pt idx="113">
                  <c:v>167.39559748427672</c:v>
                </c:pt>
                <c:pt idx="114">
                  <c:v>168.46830188679246</c:v>
                </c:pt>
                <c:pt idx="115">
                  <c:v>169.54100628930817</c:v>
                </c:pt>
                <c:pt idx="116">
                  <c:v>170.61371069182388</c:v>
                </c:pt>
                <c:pt idx="117">
                  <c:v>171.68641509433962</c:v>
                </c:pt>
                <c:pt idx="118">
                  <c:v>172.75911949685536</c:v>
                </c:pt>
                <c:pt idx="119">
                  <c:v>173.83182389937107</c:v>
                </c:pt>
                <c:pt idx="120">
                  <c:v>174.90452830188681</c:v>
                </c:pt>
                <c:pt idx="121">
                  <c:v>175.97723270440252</c:v>
                </c:pt>
                <c:pt idx="122">
                  <c:v>177.04993710691824</c:v>
                </c:pt>
                <c:pt idx="123">
                  <c:v>178.12264150943398</c:v>
                </c:pt>
                <c:pt idx="124">
                  <c:v>179.19534591194969</c:v>
                </c:pt>
                <c:pt idx="125">
                  <c:v>180.26805031446543</c:v>
                </c:pt>
                <c:pt idx="126">
                  <c:v>181.34075471698114</c:v>
                </c:pt>
                <c:pt idx="127">
                  <c:v>182.41345911949685</c:v>
                </c:pt>
                <c:pt idx="128">
                  <c:v>183.48616352201259</c:v>
                </c:pt>
                <c:pt idx="129">
                  <c:v>184.55886792452833</c:v>
                </c:pt>
                <c:pt idx="130">
                  <c:v>185.63157232704404</c:v>
                </c:pt>
                <c:pt idx="131">
                  <c:v>186.70427672955975</c:v>
                </c:pt>
                <c:pt idx="132">
                  <c:v>187.77698113207549</c:v>
                </c:pt>
                <c:pt idx="133">
                  <c:v>188.8496855345912</c:v>
                </c:pt>
                <c:pt idx="134">
                  <c:v>189.92238993710694</c:v>
                </c:pt>
                <c:pt idx="135">
                  <c:v>190.99509433962263</c:v>
                </c:pt>
                <c:pt idx="136">
                  <c:v>192.06779874213836</c:v>
                </c:pt>
                <c:pt idx="137">
                  <c:v>193.1405031446541</c:v>
                </c:pt>
                <c:pt idx="138">
                  <c:v>194.21320754716982</c:v>
                </c:pt>
                <c:pt idx="139">
                  <c:v>195.28591194968556</c:v>
                </c:pt>
                <c:pt idx="140">
                  <c:v>196.35861635220127</c:v>
                </c:pt>
                <c:pt idx="141">
                  <c:v>197.43132075471698</c:v>
                </c:pt>
                <c:pt idx="142">
                  <c:v>198.50402515723272</c:v>
                </c:pt>
                <c:pt idx="143">
                  <c:v>199.57672955974846</c:v>
                </c:pt>
                <c:pt idx="144">
                  <c:v>200.64943396226414</c:v>
                </c:pt>
                <c:pt idx="145">
                  <c:v>201.72213836477988</c:v>
                </c:pt>
                <c:pt idx="146">
                  <c:v>202.79484276729562</c:v>
                </c:pt>
                <c:pt idx="147">
                  <c:v>203.86754716981133</c:v>
                </c:pt>
                <c:pt idx="148">
                  <c:v>204.94025157232707</c:v>
                </c:pt>
                <c:pt idx="149">
                  <c:v>206.01295597484275</c:v>
                </c:pt>
                <c:pt idx="150">
                  <c:v>207.08566037735849</c:v>
                </c:pt>
                <c:pt idx="151">
                  <c:v>208.15836477987423</c:v>
                </c:pt>
                <c:pt idx="152">
                  <c:v>209.23106918238994</c:v>
                </c:pt>
                <c:pt idx="153">
                  <c:v>210.30377358490566</c:v>
                </c:pt>
                <c:pt idx="154">
                  <c:v>211.3764779874214</c:v>
                </c:pt>
                <c:pt idx="155">
                  <c:v>212.44918238993711</c:v>
                </c:pt>
                <c:pt idx="156">
                  <c:v>213.52188679245285</c:v>
                </c:pt>
                <c:pt idx="157">
                  <c:v>214.59459119496856</c:v>
                </c:pt>
                <c:pt idx="158">
                  <c:v>215.66729559748427</c:v>
                </c:pt>
                <c:pt idx="159">
                  <c:v>216.74</c:v>
                </c:pt>
                <c:pt idx="160">
                  <c:v>217.81270440251572</c:v>
                </c:pt>
              </c:numCache>
            </c:numRef>
          </c:val>
          <c:smooth val="0"/>
          <c:extLst>
            <c:ext xmlns:c16="http://schemas.microsoft.com/office/drawing/2014/chart" uri="{C3380CC4-5D6E-409C-BE32-E72D297353CC}">
              <c16:uniqueId val="{00000001-618D-3746-BA16-611AAC5B6B70}"/>
            </c:ext>
          </c:extLst>
        </c:ser>
        <c:dLbls>
          <c:showLegendKey val="0"/>
          <c:showVal val="0"/>
          <c:showCatName val="0"/>
          <c:showSerName val="0"/>
          <c:showPercent val="0"/>
          <c:showBubbleSize val="0"/>
        </c:dLbls>
        <c:hiLowLines>
          <c:spPr>
            <a:ln w="0">
              <a:noFill/>
            </a:ln>
          </c:spPr>
        </c:hiLowLines>
        <c:marker val="1"/>
        <c:smooth val="0"/>
        <c:axId val="4841427"/>
        <c:axId val="89451783"/>
      </c:lineChart>
      <c:dateAx>
        <c:axId val="85492168"/>
        <c:scaling>
          <c:orientation val="minMax"/>
        </c:scaling>
        <c:delete val="1"/>
        <c:axPos val="b"/>
        <c:numFmt formatCode="mm/dd/yyyy" sourceLinked="1"/>
        <c:majorTickMark val="none"/>
        <c:minorTickMark val="none"/>
        <c:tickLblPos val="nextTo"/>
        <c:crossAx val="26293968"/>
        <c:crosses val="autoZero"/>
        <c:auto val="1"/>
        <c:lblOffset val="100"/>
        <c:baseTimeUnit val="days"/>
      </c:dateAx>
      <c:valAx>
        <c:axId val="262939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5492168"/>
        <c:crosses val="autoZero"/>
        <c:crossBetween val="between"/>
      </c:valAx>
      <c:dateAx>
        <c:axId val="4841427"/>
        <c:scaling>
          <c:orientation val="minMax"/>
        </c:scaling>
        <c:delete val="1"/>
        <c:axPos val="b"/>
        <c:numFmt formatCode="mm/dd/yyyy" sourceLinked="1"/>
        <c:majorTickMark val="none"/>
        <c:minorTickMark val="none"/>
        <c:tickLblPos val="nextTo"/>
        <c:crossAx val="89451783"/>
        <c:crosses val="autoZero"/>
        <c:auto val="1"/>
        <c:lblOffset val="100"/>
        <c:baseTimeUnit val="days"/>
      </c:dateAx>
      <c:valAx>
        <c:axId val="894517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84142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(Calc)'!$D$3:$D$500</c:f>
              <c:numCache>
                <c:formatCode>0.0%</c:formatCode>
                <c:ptCount val="498"/>
                <c:pt idx="0">
                  <c:v>-1.6013470558924991E-2</c:v>
                </c:pt>
                <c:pt idx="1">
                  <c:v>2.6541409837783636E-3</c:v>
                </c:pt>
                <c:pt idx="2">
                  <c:v>1.4768116194423753E-2</c:v>
                </c:pt>
                <c:pt idx="3">
                  <c:v>4.0158574885442722E-3</c:v>
                </c:pt>
                <c:pt idx="4">
                  <c:v>-3.2767550382031607E-2</c:v>
                </c:pt>
                <c:pt idx="5">
                  <c:v>1.7071360407167724E-2</c:v>
                </c:pt>
                <c:pt idx="6">
                  <c:v>9.1604114539894477E-2</c:v>
                </c:pt>
                <c:pt idx="7">
                  <c:v>2.9383675028651579E-2</c:v>
                </c:pt>
                <c:pt idx="8">
                  <c:v>3.7513530230400383E-2</c:v>
                </c:pt>
                <c:pt idx="9">
                  <c:v>7.4222010253963688E-3</c:v>
                </c:pt>
                <c:pt idx="10">
                  <c:v>1.4794212504067872E-3</c:v>
                </c:pt>
                <c:pt idx="11">
                  <c:v>6.1009838390404525E-3</c:v>
                </c:pt>
                <c:pt idx="12">
                  <c:v>8.1181082708091656E-2</c:v>
                </c:pt>
                <c:pt idx="13">
                  <c:v>-5.7037318702801709E-4</c:v>
                </c:pt>
                <c:pt idx="14">
                  <c:v>5.8292795608336778E-3</c:v>
                </c:pt>
                <c:pt idx="15">
                  <c:v>-7.0788808883725296E-2</c:v>
                </c:pt>
                <c:pt idx="16">
                  <c:v>1.4044167890321591E-2</c:v>
                </c:pt>
                <c:pt idx="17">
                  <c:v>6.2552868141478646E-2</c:v>
                </c:pt>
                <c:pt idx="18">
                  <c:v>0.14503724093264259</c:v>
                </c:pt>
                <c:pt idx="19">
                  <c:v>2.6407890550429469E-2</c:v>
                </c:pt>
                <c:pt idx="20">
                  <c:v>6.8046657941264188E-2</c:v>
                </c:pt>
                <c:pt idx="21">
                  <c:v>-2.1756656526459528E-2</c:v>
                </c:pt>
                <c:pt idx="22">
                  <c:v>4.6371078512170705E-3</c:v>
                </c:pt>
                <c:pt idx="23">
                  <c:v>6.1808874840036276E-2</c:v>
                </c:pt>
                <c:pt idx="24">
                  <c:v>3.4302313603493673E-3</c:v>
                </c:pt>
                <c:pt idx="25">
                  <c:v>-5.4429171243494001E-2</c:v>
                </c:pt>
                <c:pt idx="26">
                  <c:v>4.2275999088037031E-2</c:v>
                </c:pt>
                <c:pt idx="27">
                  <c:v>-9.6871972750851576E-3</c:v>
                </c:pt>
                <c:pt idx="28">
                  <c:v>9.36122768819736E-3</c:v>
                </c:pt>
                <c:pt idx="29">
                  <c:v>-1.8079884955660042E-2</c:v>
                </c:pt>
                <c:pt idx="30">
                  <c:v>-0.10635904402088558</c:v>
                </c:pt>
                <c:pt idx="31">
                  <c:v>7.1360710638196823E-2</c:v>
                </c:pt>
                <c:pt idx="32">
                  <c:v>-1.8866042232444702E-2</c:v>
                </c:pt>
                <c:pt idx="33">
                  <c:v>3.1780642391513014E-2</c:v>
                </c:pt>
                <c:pt idx="34">
                  <c:v>-5.715787398988259E-3</c:v>
                </c:pt>
                <c:pt idx="35">
                  <c:v>3.3787057838861712E-2</c:v>
                </c:pt>
                <c:pt idx="36">
                  <c:v>4.314385546275723E-3</c:v>
                </c:pt>
                <c:pt idx="37">
                  <c:v>7.0886854694146129E-2</c:v>
                </c:pt>
                <c:pt idx="38">
                  <c:v>-5.0515055467514891E-4</c:v>
                </c:pt>
                <c:pt idx="39">
                  <c:v>8.463070687451113E-3</c:v>
                </c:pt>
                <c:pt idx="40">
                  <c:v>-1.3384039385631374E-2</c:v>
                </c:pt>
                <c:pt idx="41">
                  <c:v>5.0597105606517756E-2</c:v>
                </c:pt>
                <c:pt idx="42">
                  <c:v>1.0039722793678596E-2</c:v>
                </c:pt>
                <c:pt idx="43">
                  <c:v>-0.17497653463487894</c:v>
                </c:pt>
                <c:pt idx="44">
                  <c:v>-7.7931238480967169E-3</c:v>
                </c:pt>
                <c:pt idx="45">
                  <c:v>-8.7280565970669466E-2</c:v>
                </c:pt>
                <c:pt idx="46">
                  <c:v>6.3252974208866775E-2</c:v>
                </c:pt>
                <c:pt idx="47">
                  <c:v>6.75362729807647E-2</c:v>
                </c:pt>
                <c:pt idx="48">
                  <c:v>-1.241809810518868E-2</c:v>
                </c:pt>
                <c:pt idx="49">
                  <c:v>-3.7319287235233478E-3</c:v>
                </c:pt>
                <c:pt idx="50">
                  <c:v>-0.16714849769958495</c:v>
                </c:pt>
                <c:pt idx="51">
                  <c:v>8.4443123801291264E-2</c:v>
                </c:pt>
                <c:pt idx="52">
                  <c:v>-2.5818906464067815E-2</c:v>
                </c:pt>
                <c:pt idx="53">
                  <c:v>5.8171497244844383E-2</c:v>
                </c:pt>
                <c:pt idx="54">
                  <c:v>-1.0148972416542779E-2</c:v>
                </c:pt>
                <c:pt idx="55">
                  <c:v>9.2277271229266322E-3</c:v>
                </c:pt>
                <c:pt idx="56">
                  <c:v>-0.13967804748255386</c:v>
                </c:pt>
                <c:pt idx="57">
                  <c:v>-1.5983917676497872E-2</c:v>
                </c:pt>
                <c:pt idx="58">
                  <c:v>-4.9744989070960255E-2</c:v>
                </c:pt>
                <c:pt idx="59">
                  <c:v>-7.8027512591144488E-3</c:v>
                </c:pt>
                <c:pt idx="60">
                  <c:v>-1.6182798957512623E-2</c:v>
                </c:pt>
                <c:pt idx="61">
                  <c:v>2.1623952686052439E-2</c:v>
                </c:pt>
                <c:pt idx="62">
                  <c:v>2.0412470602424015E-2</c:v>
                </c:pt>
                <c:pt idx="63">
                  <c:v>3.2576899211062882E-2</c:v>
                </c:pt>
                <c:pt idx="64">
                  <c:v>1.354967020074116E-2</c:v>
                </c:pt>
                <c:pt idx="65">
                  <c:v>-1.7956464044721843E-2</c:v>
                </c:pt>
                <c:pt idx="66">
                  <c:v>1.12123738607941E-2</c:v>
                </c:pt>
                <c:pt idx="67">
                  <c:v>1.0803741506268949E-3</c:v>
                </c:pt>
                <c:pt idx="68">
                  <c:v>3.4506262247593122E-2</c:v>
                </c:pt>
                <c:pt idx="69">
                  <c:v>2.343106572228626E-2</c:v>
                </c:pt>
                <c:pt idx="70">
                  <c:v>-3.1840555801445847E-2</c:v>
                </c:pt>
                <c:pt idx="71">
                  <c:v>9.6418923599084216E-3</c:v>
                </c:pt>
                <c:pt idx="72">
                  <c:v>-1.5696820844938952E-2</c:v>
                </c:pt>
                <c:pt idx="73">
                  <c:v>3.4947098428983692E-2</c:v>
                </c:pt>
                <c:pt idx="74">
                  <c:v>-1.9072248262485991E-2</c:v>
                </c:pt>
                <c:pt idx="75">
                  <c:v>-3.8158400615147969E-2</c:v>
                </c:pt>
                <c:pt idx="76">
                  <c:v>3.2634298847949328E-2</c:v>
                </c:pt>
                <c:pt idx="77">
                  <c:v>-2.4884219257620743E-2</c:v>
                </c:pt>
                <c:pt idx="78">
                  <c:v>3.1048415680157149E-3</c:v>
                </c:pt>
                <c:pt idx="79">
                  <c:v>-5.8130989060689142E-2</c:v>
                </c:pt>
                <c:pt idx="80">
                  <c:v>-0.10233940066925762</c:v>
                </c:pt>
                <c:pt idx="81">
                  <c:v>0.10447836044198522</c:v>
                </c:pt>
                <c:pt idx="82">
                  <c:v>-4.2847845499538462E-2</c:v>
                </c:pt>
                <c:pt idx="83">
                  <c:v>5.7969639468690604E-2</c:v>
                </c:pt>
                <c:pt idx="84">
                  <c:v>2.2449406630197677E-2</c:v>
                </c:pt>
                <c:pt idx="85">
                  <c:v>2.2994386621447704E-2</c:v>
                </c:pt>
                <c:pt idx="86">
                  <c:v>5.9316100084308765E-2</c:v>
                </c:pt>
                <c:pt idx="87">
                  <c:v>-2.0854691631144506E-2</c:v>
                </c:pt>
                <c:pt idx="88">
                  <c:v>5.8413468161904181E-3</c:v>
                </c:pt>
                <c:pt idx="89">
                  <c:v>2.205177372962619E-2</c:v>
                </c:pt>
                <c:pt idx="90">
                  <c:v>1.060037523452162E-2</c:v>
                </c:pt>
                <c:pt idx="91">
                  <c:v>-5.8744745461538628E-3</c:v>
                </c:pt>
                <c:pt idx="92">
                  <c:v>5.2102230284921669E-2</c:v>
                </c:pt>
                <c:pt idx="93">
                  <c:v>-1.8256966807820296E-3</c:v>
                </c:pt>
                <c:pt idx="94">
                  <c:v>9.3611075828781143E-3</c:v>
                </c:pt>
                <c:pt idx="95">
                  <c:v>-8.3984547044685276E-2</c:v>
                </c:pt>
                <c:pt idx="96">
                  <c:v>-3.1761295728984895E-2</c:v>
                </c:pt>
                <c:pt idx="97">
                  <c:v>-2.766703083100408E-2</c:v>
                </c:pt>
                <c:pt idx="98">
                  <c:v>4.7102771008740607E-2</c:v>
                </c:pt>
                <c:pt idx="99">
                  <c:v>2.746693794506605E-2</c:v>
                </c:pt>
                <c:pt idx="100">
                  <c:v>1.7157195171572104E-2</c:v>
                </c:pt>
                <c:pt idx="101">
                  <c:v>-1.6254416961130835E-2</c:v>
                </c:pt>
                <c:pt idx="102">
                  <c:v>5.2618737800910864E-2</c:v>
                </c:pt>
                <c:pt idx="103">
                  <c:v>4.1154806974168734E-2</c:v>
                </c:pt>
                <c:pt idx="104">
                  <c:v>0.14533603779652204</c:v>
                </c:pt>
                <c:pt idx="105">
                  <c:v>2.0776415960261252E-2</c:v>
                </c:pt>
                <c:pt idx="106">
                  <c:v>8.482053126553768E-2</c:v>
                </c:pt>
                <c:pt idx="107">
                  <c:v>-9.304026446409952E-2</c:v>
                </c:pt>
                <c:pt idx="108">
                  <c:v>9.9423693095069154E-2</c:v>
                </c:pt>
                <c:pt idx="109">
                  <c:v>3.72605204737253E-3</c:v>
                </c:pt>
                <c:pt idx="110">
                  <c:v>2.711577060233461E-2</c:v>
                </c:pt>
                <c:pt idx="111">
                  <c:v>-3.9908174203401758E-2</c:v>
                </c:pt>
                <c:pt idx="112">
                  <c:v>-9.8112834700129214E-3</c:v>
                </c:pt>
                <c:pt idx="113">
                  <c:v>-4.013291158186727E-2</c:v>
                </c:pt>
                <c:pt idx="114">
                  <c:v>9.6657830448568127E-2</c:v>
                </c:pt>
                <c:pt idx="115">
                  <c:v>3.7234698036836544E-2</c:v>
                </c:pt>
                <c:pt idx="116">
                  <c:v>-1.6934592080130817E-2</c:v>
                </c:pt>
                <c:pt idx="117">
                  <c:v>-2.2971515692399302E-2</c:v>
                </c:pt>
                <c:pt idx="118">
                  <c:v>1.5842507397927585E-2</c:v>
                </c:pt>
                <c:pt idx="119">
                  <c:v>8.4861654895936889E-2</c:v>
                </c:pt>
                <c:pt idx="120">
                  <c:v>9.4602061784462288E-2</c:v>
                </c:pt>
                <c:pt idx="121">
                  <c:v>6.647788671625432E-2</c:v>
                </c:pt>
                <c:pt idx="122">
                  <c:v>2.2432270518538466E-2</c:v>
                </c:pt>
                <c:pt idx="123">
                  <c:v>2.4450231481481399E-2</c:v>
                </c:pt>
                <c:pt idx="124">
                  <c:v>-7.0258438073719232E-3</c:v>
                </c:pt>
                <c:pt idx="125">
                  <c:v>-3.2142222222222294E-3</c:v>
                </c:pt>
                <c:pt idx="126">
                  <c:v>4.4773244490736497E-2</c:v>
                </c:pt>
                <c:pt idx="127">
                  <c:v>-1.2946486490177489E-2</c:v>
                </c:pt>
                <c:pt idx="128">
                  <c:v>-0.10875595802231708</c:v>
                </c:pt>
                <c:pt idx="129">
                  <c:v>4.0905986090412405E-2</c:v>
                </c:pt>
                <c:pt idx="130">
                  <c:v>-2.1133167290569799E-2</c:v>
                </c:pt>
                <c:pt idx="131">
                  <c:v>-1.1221318219215681E-2</c:v>
                </c:pt>
                <c:pt idx="132">
                  <c:v>1.1333256288763138E-2</c:v>
                </c:pt>
                <c:pt idx="133">
                  <c:v>0.12226319077293435</c:v>
                </c:pt>
                <c:pt idx="134">
                  <c:v>-1.2497030173437951E-2</c:v>
                </c:pt>
                <c:pt idx="135">
                  <c:v>-1.4435569242613466E-3</c:v>
                </c:pt>
                <c:pt idx="136">
                  <c:v>-1.8903513602819721E-2</c:v>
                </c:pt>
                <c:pt idx="137">
                  <c:v>0.11562048302670536</c:v>
                </c:pt>
                <c:pt idx="138">
                  <c:v>-5.6661802812649431E-2</c:v>
                </c:pt>
                <c:pt idx="139">
                  <c:v>8.7287564922293281E-2</c:v>
                </c:pt>
                <c:pt idx="140">
                  <c:v>-1.2331446722140704E-2</c:v>
                </c:pt>
                <c:pt idx="141">
                  <c:v>1.7967566493654719E-2</c:v>
                </c:pt>
                <c:pt idx="142">
                  <c:v>0.13510447542723325</c:v>
                </c:pt>
                <c:pt idx="143">
                  <c:v>3.5489001364754857E-2</c:v>
                </c:pt>
                <c:pt idx="144">
                  <c:v>-6.9993098760371408E-2</c:v>
                </c:pt>
                <c:pt idx="145">
                  <c:v>-1.409920214249849E-2</c:v>
                </c:pt>
                <c:pt idx="146">
                  <c:v>1.5828820110580955E-2</c:v>
                </c:pt>
                <c:pt idx="147">
                  <c:v>-2.7676880222841316E-2</c:v>
                </c:pt>
                <c:pt idx="148">
                  <c:v>5.4431279077762351E-3</c:v>
                </c:pt>
                <c:pt idx="149">
                  <c:v>-7.1699661503743961E-2</c:v>
                </c:pt>
                <c:pt idx="150">
                  <c:v>6.8747697974217425E-2</c:v>
                </c:pt>
                <c:pt idx="151">
                  <c:v>5.9213436033521027E-2</c:v>
                </c:pt>
                <c:pt idx="152">
                  <c:v>-4.3555594117391849E-2</c:v>
                </c:pt>
                <c:pt idx="153">
                  <c:v>-3.8327210051254057E-2</c:v>
                </c:pt>
                <c:pt idx="154">
                  <c:v>1.1036694651447965E-2</c:v>
                </c:pt>
                <c:pt idx="155">
                  <c:v>-9.6683149841388927E-3</c:v>
                </c:pt>
                <c:pt idx="156">
                  <c:v>-1.0822587293175423E-2</c:v>
                </c:pt>
                <c:pt idx="157">
                  <c:v>3.810895756940802E-2</c:v>
                </c:pt>
                <c:pt idx="158">
                  <c:v>7.0742112687363079E-2</c:v>
                </c:pt>
                <c:pt idx="159">
                  <c:v>-4.65750196807172E-2</c:v>
                </c:pt>
                <c:pt idx="160">
                  <c:v>0</c:v>
                </c:pt>
              </c:numCache>
            </c:numRef>
          </c:val>
          <c:extLst>
            <c:ext xmlns:c16="http://schemas.microsoft.com/office/drawing/2014/chart" uri="{C3380CC4-5D6E-409C-BE32-E72D297353CC}">
              <c16:uniqueId val="{00000000-CEA8-6B4C-B071-EBC2A4CE7FAD}"/>
            </c:ext>
          </c:extLst>
        </c:ser>
        <c:dLbls>
          <c:showLegendKey val="0"/>
          <c:showVal val="0"/>
          <c:showCatName val="0"/>
          <c:showSerName val="0"/>
          <c:showPercent val="0"/>
          <c:showBubbleSize val="0"/>
        </c:dLbls>
        <c:gapWidth val="150"/>
        <c:axId val="89563836"/>
        <c:axId val="5490449"/>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(Calc)'!$Y$3:$Y$500</c:f>
              <c:numCache>
                <c:formatCode>#,##0.00</c:formatCode>
                <c:ptCount val="498"/>
                <c:pt idx="0">
                  <c:v>582.01</c:v>
                </c:pt>
                <c:pt idx="1">
                  <c:v>589.54666666666662</c:v>
                </c:pt>
                <c:pt idx="2">
                  <c:v>597.08333333333337</c:v>
                </c:pt>
                <c:pt idx="3">
                  <c:v>604.62</c:v>
                </c:pt>
                <c:pt idx="4">
                  <c:v>612.15666666666664</c:v>
                </c:pt>
                <c:pt idx="5">
                  <c:v>619.69333333333327</c:v>
                </c:pt>
                <c:pt idx="6">
                  <c:v>627.23</c:v>
                </c:pt>
                <c:pt idx="7">
                  <c:v>634.76666666666665</c:v>
                </c:pt>
                <c:pt idx="8">
                  <c:v>642.30333333333328</c:v>
                </c:pt>
                <c:pt idx="9">
                  <c:v>649.84</c:v>
                </c:pt>
                <c:pt idx="10">
                  <c:v>657.37666666666667</c:v>
                </c:pt>
                <c:pt idx="11">
                  <c:v>664.9133333333333</c:v>
                </c:pt>
                <c:pt idx="12">
                  <c:v>672.45</c:v>
                </c:pt>
                <c:pt idx="13">
                  <c:v>679.98666666666668</c:v>
                </c:pt>
                <c:pt idx="14">
                  <c:v>687.52333333333331</c:v>
                </c:pt>
                <c:pt idx="15">
                  <c:v>695.06</c:v>
                </c:pt>
                <c:pt idx="16">
                  <c:v>702.59666666666669</c:v>
                </c:pt>
                <c:pt idx="17">
                  <c:v>710.13333333333333</c:v>
                </c:pt>
                <c:pt idx="18">
                  <c:v>717.67</c:v>
                </c:pt>
                <c:pt idx="19">
                  <c:v>725.20666666666671</c:v>
                </c:pt>
                <c:pt idx="20">
                  <c:v>732.74333333333334</c:v>
                </c:pt>
                <c:pt idx="21">
                  <c:v>740.28</c:v>
                </c:pt>
                <c:pt idx="22">
                  <c:v>747.81666666666661</c:v>
                </c:pt>
                <c:pt idx="23">
                  <c:v>755.35333333333324</c:v>
                </c:pt>
                <c:pt idx="24">
                  <c:v>762.89</c:v>
                </c:pt>
                <c:pt idx="25">
                  <c:v>770.42666666666662</c:v>
                </c:pt>
                <c:pt idx="26">
                  <c:v>777.96333333333337</c:v>
                </c:pt>
                <c:pt idx="27">
                  <c:v>785.5</c:v>
                </c:pt>
                <c:pt idx="28">
                  <c:v>793.03666666666663</c:v>
                </c:pt>
                <c:pt idx="29">
                  <c:v>800.57333333333327</c:v>
                </c:pt>
                <c:pt idx="30">
                  <c:v>808.1099999999999</c:v>
                </c:pt>
                <c:pt idx="31">
                  <c:v>815.64666666666665</c:v>
                </c:pt>
                <c:pt idx="32">
                  <c:v>823.18333333333328</c:v>
                </c:pt>
                <c:pt idx="33">
                  <c:v>830.72</c:v>
                </c:pt>
                <c:pt idx="34">
                  <c:v>838.25666666666666</c:v>
                </c:pt>
                <c:pt idx="35">
                  <c:v>845.79333333333329</c:v>
                </c:pt>
                <c:pt idx="36">
                  <c:v>853.32999999999993</c:v>
                </c:pt>
                <c:pt idx="37">
                  <c:v>860.86666666666667</c:v>
                </c:pt>
                <c:pt idx="38">
                  <c:v>868.40333333333331</c:v>
                </c:pt>
                <c:pt idx="39">
                  <c:v>875.93999999999994</c:v>
                </c:pt>
                <c:pt idx="40">
                  <c:v>883.47666666666669</c:v>
                </c:pt>
                <c:pt idx="41">
                  <c:v>891.01333333333332</c:v>
                </c:pt>
                <c:pt idx="42">
                  <c:v>898.55</c:v>
                </c:pt>
                <c:pt idx="43">
                  <c:v>906.08666666666659</c:v>
                </c:pt>
                <c:pt idx="44">
                  <c:v>913.62333333333322</c:v>
                </c:pt>
                <c:pt idx="45">
                  <c:v>921.16</c:v>
                </c:pt>
                <c:pt idx="46">
                  <c:v>928.6966666666666</c:v>
                </c:pt>
                <c:pt idx="47">
                  <c:v>936.23333333333335</c:v>
                </c:pt>
                <c:pt idx="48">
                  <c:v>943.77</c:v>
                </c:pt>
                <c:pt idx="49">
                  <c:v>951.30666666666662</c:v>
                </c:pt>
                <c:pt idx="50">
                  <c:v>958.84333333333325</c:v>
                </c:pt>
                <c:pt idx="51">
                  <c:v>966.37999999999988</c:v>
                </c:pt>
                <c:pt idx="52">
                  <c:v>973.91666666666663</c:v>
                </c:pt>
                <c:pt idx="53">
                  <c:v>981.45333333333338</c:v>
                </c:pt>
                <c:pt idx="54">
                  <c:v>988.99</c:v>
                </c:pt>
                <c:pt idx="55">
                  <c:v>996.52666666666664</c:v>
                </c:pt>
                <c:pt idx="56">
                  <c:v>1004.0633333333333</c:v>
                </c:pt>
                <c:pt idx="57">
                  <c:v>1011.5999999999999</c:v>
                </c:pt>
                <c:pt idx="58">
                  <c:v>1019.1366666666667</c:v>
                </c:pt>
                <c:pt idx="59">
                  <c:v>1026.6733333333334</c:v>
                </c:pt>
                <c:pt idx="60">
                  <c:v>1034.21</c:v>
                </c:pt>
                <c:pt idx="61">
                  <c:v>1041.7466666666667</c:v>
                </c:pt>
                <c:pt idx="62">
                  <c:v>1049.2833333333333</c:v>
                </c:pt>
                <c:pt idx="63">
                  <c:v>1056.82</c:v>
                </c:pt>
                <c:pt idx="64">
                  <c:v>1064.3566666666666</c:v>
                </c:pt>
                <c:pt idx="65">
                  <c:v>1071.8933333333334</c:v>
                </c:pt>
                <c:pt idx="66">
                  <c:v>1079.43</c:v>
                </c:pt>
                <c:pt idx="67">
                  <c:v>1086.9666666666667</c:v>
                </c:pt>
                <c:pt idx="68">
                  <c:v>1094.5033333333333</c:v>
                </c:pt>
                <c:pt idx="69">
                  <c:v>1102.04</c:v>
                </c:pt>
                <c:pt idx="70">
                  <c:v>1109.5766666666666</c:v>
                </c:pt>
                <c:pt idx="71">
                  <c:v>1117.1133333333332</c:v>
                </c:pt>
                <c:pt idx="72">
                  <c:v>1124.6500000000001</c:v>
                </c:pt>
                <c:pt idx="73">
                  <c:v>1132.1866666666665</c:v>
                </c:pt>
                <c:pt idx="74">
                  <c:v>1139.7233333333334</c:v>
                </c:pt>
                <c:pt idx="75">
                  <c:v>1147.26</c:v>
                </c:pt>
                <c:pt idx="76">
                  <c:v>1154.7966666666666</c:v>
                </c:pt>
                <c:pt idx="77">
                  <c:v>1162.3333333333333</c:v>
                </c:pt>
                <c:pt idx="78">
                  <c:v>1169.8699999999999</c:v>
                </c:pt>
                <c:pt idx="79">
                  <c:v>1177.4066666666668</c:v>
                </c:pt>
                <c:pt idx="80">
                  <c:v>1184.9433333333332</c:v>
                </c:pt>
                <c:pt idx="81">
                  <c:v>1192.48</c:v>
                </c:pt>
                <c:pt idx="82">
                  <c:v>1200.0166666666667</c:v>
                </c:pt>
                <c:pt idx="83">
                  <c:v>1207.5533333333333</c:v>
                </c:pt>
                <c:pt idx="84">
                  <c:v>1215.0900000000001</c:v>
                </c:pt>
                <c:pt idx="85">
                  <c:v>1222.6266666666666</c:v>
                </c:pt>
                <c:pt idx="86">
                  <c:v>1230.1633333333334</c:v>
                </c:pt>
                <c:pt idx="87">
                  <c:v>1237.6999999999998</c:v>
                </c:pt>
                <c:pt idx="88">
                  <c:v>1245.2366666666667</c:v>
                </c:pt>
                <c:pt idx="89">
                  <c:v>1252.7733333333333</c:v>
                </c:pt>
                <c:pt idx="90">
                  <c:v>1260.31</c:v>
                </c:pt>
                <c:pt idx="91">
                  <c:v>1267.8466666666668</c:v>
                </c:pt>
                <c:pt idx="92">
                  <c:v>1275.3833333333332</c:v>
                </c:pt>
                <c:pt idx="93">
                  <c:v>1282.92</c:v>
                </c:pt>
                <c:pt idx="94">
                  <c:v>1290.4566666666665</c:v>
                </c:pt>
                <c:pt idx="95">
                  <c:v>1297.9933333333333</c:v>
                </c:pt>
                <c:pt idx="96">
                  <c:v>1305.53</c:v>
                </c:pt>
                <c:pt idx="97">
                  <c:v>1313.0666666666666</c:v>
                </c:pt>
                <c:pt idx="98">
                  <c:v>1320.6033333333335</c:v>
                </c:pt>
                <c:pt idx="99">
                  <c:v>1328.1399999999999</c:v>
                </c:pt>
                <c:pt idx="100">
                  <c:v>1335.6766666666667</c:v>
                </c:pt>
                <c:pt idx="101">
                  <c:v>1343.2133333333331</c:v>
                </c:pt>
                <c:pt idx="102">
                  <c:v>1350.75</c:v>
                </c:pt>
                <c:pt idx="103">
                  <c:v>1358.2866666666666</c:v>
                </c:pt>
                <c:pt idx="104">
                  <c:v>1365.8233333333333</c:v>
                </c:pt>
                <c:pt idx="105">
                  <c:v>1373.36</c:v>
                </c:pt>
                <c:pt idx="106">
                  <c:v>1380.8966666666665</c:v>
                </c:pt>
                <c:pt idx="107">
                  <c:v>1388.4333333333334</c:v>
                </c:pt>
                <c:pt idx="108">
                  <c:v>1395.9699999999998</c:v>
                </c:pt>
                <c:pt idx="109">
                  <c:v>1403.5066666666667</c:v>
                </c:pt>
                <c:pt idx="110">
                  <c:v>1411.0433333333333</c:v>
                </c:pt>
                <c:pt idx="111">
                  <c:v>1418.58</c:v>
                </c:pt>
                <c:pt idx="112">
                  <c:v>1426.1166666666666</c:v>
                </c:pt>
                <c:pt idx="113">
                  <c:v>1433.6533333333332</c:v>
                </c:pt>
                <c:pt idx="114">
                  <c:v>1441.19</c:v>
                </c:pt>
                <c:pt idx="115">
                  <c:v>1448.7266666666665</c:v>
                </c:pt>
                <c:pt idx="116">
                  <c:v>1456.2633333333333</c:v>
                </c:pt>
                <c:pt idx="117">
                  <c:v>1463.8</c:v>
                </c:pt>
                <c:pt idx="118">
                  <c:v>1471.3366666666666</c:v>
                </c:pt>
                <c:pt idx="119">
                  <c:v>1478.8733333333332</c:v>
                </c:pt>
                <c:pt idx="120">
                  <c:v>1486.4099999999999</c:v>
                </c:pt>
                <c:pt idx="121">
                  <c:v>1493.9466666666667</c:v>
                </c:pt>
                <c:pt idx="122">
                  <c:v>1501.4833333333331</c:v>
                </c:pt>
                <c:pt idx="123">
                  <c:v>1509.02</c:v>
                </c:pt>
                <c:pt idx="124">
                  <c:v>1516.5566666666664</c:v>
                </c:pt>
                <c:pt idx="125">
                  <c:v>1524.0933333333332</c:v>
                </c:pt>
                <c:pt idx="126">
                  <c:v>1531.6299999999999</c:v>
                </c:pt>
                <c:pt idx="127">
                  <c:v>1539.1666666666665</c:v>
                </c:pt>
                <c:pt idx="128">
                  <c:v>1546.7033333333334</c:v>
                </c:pt>
                <c:pt idx="129">
                  <c:v>1554.2399999999998</c:v>
                </c:pt>
                <c:pt idx="130">
                  <c:v>1561.7766666666666</c:v>
                </c:pt>
                <c:pt idx="131">
                  <c:v>1569.313333333333</c:v>
                </c:pt>
                <c:pt idx="132">
                  <c:v>1576.85</c:v>
                </c:pt>
                <c:pt idx="133">
                  <c:v>1584.3866666666665</c:v>
                </c:pt>
                <c:pt idx="134">
                  <c:v>1591.9233333333332</c:v>
                </c:pt>
                <c:pt idx="135">
                  <c:v>1599.46</c:v>
                </c:pt>
                <c:pt idx="136">
                  <c:v>1606.9966666666667</c:v>
                </c:pt>
                <c:pt idx="137">
                  <c:v>1614.5333333333333</c:v>
                </c:pt>
                <c:pt idx="138">
                  <c:v>1622.07</c:v>
                </c:pt>
                <c:pt idx="139">
                  <c:v>1629.6066666666666</c:v>
                </c:pt>
                <c:pt idx="140">
                  <c:v>1637.1433333333332</c:v>
                </c:pt>
                <c:pt idx="141">
                  <c:v>1644.68</c:v>
                </c:pt>
                <c:pt idx="142">
                  <c:v>1652.2166666666665</c:v>
                </c:pt>
                <c:pt idx="143">
                  <c:v>1659.7533333333333</c:v>
                </c:pt>
                <c:pt idx="144">
                  <c:v>1667.29</c:v>
                </c:pt>
                <c:pt idx="145">
                  <c:v>1674.8266666666666</c:v>
                </c:pt>
                <c:pt idx="146">
                  <c:v>1682.3633333333332</c:v>
                </c:pt>
                <c:pt idx="147">
                  <c:v>1689.8999999999999</c:v>
                </c:pt>
                <c:pt idx="148">
                  <c:v>1697.4366666666667</c:v>
                </c:pt>
                <c:pt idx="149">
                  <c:v>1704.9733333333331</c:v>
                </c:pt>
                <c:pt idx="150">
                  <c:v>1712.51</c:v>
                </c:pt>
                <c:pt idx="151">
                  <c:v>1720.0466666666666</c:v>
                </c:pt>
                <c:pt idx="152">
                  <c:v>1727.5833333333333</c:v>
                </c:pt>
                <c:pt idx="153">
                  <c:v>1735.12</c:v>
                </c:pt>
                <c:pt idx="154">
                  <c:v>1742.6566666666665</c:v>
                </c:pt>
                <c:pt idx="155">
                  <c:v>1750.1933333333334</c:v>
                </c:pt>
                <c:pt idx="156">
                  <c:v>1757.7299999999998</c:v>
                </c:pt>
                <c:pt idx="157">
                  <c:v>1765.2666666666667</c:v>
                </c:pt>
                <c:pt idx="158">
                  <c:v>1772.8033333333333</c:v>
                </c:pt>
                <c:pt idx="159">
                  <c:v>1780.34</c:v>
                </c:pt>
                <c:pt idx="160">
                  <c:v>1787.8766666666666</c:v>
                </c:pt>
              </c:numCache>
            </c:numRef>
          </c:val>
          <c:smooth val="0"/>
          <c:extLst>
            <c:ext xmlns:c16="http://schemas.microsoft.com/office/drawing/2014/chart" uri="{C3380CC4-5D6E-409C-BE32-E72D297353CC}">
              <c16:uniqueId val="{00000001-CEA8-6B4C-B071-EBC2A4CE7FAD}"/>
            </c:ext>
          </c:extLst>
        </c:ser>
        <c:dLbls>
          <c:showLegendKey val="0"/>
          <c:showVal val="0"/>
          <c:showCatName val="0"/>
          <c:showSerName val="0"/>
          <c:showPercent val="0"/>
          <c:showBubbleSize val="0"/>
        </c:dLbls>
        <c:hiLowLines>
          <c:spPr>
            <a:ln w="0">
              <a:noFill/>
            </a:ln>
          </c:spPr>
        </c:hiLowLines>
        <c:marker val="1"/>
        <c:smooth val="0"/>
        <c:axId val="53239692"/>
        <c:axId val="86499093"/>
      </c:lineChart>
      <c:dateAx>
        <c:axId val="89563836"/>
        <c:scaling>
          <c:orientation val="minMax"/>
        </c:scaling>
        <c:delete val="1"/>
        <c:axPos val="b"/>
        <c:numFmt formatCode="mm/dd/yyyy" sourceLinked="1"/>
        <c:majorTickMark val="none"/>
        <c:minorTickMark val="none"/>
        <c:tickLblPos val="nextTo"/>
        <c:crossAx val="5490449"/>
        <c:crosses val="autoZero"/>
        <c:auto val="1"/>
        <c:lblOffset val="100"/>
        <c:baseTimeUnit val="days"/>
      </c:dateAx>
      <c:valAx>
        <c:axId val="54904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9563836"/>
        <c:crosses val="autoZero"/>
        <c:crossBetween val="between"/>
      </c:valAx>
      <c:dateAx>
        <c:axId val="53239692"/>
        <c:scaling>
          <c:orientation val="minMax"/>
        </c:scaling>
        <c:delete val="1"/>
        <c:axPos val="b"/>
        <c:numFmt formatCode="mm/dd/yyyy" sourceLinked="1"/>
        <c:majorTickMark val="none"/>
        <c:minorTickMark val="none"/>
        <c:tickLblPos val="nextTo"/>
        <c:crossAx val="86499093"/>
        <c:crosses val="autoZero"/>
        <c:auto val="1"/>
        <c:lblOffset val="100"/>
        <c:baseTimeUnit val="days"/>
      </c:dateAx>
      <c:valAx>
        <c:axId val="864990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323969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(Calc)'!$E$3:$E$500</c:f>
              <c:numCache>
                <c:formatCode>0.0%</c:formatCode>
                <c:ptCount val="498"/>
                <c:pt idx="0">
                  <c:v>-2.1219512195121859E-2</c:v>
                </c:pt>
                <c:pt idx="1">
                  <c:v>1.8689259905306788E-3</c:v>
                </c:pt>
                <c:pt idx="2">
                  <c:v>1.7659495087675614E-2</c:v>
                </c:pt>
                <c:pt idx="3">
                  <c:v>4.4849077355493039E-2</c:v>
                </c:pt>
                <c:pt idx="4">
                  <c:v>-3.3450292397660841E-2</c:v>
                </c:pt>
                <c:pt idx="5">
                  <c:v>-1.7909002904162641E-2</c:v>
                </c:pt>
                <c:pt idx="6">
                  <c:v>5.2858551010350086E-2</c:v>
                </c:pt>
                <c:pt idx="7">
                  <c:v>8.4727911059098826E-2</c:v>
                </c:pt>
                <c:pt idx="8">
                  <c:v>2.1145754666091365E-2</c:v>
                </c:pt>
                <c:pt idx="9">
                  <c:v>1.1621764395139955E-3</c:v>
                </c:pt>
                <c:pt idx="10">
                  <c:v>-4.9915576192486322E-2</c:v>
                </c:pt>
                <c:pt idx="11">
                  <c:v>1.5328223925358264E-2</c:v>
                </c:pt>
                <c:pt idx="12">
                  <c:v>0.19647740947379955</c:v>
                </c:pt>
                <c:pt idx="13">
                  <c:v>-2.377251531498592E-3</c:v>
                </c:pt>
                <c:pt idx="14">
                  <c:v>-5.0407845293739539E-3</c:v>
                </c:pt>
                <c:pt idx="15">
                  <c:v>-6.0058953574060436E-2</c:v>
                </c:pt>
                <c:pt idx="16">
                  <c:v>5.5664445315562361E-2</c:v>
                </c:pt>
                <c:pt idx="17">
                  <c:v>9.3483104344597168E-2</c:v>
                </c:pt>
                <c:pt idx="18">
                  <c:v>-5.1787078699380151E-3</c:v>
                </c:pt>
                <c:pt idx="19">
                  <c:v>1.6129032258064502E-2</c:v>
                </c:pt>
                <c:pt idx="20">
                  <c:v>4.8290921306794354E-2</c:v>
                </c:pt>
                <c:pt idx="21">
                  <c:v>-2.9642685467072494E-2</c:v>
                </c:pt>
                <c:pt idx="22">
                  <c:v>4.0868560105680185E-2</c:v>
                </c:pt>
                <c:pt idx="23">
                  <c:v>7.9321012136114755E-2</c:v>
                </c:pt>
                <c:pt idx="24">
                  <c:v>-6.4672594987873921E-2</c:v>
                </c:pt>
                <c:pt idx="25">
                  <c:v>-5.5944055944055826E-2</c:v>
                </c:pt>
                <c:pt idx="26">
                  <c:v>0.10020807324178094</c:v>
                </c:pt>
                <c:pt idx="27">
                  <c:v>-2.0727740373704617E-2</c:v>
                </c:pt>
                <c:pt idx="28">
                  <c:v>1.0583236770953963E-2</c:v>
                </c:pt>
                <c:pt idx="29">
                  <c:v>3.4398410029048421E-3</c:v>
                </c:pt>
                <c:pt idx="30">
                  <c:v>-0.10367943932353174</c:v>
                </c:pt>
                <c:pt idx="31">
                  <c:v>0.1156722760496347</c:v>
                </c:pt>
                <c:pt idx="32">
                  <c:v>-4.9059190980422107E-2</c:v>
                </c:pt>
                <c:pt idx="33">
                  <c:v>4.2778178322518512E-2</c:v>
                </c:pt>
                <c:pt idx="34">
                  <c:v>4.6861796112775744E-2</c:v>
                </c:pt>
                <c:pt idx="35">
                  <c:v>9.0261979892858335E-3</c:v>
                </c:pt>
                <c:pt idx="36">
                  <c:v>-5.6363636363636394E-2</c:v>
                </c:pt>
                <c:pt idx="37">
                  <c:v>5.8805394990365967E-2</c:v>
                </c:pt>
                <c:pt idx="38">
                  <c:v>0.23344009317222292</c:v>
                </c:pt>
                <c:pt idx="39">
                  <c:v>-4.4024786072587641E-2</c:v>
                </c:pt>
                <c:pt idx="40">
                  <c:v>-2.8952404469411719E-2</c:v>
                </c:pt>
                <c:pt idx="41">
                  <c:v>6.0902733630006312E-2</c:v>
                </c:pt>
                <c:pt idx="42">
                  <c:v>-1.5580057526365376E-3</c:v>
                </c:pt>
                <c:pt idx="43">
                  <c:v>-7.4780938662825647E-2</c:v>
                </c:pt>
                <c:pt idx="44">
                  <c:v>-3.6325895173845324E-2</c:v>
                </c:pt>
                <c:pt idx="45">
                  <c:v>-5.1494345718901546E-2</c:v>
                </c:pt>
                <c:pt idx="46">
                  <c:v>3.0870768575686602E-2</c:v>
                </c:pt>
                <c:pt idx="47">
                  <c:v>0.11778879250998231</c:v>
                </c:pt>
                <c:pt idx="48">
                  <c:v>3.8184393668780903E-3</c:v>
                </c:pt>
                <c:pt idx="49">
                  <c:v>-2.1289649671758948E-2</c:v>
                </c:pt>
                <c:pt idx="50">
                  <c:v>-0.15853811434302922</c:v>
                </c:pt>
                <c:pt idx="51">
                  <c:v>0.22401847575057765</c:v>
                </c:pt>
                <c:pt idx="52">
                  <c:v>2.3676202069385255E-2</c:v>
                </c:pt>
                <c:pt idx="53">
                  <c:v>9.2752244485403423E-3</c:v>
                </c:pt>
                <c:pt idx="54">
                  <c:v>2.2857142857142909E-2</c:v>
                </c:pt>
                <c:pt idx="55">
                  <c:v>2.7414617289638787E-2</c:v>
                </c:pt>
                <c:pt idx="56">
                  <c:v>-8.7448848029596515E-3</c:v>
                </c:pt>
                <c:pt idx="57">
                  <c:v>-3.8285358819204918E-2</c:v>
                </c:pt>
                <c:pt idx="58">
                  <c:v>-2.3638715747383299E-2</c:v>
                </c:pt>
                <c:pt idx="59">
                  <c:v>8.7147675258973711E-2</c:v>
                </c:pt>
                <c:pt idx="60">
                  <c:v>-0.10237659963436918</c:v>
                </c:pt>
                <c:pt idx="61">
                  <c:v>-3.7030179596371227E-3</c:v>
                </c:pt>
                <c:pt idx="62">
                  <c:v>-1.3070680790435607E-2</c:v>
                </c:pt>
                <c:pt idx="63">
                  <c:v>0.10764499121265381</c:v>
                </c:pt>
                <c:pt idx="64">
                  <c:v>0.25216750722502401</c:v>
                </c:pt>
                <c:pt idx="65">
                  <c:v>-1.7830474725075818E-2</c:v>
                </c:pt>
                <c:pt idx="66">
                  <c:v>9.7866654379578977E-2</c:v>
                </c:pt>
                <c:pt idx="67">
                  <c:v>-3.8066059512318007E-2</c:v>
                </c:pt>
                <c:pt idx="68">
                  <c:v>-3.5427574171029597E-2</c:v>
                </c:pt>
                <c:pt idx="69">
                  <c:v>5.853084856160673E-2</c:v>
                </c:pt>
                <c:pt idx="70">
                  <c:v>3.0595675583283466E-2</c:v>
                </c:pt>
                <c:pt idx="71">
                  <c:v>-9.5737623351853429E-2</c:v>
                </c:pt>
                <c:pt idx="72">
                  <c:v>1.6231830895501842E-2</c:v>
                </c:pt>
                <c:pt idx="73">
                  <c:v>3.6366917836033075E-2</c:v>
                </c:pt>
                <c:pt idx="74">
                  <c:v>-6.1735382472027589E-2</c:v>
                </c:pt>
                <c:pt idx="75">
                  <c:v>-8.7930954480070489E-2</c:v>
                </c:pt>
                <c:pt idx="76">
                  <c:v>-2.238502238502238E-2</c:v>
                </c:pt>
                <c:pt idx="77">
                  <c:v>2.9662781015820094E-3</c:v>
                </c:pt>
                <c:pt idx="78">
                  <c:v>-1.6914854978467231E-2</c:v>
                </c:pt>
                <c:pt idx="79">
                  <c:v>-0.1175911753839658</c:v>
                </c:pt>
                <c:pt idx="80">
                  <c:v>-0.13499611220766783</c:v>
                </c:pt>
                <c:pt idx="81">
                  <c:v>0.24367307426358731</c:v>
                </c:pt>
                <c:pt idx="82">
                  <c:v>-6.0157900589347335E-2</c:v>
                </c:pt>
                <c:pt idx="83">
                  <c:v>0.12470421202082349</c:v>
                </c:pt>
                <c:pt idx="84">
                  <c:v>5.8910162002945521E-2</c:v>
                </c:pt>
                <c:pt idx="85">
                  <c:v>2.2402145837472798E-2</c:v>
                </c:pt>
                <c:pt idx="86">
                  <c:v>9.7993489773113618E-2</c:v>
                </c:pt>
                <c:pt idx="87">
                  <c:v>4.8672566371688042E-4</c:v>
                </c:pt>
                <c:pt idx="88">
                  <c:v>5.8378665251426209E-2</c:v>
                </c:pt>
                <c:pt idx="89">
                  <c:v>2.0057665789143808E-2</c:v>
                </c:pt>
                <c:pt idx="90">
                  <c:v>7.1688992667240381E-3</c:v>
                </c:pt>
                <c:pt idx="91">
                  <c:v>7.5652810542583548E-3</c:v>
                </c:pt>
                <c:pt idx="92">
                  <c:v>7.7426126271596951E-2</c:v>
                </c:pt>
                <c:pt idx="93">
                  <c:v>2.165605095541423E-2</c:v>
                </c:pt>
                <c:pt idx="94">
                  <c:v>-2.8971688425994957E-3</c:v>
                </c:pt>
                <c:pt idx="95">
                  <c:v>3.2660267019750666E-2</c:v>
                </c:pt>
                <c:pt idx="96">
                  <c:v>2.4147879046906739E-2</c:v>
                </c:pt>
                <c:pt idx="97">
                  <c:v>-5.3208137715180515E-3</c:v>
                </c:pt>
                <c:pt idx="98">
                  <c:v>5.6569470666387067E-2</c:v>
                </c:pt>
                <c:pt idx="99">
                  <c:v>4.5003309066844466E-3</c:v>
                </c:pt>
                <c:pt idx="100">
                  <c:v>-4.0288575569903839E-2</c:v>
                </c:pt>
                <c:pt idx="101">
                  <c:v>1.1533312738132073E-2</c:v>
                </c:pt>
                <c:pt idx="102">
                  <c:v>0.12609861210085183</c:v>
                </c:pt>
                <c:pt idx="103">
                  <c:v>7.4581889407864921E-2</c:v>
                </c:pt>
                <c:pt idx="104">
                  <c:v>-4.1475042063937262E-2</c:v>
                </c:pt>
                <c:pt idx="105">
                  <c:v>-2.8524618940346969E-2</c:v>
                </c:pt>
                <c:pt idx="106">
                  <c:v>1.1473830030717336E-2</c:v>
                </c:pt>
                <c:pt idx="107">
                  <c:v>-4.0610950665435963E-2</c:v>
                </c:pt>
                <c:pt idx="108">
                  <c:v>7.6094714955156295E-2</c:v>
                </c:pt>
                <c:pt idx="109">
                  <c:v>1.3756308579668364E-2</c:v>
                </c:pt>
                <c:pt idx="110">
                  <c:v>4.3752844788347733E-2</c:v>
                </c:pt>
                <c:pt idx="111">
                  <c:v>-5.4647042790951117E-2</c:v>
                </c:pt>
                <c:pt idx="112">
                  <c:v>-1.9950987458555614E-2</c:v>
                </c:pt>
                <c:pt idx="113">
                  <c:v>-6.5895919748183429E-3</c:v>
                </c:pt>
                <c:pt idx="114">
                  <c:v>0.18448873226924101</c:v>
                </c:pt>
                <c:pt idx="115">
                  <c:v>-3.1575789394734821E-2</c:v>
                </c:pt>
                <c:pt idx="116">
                  <c:v>-7.7679677819083137E-2</c:v>
                </c:pt>
                <c:pt idx="117">
                  <c:v>-5.4356649032944127E-2</c:v>
                </c:pt>
                <c:pt idx="118">
                  <c:v>3.6554684031374851E-2</c:v>
                </c:pt>
                <c:pt idx="119">
                  <c:v>-1.282124500285553E-2</c:v>
                </c:pt>
                <c:pt idx="120">
                  <c:v>-7.6075323247808413E-3</c:v>
                </c:pt>
                <c:pt idx="121">
                  <c:v>1.9528972834324421E-2</c:v>
                </c:pt>
                <c:pt idx="122">
                  <c:v>-8.9999428212018895E-2</c:v>
                </c:pt>
                <c:pt idx="123">
                  <c:v>3.5124096764059143E-2</c:v>
                </c:pt>
                <c:pt idx="124">
                  <c:v>4.916838654850153E-3</c:v>
                </c:pt>
                <c:pt idx="125">
                  <c:v>-2.3286016309272184E-2</c:v>
                </c:pt>
                <c:pt idx="126">
                  <c:v>2.3006277250378737E-2</c:v>
                </c:pt>
                <c:pt idx="127">
                  <c:v>-3.93857872623401E-2</c:v>
                </c:pt>
                <c:pt idx="128">
                  <c:v>3.4203901825047289E-2</c:v>
                </c:pt>
                <c:pt idx="129">
                  <c:v>-2.519244226731987E-2</c:v>
                </c:pt>
                <c:pt idx="130">
                  <c:v>-3.6143450170105118E-2</c:v>
                </c:pt>
                <c:pt idx="131">
                  <c:v>-2.962986949904467E-2</c:v>
                </c:pt>
                <c:pt idx="132">
                  <c:v>4.6118934792765076E-2</c:v>
                </c:pt>
                <c:pt idx="133">
                  <c:v>0.18122368253158094</c:v>
                </c:pt>
                <c:pt idx="134">
                  <c:v>9.4169434767344518E-2</c:v>
                </c:pt>
                <c:pt idx="135">
                  <c:v>3.9885477342284537E-2</c:v>
                </c:pt>
                <c:pt idx="136">
                  <c:v>-3.4890344631158809E-3</c:v>
                </c:pt>
                <c:pt idx="137">
                  <c:v>2.0697868286292609E-2</c:v>
                </c:pt>
                <c:pt idx="138">
                  <c:v>-1.1177486348998955E-2</c:v>
                </c:pt>
                <c:pt idx="139">
                  <c:v>-2.6005899705014657E-2</c:v>
                </c:pt>
                <c:pt idx="140">
                  <c:v>7.8792430887020481E-2</c:v>
                </c:pt>
                <c:pt idx="141">
                  <c:v>-0.13661987647389107</c:v>
                </c:pt>
                <c:pt idx="142">
                  <c:v>-9.4948233702721874E-3</c:v>
                </c:pt>
                <c:pt idx="143">
                  <c:v>7.6634188617800802E-2</c:v>
                </c:pt>
                <c:pt idx="144">
                  <c:v>-0.11120868398585193</c:v>
                </c:pt>
                <c:pt idx="145">
                  <c:v>-1.2542540344714026E-2</c:v>
                </c:pt>
                <c:pt idx="146">
                  <c:v>0.10964729425498199</c:v>
                </c:pt>
                <c:pt idx="147">
                  <c:v>-7.283839294659844E-2</c:v>
                </c:pt>
                <c:pt idx="148">
                  <c:v>2.9905986600389012E-2</c:v>
                </c:pt>
                <c:pt idx="149">
                  <c:v>1.9253469034441029E-2</c:v>
                </c:pt>
                <c:pt idx="150">
                  <c:v>9.8849628123632849E-2</c:v>
                </c:pt>
                <c:pt idx="151">
                  <c:v>-8.1268443486814501E-2</c:v>
                </c:pt>
                <c:pt idx="152">
                  <c:v>-6.2455389007851525E-2</c:v>
                </c:pt>
                <c:pt idx="153">
                  <c:v>9.2446571319815263E-4</c:v>
                </c:pt>
                <c:pt idx="154">
                  <c:v>-2.9528414647397638E-2</c:v>
                </c:pt>
                <c:pt idx="155">
                  <c:v>1.1420573827851666E-2</c:v>
                </c:pt>
                <c:pt idx="156">
                  <c:v>-1.2094207511139432E-2</c:v>
                </c:pt>
                <c:pt idx="157">
                  <c:v>-1.1625952487673619E-2</c:v>
                </c:pt>
                <c:pt idx="158">
                  <c:v>6.6041211983787207E-3</c:v>
                </c:pt>
                <c:pt idx="159">
                  <c:v>1.8021062116348574E-2</c:v>
                </c:pt>
                <c:pt idx="160">
                  <c:v>0</c:v>
                </c:pt>
              </c:numCache>
            </c:numRef>
          </c:val>
          <c:extLst>
            <c:ext xmlns:c16="http://schemas.microsoft.com/office/drawing/2014/chart" uri="{C3380CC4-5D6E-409C-BE32-E72D297353CC}">
              <c16:uniqueId val="{00000000-4D71-214C-AC27-F05867B835F8}"/>
            </c:ext>
          </c:extLst>
        </c:ser>
        <c:dLbls>
          <c:showLegendKey val="0"/>
          <c:showVal val="0"/>
          <c:showCatName val="0"/>
          <c:showSerName val="0"/>
          <c:showPercent val="0"/>
          <c:showBubbleSize val="0"/>
        </c:dLbls>
        <c:gapWidth val="150"/>
        <c:axId val="87862032"/>
        <c:axId val="98771277"/>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(Calc)'!$Z$3:$Z$500</c:f>
              <c:numCache>
                <c:formatCode>#,##0.00</c:formatCode>
                <c:ptCount val="498"/>
                <c:pt idx="0">
                  <c:v>82</c:v>
                </c:pt>
                <c:pt idx="1">
                  <c:v>83.758113207547169</c:v>
                </c:pt>
                <c:pt idx="2">
                  <c:v>85.516226415094337</c:v>
                </c:pt>
                <c:pt idx="3">
                  <c:v>87.274339622641506</c:v>
                </c:pt>
                <c:pt idx="4">
                  <c:v>89.032452830188674</c:v>
                </c:pt>
                <c:pt idx="5">
                  <c:v>90.790566037735857</c:v>
                </c:pt>
                <c:pt idx="6">
                  <c:v>92.548679245283026</c:v>
                </c:pt>
                <c:pt idx="7">
                  <c:v>94.306792452830194</c:v>
                </c:pt>
                <c:pt idx="8">
                  <c:v>96.064905660377363</c:v>
                </c:pt>
                <c:pt idx="9">
                  <c:v>97.823018867924532</c:v>
                </c:pt>
                <c:pt idx="10">
                  <c:v>99.5811320754717</c:v>
                </c:pt>
                <c:pt idx="11">
                  <c:v>101.33924528301887</c:v>
                </c:pt>
                <c:pt idx="12">
                  <c:v>103.09735849056604</c:v>
                </c:pt>
                <c:pt idx="13">
                  <c:v>104.85547169811321</c:v>
                </c:pt>
                <c:pt idx="14">
                  <c:v>106.61358490566037</c:v>
                </c:pt>
                <c:pt idx="15">
                  <c:v>108.37169811320754</c:v>
                </c:pt>
                <c:pt idx="16">
                  <c:v>110.12981132075473</c:v>
                </c:pt>
                <c:pt idx="17">
                  <c:v>111.88792452830188</c:v>
                </c:pt>
                <c:pt idx="18">
                  <c:v>113.64603773584906</c:v>
                </c:pt>
                <c:pt idx="19">
                  <c:v>115.40415094339622</c:v>
                </c:pt>
                <c:pt idx="20">
                  <c:v>117.1622641509434</c:v>
                </c:pt>
                <c:pt idx="21">
                  <c:v>118.92037735849057</c:v>
                </c:pt>
                <c:pt idx="22">
                  <c:v>120.67849056603774</c:v>
                </c:pt>
                <c:pt idx="23">
                  <c:v>122.43660377358491</c:v>
                </c:pt>
                <c:pt idx="24">
                  <c:v>124.19471698113207</c:v>
                </c:pt>
                <c:pt idx="25">
                  <c:v>125.95283018867926</c:v>
                </c:pt>
                <c:pt idx="26">
                  <c:v>127.71094339622641</c:v>
                </c:pt>
                <c:pt idx="27">
                  <c:v>129.46905660377359</c:v>
                </c:pt>
                <c:pt idx="28">
                  <c:v>131.22716981132075</c:v>
                </c:pt>
                <c:pt idx="29">
                  <c:v>132.98528301886793</c:v>
                </c:pt>
                <c:pt idx="30">
                  <c:v>134.74339622641509</c:v>
                </c:pt>
                <c:pt idx="31">
                  <c:v>136.50150943396227</c:v>
                </c:pt>
                <c:pt idx="32">
                  <c:v>138.25962264150945</c:v>
                </c:pt>
                <c:pt idx="33">
                  <c:v>140.01773584905661</c:v>
                </c:pt>
                <c:pt idx="34">
                  <c:v>141.77584905660376</c:v>
                </c:pt>
                <c:pt idx="35">
                  <c:v>143.53396226415094</c:v>
                </c:pt>
                <c:pt idx="36">
                  <c:v>145.29207547169813</c:v>
                </c:pt>
                <c:pt idx="37">
                  <c:v>147.05018867924531</c:v>
                </c:pt>
                <c:pt idx="38">
                  <c:v>148.80830188679244</c:v>
                </c:pt>
                <c:pt idx="39">
                  <c:v>150.56641509433962</c:v>
                </c:pt>
                <c:pt idx="40">
                  <c:v>152.3245283018868</c:v>
                </c:pt>
                <c:pt idx="41">
                  <c:v>154.08264150943398</c:v>
                </c:pt>
                <c:pt idx="42">
                  <c:v>155.84075471698114</c:v>
                </c:pt>
                <c:pt idx="43">
                  <c:v>157.59886792452829</c:v>
                </c:pt>
                <c:pt idx="44">
                  <c:v>159.35698113207548</c:v>
                </c:pt>
                <c:pt idx="45">
                  <c:v>161.11509433962266</c:v>
                </c:pt>
                <c:pt idx="46">
                  <c:v>162.87320754716981</c:v>
                </c:pt>
                <c:pt idx="47">
                  <c:v>164.63132075471697</c:v>
                </c:pt>
                <c:pt idx="48">
                  <c:v>166.38943396226415</c:v>
                </c:pt>
                <c:pt idx="49">
                  <c:v>168.14754716981133</c:v>
                </c:pt>
                <c:pt idx="50">
                  <c:v>169.90566037735852</c:v>
                </c:pt>
                <c:pt idx="51">
                  <c:v>171.66377358490567</c:v>
                </c:pt>
                <c:pt idx="52">
                  <c:v>173.42188679245282</c:v>
                </c:pt>
                <c:pt idx="53">
                  <c:v>175.18</c:v>
                </c:pt>
                <c:pt idx="54">
                  <c:v>176.93811320754719</c:v>
                </c:pt>
                <c:pt idx="55">
                  <c:v>178.69622641509434</c:v>
                </c:pt>
                <c:pt idx="56">
                  <c:v>180.4543396226415</c:v>
                </c:pt>
                <c:pt idx="57">
                  <c:v>182.21245283018868</c:v>
                </c:pt>
                <c:pt idx="58">
                  <c:v>183.97056603773586</c:v>
                </c:pt>
                <c:pt idx="59">
                  <c:v>185.72867924528302</c:v>
                </c:pt>
                <c:pt idx="60">
                  <c:v>187.4867924528302</c:v>
                </c:pt>
                <c:pt idx="61">
                  <c:v>189.24490566037736</c:v>
                </c:pt>
                <c:pt idx="62">
                  <c:v>191.00301886792454</c:v>
                </c:pt>
                <c:pt idx="63">
                  <c:v>192.76113207547172</c:v>
                </c:pt>
                <c:pt idx="64">
                  <c:v>194.51924528301888</c:v>
                </c:pt>
                <c:pt idx="65">
                  <c:v>196.27735849056606</c:v>
                </c:pt>
                <c:pt idx="66">
                  <c:v>198.03547169811321</c:v>
                </c:pt>
                <c:pt idx="67">
                  <c:v>199.7935849056604</c:v>
                </c:pt>
                <c:pt idx="68">
                  <c:v>201.55169811320755</c:v>
                </c:pt>
                <c:pt idx="69">
                  <c:v>203.30981132075473</c:v>
                </c:pt>
                <c:pt idx="70">
                  <c:v>205.06792452830189</c:v>
                </c:pt>
                <c:pt idx="71">
                  <c:v>206.82603773584907</c:v>
                </c:pt>
                <c:pt idx="72">
                  <c:v>208.58415094339625</c:v>
                </c:pt>
                <c:pt idx="73">
                  <c:v>210.34226415094341</c:v>
                </c:pt>
                <c:pt idx="74">
                  <c:v>212.10037735849059</c:v>
                </c:pt>
                <c:pt idx="75">
                  <c:v>213.85849056603774</c:v>
                </c:pt>
                <c:pt idx="76">
                  <c:v>215.6166037735849</c:v>
                </c:pt>
                <c:pt idx="77">
                  <c:v>217.37471698113208</c:v>
                </c:pt>
                <c:pt idx="78">
                  <c:v>219.13283018867926</c:v>
                </c:pt>
                <c:pt idx="79">
                  <c:v>220.89094339622642</c:v>
                </c:pt>
                <c:pt idx="80">
                  <c:v>222.6490566037736</c:v>
                </c:pt>
                <c:pt idx="81">
                  <c:v>224.40716981132076</c:v>
                </c:pt>
                <c:pt idx="82">
                  <c:v>226.16528301886794</c:v>
                </c:pt>
                <c:pt idx="83">
                  <c:v>227.92339622641512</c:v>
                </c:pt>
                <c:pt idx="84">
                  <c:v>229.68150943396228</c:v>
                </c:pt>
                <c:pt idx="85">
                  <c:v>231.43962264150943</c:v>
                </c:pt>
                <c:pt idx="86">
                  <c:v>233.19773584905661</c:v>
                </c:pt>
                <c:pt idx="87">
                  <c:v>234.9558490566038</c:v>
                </c:pt>
                <c:pt idx="88">
                  <c:v>236.71396226415095</c:v>
                </c:pt>
                <c:pt idx="89">
                  <c:v>238.47207547169813</c:v>
                </c:pt>
                <c:pt idx="90">
                  <c:v>240.23018867924529</c:v>
                </c:pt>
                <c:pt idx="91">
                  <c:v>241.98830188679247</c:v>
                </c:pt>
                <c:pt idx="92">
                  <c:v>243.74641509433962</c:v>
                </c:pt>
                <c:pt idx="93">
                  <c:v>245.50452830188681</c:v>
                </c:pt>
                <c:pt idx="94">
                  <c:v>247.26264150943396</c:v>
                </c:pt>
                <c:pt idx="95">
                  <c:v>249.02075471698114</c:v>
                </c:pt>
                <c:pt idx="96">
                  <c:v>250.77886792452833</c:v>
                </c:pt>
                <c:pt idx="97">
                  <c:v>252.53698113207548</c:v>
                </c:pt>
                <c:pt idx="98">
                  <c:v>254.29509433962266</c:v>
                </c:pt>
                <c:pt idx="99">
                  <c:v>256.05320754716979</c:v>
                </c:pt>
                <c:pt idx="100">
                  <c:v>257.81132075471703</c:v>
                </c:pt>
                <c:pt idx="101">
                  <c:v>259.56943396226416</c:v>
                </c:pt>
                <c:pt idx="102">
                  <c:v>261.32754716981134</c:v>
                </c:pt>
                <c:pt idx="103">
                  <c:v>263.08566037735852</c:v>
                </c:pt>
                <c:pt idx="104">
                  <c:v>264.84377358490565</c:v>
                </c:pt>
                <c:pt idx="105">
                  <c:v>266.60188679245283</c:v>
                </c:pt>
                <c:pt idx="106">
                  <c:v>268.36</c:v>
                </c:pt>
                <c:pt idx="107">
                  <c:v>270.1181132075472</c:v>
                </c:pt>
                <c:pt idx="108">
                  <c:v>271.87622641509438</c:v>
                </c:pt>
                <c:pt idx="109">
                  <c:v>273.63433962264151</c:v>
                </c:pt>
                <c:pt idx="110">
                  <c:v>275.39245283018869</c:v>
                </c:pt>
                <c:pt idx="111">
                  <c:v>277.15056603773587</c:v>
                </c:pt>
                <c:pt idx="112">
                  <c:v>278.908679245283</c:v>
                </c:pt>
                <c:pt idx="113">
                  <c:v>280.66679245283024</c:v>
                </c:pt>
                <c:pt idx="114">
                  <c:v>282.42490566037736</c:v>
                </c:pt>
                <c:pt idx="115">
                  <c:v>284.18301886792455</c:v>
                </c:pt>
                <c:pt idx="116">
                  <c:v>285.94113207547173</c:v>
                </c:pt>
                <c:pt idx="117">
                  <c:v>287.69924528301885</c:v>
                </c:pt>
                <c:pt idx="118">
                  <c:v>289.45735849056604</c:v>
                </c:pt>
                <c:pt idx="119">
                  <c:v>291.21547169811322</c:v>
                </c:pt>
                <c:pt idx="120">
                  <c:v>292.9735849056604</c:v>
                </c:pt>
                <c:pt idx="121">
                  <c:v>294.73169811320759</c:v>
                </c:pt>
                <c:pt idx="122">
                  <c:v>296.48981132075471</c:v>
                </c:pt>
                <c:pt idx="123">
                  <c:v>298.24792452830195</c:v>
                </c:pt>
                <c:pt idx="124">
                  <c:v>300.00603773584908</c:v>
                </c:pt>
                <c:pt idx="125">
                  <c:v>301.7641509433962</c:v>
                </c:pt>
                <c:pt idx="126">
                  <c:v>303.52226415094344</c:v>
                </c:pt>
                <c:pt idx="127">
                  <c:v>305.28037735849057</c:v>
                </c:pt>
                <c:pt idx="128">
                  <c:v>307.03849056603775</c:v>
                </c:pt>
                <c:pt idx="129">
                  <c:v>308.79660377358493</c:v>
                </c:pt>
                <c:pt idx="130">
                  <c:v>310.55471698113212</c:v>
                </c:pt>
                <c:pt idx="131">
                  <c:v>312.3128301886793</c:v>
                </c:pt>
                <c:pt idx="132">
                  <c:v>314.07094339622643</c:v>
                </c:pt>
                <c:pt idx="133">
                  <c:v>315.82905660377355</c:v>
                </c:pt>
                <c:pt idx="134">
                  <c:v>317.58716981132079</c:v>
                </c:pt>
                <c:pt idx="135">
                  <c:v>319.34528301886792</c:v>
                </c:pt>
                <c:pt idx="136">
                  <c:v>321.1033962264151</c:v>
                </c:pt>
                <c:pt idx="137">
                  <c:v>322.86150943396228</c:v>
                </c:pt>
                <c:pt idx="138">
                  <c:v>324.61962264150947</c:v>
                </c:pt>
                <c:pt idx="139">
                  <c:v>326.37773584905665</c:v>
                </c:pt>
                <c:pt idx="140">
                  <c:v>328.13584905660377</c:v>
                </c:pt>
                <c:pt idx="141">
                  <c:v>329.8939622641509</c:v>
                </c:pt>
                <c:pt idx="142">
                  <c:v>331.65207547169814</c:v>
                </c:pt>
                <c:pt idx="143">
                  <c:v>333.41018867924527</c:v>
                </c:pt>
                <c:pt idx="144">
                  <c:v>335.16830188679251</c:v>
                </c:pt>
                <c:pt idx="145">
                  <c:v>336.92641509433963</c:v>
                </c:pt>
                <c:pt idx="146">
                  <c:v>338.68452830188681</c:v>
                </c:pt>
                <c:pt idx="147">
                  <c:v>340.442641509434</c:v>
                </c:pt>
                <c:pt idx="148">
                  <c:v>342.20075471698118</c:v>
                </c:pt>
                <c:pt idx="149">
                  <c:v>343.95886792452836</c:v>
                </c:pt>
                <c:pt idx="150">
                  <c:v>345.71698113207549</c:v>
                </c:pt>
                <c:pt idx="151">
                  <c:v>347.47509433962267</c:v>
                </c:pt>
                <c:pt idx="152">
                  <c:v>349.2332075471698</c:v>
                </c:pt>
                <c:pt idx="153">
                  <c:v>350.99132075471698</c:v>
                </c:pt>
                <c:pt idx="154">
                  <c:v>352.74943396226416</c:v>
                </c:pt>
                <c:pt idx="155">
                  <c:v>354.50754716981135</c:v>
                </c:pt>
                <c:pt idx="156">
                  <c:v>356.26566037735853</c:v>
                </c:pt>
                <c:pt idx="157">
                  <c:v>358.02377358490571</c:v>
                </c:pt>
                <c:pt idx="158">
                  <c:v>359.78188679245284</c:v>
                </c:pt>
                <c:pt idx="159">
                  <c:v>361.54</c:v>
                </c:pt>
                <c:pt idx="160">
                  <c:v>363.2981132075472</c:v>
                </c:pt>
              </c:numCache>
            </c:numRef>
          </c:val>
          <c:smooth val="0"/>
          <c:extLst>
            <c:ext xmlns:c16="http://schemas.microsoft.com/office/drawing/2014/chart" uri="{C3380CC4-5D6E-409C-BE32-E72D297353CC}">
              <c16:uniqueId val="{00000001-4D71-214C-AC27-F05867B835F8}"/>
            </c:ext>
          </c:extLst>
        </c:ser>
        <c:dLbls>
          <c:showLegendKey val="0"/>
          <c:showVal val="0"/>
          <c:showCatName val="0"/>
          <c:showSerName val="0"/>
          <c:showPercent val="0"/>
          <c:showBubbleSize val="0"/>
        </c:dLbls>
        <c:hiLowLines>
          <c:spPr>
            <a:ln w="0">
              <a:noFill/>
            </a:ln>
          </c:spPr>
        </c:hiLowLines>
        <c:marker val="1"/>
        <c:smooth val="0"/>
        <c:axId val="73983710"/>
        <c:axId val="6943392"/>
      </c:lineChart>
      <c:dateAx>
        <c:axId val="87862032"/>
        <c:scaling>
          <c:orientation val="minMax"/>
        </c:scaling>
        <c:delete val="1"/>
        <c:axPos val="b"/>
        <c:numFmt formatCode="mm/dd/yyyy" sourceLinked="1"/>
        <c:majorTickMark val="none"/>
        <c:minorTickMark val="none"/>
        <c:tickLblPos val="nextTo"/>
        <c:crossAx val="98771277"/>
        <c:crosses val="autoZero"/>
        <c:auto val="1"/>
        <c:lblOffset val="100"/>
        <c:baseTimeUnit val="days"/>
      </c:dateAx>
      <c:valAx>
        <c:axId val="987712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7862032"/>
        <c:crosses val="autoZero"/>
        <c:crossBetween val="between"/>
      </c:valAx>
      <c:dateAx>
        <c:axId val="73983710"/>
        <c:scaling>
          <c:orientation val="minMax"/>
        </c:scaling>
        <c:delete val="1"/>
        <c:axPos val="b"/>
        <c:numFmt formatCode="mm/dd/yyyy" sourceLinked="1"/>
        <c:majorTickMark val="none"/>
        <c:minorTickMark val="none"/>
        <c:tickLblPos val="nextTo"/>
        <c:crossAx val="6943392"/>
        <c:crosses val="autoZero"/>
        <c:auto val="1"/>
        <c:lblOffset val="100"/>
        <c:baseTimeUnit val="days"/>
      </c:dateAx>
      <c:valAx>
        <c:axId val="69433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398371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(Calc)'!$F$3:$F$500</c:f>
              <c:numCache>
                <c:formatCode>0.0%</c:formatCode>
                <c:ptCount val="498"/>
                <c:pt idx="0">
                  <c:v>-1.7408123791102459E-2</c:v>
                </c:pt>
                <c:pt idx="1">
                  <c:v>2.9773622047244208E-2</c:v>
                </c:pt>
                <c:pt idx="2">
                  <c:v>5.5436081242532964E-2</c:v>
                </c:pt>
                <c:pt idx="3">
                  <c:v>5.1165949739642169E-2</c:v>
                </c:pt>
                <c:pt idx="4">
                  <c:v>-3.7475769976308415E-2</c:v>
                </c:pt>
                <c:pt idx="5">
                  <c:v>-3.3117028417990579E-2</c:v>
                </c:pt>
                <c:pt idx="6">
                  <c:v>8.9099745429298771E-2</c:v>
                </c:pt>
                <c:pt idx="7">
                  <c:v>4.2923926901827336E-2</c:v>
                </c:pt>
                <c:pt idx="8">
                  <c:v>5.4808475957620395E-2</c:v>
                </c:pt>
                <c:pt idx="9">
                  <c:v>1.7384585667374886E-2</c:v>
                </c:pt>
                <c:pt idx="10">
                  <c:v>0.11562559331687861</c:v>
                </c:pt>
                <c:pt idx="11">
                  <c:v>3.1994554118447871E-2</c:v>
                </c:pt>
                <c:pt idx="12">
                  <c:v>7.2229551451187257E-2</c:v>
                </c:pt>
                <c:pt idx="13">
                  <c:v>-1.7071670255306093E-2</c:v>
                </c:pt>
                <c:pt idx="14">
                  <c:v>-1.2517602879048573E-3</c:v>
                </c:pt>
                <c:pt idx="15">
                  <c:v>-3.0706564311452356E-2</c:v>
                </c:pt>
                <c:pt idx="16">
                  <c:v>0.14498141263940534</c:v>
                </c:pt>
                <c:pt idx="17">
                  <c:v>2.5409373235460109E-2</c:v>
                </c:pt>
                <c:pt idx="18">
                  <c:v>-8.2599118942738858E-4</c:v>
                </c:pt>
                <c:pt idx="19">
                  <c:v>4.5604849820887416E-2</c:v>
                </c:pt>
                <c:pt idx="20">
                  <c:v>8.485966530504685E-2</c:v>
                </c:pt>
                <c:pt idx="21">
                  <c:v>-2.4292481476972938E-4</c:v>
                </c:pt>
                <c:pt idx="22">
                  <c:v>-5.3942412829546815E-2</c:v>
                </c:pt>
                <c:pt idx="23">
                  <c:v>1.001669449081799E-2</c:v>
                </c:pt>
                <c:pt idx="24">
                  <c:v>2.6191989828353357E-2</c:v>
                </c:pt>
                <c:pt idx="25">
                  <c:v>-2.2302069136414304E-2</c:v>
                </c:pt>
                <c:pt idx="26">
                  <c:v>3.7764541883158032E-2</c:v>
                </c:pt>
                <c:pt idx="27">
                  <c:v>-2.1248015630724093E-2</c:v>
                </c:pt>
                <c:pt idx="28">
                  <c:v>-1.5845290081098029E-2</c:v>
                </c:pt>
                <c:pt idx="29">
                  <c:v>-2.0537525354969444E-2</c:v>
                </c:pt>
                <c:pt idx="30">
                  <c:v>-8.5425834843386061E-2</c:v>
                </c:pt>
                <c:pt idx="31">
                  <c:v>7.5856212850268889E-2</c:v>
                </c:pt>
                <c:pt idx="32">
                  <c:v>2.0126282557221709E-2</c:v>
                </c:pt>
                <c:pt idx="33">
                  <c:v>3.4042553191489411E-2</c:v>
                </c:pt>
                <c:pt idx="34">
                  <c:v>7.8438708068337748E-2</c:v>
                </c:pt>
                <c:pt idx="35">
                  <c:v>1.6073080481036062E-2</c:v>
                </c:pt>
                <c:pt idx="36">
                  <c:v>-0.10754523728234899</c:v>
                </c:pt>
                <c:pt idx="37">
                  <c:v>0.11298138230043353</c:v>
                </c:pt>
                <c:pt idx="38">
                  <c:v>0.10403299725022919</c:v>
                </c:pt>
                <c:pt idx="39">
                  <c:v>-1.2453300124533051E-2</c:v>
                </c:pt>
                <c:pt idx="40">
                  <c:v>6.7255149222362753E-3</c:v>
                </c:pt>
                <c:pt idx="41">
                  <c:v>1.6910229645094033E-2</c:v>
                </c:pt>
                <c:pt idx="42">
                  <c:v>-4.711558201601318E-2</c:v>
                </c:pt>
                <c:pt idx="43">
                  <c:v>-0.17871377787353226</c:v>
                </c:pt>
                <c:pt idx="44">
                  <c:v>-0.16002098635886663</c:v>
                </c:pt>
                <c:pt idx="45">
                  <c:v>-0.14943785134291077</c:v>
                </c:pt>
                <c:pt idx="46">
                  <c:v>0.10556269506150184</c:v>
                </c:pt>
                <c:pt idx="47">
                  <c:v>9.0003321155762261E-2</c:v>
                </c:pt>
                <c:pt idx="48">
                  <c:v>3.427787934186477E-2</c:v>
                </c:pt>
                <c:pt idx="49">
                  <c:v>2.1063485049344521E-2</c:v>
                </c:pt>
                <c:pt idx="50">
                  <c:v>-0.11136757068667036</c:v>
                </c:pt>
                <c:pt idx="51">
                  <c:v>5.1623376623376682E-2</c:v>
                </c:pt>
                <c:pt idx="52">
                  <c:v>0.15714726767520837</c:v>
                </c:pt>
                <c:pt idx="53">
                  <c:v>-4.6691568836712882E-2</c:v>
                </c:pt>
                <c:pt idx="54">
                  <c:v>2.2390148334732851E-2</c:v>
                </c:pt>
                <c:pt idx="55">
                  <c:v>9.5674787845606346E-2</c:v>
                </c:pt>
                <c:pt idx="56">
                  <c:v>-3.1355402873204152E-2</c:v>
                </c:pt>
                <c:pt idx="57">
                  <c:v>-3.0822801134898103E-2</c:v>
                </c:pt>
                <c:pt idx="58">
                  <c:v>8.3832335329341312E-3</c:v>
                </c:pt>
                <c:pt idx="59">
                  <c:v>8.8809712325151891E-2</c:v>
                </c:pt>
                <c:pt idx="60">
                  <c:v>2.0361168343230984E-2</c:v>
                </c:pt>
                <c:pt idx="61">
                  <c:v>0.10547570970424025</c:v>
                </c:pt>
                <c:pt idx="62">
                  <c:v>-7.0699473514558964E-2</c:v>
                </c:pt>
                <c:pt idx="63">
                  <c:v>5.6885189039195261E-2</c:v>
                </c:pt>
                <c:pt idx="64">
                  <c:v>6.4544360573242088E-3</c:v>
                </c:pt>
                <c:pt idx="65">
                  <c:v>-1.5543478260869659E-2</c:v>
                </c:pt>
                <c:pt idx="66">
                  <c:v>-2.0094954179087909E-2</c:v>
                </c:pt>
                <c:pt idx="67">
                  <c:v>1.1267605633802802E-2</c:v>
                </c:pt>
                <c:pt idx="68">
                  <c:v>-2.8300835654596179E-2</c:v>
                </c:pt>
                <c:pt idx="69">
                  <c:v>2.3391812865497075E-2</c:v>
                </c:pt>
                <c:pt idx="70">
                  <c:v>5.0196078431372637E-2</c:v>
                </c:pt>
                <c:pt idx="71">
                  <c:v>6.1773178278032637E-2</c:v>
                </c:pt>
                <c:pt idx="72">
                  <c:v>5.9083601286173737E-2</c:v>
                </c:pt>
                <c:pt idx="73">
                  <c:v>7.1442125237191734E-2</c:v>
                </c:pt>
                <c:pt idx="74">
                  <c:v>-9.9707783582750453E-2</c:v>
                </c:pt>
                <c:pt idx="75">
                  <c:v>-4.1801908134159516E-2</c:v>
                </c:pt>
                <c:pt idx="76">
                  <c:v>-0.14411825087251084</c:v>
                </c:pt>
                <c:pt idx="77">
                  <c:v>6.0566082993523729E-2</c:v>
                </c:pt>
                <c:pt idx="78">
                  <c:v>2.4086848354630819E-2</c:v>
                </c:pt>
                <c:pt idx="79">
                  <c:v>-1.4134275618374548E-2</c:v>
                </c:pt>
                <c:pt idx="80">
                  <c:v>-9.9350358422939156E-2</c:v>
                </c:pt>
                <c:pt idx="81">
                  <c:v>0.17485387389628149</c:v>
                </c:pt>
                <c:pt idx="82">
                  <c:v>-6.033661479834751E-3</c:v>
                </c:pt>
                <c:pt idx="83">
                  <c:v>0.13120340788072404</c:v>
                </c:pt>
                <c:pt idx="84">
                  <c:v>3.6904537751835775E-2</c:v>
                </c:pt>
                <c:pt idx="85">
                  <c:v>-6.8095151625204298E-2</c:v>
                </c:pt>
                <c:pt idx="86">
                  <c:v>6.9953234606391135E-2</c:v>
                </c:pt>
                <c:pt idx="87">
                  <c:v>3.7151702786377916E-2</c:v>
                </c:pt>
                <c:pt idx="88">
                  <c:v>3.4591747146619722E-2</c:v>
                </c:pt>
                <c:pt idx="89">
                  <c:v>-6.2797012898846427E-3</c:v>
                </c:pt>
                <c:pt idx="90">
                  <c:v>2.6046114432109357E-2</c:v>
                </c:pt>
                <c:pt idx="91">
                  <c:v>-8.9887640449439754E-3</c:v>
                </c:pt>
                <c:pt idx="92">
                  <c:v>4.837490551776269E-2</c:v>
                </c:pt>
                <c:pt idx="93">
                  <c:v>2.9560201874549552E-2</c:v>
                </c:pt>
                <c:pt idx="94">
                  <c:v>-6.9327731092437062E-2</c:v>
                </c:pt>
                <c:pt idx="95">
                  <c:v>-5.1835130841902943E-3</c:v>
                </c:pt>
                <c:pt idx="96">
                  <c:v>-1.6892175813093435E-2</c:v>
                </c:pt>
                <c:pt idx="97">
                  <c:v>-4.5392374764917087E-2</c:v>
                </c:pt>
                <c:pt idx="98">
                  <c:v>-4.970000895495652E-2</c:v>
                </c:pt>
                <c:pt idx="99">
                  <c:v>8.0098002261590473E-3</c:v>
                </c:pt>
                <c:pt idx="100">
                  <c:v>-1.7107600261755618E-2</c:v>
                </c:pt>
                <c:pt idx="101">
                  <c:v>7.5137911356286669E-3</c:v>
                </c:pt>
                <c:pt idx="102">
                  <c:v>-1.43490984612481E-2</c:v>
                </c:pt>
                <c:pt idx="103">
                  <c:v>4.4248635188200325E-2</c:v>
                </c:pt>
                <c:pt idx="104">
                  <c:v>0.15234339172704758</c:v>
                </c:pt>
                <c:pt idx="105">
                  <c:v>-4.2024832855778405E-2</c:v>
                </c:pt>
                <c:pt idx="106">
                  <c:v>1.7530741110003412E-2</c:v>
                </c:pt>
                <c:pt idx="107">
                  <c:v>7.7570017147057246E-3</c:v>
                </c:pt>
                <c:pt idx="108">
                  <c:v>-1.83114568141306E-2</c:v>
                </c:pt>
                <c:pt idx="109">
                  <c:v>8.8065368108286801E-2</c:v>
                </c:pt>
                <c:pt idx="110">
                  <c:v>2.9735265114162024E-2</c:v>
                </c:pt>
                <c:pt idx="111">
                  <c:v>-5.8931860036832706E-3</c:v>
                </c:pt>
                <c:pt idx="112">
                  <c:v>-4.1496850685439624E-3</c:v>
                </c:pt>
                <c:pt idx="113">
                  <c:v>-8.7208869707567471E-2</c:v>
                </c:pt>
                <c:pt idx="114">
                  <c:v>3.7662020053802925E-2</c:v>
                </c:pt>
                <c:pt idx="115">
                  <c:v>5.6563752062219752E-3</c:v>
                </c:pt>
                <c:pt idx="116">
                  <c:v>-1.4217639246933755E-2</c:v>
                </c:pt>
                <c:pt idx="117">
                  <c:v>-4.6517156668515747E-2</c:v>
                </c:pt>
                <c:pt idx="118">
                  <c:v>-1.6622340425531679E-4</c:v>
                </c:pt>
                <c:pt idx="119">
                  <c:v>-5.7439733998337461E-2</c:v>
                </c:pt>
                <c:pt idx="120">
                  <c:v>3.7569450568833318E-2</c:v>
                </c:pt>
                <c:pt idx="121">
                  <c:v>-3.5529111772205746E-2</c:v>
                </c:pt>
                <c:pt idx="122">
                  <c:v>-3.0845157310301907E-3</c:v>
                </c:pt>
                <c:pt idx="123">
                  <c:v>-2.4487270155587049E-2</c:v>
                </c:pt>
                <c:pt idx="124">
                  <c:v>-0.10394200271862253</c:v>
                </c:pt>
                <c:pt idx="125">
                  <c:v>8.6266181229773586E-2</c:v>
                </c:pt>
                <c:pt idx="126">
                  <c:v>-9.5521832231635684E-2</c:v>
                </c:pt>
                <c:pt idx="127">
                  <c:v>-4.2717447246526041E-2</c:v>
                </c:pt>
                <c:pt idx="128">
                  <c:v>0.15322580645161299</c:v>
                </c:pt>
                <c:pt idx="129">
                  <c:v>2.9743589743589816E-2</c:v>
                </c:pt>
                <c:pt idx="130">
                  <c:v>-7.4157913799347996E-2</c:v>
                </c:pt>
                <c:pt idx="131">
                  <c:v>-9.6430317848410718E-2</c:v>
                </c:pt>
                <c:pt idx="132">
                  <c:v>7.9987011581339917E-2</c:v>
                </c:pt>
                <c:pt idx="133">
                  <c:v>-5.0410903988775346E-2</c:v>
                </c:pt>
                <c:pt idx="134">
                  <c:v>0.11862796833773093</c:v>
                </c:pt>
                <c:pt idx="135">
                  <c:v>5.6986508161147365E-2</c:v>
                </c:pt>
                <c:pt idx="136">
                  <c:v>1.6781219316254425E-2</c:v>
                </c:pt>
                <c:pt idx="137">
                  <c:v>0.15828285488543581</c:v>
                </c:pt>
                <c:pt idx="138">
                  <c:v>0.12566318023343959</c:v>
                </c:pt>
                <c:pt idx="139">
                  <c:v>0.11681928359816851</c:v>
                </c:pt>
                <c:pt idx="140">
                  <c:v>0.10176644360040998</c:v>
                </c:pt>
                <c:pt idx="141">
                  <c:v>-8.2024623803009677E-2</c:v>
                </c:pt>
                <c:pt idx="142">
                  <c:v>1.7525035765379116E-2</c:v>
                </c:pt>
                <c:pt idx="143">
                  <c:v>2.9876977152900608E-3</c:v>
                </c:pt>
                <c:pt idx="144">
                  <c:v>2.3713568132702534E-2</c:v>
                </c:pt>
                <c:pt idx="145">
                  <c:v>0.10674958635248455</c:v>
                </c:pt>
                <c:pt idx="146">
                  <c:v>-3.5055160325806689E-2</c:v>
                </c:pt>
                <c:pt idx="147">
                  <c:v>8.4944972753499437E-2</c:v>
                </c:pt>
                <c:pt idx="148">
                  <c:v>-9.7498522749655314E-2</c:v>
                </c:pt>
                <c:pt idx="149">
                  <c:v>4.1357485814055073E-2</c:v>
                </c:pt>
                <c:pt idx="150">
                  <c:v>0.12344126584931359</c:v>
                </c:pt>
                <c:pt idx="151">
                  <c:v>1.1799272455927712E-2</c:v>
                </c:pt>
                <c:pt idx="152">
                  <c:v>-0.11523392486748096</c:v>
                </c:pt>
                <c:pt idx="153">
                  <c:v>0.13779630112008334</c:v>
                </c:pt>
                <c:pt idx="154">
                  <c:v>-2.4267399267399292E-2</c:v>
                </c:pt>
                <c:pt idx="155">
                  <c:v>-2.9845143125293183E-2</c:v>
                </c:pt>
                <c:pt idx="156">
                  <c:v>0.14951146367418011</c:v>
                </c:pt>
                <c:pt idx="157">
                  <c:v>6.0929938985903487E-2</c:v>
                </c:pt>
                <c:pt idx="158">
                  <c:v>7.103478364335869E-2</c:v>
                </c:pt>
                <c:pt idx="159">
                  <c:v>1.8515775440675508E-2</c:v>
                </c:pt>
                <c:pt idx="160">
                  <c:v>0</c:v>
                </c:pt>
              </c:numCache>
            </c:numRef>
          </c:val>
          <c:extLst>
            <c:ext xmlns:c16="http://schemas.microsoft.com/office/drawing/2014/chart" uri="{C3380CC4-5D6E-409C-BE32-E72D297353CC}">
              <c16:uniqueId val="{00000000-7BCE-8C42-B8A0-E4C46FF174A9}"/>
            </c:ext>
          </c:extLst>
        </c:ser>
        <c:dLbls>
          <c:showLegendKey val="0"/>
          <c:showVal val="0"/>
          <c:showCatName val="0"/>
          <c:showSerName val="0"/>
          <c:showPercent val="0"/>
          <c:showBubbleSize val="0"/>
        </c:dLbls>
        <c:gapWidth val="150"/>
        <c:axId val="63025078"/>
        <c:axId val="69109995"/>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(Calc)'!$AA$3:$AA$500</c:f>
              <c:numCache>
                <c:formatCode>#,##0.00</c:formatCode>
                <c:ptCount val="498"/>
                <c:pt idx="0">
                  <c:v>41.36</c:v>
                </c:pt>
                <c:pt idx="1">
                  <c:v>42.829685534591192</c:v>
                </c:pt>
                <c:pt idx="2">
                  <c:v>44.299371069182392</c:v>
                </c:pt>
                <c:pt idx="3">
                  <c:v>45.769056603773585</c:v>
                </c:pt>
                <c:pt idx="4">
                  <c:v>47.238742138364778</c:v>
                </c:pt>
                <c:pt idx="5">
                  <c:v>48.708427672955978</c:v>
                </c:pt>
                <c:pt idx="6">
                  <c:v>50.17811320754717</c:v>
                </c:pt>
                <c:pt idx="7">
                  <c:v>51.647798742138363</c:v>
                </c:pt>
                <c:pt idx="8">
                  <c:v>53.117484276729556</c:v>
                </c:pt>
                <c:pt idx="9">
                  <c:v>54.587169811320756</c:v>
                </c:pt>
                <c:pt idx="10">
                  <c:v>56.056855345911949</c:v>
                </c:pt>
                <c:pt idx="11">
                  <c:v>57.526540880503148</c:v>
                </c:pt>
                <c:pt idx="12">
                  <c:v>58.996226415094341</c:v>
                </c:pt>
                <c:pt idx="13">
                  <c:v>60.465911949685534</c:v>
                </c:pt>
                <c:pt idx="14">
                  <c:v>61.935597484276727</c:v>
                </c:pt>
                <c:pt idx="15">
                  <c:v>63.405283018867927</c:v>
                </c:pt>
                <c:pt idx="16">
                  <c:v>64.874968553459126</c:v>
                </c:pt>
                <c:pt idx="17">
                  <c:v>66.344654088050305</c:v>
                </c:pt>
                <c:pt idx="18">
                  <c:v>67.814339622641512</c:v>
                </c:pt>
                <c:pt idx="19">
                  <c:v>69.284025157232705</c:v>
                </c:pt>
                <c:pt idx="20">
                  <c:v>70.753710691823898</c:v>
                </c:pt>
                <c:pt idx="21">
                  <c:v>72.22339622641509</c:v>
                </c:pt>
                <c:pt idx="22">
                  <c:v>73.693081761006283</c:v>
                </c:pt>
                <c:pt idx="23">
                  <c:v>75.16276729559749</c:v>
                </c:pt>
                <c:pt idx="24">
                  <c:v>76.632452830188669</c:v>
                </c:pt>
                <c:pt idx="25">
                  <c:v>78.102138364779876</c:v>
                </c:pt>
                <c:pt idx="26">
                  <c:v>79.571823899371068</c:v>
                </c:pt>
                <c:pt idx="27">
                  <c:v>81.041509433962261</c:v>
                </c:pt>
                <c:pt idx="28">
                  <c:v>82.511194968553468</c:v>
                </c:pt>
                <c:pt idx="29">
                  <c:v>83.980880503144647</c:v>
                </c:pt>
                <c:pt idx="30">
                  <c:v>85.450566037735854</c:v>
                </c:pt>
                <c:pt idx="31">
                  <c:v>86.920251572327032</c:v>
                </c:pt>
                <c:pt idx="32">
                  <c:v>88.389937106918239</c:v>
                </c:pt>
                <c:pt idx="33">
                  <c:v>89.859622641509446</c:v>
                </c:pt>
                <c:pt idx="34">
                  <c:v>91.329308176100625</c:v>
                </c:pt>
                <c:pt idx="35">
                  <c:v>92.798993710691832</c:v>
                </c:pt>
                <c:pt idx="36">
                  <c:v>94.26867924528301</c:v>
                </c:pt>
                <c:pt idx="37">
                  <c:v>95.738364779874217</c:v>
                </c:pt>
                <c:pt idx="38">
                  <c:v>97.20805031446541</c:v>
                </c:pt>
                <c:pt idx="39">
                  <c:v>98.677735849056603</c:v>
                </c:pt>
                <c:pt idx="40">
                  <c:v>100.14742138364781</c:v>
                </c:pt>
                <c:pt idx="41">
                  <c:v>101.617106918239</c:v>
                </c:pt>
                <c:pt idx="42">
                  <c:v>103.0867924528302</c:v>
                </c:pt>
                <c:pt idx="43">
                  <c:v>104.55647798742137</c:v>
                </c:pt>
                <c:pt idx="44">
                  <c:v>106.02616352201258</c:v>
                </c:pt>
                <c:pt idx="45">
                  <c:v>107.49584905660377</c:v>
                </c:pt>
                <c:pt idx="46">
                  <c:v>108.96553459119497</c:v>
                </c:pt>
                <c:pt idx="47">
                  <c:v>110.43522012578617</c:v>
                </c:pt>
                <c:pt idx="48">
                  <c:v>111.90490566037735</c:v>
                </c:pt>
                <c:pt idx="49">
                  <c:v>113.37459119496854</c:v>
                </c:pt>
                <c:pt idx="50">
                  <c:v>114.84427672955975</c:v>
                </c:pt>
                <c:pt idx="51">
                  <c:v>116.31396226415094</c:v>
                </c:pt>
                <c:pt idx="52">
                  <c:v>117.78364779874214</c:v>
                </c:pt>
                <c:pt idx="53">
                  <c:v>119.25333333333334</c:v>
                </c:pt>
                <c:pt idx="54">
                  <c:v>120.72301886792454</c:v>
                </c:pt>
                <c:pt idx="55">
                  <c:v>122.19270440251572</c:v>
                </c:pt>
                <c:pt idx="56">
                  <c:v>123.66238993710692</c:v>
                </c:pt>
                <c:pt idx="57">
                  <c:v>125.13207547169812</c:v>
                </c:pt>
                <c:pt idx="58">
                  <c:v>126.60176100628931</c:v>
                </c:pt>
                <c:pt idx="59">
                  <c:v>128.07144654088052</c:v>
                </c:pt>
                <c:pt idx="60">
                  <c:v>129.54113207547169</c:v>
                </c:pt>
                <c:pt idx="61">
                  <c:v>131.01081761006287</c:v>
                </c:pt>
                <c:pt idx="62">
                  <c:v>132.48050314465408</c:v>
                </c:pt>
                <c:pt idx="63">
                  <c:v>133.95018867924529</c:v>
                </c:pt>
                <c:pt idx="64">
                  <c:v>135.41987421383647</c:v>
                </c:pt>
                <c:pt idx="65">
                  <c:v>136.88955974842767</c:v>
                </c:pt>
                <c:pt idx="66">
                  <c:v>138.35924528301888</c:v>
                </c:pt>
                <c:pt idx="67">
                  <c:v>139.82893081761006</c:v>
                </c:pt>
                <c:pt idx="68">
                  <c:v>141.29861635220124</c:v>
                </c:pt>
                <c:pt idx="69">
                  <c:v>142.76830188679247</c:v>
                </c:pt>
                <c:pt idx="70">
                  <c:v>144.23798742138365</c:v>
                </c:pt>
                <c:pt idx="71">
                  <c:v>145.70767295597483</c:v>
                </c:pt>
                <c:pt idx="72">
                  <c:v>147.17735849056604</c:v>
                </c:pt>
                <c:pt idx="73">
                  <c:v>148.64704402515724</c:v>
                </c:pt>
                <c:pt idx="74">
                  <c:v>150.11672955974842</c:v>
                </c:pt>
                <c:pt idx="75">
                  <c:v>151.58641509433963</c:v>
                </c:pt>
                <c:pt idx="76">
                  <c:v>153.05610062893084</c:v>
                </c:pt>
                <c:pt idx="77">
                  <c:v>154.52578616352201</c:v>
                </c:pt>
                <c:pt idx="78">
                  <c:v>155.99547169811319</c:v>
                </c:pt>
                <c:pt idx="79">
                  <c:v>157.46515723270443</c:v>
                </c:pt>
                <c:pt idx="80">
                  <c:v>158.93484276729561</c:v>
                </c:pt>
                <c:pt idx="81">
                  <c:v>160.40452830188678</c:v>
                </c:pt>
                <c:pt idx="82">
                  <c:v>161.87421383647802</c:v>
                </c:pt>
                <c:pt idx="83">
                  <c:v>163.3438993710692</c:v>
                </c:pt>
                <c:pt idx="84">
                  <c:v>164.81358490566038</c:v>
                </c:pt>
                <c:pt idx="85">
                  <c:v>166.28327044025156</c:v>
                </c:pt>
                <c:pt idx="86">
                  <c:v>167.75295597484276</c:v>
                </c:pt>
                <c:pt idx="87">
                  <c:v>169.22264150943397</c:v>
                </c:pt>
                <c:pt idx="88">
                  <c:v>170.69232704402515</c:v>
                </c:pt>
                <c:pt idx="89">
                  <c:v>172.16201257861633</c:v>
                </c:pt>
                <c:pt idx="90">
                  <c:v>173.63169811320756</c:v>
                </c:pt>
                <c:pt idx="91">
                  <c:v>175.10138364779874</c:v>
                </c:pt>
                <c:pt idx="92">
                  <c:v>176.57106918238992</c:v>
                </c:pt>
                <c:pt idx="93">
                  <c:v>178.04075471698116</c:v>
                </c:pt>
                <c:pt idx="94">
                  <c:v>179.51044025157233</c:v>
                </c:pt>
                <c:pt idx="95">
                  <c:v>180.98012578616351</c:v>
                </c:pt>
                <c:pt idx="96">
                  <c:v>182.44981132075469</c:v>
                </c:pt>
                <c:pt idx="97">
                  <c:v>183.91949685534593</c:v>
                </c:pt>
                <c:pt idx="98">
                  <c:v>185.3891823899371</c:v>
                </c:pt>
                <c:pt idx="99">
                  <c:v>186.85886792452828</c:v>
                </c:pt>
                <c:pt idx="100">
                  <c:v>188.32855345911952</c:v>
                </c:pt>
                <c:pt idx="101">
                  <c:v>189.7982389937107</c:v>
                </c:pt>
                <c:pt idx="102">
                  <c:v>191.26792452830188</c:v>
                </c:pt>
                <c:pt idx="103">
                  <c:v>192.73761006289311</c:v>
                </c:pt>
                <c:pt idx="104">
                  <c:v>194.20729559748429</c:v>
                </c:pt>
                <c:pt idx="105">
                  <c:v>195.67698113207547</c:v>
                </c:pt>
                <c:pt idx="106">
                  <c:v>197.1466666666667</c:v>
                </c:pt>
                <c:pt idx="107">
                  <c:v>198.61635220125788</c:v>
                </c:pt>
                <c:pt idx="108">
                  <c:v>200.08603773584906</c:v>
                </c:pt>
                <c:pt idx="109">
                  <c:v>201.55572327044024</c:v>
                </c:pt>
                <c:pt idx="110">
                  <c:v>203.02540880503142</c:v>
                </c:pt>
                <c:pt idx="111">
                  <c:v>204.49509433962265</c:v>
                </c:pt>
                <c:pt idx="112">
                  <c:v>205.96477987421383</c:v>
                </c:pt>
                <c:pt idx="113">
                  <c:v>207.43446540880501</c:v>
                </c:pt>
                <c:pt idx="114">
                  <c:v>208.90415094339625</c:v>
                </c:pt>
                <c:pt idx="115">
                  <c:v>210.37383647798742</c:v>
                </c:pt>
                <c:pt idx="116">
                  <c:v>211.8435220125786</c:v>
                </c:pt>
                <c:pt idx="117">
                  <c:v>213.31320754716984</c:v>
                </c:pt>
                <c:pt idx="118">
                  <c:v>214.78289308176102</c:v>
                </c:pt>
                <c:pt idx="119">
                  <c:v>216.2525786163522</c:v>
                </c:pt>
                <c:pt idx="120">
                  <c:v>217.72226415094343</c:v>
                </c:pt>
                <c:pt idx="121">
                  <c:v>219.19194968553461</c:v>
                </c:pt>
                <c:pt idx="122">
                  <c:v>220.66163522012579</c:v>
                </c:pt>
                <c:pt idx="123">
                  <c:v>222.13132075471697</c:v>
                </c:pt>
                <c:pt idx="124">
                  <c:v>223.60100628930815</c:v>
                </c:pt>
                <c:pt idx="125">
                  <c:v>225.07069182389938</c:v>
                </c:pt>
                <c:pt idx="126">
                  <c:v>226.54037735849056</c:v>
                </c:pt>
                <c:pt idx="127">
                  <c:v>228.01006289308174</c:v>
                </c:pt>
                <c:pt idx="128">
                  <c:v>229.47974842767297</c:v>
                </c:pt>
                <c:pt idx="129">
                  <c:v>230.94943396226415</c:v>
                </c:pt>
                <c:pt idx="130">
                  <c:v>232.41911949685533</c:v>
                </c:pt>
                <c:pt idx="131">
                  <c:v>233.88880503144657</c:v>
                </c:pt>
                <c:pt idx="132">
                  <c:v>235.35849056603774</c:v>
                </c:pt>
                <c:pt idx="133">
                  <c:v>236.82817610062892</c:v>
                </c:pt>
                <c:pt idx="134">
                  <c:v>238.29786163522016</c:v>
                </c:pt>
                <c:pt idx="135">
                  <c:v>239.76754716981134</c:v>
                </c:pt>
                <c:pt idx="136">
                  <c:v>241.23723270440252</c:v>
                </c:pt>
                <c:pt idx="137">
                  <c:v>242.70691823899369</c:v>
                </c:pt>
                <c:pt idx="138">
                  <c:v>244.17660377358493</c:v>
                </c:pt>
                <c:pt idx="139">
                  <c:v>245.64628930817611</c:v>
                </c:pt>
                <c:pt idx="140">
                  <c:v>247.11597484276729</c:v>
                </c:pt>
                <c:pt idx="141">
                  <c:v>248.58566037735847</c:v>
                </c:pt>
                <c:pt idx="142">
                  <c:v>250.05534591194964</c:v>
                </c:pt>
                <c:pt idx="143">
                  <c:v>251.52503144654088</c:v>
                </c:pt>
                <c:pt idx="144">
                  <c:v>252.99471698113206</c:v>
                </c:pt>
                <c:pt idx="145">
                  <c:v>254.46440251572324</c:v>
                </c:pt>
                <c:pt idx="146">
                  <c:v>255.93408805031447</c:v>
                </c:pt>
                <c:pt idx="147">
                  <c:v>257.40377358490565</c:v>
                </c:pt>
                <c:pt idx="148">
                  <c:v>258.87345911949683</c:v>
                </c:pt>
                <c:pt idx="149">
                  <c:v>260.34314465408806</c:v>
                </c:pt>
                <c:pt idx="150">
                  <c:v>261.81283018867924</c:v>
                </c:pt>
                <c:pt idx="151">
                  <c:v>263.28251572327042</c:v>
                </c:pt>
                <c:pt idx="152">
                  <c:v>264.75220125786166</c:v>
                </c:pt>
                <c:pt idx="153">
                  <c:v>266.22188679245284</c:v>
                </c:pt>
                <c:pt idx="154">
                  <c:v>267.69157232704401</c:v>
                </c:pt>
                <c:pt idx="155">
                  <c:v>269.16125786163525</c:v>
                </c:pt>
                <c:pt idx="156">
                  <c:v>270.63094339622643</c:v>
                </c:pt>
                <c:pt idx="157">
                  <c:v>272.10062893081761</c:v>
                </c:pt>
                <c:pt idx="158">
                  <c:v>273.57031446540884</c:v>
                </c:pt>
                <c:pt idx="159">
                  <c:v>275.04000000000002</c:v>
                </c:pt>
                <c:pt idx="160">
                  <c:v>276.5096855345912</c:v>
                </c:pt>
              </c:numCache>
            </c:numRef>
          </c:val>
          <c:smooth val="0"/>
          <c:extLst>
            <c:ext xmlns:c16="http://schemas.microsoft.com/office/drawing/2014/chart" uri="{C3380CC4-5D6E-409C-BE32-E72D297353CC}">
              <c16:uniqueId val="{00000001-7BCE-8C42-B8A0-E4C46FF174A9}"/>
            </c:ext>
          </c:extLst>
        </c:ser>
        <c:dLbls>
          <c:showLegendKey val="0"/>
          <c:showVal val="0"/>
          <c:showCatName val="0"/>
          <c:showSerName val="0"/>
          <c:showPercent val="0"/>
          <c:showBubbleSize val="0"/>
        </c:dLbls>
        <c:hiLowLines>
          <c:spPr>
            <a:ln w="0">
              <a:noFill/>
            </a:ln>
          </c:spPr>
        </c:hiLowLines>
        <c:marker val="1"/>
        <c:smooth val="0"/>
        <c:axId val="98151370"/>
        <c:axId val="65807345"/>
      </c:lineChart>
      <c:dateAx>
        <c:axId val="63025078"/>
        <c:scaling>
          <c:orientation val="minMax"/>
        </c:scaling>
        <c:delete val="1"/>
        <c:axPos val="b"/>
        <c:numFmt formatCode="mm/dd/yyyy" sourceLinked="1"/>
        <c:majorTickMark val="none"/>
        <c:minorTickMark val="none"/>
        <c:tickLblPos val="nextTo"/>
        <c:crossAx val="69109995"/>
        <c:crosses val="autoZero"/>
        <c:auto val="1"/>
        <c:lblOffset val="100"/>
        <c:baseTimeUnit val="days"/>
      </c:dateAx>
      <c:valAx>
        <c:axId val="691099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3025078"/>
        <c:crosses val="autoZero"/>
        <c:crossBetween val="between"/>
      </c:valAx>
      <c:dateAx>
        <c:axId val="98151370"/>
        <c:scaling>
          <c:orientation val="minMax"/>
        </c:scaling>
        <c:delete val="1"/>
        <c:axPos val="b"/>
        <c:numFmt formatCode="mm/dd/yyyy" sourceLinked="1"/>
        <c:majorTickMark val="none"/>
        <c:minorTickMark val="none"/>
        <c:tickLblPos val="nextTo"/>
        <c:crossAx val="65807345"/>
        <c:crosses val="autoZero"/>
        <c:auto val="1"/>
        <c:lblOffset val="100"/>
        <c:baseTimeUnit val="days"/>
      </c:dateAx>
      <c:valAx>
        <c:axId val="658073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815137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(Calc)'!$G$3:$G$500</c:f>
              <c:numCache>
                <c:formatCode>0.0%</c:formatCode>
                <c:ptCount val="498"/>
                <c:pt idx="0">
                  <c:v>-5.1860202931229837E-3</c:v>
                </c:pt>
                <c:pt idx="1">
                  <c:v>1.5185856754306393E-2</c:v>
                </c:pt>
                <c:pt idx="2">
                  <c:v>2.031703505246707E-2</c:v>
                </c:pt>
                <c:pt idx="3">
                  <c:v>4.0262582056892704E-2</c:v>
                </c:pt>
                <c:pt idx="4">
                  <c:v>-5.006310475389153E-2</c:v>
                </c:pt>
                <c:pt idx="5">
                  <c:v>-9.7431355181576418E-3</c:v>
                </c:pt>
                <c:pt idx="6">
                  <c:v>9.1010733452594028E-2</c:v>
                </c:pt>
                <c:pt idx="7">
                  <c:v>6.9276491084238723E-2</c:v>
                </c:pt>
                <c:pt idx="8">
                  <c:v>2.204331991566022E-2</c:v>
                </c:pt>
                <c:pt idx="9">
                  <c:v>2.0442610652663173E-2</c:v>
                </c:pt>
                <c:pt idx="10">
                  <c:v>-1.1946333394596609E-2</c:v>
                </c:pt>
                <c:pt idx="11">
                  <c:v>-2.6599702380952328E-2</c:v>
                </c:pt>
                <c:pt idx="12">
                  <c:v>9.4783107204280626E-2</c:v>
                </c:pt>
                <c:pt idx="13">
                  <c:v>-4.1892127770990495E-3</c:v>
                </c:pt>
                <c:pt idx="14">
                  <c:v>-2.2787028921997798E-3</c:v>
                </c:pt>
                <c:pt idx="15">
                  <c:v>-6.3598032326071752E-2</c:v>
                </c:pt>
                <c:pt idx="16">
                  <c:v>2.9831144465290782E-2</c:v>
                </c:pt>
                <c:pt idx="17">
                  <c:v>9.3459646565859034E-2</c:v>
                </c:pt>
                <c:pt idx="18">
                  <c:v>-2.2159280239920087E-2</c:v>
                </c:pt>
                <c:pt idx="19">
                  <c:v>8.1785653433295025E-3</c:v>
                </c:pt>
                <c:pt idx="20">
                  <c:v>7.5376035152949106E-2</c:v>
                </c:pt>
                <c:pt idx="21">
                  <c:v>1.9959138771020069E-2</c:v>
                </c:pt>
                <c:pt idx="22">
                  <c:v>1.1248073959938099E-2</c:v>
                </c:pt>
                <c:pt idx="23">
                  <c:v>7.2984915435014619E-2</c:v>
                </c:pt>
                <c:pt idx="24">
                  <c:v>-2.5560920193126946E-2</c:v>
                </c:pt>
                <c:pt idx="25">
                  <c:v>-2.200524628388234E-2</c:v>
                </c:pt>
                <c:pt idx="26">
                  <c:v>3.904038146326938E-2</c:v>
                </c:pt>
                <c:pt idx="27">
                  <c:v>-1.6922415029399174E-2</c:v>
                </c:pt>
                <c:pt idx="28">
                  <c:v>-2.2465353756382034E-2</c:v>
                </c:pt>
                <c:pt idx="29">
                  <c:v>-2.9846291598268904E-3</c:v>
                </c:pt>
                <c:pt idx="30">
                  <c:v>-7.7383625205807549E-2</c:v>
                </c:pt>
                <c:pt idx="31">
                  <c:v>0.12443218689162894</c:v>
                </c:pt>
                <c:pt idx="32">
                  <c:v>-1.3706535853412194E-2</c:v>
                </c:pt>
                <c:pt idx="33">
                  <c:v>3.1158572264482043E-2</c:v>
                </c:pt>
                <c:pt idx="34">
                  <c:v>4.2984820541920765E-2</c:v>
                </c:pt>
                <c:pt idx="35">
                  <c:v>4.2029379760609498E-2</c:v>
                </c:pt>
                <c:pt idx="36">
                  <c:v>-2.5062002349562795E-2</c:v>
                </c:pt>
                <c:pt idx="37">
                  <c:v>1.2317579327888684E-2</c:v>
                </c:pt>
                <c:pt idx="38">
                  <c:v>7.2741700833223177E-2</c:v>
                </c:pt>
                <c:pt idx="39">
                  <c:v>-1.0109727530513979E-2</c:v>
                </c:pt>
                <c:pt idx="40">
                  <c:v>9.8393324199774757E-3</c:v>
                </c:pt>
                <c:pt idx="41">
                  <c:v>3.7247163295510477E-2</c:v>
                </c:pt>
                <c:pt idx="42">
                  <c:v>2.8537455410226897E-3</c:v>
                </c:pt>
                <c:pt idx="43">
                  <c:v>-0.11097936921982454</c:v>
                </c:pt>
                <c:pt idx="44">
                  <c:v>3.2675380101360396E-2</c:v>
                </c:pt>
                <c:pt idx="45">
                  <c:v>-0.11584657109647445</c:v>
                </c:pt>
                <c:pt idx="46">
                  <c:v>7.2597137014315027E-2</c:v>
                </c:pt>
                <c:pt idx="47">
                  <c:v>9.9550592400925897E-2</c:v>
                </c:pt>
                <c:pt idx="48">
                  <c:v>-2.1055239038890727E-3</c:v>
                </c:pt>
                <c:pt idx="49">
                  <c:v>1.8617351371479351E-3</c:v>
                </c:pt>
                <c:pt idx="50">
                  <c:v>-0.14234390485629334</c:v>
                </c:pt>
                <c:pt idx="51">
                  <c:v>6.9334103712263451E-2</c:v>
                </c:pt>
                <c:pt idx="52">
                  <c:v>9.8608672159936628E-3</c:v>
                </c:pt>
                <c:pt idx="53">
                  <c:v>3.1032637774210725E-2</c:v>
                </c:pt>
                <c:pt idx="54">
                  <c:v>6.3570316554228956E-3</c:v>
                </c:pt>
                <c:pt idx="55">
                  <c:v>2.0755446693309532E-2</c:v>
                </c:pt>
                <c:pt idx="56">
                  <c:v>-0.15584743622126807</c:v>
                </c:pt>
                <c:pt idx="57">
                  <c:v>-7.9293836026331777E-3</c:v>
                </c:pt>
                <c:pt idx="58">
                  <c:v>-5.579852209319891E-3</c:v>
                </c:pt>
                <c:pt idx="59">
                  <c:v>2.6994237185320014E-2</c:v>
                </c:pt>
                <c:pt idx="60">
                  <c:v>-0.10617247489663317</c:v>
                </c:pt>
                <c:pt idx="61">
                  <c:v>4.3779943829505896E-2</c:v>
                </c:pt>
                <c:pt idx="62">
                  <c:v>1.1712567268122864E-2</c:v>
                </c:pt>
                <c:pt idx="63">
                  <c:v>2.0337922403002029E-3</c:v>
                </c:pt>
                <c:pt idx="64">
                  <c:v>8.2747853239657498E-3</c:v>
                </c:pt>
                <c:pt idx="65">
                  <c:v>-3.7318055125425742E-2</c:v>
                </c:pt>
                <c:pt idx="66">
                  <c:v>2.4609940485764925E-2</c:v>
                </c:pt>
                <c:pt idx="67">
                  <c:v>1.883830455259039E-2</c:v>
                </c:pt>
                <c:pt idx="68">
                  <c:v>3.9753466872110899E-2</c:v>
                </c:pt>
                <c:pt idx="69">
                  <c:v>0.10892116182572598</c:v>
                </c:pt>
                <c:pt idx="70">
                  <c:v>-1.0156354403314194E-2</c:v>
                </c:pt>
                <c:pt idx="71">
                  <c:v>-1.5390846496557087E-2</c:v>
                </c:pt>
                <c:pt idx="72">
                  <c:v>1.2751953928424431E-2</c:v>
                </c:pt>
                <c:pt idx="73">
                  <c:v>4.0617384240455578E-3</c:v>
                </c:pt>
                <c:pt idx="74">
                  <c:v>4.7195253505933898E-3</c:v>
                </c:pt>
                <c:pt idx="75">
                  <c:v>-5.8113004965776427E-2</c:v>
                </c:pt>
                <c:pt idx="76">
                  <c:v>3.4197777144484576E-3</c:v>
                </c:pt>
                <c:pt idx="77">
                  <c:v>2.414086907128743E-3</c:v>
                </c:pt>
                <c:pt idx="78">
                  <c:v>-9.0664400056665873E-3</c:v>
                </c:pt>
                <c:pt idx="79">
                  <c:v>-4.6604717655468253E-2</c:v>
                </c:pt>
                <c:pt idx="80">
                  <c:v>-0.14409956515219668</c:v>
                </c:pt>
                <c:pt idx="81">
                  <c:v>0.16257883672039242</c:v>
                </c:pt>
                <c:pt idx="82">
                  <c:v>-5.3496081977094545E-2</c:v>
                </c:pt>
                <c:pt idx="83">
                  <c:v>9.4889348829804154E-2</c:v>
                </c:pt>
                <c:pt idx="84">
                  <c:v>5.0894285298823672E-3</c:v>
                </c:pt>
                <c:pt idx="85">
                  <c:v>4.4849537037037202E-3</c:v>
                </c:pt>
                <c:pt idx="86">
                  <c:v>0.12818666282586766</c:v>
                </c:pt>
                <c:pt idx="87">
                  <c:v>-4.0597472232860921E-2</c:v>
                </c:pt>
                <c:pt idx="88">
                  <c:v>-3.9920159680639777E-4</c:v>
                </c:pt>
                <c:pt idx="89">
                  <c:v>6.7492012779552635E-2</c:v>
                </c:pt>
                <c:pt idx="90">
                  <c:v>7.3824666417259044E-2</c:v>
                </c:pt>
                <c:pt idx="91">
                  <c:v>-2.0322842875391989E-2</c:v>
                </c:pt>
                <c:pt idx="92">
                  <c:v>4.6941678520625807E-2</c:v>
                </c:pt>
                <c:pt idx="93">
                  <c:v>3.8949275362319069E-2</c:v>
                </c:pt>
                <c:pt idx="94">
                  <c:v>0</c:v>
                </c:pt>
                <c:pt idx="95">
                  <c:v>7.0836965998255508E-3</c:v>
                </c:pt>
                <c:pt idx="96">
                  <c:v>-3.1165458283735514E-2</c:v>
                </c:pt>
                <c:pt idx="97">
                  <c:v>-1.7089243828884215E-2</c:v>
                </c:pt>
                <c:pt idx="98">
                  <c:v>3.1704545454545485E-2</c:v>
                </c:pt>
                <c:pt idx="99">
                  <c:v>-4.3506994162352708E-2</c:v>
                </c:pt>
                <c:pt idx="100">
                  <c:v>-3.2243205895901017E-3</c:v>
                </c:pt>
                <c:pt idx="101">
                  <c:v>1.9639556377080147E-3</c:v>
                </c:pt>
                <c:pt idx="102">
                  <c:v>3.7933817594834496E-2</c:v>
                </c:pt>
                <c:pt idx="103">
                  <c:v>6.5096645189957725E-2</c:v>
                </c:pt>
                <c:pt idx="104">
                  <c:v>8.3854818523154018E-2</c:v>
                </c:pt>
                <c:pt idx="105">
                  <c:v>1.8668206312548064E-2</c:v>
                </c:pt>
                <c:pt idx="106">
                  <c:v>3.4951823162667761E-2</c:v>
                </c:pt>
                <c:pt idx="107">
                  <c:v>-0.10779481562614091</c:v>
                </c:pt>
                <c:pt idx="108">
                  <c:v>0.12603580562659844</c:v>
                </c:pt>
                <c:pt idx="109">
                  <c:v>6.8865267557009391E-2</c:v>
                </c:pt>
                <c:pt idx="110">
                  <c:v>2.1929451763705865E-2</c:v>
                </c:pt>
                <c:pt idx="111">
                  <c:v>-1.2725609248939507E-2</c:v>
                </c:pt>
                <c:pt idx="112">
                  <c:v>-4.9536647009267187E-2</c:v>
                </c:pt>
                <c:pt idx="113">
                  <c:v>-3.1111505052295652E-2</c:v>
                </c:pt>
                <c:pt idx="114">
                  <c:v>7.1356691976946163E-2</c:v>
                </c:pt>
                <c:pt idx="115">
                  <c:v>3.321663393390839E-2</c:v>
                </c:pt>
                <c:pt idx="116">
                  <c:v>-1.6942148760330511E-2</c:v>
                </c:pt>
                <c:pt idx="117">
                  <c:v>4.3379571248423732E-2</c:v>
                </c:pt>
                <c:pt idx="118">
                  <c:v>2.7233905406494285E-2</c:v>
                </c:pt>
                <c:pt idx="119">
                  <c:v>-4.0003137500980168E-3</c:v>
                </c:pt>
                <c:pt idx="120">
                  <c:v>9.8440699322727809E-2</c:v>
                </c:pt>
                <c:pt idx="121">
                  <c:v>0.11987381703470024</c:v>
                </c:pt>
                <c:pt idx="122">
                  <c:v>-3.5083226632522391E-2</c:v>
                </c:pt>
                <c:pt idx="123">
                  <c:v>-5.6064225053078509E-2</c:v>
                </c:pt>
                <c:pt idx="124">
                  <c:v>1.0473044211710025E-2</c:v>
                </c:pt>
                <c:pt idx="125">
                  <c:v>1.4677239844184786E-2</c:v>
                </c:pt>
                <c:pt idx="126">
                  <c:v>2.3102762733941296E-2</c:v>
                </c:pt>
                <c:pt idx="127">
                  <c:v>1.9096756901634926E-2</c:v>
                </c:pt>
                <c:pt idx="128">
                  <c:v>-0.11808797422578743</c:v>
                </c:pt>
                <c:pt idx="129">
                  <c:v>5.5095802579587128E-2</c:v>
                </c:pt>
                <c:pt idx="130">
                  <c:v>5.6458451102317619E-2</c:v>
                </c:pt>
                <c:pt idx="131">
                  <c:v>-3.7054377633603086E-2</c:v>
                </c:pt>
                <c:pt idx="132">
                  <c:v>5.1052302563033836E-2</c:v>
                </c:pt>
                <c:pt idx="133">
                  <c:v>0.14532117367168929</c:v>
                </c:pt>
                <c:pt idx="134">
                  <c:v>3.1158040505452789E-2</c:v>
                </c:pt>
                <c:pt idx="135">
                  <c:v>8.0185775837949613E-2</c:v>
                </c:pt>
                <c:pt idx="136">
                  <c:v>-0.10790509738914211</c:v>
                </c:pt>
                <c:pt idx="137">
                  <c:v>8.2805876546077517E-2</c:v>
                </c:pt>
                <c:pt idx="138">
                  <c:v>-3.4697270338392205E-2</c:v>
                </c:pt>
                <c:pt idx="139">
                  <c:v>4.788888888888887E-2</c:v>
                </c:pt>
                <c:pt idx="140">
                  <c:v>1.7654543526667288E-2</c:v>
                </c:pt>
                <c:pt idx="141">
                  <c:v>3.9072675175826355E-3</c:v>
                </c:pt>
                <c:pt idx="142">
                  <c:v>0.31940840685002603</c:v>
                </c:pt>
                <c:pt idx="143">
                  <c:v>1.9744346116027378E-2</c:v>
                </c:pt>
                <c:pt idx="144">
                  <c:v>-4.2079685270181577E-2</c:v>
                </c:pt>
                <c:pt idx="145">
                  <c:v>-5.2665485585440486E-2</c:v>
                </c:pt>
                <c:pt idx="146">
                  <c:v>-1.7086025161509699E-2</c:v>
                </c:pt>
                <c:pt idx="147">
                  <c:v>-8.1077575023782766E-2</c:v>
                </c:pt>
                <c:pt idx="148">
                  <c:v>-1.0493623829466836E-2</c:v>
                </c:pt>
                <c:pt idx="149">
                  <c:v>-0.13158645615369979</c:v>
                </c:pt>
                <c:pt idx="150">
                  <c:v>8.3675592793384546E-2</c:v>
                </c:pt>
                <c:pt idx="151">
                  <c:v>2.8298549699327991E-2</c:v>
                </c:pt>
                <c:pt idx="152">
                  <c:v>-9.5827804806132955E-2</c:v>
                </c:pt>
                <c:pt idx="153">
                  <c:v>-4.5926409043969829E-2</c:v>
                </c:pt>
                <c:pt idx="154">
                  <c:v>5.7308875469978426E-2</c:v>
                </c:pt>
                <c:pt idx="155">
                  <c:v>-2.6724137931034564E-2</c:v>
                </c:pt>
                <c:pt idx="156">
                  <c:v>-2.020593445527008E-2</c:v>
                </c:pt>
                <c:pt idx="157">
                  <c:v>6.175490140685902E-2</c:v>
                </c:pt>
                <c:pt idx="158">
                  <c:v>0.10094721157939546</c:v>
                </c:pt>
                <c:pt idx="159">
                  <c:v>-5.4715065977089195E-2</c:v>
                </c:pt>
                <c:pt idx="160">
                  <c:v>0</c:v>
                </c:pt>
              </c:numCache>
            </c:numRef>
          </c:val>
          <c:extLst>
            <c:ext xmlns:c16="http://schemas.microsoft.com/office/drawing/2014/chart" uri="{C3380CC4-5D6E-409C-BE32-E72D297353CC}">
              <c16:uniqueId val="{00000000-4314-F749-B641-6BE0BDE5E411}"/>
            </c:ext>
          </c:extLst>
        </c:ser>
        <c:dLbls>
          <c:showLegendKey val="0"/>
          <c:showVal val="0"/>
          <c:showCatName val="0"/>
          <c:showSerName val="0"/>
          <c:showPercent val="0"/>
          <c:showBubbleSize val="0"/>
        </c:dLbls>
        <c:gapWidth val="150"/>
        <c:axId val="23505153"/>
        <c:axId val="11898434"/>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(Calc)'!$AB$3:$AB$500</c:f>
              <c:numCache>
                <c:formatCode>#,##0.00</c:formatCode>
                <c:ptCount val="498"/>
                <c:pt idx="0">
                  <c:v>44.35</c:v>
                </c:pt>
                <c:pt idx="1">
                  <c:v>45.301069182389938</c:v>
                </c:pt>
                <c:pt idx="2">
                  <c:v>46.252138364779874</c:v>
                </c:pt>
                <c:pt idx="3">
                  <c:v>47.203207547169811</c:v>
                </c:pt>
                <c:pt idx="4">
                  <c:v>48.154276729559747</c:v>
                </c:pt>
                <c:pt idx="5">
                  <c:v>49.105345911949684</c:v>
                </c:pt>
                <c:pt idx="6">
                  <c:v>50.056415094339627</c:v>
                </c:pt>
                <c:pt idx="7">
                  <c:v>51.007484276729564</c:v>
                </c:pt>
                <c:pt idx="8">
                  <c:v>51.9585534591195</c:v>
                </c:pt>
                <c:pt idx="9">
                  <c:v>52.909622641509436</c:v>
                </c:pt>
                <c:pt idx="10">
                  <c:v>53.860691823899373</c:v>
                </c:pt>
                <c:pt idx="11">
                  <c:v>54.811761006289309</c:v>
                </c:pt>
                <c:pt idx="12">
                  <c:v>55.762830188679246</c:v>
                </c:pt>
                <c:pt idx="13">
                  <c:v>56.713899371069182</c:v>
                </c:pt>
                <c:pt idx="14">
                  <c:v>57.664968553459119</c:v>
                </c:pt>
                <c:pt idx="15">
                  <c:v>58.616037735849062</c:v>
                </c:pt>
                <c:pt idx="16">
                  <c:v>59.567106918238991</c:v>
                </c:pt>
                <c:pt idx="17">
                  <c:v>60.518176100628935</c:v>
                </c:pt>
                <c:pt idx="18">
                  <c:v>61.469245283018864</c:v>
                </c:pt>
                <c:pt idx="19">
                  <c:v>62.420314465408808</c:v>
                </c:pt>
                <c:pt idx="20">
                  <c:v>63.371383647798744</c:v>
                </c:pt>
                <c:pt idx="21">
                  <c:v>64.322452830188681</c:v>
                </c:pt>
                <c:pt idx="22">
                  <c:v>65.27352201257861</c:v>
                </c:pt>
                <c:pt idx="23">
                  <c:v>66.224591194968554</c:v>
                </c:pt>
                <c:pt idx="24">
                  <c:v>67.175660377358497</c:v>
                </c:pt>
                <c:pt idx="25">
                  <c:v>68.126729559748426</c:v>
                </c:pt>
                <c:pt idx="26">
                  <c:v>69.07779874213837</c:v>
                </c:pt>
                <c:pt idx="27">
                  <c:v>70.028867924528299</c:v>
                </c:pt>
                <c:pt idx="28">
                  <c:v>70.979937106918243</c:v>
                </c:pt>
                <c:pt idx="29">
                  <c:v>71.931006289308186</c:v>
                </c:pt>
                <c:pt idx="30">
                  <c:v>72.882075471698116</c:v>
                </c:pt>
                <c:pt idx="31">
                  <c:v>73.833144654088045</c:v>
                </c:pt>
                <c:pt idx="32">
                  <c:v>74.784213836477988</c:v>
                </c:pt>
                <c:pt idx="33">
                  <c:v>75.735283018867932</c:v>
                </c:pt>
                <c:pt idx="34">
                  <c:v>76.686352201257861</c:v>
                </c:pt>
                <c:pt idx="35">
                  <c:v>77.637421383647791</c:v>
                </c:pt>
                <c:pt idx="36">
                  <c:v>78.588490566037734</c:v>
                </c:pt>
                <c:pt idx="37">
                  <c:v>79.539559748427678</c:v>
                </c:pt>
                <c:pt idx="38">
                  <c:v>80.490628930817607</c:v>
                </c:pt>
                <c:pt idx="39">
                  <c:v>81.441698113207551</c:v>
                </c:pt>
                <c:pt idx="40">
                  <c:v>82.39276729559748</c:v>
                </c:pt>
                <c:pt idx="41">
                  <c:v>83.343836477987423</c:v>
                </c:pt>
                <c:pt idx="42">
                  <c:v>84.294905660377367</c:v>
                </c:pt>
                <c:pt idx="43">
                  <c:v>85.245974842767296</c:v>
                </c:pt>
                <c:pt idx="44">
                  <c:v>86.197044025157226</c:v>
                </c:pt>
                <c:pt idx="45">
                  <c:v>87.148113207547169</c:v>
                </c:pt>
                <c:pt idx="46">
                  <c:v>88.099182389937113</c:v>
                </c:pt>
                <c:pt idx="47">
                  <c:v>89.050251572327056</c:v>
                </c:pt>
                <c:pt idx="48">
                  <c:v>90.001320754716971</c:v>
                </c:pt>
                <c:pt idx="49">
                  <c:v>90.952389937106915</c:v>
                </c:pt>
                <c:pt idx="50">
                  <c:v>91.903459119496858</c:v>
                </c:pt>
                <c:pt idx="51">
                  <c:v>92.854528301886802</c:v>
                </c:pt>
                <c:pt idx="52">
                  <c:v>93.805597484276731</c:v>
                </c:pt>
                <c:pt idx="53">
                  <c:v>94.756666666666661</c:v>
                </c:pt>
                <c:pt idx="54">
                  <c:v>95.707735849056604</c:v>
                </c:pt>
                <c:pt idx="55">
                  <c:v>96.658805031446548</c:v>
                </c:pt>
                <c:pt idx="56">
                  <c:v>97.609874213836477</c:v>
                </c:pt>
                <c:pt idx="57">
                  <c:v>98.560943396226406</c:v>
                </c:pt>
                <c:pt idx="58">
                  <c:v>99.51201257861635</c:v>
                </c:pt>
                <c:pt idx="59">
                  <c:v>100.46308176100629</c:v>
                </c:pt>
                <c:pt idx="60">
                  <c:v>101.41415094339624</c:v>
                </c:pt>
                <c:pt idx="61">
                  <c:v>102.36522012578617</c:v>
                </c:pt>
                <c:pt idx="62">
                  <c:v>103.3162893081761</c:v>
                </c:pt>
                <c:pt idx="63">
                  <c:v>104.26735849056604</c:v>
                </c:pt>
                <c:pt idx="64">
                  <c:v>105.21842767295598</c:v>
                </c:pt>
                <c:pt idx="65">
                  <c:v>106.16949685534591</c:v>
                </c:pt>
                <c:pt idx="66">
                  <c:v>107.12056603773586</c:v>
                </c:pt>
                <c:pt idx="67">
                  <c:v>108.07163522012578</c:v>
                </c:pt>
                <c:pt idx="68">
                  <c:v>109.02270440251573</c:v>
                </c:pt>
                <c:pt idx="69">
                  <c:v>109.97377358490567</c:v>
                </c:pt>
                <c:pt idx="70">
                  <c:v>110.92484276729559</c:v>
                </c:pt>
                <c:pt idx="71">
                  <c:v>111.87591194968553</c:v>
                </c:pt>
                <c:pt idx="72">
                  <c:v>112.82698113207547</c:v>
                </c:pt>
                <c:pt idx="73">
                  <c:v>113.77805031446542</c:v>
                </c:pt>
                <c:pt idx="74">
                  <c:v>114.72911949685536</c:v>
                </c:pt>
                <c:pt idx="75">
                  <c:v>115.68018867924528</c:v>
                </c:pt>
                <c:pt idx="76">
                  <c:v>116.63125786163522</c:v>
                </c:pt>
                <c:pt idx="77">
                  <c:v>117.58232704402516</c:v>
                </c:pt>
                <c:pt idx="78">
                  <c:v>118.53339622641511</c:v>
                </c:pt>
                <c:pt idx="79">
                  <c:v>119.48446540880502</c:v>
                </c:pt>
                <c:pt idx="80">
                  <c:v>120.43553459119497</c:v>
                </c:pt>
                <c:pt idx="81">
                  <c:v>121.38660377358491</c:v>
                </c:pt>
                <c:pt idx="82">
                  <c:v>122.33767295597482</c:v>
                </c:pt>
                <c:pt idx="83">
                  <c:v>123.2887421383648</c:v>
                </c:pt>
                <c:pt idx="84">
                  <c:v>124.23981132075471</c:v>
                </c:pt>
                <c:pt idx="85">
                  <c:v>125.19088050314465</c:v>
                </c:pt>
                <c:pt idx="86">
                  <c:v>126.1419496855346</c:v>
                </c:pt>
                <c:pt idx="87">
                  <c:v>127.09301886792451</c:v>
                </c:pt>
                <c:pt idx="88">
                  <c:v>128.04408805031446</c:v>
                </c:pt>
                <c:pt idx="89">
                  <c:v>128.9951572327044</c:v>
                </c:pt>
                <c:pt idx="90">
                  <c:v>129.94622641509434</c:v>
                </c:pt>
                <c:pt idx="91">
                  <c:v>130.89729559748429</c:v>
                </c:pt>
                <c:pt idx="92">
                  <c:v>131.8483647798742</c:v>
                </c:pt>
                <c:pt idx="93">
                  <c:v>132.79943396226415</c:v>
                </c:pt>
                <c:pt idx="94">
                  <c:v>133.75050314465409</c:v>
                </c:pt>
                <c:pt idx="95">
                  <c:v>134.70157232704403</c:v>
                </c:pt>
                <c:pt idx="96">
                  <c:v>135.65264150943395</c:v>
                </c:pt>
                <c:pt idx="97">
                  <c:v>136.60371069182389</c:v>
                </c:pt>
                <c:pt idx="98">
                  <c:v>137.55477987421384</c:v>
                </c:pt>
                <c:pt idx="99">
                  <c:v>138.50584905660378</c:v>
                </c:pt>
                <c:pt idx="100">
                  <c:v>139.45691823899372</c:v>
                </c:pt>
                <c:pt idx="101">
                  <c:v>140.40798742138364</c:v>
                </c:pt>
                <c:pt idx="102">
                  <c:v>141.35905660377358</c:v>
                </c:pt>
                <c:pt idx="103">
                  <c:v>142.31012578616352</c:v>
                </c:pt>
                <c:pt idx="104">
                  <c:v>143.26119496855347</c:v>
                </c:pt>
                <c:pt idx="105">
                  <c:v>144.21226415094341</c:v>
                </c:pt>
                <c:pt idx="106">
                  <c:v>145.16333333333333</c:v>
                </c:pt>
                <c:pt idx="107">
                  <c:v>146.11440251572327</c:v>
                </c:pt>
                <c:pt idx="108">
                  <c:v>147.06547169811321</c:v>
                </c:pt>
                <c:pt idx="109">
                  <c:v>148.01654088050316</c:v>
                </c:pt>
                <c:pt idx="110">
                  <c:v>148.9676100628931</c:v>
                </c:pt>
                <c:pt idx="111">
                  <c:v>149.91867924528302</c:v>
                </c:pt>
                <c:pt idx="112">
                  <c:v>150.86974842767296</c:v>
                </c:pt>
                <c:pt idx="113">
                  <c:v>151.8208176100629</c:v>
                </c:pt>
                <c:pt idx="114">
                  <c:v>152.77188679245282</c:v>
                </c:pt>
                <c:pt idx="115">
                  <c:v>153.72295597484276</c:v>
                </c:pt>
                <c:pt idx="116">
                  <c:v>154.67402515723271</c:v>
                </c:pt>
                <c:pt idx="117">
                  <c:v>155.62509433962265</c:v>
                </c:pt>
                <c:pt idx="118">
                  <c:v>156.57616352201256</c:v>
                </c:pt>
                <c:pt idx="119">
                  <c:v>157.52723270440251</c:v>
                </c:pt>
                <c:pt idx="120">
                  <c:v>158.47830188679245</c:v>
                </c:pt>
                <c:pt idx="121">
                  <c:v>159.42937106918239</c:v>
                </c:pt>
                <c:pt idx="122">
                  <c:v>160.38044025157234</c:v>
                </c:pt>
                <c:pt idx="123">
                  <c:v>161.33150943396228</c:v>
                </c:pt>
                <c:pt idx="124">
                  <c:v>162.2825786163522</c:v>
                </c:pt>
                <c:pt idx="125">
                  <c:v>163.23364779874214</c:v>
                </c:pt>
                <c:pt idx="126">
                  <c:v>164.18471698113208</c:v>
                </c:pt>
                <c:pt idx="127">
                  <c:v>165.135786163522</c:v>
                </c:pt>
                <c:pt idx="128">
                  <c:v>166.08685534591194</c:v>
                </c:pt>
                <c:pt idx="129">
                  <c:v>167.03792452830189</c:v>
                </c:pt>
                <c:pt idx="130">
                  <c:v>167.98899371069183</c:v>
                </c:pt>
                <c:pt idx="131">
                  <c:v>168.94006289308177</c:v>
                </c:pt>
                <c:pt idx="132">
                  <c:v>169.89113207547172</c:v>
                </c:pt>
                <c:pt idx="133">
                  <c:v>170.84220125786163</c:v>
                </c:pt>
                <c:pt idx="134">
                  <c:v>171.79327044025158</c:v>
                </c:pt>
                <c:pt idx="135">
                  <c:v>172.74433962264152</c:v>
                </c:pt>
                <c:pt idx="136">
                  <c:v>173.69540880503143</c:v>
                </c:pt>
                <c:pt idx="137">
                  <c:v>174.64647798742138</c:v>
                </c:pt>
                <c:pt idx="138">
                  <c:v>175.59754716981132</c:v>
                </c:pt>
                <c:pt idx="139">
                  <c:v>176.54861635220124</c:v>
                </c:pt>
                <c:pt idx="140">
                  <c:v>177.49968553459118</c:v>
                </c:pt>
                <c:pt idx="141">
                  <c:v>178.45075471698112</c:v>
                </c:pt>
                <c:pt idx="142">
                  <c:v>179.40182389937107</c:v>
                </c:pt>
                <c:pt idx="143">
                  <c:v>180.35289308176098</c:v>
                </c:pt>
                <c:pt idx="144">
                  <c:v>181.30396226415093</c:v>
                </c:pt>
                <c:pt idx="145">
                  <c:v>182.2550314465409</c:v>
                </c:pt>
                <c:pt idx="146">
                  <c:v>183.20610062893081</c:v>
                </c:pt>
                <c:pt idx="147">
                  <c:v>184.15716981132076</c:v>
                </c:pt>
                <c:pt idx="148">
                  <c:v>185.1082389937107</c:v>
                </c:pt>
                <c:pt idx="149">
                  <c:v>186.05930817610061</c:v>
                </c:pt>
                <c:pt idx="150">
                  <c:v>187.01037735849056</c:v>
                </c:pt>
                <c:pt idx="151">
                  <c:v>187.9614465408805</c:v>
                </c:pt>
                <c:pt idx="152">
                  <c:v>188.91251572327042</c:v>
                </c:pt>
                <c:pt idx="153">
                  <c:v>189.86358490566036</c:v>
                </c:pt>
                <c:pt idx="154">
                  <c:v>190.8146540880503</c:v>
                </c:pt>
                <c:pt idx="155">
                  <c:v>191.76572327044025</c:v>
                </c:pt>
                <c:pt idx="156">
                  <c:v>192.71679245283019</c:v>
                </c:pt>
                <c:pt idx="157">
                  <c:v>193.66786163522013</c:v>
                </c:pt>
                <c:pt idx="158">
                  <c:v>194.61893081761005</c:v>
                </c:pt>
                <c:pt idx="159">
                  <c:v>195.57</c:v>
                </c:pt>
                <c:pt idx="160">
                  <c:v>196.52106918238994</c:v>
                </c:pt>
              </c:numCache>
            </c:numRef>
          </c:val>
          <c:smooth val="0"/>
          <c:extLst>
            <c:ext xmlns:c16="http://schemas.microsoft.com/office/drawing/2014/chart" uri="{C3380CC4-5D6E-409C-BE32-E72D297353CC}">
              <c16:uniqueId val="{00000001-4314-F749-B641-6BE0BDE5E411}"/>
            </c:ext>
          </c:extLst>
        </c:ser>
        <c:dLbls>
          <c:showLegendKey val="0"/>
          <c:showVal val="0"/>
          <c:showCatName val="0"/>
          <c:showSerName val="0"/>
          <c:showPercent val="0"/>
          <c:showBubbleSize val="0"/>
        </c:dLbls>
        <c:hiLowLines>
          <c:spPr>
            <a:ln w="0">
              <a:noFill/>
            </a:ln>
          </c:spPr>
        </c:hiLowLines>
        <c:marker val="1"/>
        <c:smooth val="0"/>
        <c:axId val="61445643"/>
        <c:axId val="20698668"/>
      </c:lineChart>
      <c:dateAx>
        <c:axId val="23505153"/>
        <c:scaling>
          <c:orientation val="minMax"/>
        </c:scaling>
        <c:delete val="1"/>
        <c:axPos val="b"/>
        <c:numFmt formatCode="mm/dd/yyyy" sourceLinked="1"/>
        <c:majorTickMark val="none"/>
        <c:minorTickMark val="none"/>
        <c:tickLblPos val="nextTo"/>
        <c:crossAx val="11898434"/>
        <c:crosses val="autoZero"/>
        <c:auto val="1"/>
        <c:lblOffset val="100"/>
        <c:baseTimeUnit val="days"/>
      </c:dateAx>
      <c:valAx>
        <c:axId val="118984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3505153"/>
        <c:crosses val="autoZero"/>
        <c:crossBetween val="between"/>
      </c:valAx>
      <c:dateAx>
        <c:axId val="61445643"/>
        <c:scaling>
          <c:orientation val="minMax"/>
        </c:scaling>
        <c:delete val="1"/>
        <c:axPos val="b"/>
        <c:numFmt formatCode="mm/dd/yyyy" sourceLinked="1"/>
        <c:majorTickMark val="none"/>
        <c:minorTickMark val="none"/>
        <c:tickLblPos val="nextTo"/>
        <c:crossAx val="20698668"/>
        <c:crosses val="autoZero"/>
        <c:auto val="1"/>
        <c:lblOffset val="100"/>
        <c:baseTimeUnit val="days"/>
      </c:dateAx>
      <c:valAx>
        <c:axId val="206986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144564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(Calc)'!$H$3:$H$500</c:f>
              <c:numCache>
                <c:formatCode>0.0%</c:formatCode>
                <c:ptCount val="498"/>
                <c:pt idx="0">
                  <c:v>-1.432498914773539E-2</c:v>
                </c:pt>
                <c:pt idx="1">
                  <c:v>-1.2331180270111597E-2</c:v>
                </c:pt>
                <c:pt idx="2">
                  <c:v>3.0023781212841882E-2</c:v>
                </c:pt>
                <c:pt idx="3">
                  <c:v>-1.067821067821062E-2</c:v>
                </c:pt>
                <c:pt idx="4">
                  <c:v>-2.87339556592765E-2</c:v>
                </c:pt>
                <c:pt idx="5">
                  <c:v>-2.3426940982129496E-2</c:v>
                </c:pt>
                <c:pt idx="6">
                  <c:v>0.10564354913117024</c:v>
                </c:pt>
                <c:pt idx="7">
                  <c:v>3.8247566063977834E-2</c:v>
                </c:pt>
                <c:pt idx="8">
                  <c:v>2.920294708640303E-2</c:v>
                </c:pt>
                <c:pt idx="9">
                  <c:v>-8.8507093583234386E-3</c:v>
                </c:pt>
                <c:pt idx="10">
                  <c:v>-1.2212738017071678E-2</c:v>
                </c:pt>
                <c:pt idx="11">
                  <c:v>-1.2762563148098871E-2</c:v>
                </c:pt>
                <c:pt idx="12">
                  <c:v>8.5914354969027773E-2</c:v>
                </c:pt>
                <c:pt idx="13">
                  <c:v>6.25E-2</c:v>
                </c:pt>
                <c:pt idx="14">
                  <c:v>-1.2021475256769332E-2</c:v>
                </c:pt>
                <c:pt idx="15">
                  <c:v>-2.2090962787950419E-2</c:v>
                </c:pt>
                <c:pt idx="16">
                  <c:v>-1.2805025368446521E-2</c:v>
                </c:pt>
                <c:pt idx="17">
                  <c:v>6.2163485070974023E-2</c:v>
                </c:pt>
                <c:pt idx="18">
                  <c:v>6.2211981566822061E-3</c:v>
                </c:pt>
                <c:pt idx="19">
                  <c:v>-1.7861231967025493E-2</c:v>
                </c:pt>
                <c:pt idx="20">
                  <c:v>-1.0608533457682423E-2</c:v>
                </c:pt>
                <c:pt idx="21">
                  <c:v>-7.0814186402733625E-2</c:v>
                </c:pt>
                <c:pt idx="22">
                  <c:v>8.1790514836419081E-2</c:v>
                </c:pt>
                <c:pt idx="23">
                  <c:v>0.10631813386472855</c:v>
                </c:pt>
                <c:pt idx="24">
                  <c:v>2.5958889595253165E-2</c:v>
                </c:pt>
                <c:pt idx="25">
                  <c:v>-4.4717546215016002E-2</c:v>
                </c:pt>
                <c:pt idx="26">
                  <c:v>0.1818378378378378</c:v>
                </c:pt>
                <c:pt idx="27">
                  <c:v>7.0709842663739586E-2</c:v>
                </c:pt>
                <c:pt idx="28">
                  <c:v>4.8269970098248738E-2</c:v>
                </c:pt>
                <c:pt idx="29">
                  <c:v>-8.5574572127139481E-3</c:v>
                </c:pt>
                <c:pt idx="30">
                  <c:v>-0.12856555692560623</c:v>
                </c:pt>
                <c:pt idx="31">
                  <c:v>7.5558909536836083E-2</c:v>
                </c:pt>
                <c:pt idx="32">
                  <c:v>-1.2278547623224556E-3</c:v>
                </c:pt>
                <c:pt idx="33">
                  <c:v>5.7077625570776336E-2</c:v>
                </c:pt>
                <c:pt idx="34">
                  <c:v>3.3394251536800201E-2</c:v>
                </c:pt>
                <c:pt idx="35">
                  <c:v>3.3520900321543312E-2</c:v>
                </c:pt>
                <c:pt idx="36">
                  <c:v>-3.4689274325270247E-2</c:v>
                </c:pt>
                <c:pt idx="37">
                  <c:v>4.7538473934412906E-2</c:v>
                </c:pt>
                <c:pt idx="38">
                  <c:v>7.9532343665871919E-2</c:v>
                </c:pt>
                <c:pt idx="39">
                  <c:v>-1.2825080156750879E-2</c:v>
                </c:pt>
                <c:pt idx="40">
                  <c:v>-5.7452183327318718E-2</c:v>
                </c:pt>
                <c:pt idx="41">
                  <c:v>5.3602879240366441E-4</c:v>
                </c:pt>
                <c:pt idx="42">
                  <c:v>1.5766110515842646E-2</c:v>
                </c:pt>
                <c:pt idx="43">
                  <c:v>-0.14443942133815557</c:v>
                </c:pt>
                <c:pt idx="44">
                  <c:v>-4.2448260678115357E-2</c:v>
                </c:pt>
                <c:pt idx="45">
                  <c:v>-0.1527637266623747</c:v>
                </c:pt>
                <c:pt idx="46">
                  <c:v>4.1250542770299159E-3</c:v>
                </c:pt>
                <c:pt idx="47">
                  <c:v>0.16021621621621618</c:v>
                </c:pt>
                <c:pt idx="48">
                  <c:v>-4.7614610510622435E-2</c:v>
                </c:pt>
                <c:pt idx="49">
                  <c:v>-6.4279424713824418E-2</c:v>
                </c:pt>
                <c:pt idx="50">
                  <c:v>-0.10246758678377244</c:v>
                </c:pt>
                <c:pt idx="51">
                  <c:v>5.6034482758620774E-2</c:v>
                </c:pt>
                <c:pt idx="52">
                  <c:v>-3.5300606729179451E-3</c:v>
                </c:pt>
                <c:pt idx="53">
                  <c:v>0.1826635669212886</c:v>
                </c:pt>
                <c:pt idx="54">
                  <c:v>-4.8862679022746436E-2</c:v>
                </c:pt>
                <c:pt idx="55">
                  <c:v>4.6845782895384325E-2</c:v>
                </c:pt>
                <c:pt idx="56">
                  <c:v>3.9578828617091277E-2</c:v>
                </c:pt>
                <c:pt idx="57">
                  <c:v>-2.9119189726894534E-2</c:v>
                </c:pt>
                <c:pt idx="58">
                  <c:v>-7.5819672131147597E-2</c:v>
                </c:pt>
                <c:pt idx="59">
                  <c:v>0.1220520056440233</c:v>
                </c:pt>
                <c:pt idx="60">
                  <c:v>-0.13904607922392886</c:v>
                </c:pt>
                <c:pt idx="61">
                  <c:v>6.5310380803338619E-2</c:v>
                </c:pt>
                <c:pt idx="62">
                  <c:v>-4.563705807462537E-2</c:v>
                </c:pt>
                <c:pt idx="63">
                  <c:v>3.283735248845554E-2</c:v>
                </c:pt>
                <c:pt idx="64">
                  <c:v>1.3114754098360493E-2</c:v>
                </c:pt>
                <c:pt idx="65">
                  <c:v>-0.12072178091595565</c:v>
                </c:pt>
                <c:pt idx="66">
                  <c:v>-1.6506803479812482E-2</c:v>
                </c:pt>
                <c:pt idx="67">
                  <c:v>1.5309594012247629E-2</c:v>
                </c:pt>
                <c:pt idx="68">
                  <c:v>0.1053278230760637</c:v>
                </c:pt>
                <c:pt idx="69">
                  <c:v>6.4470493128536921E-2</c:v>
                </c:pt>
                <c:pt idx="70">
                  <c:v>-2.4207328650085458E-2</c:v>
                </c:pt>
                <c:pt idx="71">
                  <c:v>-0.11577001653857388</c:v>
                </c:pt>
                <c:pt idx="72">
                  <c:v>1.1662449114314022E-2</c:v>
                </c:pt>
                <c:pt idx="73">
                  <c:v>7.8194671016857065E-2</c:v>
                </c:pt>
                <c:pt idx="74">
                  <c:v>-6.8589872907001137E-3</c:v>
                </c:pt>
                <c:pt idx="75">
                  <c:v>-5.271176112126752E-2</c:v>
                </c:pt>
                <c:pt idx="76">
                  <c:v>-7.1834459097245285E-3</c:v>
                </c:pt>
                <c:pt idx="77">
                  <c:v>8.4233261339093035E-2</c:v>
                </c:pt>
                <c:pt idx="78">
                  <c:v>-6.015936254980081E-2</c:v>
                </c:pt>
                <c:pt idx="79">
                  <c:v>-6.6341670199236979E-2</c:v>
                </c:pt>
                <c:pt idx="80">
                  <c:v>-0.26719636776390454</c:v>
                </c:pt>
                <c:pt idx="81">
                  <c:v>7.4504337050805391E-2</c:v>
                </c:pt>
                <c:pt idx="82">
                  <c:v>-1.0667435490846366E-2</c:v>
                </c:pt>
                <c:pt idx="83">
                  <c:v>0.15955121666909511</c:v>
                </c:pt>
                <c:pt idx="84">
                  <c:v>1.1686353355114365E-2</c:v>
                </c:pt>
                <c:pt idx="85">
                  <c:v>6.3718792696559445E-2</c:v>
                </c:pt>
                <c:pt idx="86">
                  <c:v>0.14140588510042029</c:v>
                </c:pt>
                <c:pt idx="87">
                  <c:v>-4.7263427109974443E-2</c:v>
                </c:pt>
                <c:pt idx="88">
                  <c:v>1.1704069580156906E-2</c:v>
                </c:pt>
                <c:pt idx="89">
                  <c:v>0.14922521757588636</c:v>
                </c:pt>
                <c:pt idx="90">
                  <c:v>6.4924270410048113E-2</c:v>
                </c:pt>
                <c:pt idx="91">
                  <c:v>6.9204752406556214E-2</c:v>
                </c:pt>
                <c:pt idx="92">
                  <c:v>9.3276015897476583E-3</c:v>
                </c:pt>
                <c:pt idx="93">
                  <c:v>-1.9768563162970043E-2</c:v>
                </c:pt>
                <c:pt idx="94">
                  <c:v>1.9265453353008555E-2</c:v>
                </c:pt>
                <c:pt idx="95">
                  <c:v>-8.1396284082683179E-2</c:v>
                </c:pt>
                <c:pt idx="96">
                  <c:v>-2.7405656247263765E-2</c:v>
                </c:pt>
                <c:pt idx="97">
                  <c:v>-5.7346056895930864E-2</c:v>
                </c:pt>
                <c:pt idx="98">
                  <c:v>0.13360710533855413</c:v>
                </c:pt>
                <c:pt idx="99">
                  <c:v>1.6680707666385963E-2</c:v>
                </c:pt>
                <c:pt idx="100">
                  <c:v>-2.6433543254889114E-2</c:v>
                </c:pt>
                <c:pt idx="101">
                  <c:v>1.132011234998731E-2</c:v>
                </c:pt>
                <c:pt idx="102">
                  <c:v>0.10385456993772091</c:v>
                </c:pt>
                <c:pt idx="103">
                  <c:v>0.19685879841415055</c:v>
                </c:pt>
                <c:pt idx="104">
                  <c:v>3.4972607975538361E-2</c:v>
                </c:pt>
                <c:pt idx="105">
                  <c:v>-3.3544654397734908E-2</c:v>
                </c:pt>
                <c:pt idx="106">
                  <c:v>0.19507069163163915</c:v>
                </c:pt>
                <c:pt idx="107">
                  <c:v>-3.3200106581401601E-2</c:v>
                </c:pt>
                <c:pt idx="108">
                  <c:v>0.11443060302061525</c:v>
                </c:pt>
                <c:pt idx="109">
                  <c:v>8.2253437530912965E-2</c:v>
                </c:pt>
                <c:pt idx="110">
                  <c:v>2.1662629678716794E-2</c:v>
                </c:pt>
                <c:pt idx="111">
                  <c:v>6.3252068888391744E-2</c:v>
                </c:pt>
                <c:pt idx="112">
                  <c:v>3.7443729227144562E-2</c:v>
                </c:pt>
                <c:pt idx="113">
                  <c:v>-0.15986049718155648</c:v>
                </c:pt>
                <c:pt idx="114">
                  <c:v>0.14036781387266495</c:v>
                </c:pt>
                <c:pt idx="115">
                  <c:v>3.1322751322750975E-3</c:v>
                </c:pt>
                <c:pt idx="116">
                  <c:v>1.649858643824631E-2</c:v>
                </c:pt>
                <c:pt idx="117">
                  <c:v>0.1027812370278125</c:v>
                </c:pt>
                <c:pt idx="118">
                  <c:v>7.0955356470676634E-2</c:v>
                </c:pt>
                <c:pt idx="119">
                  <c:v>0.10801026325963936</c:v>
                </c:pt>
                <c:pt idx="120">
                  <c:v>9.4055322928562335E-2</c:v>
                </c:pt>
                <c:pt idx="121">
                  <c:v>5.1175737191568427E-2</c:v>
                </c:pt>
                <c:pt idx="122">
                  <c:v>0.1017267060186462</c:v>
                </c:pt>
                <c:pt idx="123">
                  <c:v>3.8105252616293495E-2</c:v>
                </c:pt>
                <c:pt idx="124">
                  <c:v>-4.8668724676828146E-2</c:v>
                </c:pt>
                <c:pt idx="125">
                  <c:v>4.2995487501901408E-2</c:v>
                </c:pt>
                <c:pt idx="126">
                  <c:v>4.0105002187545535E-2</c:v>
                </c:pt>
                <c:pt idx="127">
                  <c:v>-3.6899420452421006E-2</c:v>
                </c:pt>
                <c:pt idx="128">
                  <c:v>-0.10200664838764473</c:v>
                </c:pt>
                <c:pt idx="129">
                  <c:v>0.15077413602096801</c:v>
                </c:pt>
                <c:pt idx="130">
                  <c:v>-7.5841179647325729E-3</c:v>
                </c:pt>
                <c:pt idx="131">
                  <c:v>-0.15530213410306171</c:v>
                </c:pt>
                <c:pt idx="132">
                  <c:v>2.5656825948126238E-2</c:v>
                </c:pt>
                <c:pt idx="133">
                  <c:v>0.14842427221584997</c:v>
                </c:pt>
                <c:pt idx="134">
                  <c:v>8.1967992771027065E-2</c:v>
                </c:pt>
                <c:pt idx="135">
                  <c:v>9.1516483516483449E-2</c:v>
                </c:pt>
                <c:pt idx="136">
                  <c:v>9.1595521907216426E-2</c:v>
                </c:pt>
                <c:pt idx="137">
                  <c:v>0.37734491727076547</c:v>
                </c:pt>
                <c:pt idx="138">
                  <c:v>-2.9663854292219183E-2</c:v>
                </c:pt>
                <c:pt idx="139">
                  <c:v>3.63397971154511E-2</c:v>
                </c:pt>
                <c:pt idx="140">
                  <c:v>0.29294960579586626</c:v>
                </c:pt>
                <c:pt idx="141">
                  <c:v>-0.11018179945408668</c:v>
                </c:pt>
                <c:pt idx="142">
                  <c:v>0.13610686669444827</c:v>
                </c:pt>
                <c:pt idx="143">
                  <c:v>0.15523811464552795</c:v>
                </c:pt>
                <c:pt idx="144">
                  <c:v>-1.4640771903827732E-3</c:v>
                </c:pt>
                <c:pt idx="145">
                  <c:v>-0.13845216223855294</c:v>
                </c:pt>
                <c:pt idx="146">
                  <c:v>3.9880665566274232E-3</c:v>
                </c:pt>
                <c:pt idx="147">
                  <c:v>-0.13310527928111904</c:v>
                </c:pt>
                <c:pt idx="148">
                  <c:v>8.4810648448082837E-2</c:v>
                </c:pt>
                <c:pt idx="149">
                  <c:v>-0.1063249904989414</c:v>
                </c:pt>
                <c:pt idx="150">
                  <c:v>6.6267329258957952E-2</c:v>
                </c:pt>
                <c:pt idx="151">
                  <c:v>0.10721651834041723</c:v>
                </c:pt>
                <c:pt idx="152">
                  <c:v>-5.0223329148055829E-3</c:v>
                </c:pt>
                <c:pt idx="153">
                  <c:v>-3.5085541695111577E-2</c:v>
                </c:pt>
                <c:pt idx="154">
                  <c:v>8.9756233518427209E-2</c:v>
                </c:pt>
                <c:pt idx="155">
                  <c:v>-4.065552484285706E-2</c:v>
                </c:pt>
                <c:pt idx="156">
                  <c:v>4.1568402272214477E-2</c:v>
                </c:pt>
                <c:pt idx="157">
                  <c:v>6.5445953927938616E-2</c:v>
                </c:pt>
                <c:pt idx="158">
                  <c:v>-6.828177551095771E-3</c:v>
                </c:pt>
                <c:pt idx="159">
                  <c:v>-4.2692740652531924E-2</c:v>
                </c:pt>
                <c:pt idx="160">
                  <c:v>0</c:v>
                </c:pt>
              </c:numCache>
            </c:numRef>
          </c:val>
          <c:extLst>
            <c:ext xmlns:c16="http://schemas.microsoft.com/office/drawing/2014/chart" uri="{C3380CC4-5D6E-409C-BE32-E72D297353CC}">
              <c16:uniqueId val="{00000000-6200-804C-9F34-731C6921798E}"/>
            </c:ext>
          </c:extLst>
        </c:ser>
        <c:dLbls>
          <c:showLegendKey val="0"/>
          <c:showVal val="0"/>
          <c:showCatName val="0"/>
          <c:showSerName val="0"/>
          <c:showPercent val="0"/>
          <c:showBubbleSize val="0"/>
        </c:dLbls>
        <c:gapWidth val="150"/>
        <c:axId val="35613125"/>
        <c:axId val="21207524"/>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(Calc)'!$AC$3:$AC$500</c:f>
              <c:numCache>
                <c:formatCode>#,##0.00</c:formatCode>
                <c:ptCount val="498"/>
                <c:pt idx="0">
                  <c:v>69.11</c:v>
                </c:pt>
                <c:pt idx="1">
                  <c:v>75.147044025157228</c:v>
                </c:pt>
                <c:pt idx="2">
                  <c:v>81.184088050314472</c:v>
                </c:pt>
                <c:pt idx="3">
                  <c:v>87.221132075471701</c:v>
                </c:pt>
                <c:pt idx="4">
                  <c:v>93.25817610062893</c:v>
                </c:pt>
                <c:pt idx="5">
                  <c:v>99.295220125786159</c:v>
                </c:pt>
                <c:pt idx="6">
                  <c:v>105.33226415094339</c:v>
                </c:pt>
                <c:pt idx="7">
                  <c:v>111.36930817610062</c:v>
                </c:pt>
                <c:pt idx="8">
                  <c:v>117.40635220125786</c:v>
                </c:pt>
                <c:pt idx="9">
                  <c:v>123.4433962264151</c:v>
                </c:pt>
                <c:pt idx="10">
                  <c:v>129.48044025157233</c:v>
                </c:pt>
                <c:pt idx="11">
                  <c:v>135.51748427672953</c:v>
                </c:pt>
                <c:pt idx="12">
                  <c:v>141.55452830188679</c:v>
                </c:pt>
                <c:pt idx="13">
                  <c:v>147.59157232704402</c:v>
                </c:pt>
                <c:pt idx="14">
                  <c:v>153.62861635220125</c:v>
                </c:pt>
                <c:pt idx="15">
                  <c:v>159.66566037735851</c:v>
                </c:pt>
                <c:pt idx="16">
                  <c:v>165.70270440251574</c:v>
                </c:pt>
                <c:pt idx="17">
                  <c:v>171.73974842767296</c:v>
                </c:pt>
                <c:pt idx="18">
                  <c:v>177.77679245283019</c:v>
                </c:pt>
                <c:pt idx="19">
                  <c:v>183.81383647798742</c:v>
                </c:pt>
                <c:pt idx="20">
                  <c:v>189.85088050314465</c:v>
                </c:pt>
                <c:pt idx="21">
                  <c:v>195.88792452830188</c:v>
                </c:pt>
                <c:pt idx="22">
                  <c:v>201.92496855345911</c:v>
                </c:pt>
                <c:pt idx="23">
                  <c:v>207.96201257861634</c:v>
                </c:pt>
                <c:pt idx="24">
                  <c:v>213.99905660377357</c:v>
                </c:pt>
                <c:pt idx="25">
                  <c:v>220.0361006289308</c:v>
                </c:pt>
                <c:pt idx="26">
                  <c:v>226.07314465408803</c:v>
                </c:pt>
                <c:pt idx="27">
                  <c:v>232.11018867924525</c:v>
                </c:pt>
                <c:pt idx="28">
                  <c:v>238.14723270440248</c:v>
                </c:pt>
                <c:pt idx="29">
                  <c:v>244.18427672955977</c:v>
                </c:pt>
                <c:pt idx="30">
                  <c:v>250.221320754717</c:v>
                </c:pt>
                <c:pt idx="31">
                  <c:v>256.25836477987423</c:v>
                </c:pt>
                <c:pt idx="32">
                  <c:v>262.29540880503146</c:v>
                </c:pt>
                <c:pt idx="33">
                  <c:v>268.33245283018869</c:v>
                </c:pt>
                <c:pt idx="34">
                  <c:v>274.36949685534591</c:v>
                </c:pt>
                <c:pt idx="35">
                  <c:v>280.40654088050314</c:v>
                </c:pt>
                <c:pt idx="36">
                  <c:v>286.44358490566037</c:v>
                </c:pt>
                <c:pt idx="37">
                  <c:v>292.4806289308176</c:v>
                </c:pt>
                <c:pt idx="38">
                  <c:v>298.51767295597483</c:v>
                </c:pt>
                <c:pt idx="39">
                  <c:v>304.55471698113206</c:v>
                </c:pt>
                <c:pt idx="40">
                  <c:v>310.59176100628929</c:v>
                </c:pt>
                <c:pt idx="41">
                  <c:v>316.62880503144652</c:v>
                </c:pt>
                <c:pt idx="42">
                  <c:v>322.66584905660375</c:v>
                </c:pt>
                <c:pt idx="43">
                  <c:v>328.70289308176098</c:v>
                </c:pt>
                <c:pt idx="44">
                  <c:v>334.73993710691821</c:v>
                </c:pt>
                <c:pt idx="45">
                  <c:v>340.77698113207549</c:v>
                </c:pt>
                <c:pt idx="46">
                  <c:v>346.81402515723272</c:v>
                </c:pt>
                <c:pt idx="47">
                  <c:v>352.85106918238995</c:v>
                </c:pt>
                <c:pt idx="48">
                  <c:v>358.88811320754718</c:v>
                </c:pt>
                <c:pt idx="49">
                  <c:v>364.92515723270441</c:v>
                </c:pt>
                <c:pt idx="50">
                  <c:v>370.96220125786164</c:v>
                </c:pt>
                <c:pt idx="51">
                  <c:v>376.99924528301887</c:v>
                </c:pt>
                <c:pt idx="52">
                  <c:v>383.03628930817609</c:v>
                </c:pt>
                <c:pt idx="53">
                  <c:v>389.07333333333332</c:v>
                </c:pt>
                <c:pt idx="54">
                  <c:v>395.11037735849055</c:v>
                </c:pt>
                <c:pt idx="55">
                  <c:v>401.14742138364778</c:v>
                </c:pt>
                <c:pt idx="56">
                  <c:v>407.18446540880501</c:v>
                </c:pt>
                <c:pt idx="57">
                  <c:v>413.22150943396224</c:v>
                </c:pt>
                <c:pt idx="58">
                  <c:v>419.25855345911953</c:v>
                </c:pt>
                <c:pt idx="59">
                  <c:v>425.29559748427675</c:v>
                </c:pt>
                <c:pt idx="60">
                  <c:v>431.33264150943398</c:v>
                </c:pt>
                <c:pt idx="61">
                  <c:v>437.36968553459121</c:v>
                </c:pt>
                <c:pt idx="62">
                  <c:v>443.40672955974844</c:v>
                </c:pt>
                <c:pt idx="63">
                  <c:v>449.44377358490567</c:v>
                </c:pt>
                <c:pt idx="64">
                  <c:v>455.4808176100629</c:v>
                </c:pt>
                <c:pt idx="65">
                  <c:v>461.51786163522013</c:v>
                </c:pt>
                <c:pt idx="66">
                  <c:v>467.55490566037736</c:v>
                </c:pt>
                <c:pt idx="67">
                  <c:v>473.59194968553459</c:v>
                </c:pt>
                <c:pt idx="68">
                  <c:v>479.62899371069182</c:v>
                </c:pt>
                <c:pt idx="69">
                  <c:v>485.6660377358491</c:v>
                </c:pt>
                <c:pt idx="70">
                  <c:v>491.70308176100633</c:v>
                </c:pt>
                <c:pt idx="71">
                  <c:v>497.74012578616356</c:v>
                </c:pt>
                <c:pt idx="72">
                  <c:v>503.77716981132079</c:v>
                </c:pt>
                <c:pt idx="73">
                  <c:v>509.81421383647802</c:v>
                </c:pt>
                <c:pt idx="74">
                  <c:v>515.85125786163519</c:v>
                </c:pt>
                <c:pt idx="75">
                  <c:v>521.88830188679242</c:v>
                </c:pt>
                <c:pt idx="76">
                  <c:v>527.92534591194965</c:v>
                </c:pt>
                <c:pt idx="77">
                  <c:v>533.96238993710688</c:v>
                </c:pt>
                <c:pt idx="78">
                  <c:v>539.99943396226411</c:v>
                </c:pt>
                <c:pt idx="79">
                  <c:v>546.03647798742134</c:v>
                </c:pt>
                <c:pt idx="80">
                  <c:v>552.07352201257856</c:v>
                </c:pt>
                <c:pt idx="81">
                  <c:v>558.11056603773579</c:v>
                </c:pt>
                <c:pt idx="82">
                  <c:v>564.14761006289302</c:v>
                </c:pt>
                <c:pt idx="83">
                  <c:v>570.18465408805025</c:v>
                </c:pt>
                <c:pt idx="84">
                  <c:v>576.22169811320748</c:v>
                </c:pt>
                <c:pt idx="85">
                  <c:v>582.25874213836471</c:v>
                </c:pt>
                <c:pt idx="86">
                  <c:v>588.29578616352194</c:v>
                </c:pt>
                <c:pt idx="87">
                  <c:v>594.33283018867917</c:v>
                </c:pt>
                <c:pt idx="88">
                  <c:v>600.3698742138364</c:v>
                </c:pt>
                <c:pt idx="89">
                  <c:v>606.40691823899363</c:v>
                </c:pt>
                <c:pt idx="90">
                  <c:v>612.44396226415097</c:v>
                </c:pt>
                <c:pt idx="91">
                  <c:v>618.4810062893082</c:v>
                </c:pt>
                <c:pt idx="92">
                  <c:v>624.51805031446543</c:v>
                </c:pt>
                <c:pt idx="93">
                  <c:v>630.55509433962266</c:v>
                </c:pt>
                <c:pt idx="94">
                  <c:v>636.59213836477988</c:v>
                </c:pt>
                <c:pt idx="95">
                  <c:v>642.62918238993711</c:v>
                </c:pt>
                <c:pt idx="96">
                  <c:v>648.66622641509434</c:v>
                </c:pt>
                <c:pt idx="97">
                  <c:v>654.70327044025157</c:v>
                </c:pt>
                <c:pt idx="98">
                  <c:v>660.7403144654088</c:v>
                </c:pt>
                <c:pt idx="99">
                  <c:v>666.77735849056603</c:v>
                </c:pt>
                <c:pt idx="100">
                  <c:v>672.81440251572326</c:v>
                </c:pt>
                <c:pt idx="101">
                  <c:v>678.85144654088049</c:v>
                </c:pt>
                <c:pt idx="102">
                  <c:v>684.88849056603772</c:v>
                </c:pt>
                <c:pt idx="103">
                  <c:v>690.92553459119495</c:v>
                </c:pt>
                <c:pt idx="104">
                  <c:v>696.96257861635218</c:v>
                </c:pt>
                <c:pt idx="105">
                  <c:v>702.9996226415094</c:v>
                </c:pt>
                <c:pt idx="106">
                  <c:v>709.03666666666663</c:v>
                </c:pt>
                <c:pt idx="107">
                  <c:v>715.07371069182386</c:v>
                </c:pt>
                <c:pt idx="108">
                  <c:v>721.11075471698109</c:v>
                </c:pt>
                <c:pt idx="109">
                  <c:v>727.14779874213832</c:v>
                </c:pt>
                <c:pt idx="110">
                  <c:v>733.18484276729555</c:v>
                </c:pt>
                <c:pt idx="111">
                  <c:v>739.22188679245278</c:v>
                </c:pt>
                <c:pt idx="112">
                  <c:v>745.25893081761001</c:v>
                </c:pt>
                <c:pt idx="113">
                  <c:v>751.29597484276724</c:v>
                </c:pt>
                <c:pt idx="114">
                  <c:v>757.33301886792447</c:v>
                </c:pt>
                <c:pt idx="115">
                  <c:v>763.37006289308169</c:v>
                </c:pt>
                <c:pt idx="116">
                  <c:v>769.40710691823904</c:v>
                </c:pt>
                <c:pt idx="117">
                  <c:v>775.44415094339627</c:v>
                </c:pt>
                <c:pt idx="118">
                  <c:v>781.4811949685535</c:v>
                </c:pt>
                <c:pt idx="119">
                  <c:v>787.51823899371072</c:v>
                </c:pt>
                <c:pt idx="120">
                  <c:v>793.55528301886795</c:v>
                </c:pt>
                <c:pt idx="121">
                  <c:v>799.59232704402518</c:v>
                </c:pt>
                <c:pt idx="122">
                  <c:v>805.62937106918241</c:v>
                </c:pt>
                <c:pt idx="123">
                  <c:v>811.66641509433964</c:v>
                </c:pt>
                <c:pt idx="124">
                  <c:v>817.70345911949687</c:v>
                </c:pt>
                <c:pt idx="125">
                  <c:v>823.7405031446541</c:v>
                </c:pt>
                <c:pt idx="126">
                  <c:v>829.77754716981133</c:v>
                </c:pt>
                <c:pt idx="127">
                  <c:v>835.81459119496856</c:v>
                </c:pt>
                <c:pt idx="128">
                  <c:v>841.85163522012579</c:v>
                </c:pt>
                <c:pt idx="129">
                  <c:v>847.88867924528302</c:v>
                </c:pt>
                <c:pt idx="130">
                  <c:v>853.92572327044024</c:v>
                </c:pt>
                <c:pt idx="131">
                  <c:v>859.96276729559747</c:v>
                </c:pt>
                <c:pt idx="132">
                  <c:v>865.9998113207547</c:v>
                </c:pt>
                <c:pt idx="133">
                  <c:v>872.03685534591193</c:v>
                </c:pt>
                <c:pt idx="134">
                  <c:v>878.07389937106916</c:v>
                </c:pt>
                <c:pt idx="135">
                  <c:v>884.11094339622639</c:v>
                </c:pt>
                <c:pt idx="136">
                  <c:v>890.14798742138362</c:v>
                </c:pt>
                <c:pt idx="137">
                  <c:v>896.18503144654085</c:v>
                </c:pt>
                <c:pt idx="138">
                  <c:v>902.22207547169819</c:v>
                </c:pt>
                <c:pt idx="139">
                  <c:v>908.25911949685531</c:v>
                </c:pt>
                <c:pt idx="140">
                  <c:v>914.29616352201265</c:v>
                </c:pt>
                <c:pt idx="141">
                  <c:v>920.33320754716976</c:v>
                </c:pt>
                <c:pt idx="142">
                  <c:v>926.37025157232711</c:v>
                </c:pt>
                <c:pt idx="143">
                  <c:v>932.40729559748422</c:v>
                </c:pt>
                <c:pt idx="144">
                  <c:v>938.44433962264156</c:v>
                </c:pt>
                <c:pt idx="145">
                  <c:v>944.48138364779868</c:v>
                </c:pt>
                <c:pt idx="146">
                  <c:v>950.51842767295602</c:v>
                </c:pt>
                <c:pt idx="147">
                  <c:v>956.55547169811314</c:v>
                </c:pt>
                <c:pt idx="148">
                  <c:v>962.59251572327048</c:v>
                </c:pt>
                <c:pt idx="149">
                  <c:v>968.6295597484276</c:v>
                </c:pt>
                <c:pt idx="150">
                  <c:v>974.66660377358494</c:v>
                </c:pt>
                <c:pt idx="151">
                  <c:v>980.70364779874205</c:v>
                </c:pt>
                <c:pt idx="152">
                  <c:v>986.7406918238994</c:v>
                </c:pt>
                <c:pt idx="153">
                  <c:v>992.77773584905651</c:v>
                </c:pt>
                <c:pt idx="154">
                  <c:v>998.81477987421385</c:v>
                </c:pt>
                <c:pt idx="155">
                  <c:v>1004.8518238993712</c:v>
                </c:pt>
                <c:pt idx="156">
                  <c:v>1010.8888679245283</c:v>
                </c:pt>
                <c:pt idx="157">
                  <c:v>1016.9259119496857</c:v>
                </c:pt>
                <c:pt idx="158">
                  <c:v>1022.9629559748428</c:v>
                </c:pt>
                <c:pt idx="159">
                  <c:v>1029</c:v>
                </c:pt>
                <c:pt idx="160">
                  <c:v>1035.0370440251572</c:v>
                </c:pt>
              </c:numCache>
            </c:numRef>
          </c:val>
          <c:smooth val="0"/>
          <c:extLst>
            <c:ext xmlns:c16="http://schemas.microsoft.com/office/drawing/2014/chart" uri="{C3380CC4-5D6E-409C-BE32-E72D297353CC}">
              <c16:uniqueId val="{00000001-6200-804C-9F34-731C6921798E}"/>
            </c:ext>
          </c:extLst>
        </c:ser>
        <c:dLbls>
          <c:showLegendKey val="0"/>
          <c:showVal val="0"/>
          <c:showCatName val="0"/>
          <c:showSerName val="0"/>
          <c:showPercent val="0"/>
          <c:showBubbleSize val="0"/>
        </c:dLbls>
        <c:hiLowLines>
          <c:spPr>
            <a:ln w="0">
              <a:noFill/>
            </a:ln>
          </c:spPr>
        </c:hiLowLines>
        <c:marker val="1"/>
        <c:smooth val="0"/>
        <c:axId val="78084466"/>
        <c:axId val="21481689"/>
      </c:lineChart>
      <c:dateAx>
        <c:axId val="35613125"/>
        <c:scaling>
          <c:orientation val="minMax"/>
        </c:scaling>
        <c:delete val="1"/>
        <c:axPos val="b"/>
        <c:numFmt formatCode="mm/dd/yyyy" sourceLinked="1"/>
        <c:majorTickMark val="none"/>
        <c:minorTickMark val="none"/>
        <c:tickLblPos val="nextTo"/>
        <c:crossAx val="21207524"/>
        <c:crosses val="autoZero"/>
        <c:auto val="1"/>
        <c:lblOffset val="100"/>
        <c:baseTimeUnit val="days"/>
      </c:dateAx>
      <c:valAx>
        <c:axId val="21207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5613125"/>
        <c:crosses val="autoZero"/>
        <c:crossBetween val="between"/>
      </c:valAx>
      <c:dateAx>
        <c:axId val="78084466"/>
        <c:scaling>
          <c:orientation val="minMax"/>
        </c:scaling>
        <c:delete val="1"/>
        <c:axPos val="b"/>
        <c:numFmt formatCode="mm/dd/yyyy" sourceLinked="1"/>
        <c:majorTickMark val="none"/>
        <c:minorTickMark val="none"/>
        <c:tickLblPos val="nextTo"/>
        <c:crossAx val="21481689"/>
        <c:crosses val="autoZero"/>
        <c:auto val="1"/>
        <c:lblOffset val="100"/>
        <c:baseTimeUnit val="days"/>
      </c:dateAx>
      <c:valAx>
        <c:axId val="214816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808446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(Calc)'!$I$3:$I$500</c:f>
              <c:numCache>
                <c:formatCode>0.0%</c:formatCode>
                <c:ptCount val="498"/>
                <c:pt idx="0">
                  <c:v>-5.2090472926662135E-2</c:v>
                </c:pt>
                <c:pt idx="1">
                  <c:v>4.5312123403229654E-2</c:v>
                </c:pt>
                <c:pt idx="2">
                  <c:v>5.210975328568157E-2</c:v>
                </c:pt>
                <c:pt idx="3">
                  <c:v>-6.5746219592374144E-3</c:v>
                </c:pt>
                <c:pt idx="4">
                  <c:v>-8.9786013677476295E-2</c:v>
                </c:pt>
                <c:pt idx="5">
                  <c:v>-2.1328162869607259E-2</c:v>
                </c:pt>
                <c:pt idx="6">
                  <c:v>0.11119366022783539</c:v>
                </c:pt>
                <c:pt idx="7">
                  <c:v>7.3991531089814933E-2</c:v>
                </c:pt>
                <c:pt idx="8">
                  <c:v>1.9921145465864321E-2</c:v>
                </c:pt>
                <c:pt idx="9">
                  <c:v>-3.0925737538148423E-2</c:v>
                </c:pt>
                <c:pt idx="10">
                  <c:v>-2.0995171110644528E-2</c:v>
                </c:pt>
                <c:pt idx="11">
                  <c:v>1.5869611837872499E-2</c:v>
                </c:pt>
                <c:pt idx="12">
                  <c:v>2.9132362254591593E-2</c:v>
                </c:pt>
                <c:pt idx="13">
                  <c:v>-1.2307692307692575E-3</c:v>
                </c:pt>
                <c:pt idx="14">
                  <c:v>1.4171287738755423E-2</c:v>
                </c:pt>
                <c:pt idx="15">
                  <c:v>-8.5054678007290274E-3</c:v>
                </c:pt>
                <c:pt idx="16">
                  <c:v>0.11417483660130712</c:v>
                </c:pt>
                <c:pt idx="17">
                  <c:v>8.7442713107241055E-2</c:v>
                </c:pt>
                <c:pt idx="18">
                  <c:v>2.5792312879298729E-2</c:v>
                </c:pt>
                <c:pt idx="19">
                  <c:v>8.4141331142152831E-2</c:v>
                </c:pt>
                <c:pt idx="20">
                  <c:v>9.0192511747764215E-2</c:v>
                </c:pt>
                <c:pt idx="21">
                  <c:v>6.6740823136819394E-3</c:v>
                </c:pt>
                <c:pt idx="22">
                  <c:v>8.5497237569060802E-2</c:v>
                </c:pt>
                <c:pt idx="23">
                  <c:v>4.389871484921759E-2</c:v>
                </c:pt>
                <c:pt idx="24">
                  <c:v>6.3871282301316334E-2</c:v>
                </c:pt>
                <c:pt idx="25">
                  <c:v>3.5517873510542142E-3</c:v>
                </c:pt>
                <c:pt idx="26">
                  <c:v>7.3410206644594078E-2</c:v>
                </c:pt>
                <c:pt idx="27">
                  <c:v>-4.1693256753882135E-2</c:v>
                </c:pt>
                <c:pt idx="28">
                  <c:v>-2.5971143174250755E-2</c:v>
                </c:pt>
                <c:pt idx="29">
                  <c:v>2.0510483135824931E-3</c:v>
                </c:pt>
                <c:pt idx="30">
                  <c:v>-0.13600181942233336</c:v>
                </c:pt>
                <c:pt idx="31">
                  <c:v>0.15148723348249526</c:v>
                </c:pt>
                <c:pt idx="32">
                  <c:v>1.2001371585324216E-2</c:v>
                </c:pt>
                <c:pt idx="33">
                  <c:v>1.2197876665913654E-2</c:v>
                </c:pt>
                <c:pt idx="34">
                  <c:v>2.9011381388083013E-2</c:v>
                </c:pt>
                <c:pt idx="35">
                  <c:v>0.15126870527000658</c:v>
                </c:pt>
                <c:pt idx="36">
                  <c:v>2.9669398135066416E-2</c:v>
                </c:pt>
                <c:pt idx="37">
                  <c:v>0.10263446761800221</c:v>
                </c:pt>
                <c:pt idx="38">
                  <c:v>9.1090094574415081E-2</c:v>
                </c:pt>
                <c:pt idx="39">
                  <c:v>-4.029805352798066E-2</c:v>
                </c:pt>
                <c:pt idx="40">
                  <c:v>-2.3926477578830596E-2</c:v>
                </c:pt>
                <c:pt idx="41">
                  <c:v>1.8506493506493582E-2</c:v>
                </c:pt>
                <c:pt idx="42">
                  <c:v>2.7095951546063146E-2</c:v>
                </c:pt>
                <c:pt idx="43">
                  <c:v>-8.7523277467411509E-2</c:v>
                </c:pt>
                <c:pt idx="44">
                  <c:v>-4.1241496598639404E-2</c:v>
                </c:pt>
                <c:pt idx="45">
                  <c:v>-5.1263858093126391E-2</c:v>
                </c:pt>
                <c:pt idx="46">
                  <c:v>-2.3464522763391615E-2</c:v>
                </c:pt>
                <c:pt idx="47">
                  <c:v>0.18935477694811409</c:v>
                </c:pt>
                <c:pt idx="48">
                  <c:v>3.8393432066967215E-2</c:v>
                </c:pt>
                <c:pt idx="49">
                  <c:v>-7.7280830943337597E-2</c:v>
                </c:pt>
                <c:pt idx="50">
                  <c:v>-0.13852486559139787</c:v>
                </c:pt>
                <c:pt idx="51">
                  <c:v>0.15826426133593374</c:v>
                </c:pt>
                <c:pt idx="52">
                  <c:v>-2.6014480552281505E-2</c:v>
                </c:pt>
                <c:pt idx="53">
                  <c:v>4.6590025066989282E-2</c:v>
                </c:pt>
                <c:pt idx="54">
                  <c:v>2.8989098116947609E-2</c:v>
                </c:pt>
                <c:pt idx="55">
                  <c:v>7.9059314551729543E-2</c:v>
                </c:pt>
                <c:pt idx="56">
                  <c:v>2.3728057125855351E-2</c:v>
                </c:pt>
                <c:pt idx="57">
                  <c:v>2.5648477802804548E-2</c:v>
                </c:pt>
                <c:pt idx="58">
                  <c:v>-4.3355058090110532E-2</c:v>
                </c:pt>
                <c:pt idx="59">
                  <c:v>9.0269549763033252E-2</c:v>
                </c:pt>
                <c:pt idx="60">
                  <c:v>-3.8239489234531021E-2</c:v>
                </c:pt>
                <c:pt idx="61">
                  <c:v>-2.1186440677967155E-4</c:v>
                </c:pt>
                <c:pt idx="62">
                  <c:v>-2.6064844246662444E-2</c:v>
                </c:pt>
                <c:pt idx="63">
                  <c:v>3.0388743835219056E-2</c:v>
                </c:pt>
                <c:pt idx="64">
                  <c:v>-5.7506862814105664E-2</c:v>
                </c:pt>
                <c:pt idx="65">
                  <c:v>3.360716952949927E-3</c:v>
                </c:pt>
                <c:pt idx="66">
                  <c:v>1.7119464086341685E-2</c:v>
                </c:pt>
                <c:pt idx="67">
                  <c:v>5.4445664105378766E-2</c:v>
                </c:pt>
                <c:pt idx="68">
                  <c:v>-5.9199111666319637E-2</c:v>
                </c:pt>
                <c:pt idx="69">
                  <c:v>1.3204485098849084E-2</c:v>
                </c:pt>
                <c:pt idx="70">
                  <c:v>3.567528212595561E-2</c:v>
                </c:pt>
                <c:pt idx="71">
                  <c:v>-0.15810193321616872</c:v>
                </c:pt>
                <c:pt idx="72">
                  <c:v>8.1329325317301304E-2</c:v>
                </c:pt>
                <c:pt idx="73">
                  <c:v>6.9420849420849473E-2</c:v>
                </c:pt>
                <c:pt idx="74">
                  <c:v>-3.184345440103975E-2</c:v>
                </c:pt>
                <c:pt idx="75">
                  <c:v>-7.0778639618138461E-2</c:v>
                </c:pt>
                <c:pt idx="76">
                  <c:v>-9.7840918211734462E-2</c:v>
                </c:pt>
                <c:pt idx="77">
                  <c:v>7.9715302491103035E-2</c:v>
                </c:pt>
                <c:pt idx="78">
                  <c:v>-3.2630191166776457E-2</c:v>
                </c:pt>
                <c:pt idx="79">
                  <c:v>-6.8228279386712165E-2</c:v>
                </c:pt>
                <c:pt idx="80">
                  <c:v>-0.14004936465856122</c:v>
                </c:pt>
                <c:pt idx="81">
                  <c:v>0.17625172743701523</c:v>
                </c:pt>
                <c:pt idx="82">
                  <c:v>-8.513330320831447E-2</c:v>
                </c:pt>
                <c:pt idx="83">
                  <c:v>9.3845697915637682E-2</c:v>
                </c:pt>
                <c:pt idx="84">
                  <c:v>3.1427797344892872E-2</c:v>
                </c:pt>
                <c:pt idx="85">
                  <c:v>1.8824971543647706E-2</c:v>
                </c:pt>
                <c:pt idx="86">
                  <c:v>0.16070814712959791</c:v>
                </c:pt>
                <c:pt idx="87">
                  <c:v>-3.0356878424403932E-2</c:v>
                </c:pt>
                <c:pt idx="88">
                  <c:v>2.9245571166768292E-2</c:v>
                </c:pt>
                <c:pt idx="89">
                  <c:v>4.874248831515704E-2</c:v>
                </c:pt>
                <c:pt idx="90">
                  <c:v>1.8392756083758233E-3</c:v>
                </c:pt>
                <c:pt idx="91">
                  <c:v>1.3274961163677323E-2</c:v>
                </c:pt>
                <c:pt idx="92">
                  <c:v>9.6585365853658622E-2</c:v>
                </c:pt>
                <c:pt idx="93">
                  <c:v>1.0104219623792376E-2</c:v>
                </c:pt>
                <c:pt idx="94">
                  <c:v>3.5042466184334931E-2</c:v>
                </c:pt>
                <c:pt idx="95">
                  <c:v>4.5404814004376348E-2</c:v>
                </c:pt>
                <c:pt idx="96">
                  <c:v>6.3375777661491828E-3</c:v>
                </c:pt>
                <c:pt idx="97">
                  <c:v>1.2710885139819439E-3</c:v>
                </c:pt>
                <c:pt idx="98">
                  <c:v>5.1644547028274701E-2</c:v>
                </c:pt>
                <c:pt idx="99">
                  <c:v>-1.229080932784643E-2</c:v>
                </c:pt>
                <c:pt idx="100">
                  <c:v>-1.3665907449586068E-2</c:v>
                </c:pt>
                <c:pt idx="101">
                  <c:v>-2.1402421852999232E-2</c:v>
                </c:pt>
                <c:pt idx="102">
                  <c:v>-4.1093525179855983E-2</c:v>
                </c:pt>
                <c:pt idx="103">
                  <c:v>6.4762019086489264E-2</c:v>
                </c:pt>
                <c:pt idx="104">
                  <c:v>-6.4825253664035909E-3</c:v>
                </c:pt>
                <c:pt idx="105">
                  <c:v>8.5673758865247862E-3</c:v>
                </c:pt>
                <c:pt idx="106">
                  <c:v>5.2936543654365398E-2</c:v>
                </c:pt>
                <c:pt idx="107">
                  <c:v>-2.3775177645990242E-2</c:v>
                </c:pt>
                <c:pt idx="108">
                  <c:v>3.2837127845875003E-4</c:v>
                </c:pt>
                <c:pt idx="109">
                  <c:v>1.657730605099017E-2</c:v>
                </c:pt>
                <c:pt idx="110">
                  <c:v>8.7185834992734357E-2</c:v>
                </c:pt>
                <c:pt idx="111">
                  <c:v>-7.0838077322904813E-2</c:v>
                </c:pt>
                <c:pt idx="112">
                  <c:v>1.0761854022376172E-2</c:v>
                </c:pt>
                <c:pt idx="113">
                  <c:v>-5.9403331224963107E-2</c:v>
                </c:pt>
                <c:pt idx="114">
                  <c:v>-1.0479125805547662E-2</c:v>
                </c:pt>
                <c:pt idx="115">
                  <c:v>3.0581039755351647E-2</c:v>
                </c:pt>
                <c:pt idx="116">
                  <c:v>-4.0498955929222813E-2</c:v>
                </c:pt>
                <c:pt idx="117">
                  <c:v>3.4133211156291088E-2</c:v>
                </c:pt>
                <c:pt idx="118">
                  <c:v>5.2721936091266519E-2</c:v>
                </c:pt>
                <c:pt idx="119">
                  <c:v>-8.8379188805303155E-3</c:v>
                </c:pt>
                <c:pt idx="120">
                  <c:v>-2.1124144153707336E-2</c:v>
                </c:pt>
                <c:pt idx="121">
                  <c:v>7.4282925771296249E-3</c:v>
                </c:pt>
                <c:pt idx="122">
                  <c:v>7.6964477933261222E-3</c:v>
                </c:pt>
                <c:pt idx="123">
                  <c:v>1.8426534209261325E-2</c:v>
                </c:pt>
                <c:pt idx="124">
                  <c:v>-2.9893014474512314E-2</c:v>
                </c:pt>
                <c:pt idx="125">
                  <c:v>-1.4055573575521674E-2</c:v>
                </c:pt>
                <c:pt idx="126">
                  <c:v>3.8381401469459453E-2</c:v>
                </c:pt>
                <c:pt idx="127">
                  <c:v>-6.6532896821206E-2</c:v>
                </c:pt>
                <c:pt idx="128">
                  <c:v>3.5071840705962476E-3</c:v>
                </c:pt>
                <c:pt idx="129">
                  <c:v>1.3754227733934643E-2</c:v>
                </c:pt>
                <c:pt idx="130">
                  <c:v>-4.18705516014235E-2</c:v>
                </c:pt>
                <c:pt idx="131">
                  <c:v>-3.0004062445592283E-2</c:v>
                </c:pt>
                <c:pt idx="132">
                  <c:v>5.8932631327031304E-2</c:v>
                </c:pt>
                <c:pt idx="133">
                  <c:v>6.3336911689925834E-2</c:v>
                </c:pt>
                <c:pt idx="134">
                  <c:v>6.9181721572795007E-2</c:v>
                </c:pt>
                <c:pt idx="135">
                  <c:v>3.2700526786601847E-2</c:v>
                </c:pt>
                <c:pt idx="136">
                  <c:v>-4.7160731472569828E-2</c:v>
                </c:pt>
                <c:pt idx="137">
                  <c:v>8.4393939393939466E-2</c:v>
                </c:pt>
                <c:pt idx="138">
                  <c:v>4.7040193749708914E-2</c:v>
                </c:pt>
                <c:pt idx="139">
                  <c:v>-4.4348561007072629E-2</c:v>
                </c:pt>
                <c:pt idx="140">
                  <c:v>-1.945633960156401E-2</c:v>
                </c:pt>
                <c:pt idx="141">
                  <c:v>-2.748504699515808E-2</c:v>
                </c:pt>
                <c:pt idx="142">
                  <c:v>4.393029726168507E-4</c:v>
                </c:pt>
                <c:pt idx="143">
                  <c:v>2.6785714285714191E-2</c:v>
                </c:pt>
                <c:pt idx="144">
                  <c:v>-8.6196246139225385E-2</c:v>
                </c:pt>
                <c:pt idx="145">
                  <c:v>1.1959856481722264E-2</c:v>
                </c:pt>
                <c:pt idx="146">
                  <c:v>8.2780946508401287E-2</c:v>
                </c:pt>
                <c:pt idx="147">
                  <c:v>-3.8629460895975631E-2</c:v>
                </c:pt>
                <c:pt idx="148">
                  <c:v>1.9893375456609741E-2</c:v>
                </c:pt>
                <c:pt idx="149">
                  <c:v>-2.942742364841977E-2</c:v>
                </c:pt>
                <c:pt idx="150">
                  <c:v>0.11559367675659504</c:v>
                </c:pt>
                <c:pt idx="151">
                  <c:v>5.3640874346252421E-3</c:v>
                </c:pt>
                <c:pt idx="152">
                  <c:v>-4.637410519763463E-2</c:v>
                </c:pt>
                <c:pt idx="153">
                  <c:v>1.3194703468854874E-2</c:v>
                </c:pt>
                <c:pt idx="154">
                  <c:v>5.8856012148543524E-2</c:v>
                </c:pt>
                <c:pt idx="155">
                  <c:v>-5.1325510647544537E-2</c:v>
                </c:pt>
                <c:pt idx="156">
                  <c:v>1.8232626322781664E-2</c:v>
                </c:pt>
                <c:pt idx="157">
                  <c:v>1.2597291582309822E-2</c:v>
                </c:pt>
                <c:pt idx="158">
                  <c:v>3.9454391966943669E-2</c:v>
                </c:pt>
                <c:pt idx="159">
                  <c:v>-1.9961530241504488E-2</c:v>
                </c:pt>
                <c:pt idx="160">
                  <c:v>0</c:v>
                </c:pt>
              </c:numCache>
            </c:numRef>
          </c:val>
          <c:extLst>
            <c:ext xmlns:c16="http://schemas.microsoft.com/office/drawing/2014/chart" uri="{C3380CC4-5D6E-409C-BE32-E72D297353CC}">
              <c16:uniqueId val="{00000000-A819-5246-B0FD-279E143C679B}"/>
            </c:ext>
          </c:extLst>
        </c:ser>
        <c:dLbls>
          <c:showLegendKey val="0"/>
          <c:showVal val="0"/>
          <c:showCatName val="0"/>
          <c:showSerName val="0"/>
          <c:showPercent val="0"/>
          <c:showBubbleSize val="0"/>
        </c:dLbls>
        <c:gapWidth val="150"/>
        <c:axId val="26829863"/>
        <c:axId val="81203312"/>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(Calc)'!$AD$3:$AD$500</c:f>
              <c:numCache>
                <c:formatCode>#,##0.00</c:formatCode>
                <c:ptCount val="498"/>
                <c:pt idx="0">
                  <c:v>43.77</c:v>
                </c:pt>
                <c:pt idx="1">
                  <c:v>44.936729559748429</c:v>
                </c:pt>
                <c:pt idx="2">
                  <c:v>46.103459119496861</c:v>
                </c:pt>
                <c:pt idx="3">
                  <c:v>47.270188679245287</c:v>
                </c:pt>
                <c:pt idx="4">
                  <c:v>48.436918238993712</c:v>
                </c:pt>
                <c:pt idx="5">
                  <c:v>49.603647798742145</c:v>
                </c:pt>
                <c:pt idx="6">
                  <c:v>50.77037735849057</c:v>
                </c:pt>
                <c:pt idx="7">
                  <c:v>51.937106918238996</c:v>
                </c:pt>
                <c:pt idx="8">
                  <c:v>53.103836477987421</c:v>
                </c:pt>
                <c:pt idx="9">
                  <c:v>54.270566037735854</c:v>
                </c:pt>
                <c:pt idx="10">
                  <c:v>55.43729559748428</c:v>
                </c:pt>
                <c:pt idx="11">
                  <c:v>56.604025157232705</c:v>
                </c:pt>
                <c:pt idx="12">
                  <c:v>57.770754716981131</c:v>
                </c:pt>
                <c:pt idx="13">
                  <c:v>58.937484276729563</c:v>
                </c:pt>
                <c:pt idx="14">
                  <c:v>60.104213836477989</c:v>
                </c:pt>
                <c:pt idx="15">
                  <c:v>61.270943396226414</c:v>
                </c:pt>
                <c:pt idx="16">
                  <c:v>62.437672955974847</c:v>
                </c:pt>
                <c:pt idx="17">
                  <c:v>63.604402515723272</c:v>
                </c:pt>
                <c:pt idx="18">
                  <c:v>64.771132075471698</c:v>
                </c:pt>
                <c:pt idx="19">
                  <c:v>65.937861635220131</c:v>
                </c:pt>
                <c:pt idx="20">
                  <c:v>67.104591194968549</c:v>
                </c:pt>
                <c:pt idx="21">
                  <c:v>68.271320754716982</c:v>
                </c:pt>
                <c:pt idx="22">
                  <c:v>69.438050314465414</c:v>
                </c:pt>
                <c:pt idx="23">
                  <c:v>70.604779874213833</c:v>
                </c:pt>
                <c:pt idx="24">
                  <c:v>71.771509433962265</c:v>
                </c:pt>
                <c:pt idx="25">
                  <c:v>72.938238993710698</c:v>
                </c:pt>
                <c:pt idx="26">
                  <c:v>74.104968553459116</c:v>
                </c:pt>
                <c:pt idx="27">
                  <c:v>75.271698113207549</c:v>
                </c:pt>
                <c:pt idx="28">
                  <c:v>76.438427672955982</c:v>
                </c:pt>
                <c:pt idx="29">
                  <c:v>77.605157232704414</c:v>
                </c:pt>
                <c:pt idx="30">
                  <c:v>78.771886792452818</c:v>
                </c:pt>
                <c:pt idx="31">
                  <c:v>79.938616352201251</c:v>
                </c:pt>
                <c:pt idx="32">
                  <c:v>81.105345911949684</c:v>
                </c:pt>
                <c:pt idx="33">
                  <c:v>82.272075471698116</c:v>
                </c:pt>
                <c:pt idx="34">
                  <c:v>83.438805031446549</c:v>
                </c:pt>
                <c:pt idx="35">
                  <c:v>84.605534591194967</c:v>
                </c:pt>
                <c:pt idx="36">
                  <c:v>85.7722641509434</c:v>
                </c:pt>
                <c:pt idx="37">
                  <c:v>86.938993710691818</c:v>
                </c:pt>
                <c:pt idx="38">
                  <c:v>88.105723270440251</c:v>
                </c:pt>
                <c:pt idx="39">
                  <c:v>89.272452830188683</c:v>
                </c:pt>
                <c:pt idx="40">
                  <c:v>90.439182389937116</c:v>
                </c:pt>
                <c:pt idx="41">
                  <c:v>91.605911949685535</c:v>
                </c:pt>
                <c:pt idx="42">
                  <c:v>92.772641509433967</c:v>
                </c:pt>
                <c:pt idx="43">
                  <c:v>93.939371069182386</c:v>
                </c:pt>
                <c:pt idx="44">
                  <c:v>95.106100628930818</c:v>
                </c:pt>
                <c:pt idx="45">
                  <c:v>96.272830188679251</c:v>
                </c:pt>
                <c:pt idx="46">
                  <c:v>97.439559748427669</c:v>
                </c:pt>
                <c:pt idx="47">
                  <c:v>98.606289308176102</c:v>
                </c:pt>
                <c:pt idx="48">
                  <c:v>99.77301886792452</c:v>
                </c:pt>
                <c:pt idx="49">
                  <c:v>100.93974842767295</c:v>
                </c:pt>
                <c:pt idx="50">
                  <c:v>102.10647798742139</c:v>
                </c:pt>
                <c:pt idx="51">
                  <c:v>103.27320754716982</c:v>
                </c:pt>
                <c:pt idx="52">
                  <c:v>104.43993710691825</c:v>
                </c:pt>
                <c:pt idx="53">
                  <c:v>105.60666666666665</c:v>
                </c:pt>
                <c:pt idx="54">
                  <c:v>106.77339622641509</c:v>
                </c:pt>
                <c:pt idx="55">
                  <c:v>107.94012578616352</c:v>
                </c:pt>
                <c:pt idx="56">
                  <c:v>109.10685534591195</c:v>
                </c:pt>
                <c:pt idx="57">
                  <c:v>110.27358490566039</c:v>
                </c:pt>
                <c:pt idx="58">
                  <c:v>111.44031446540882</c:v>
                </c:pt>
                <c:pt idx="59">
                  <c:v>112.60704402515725</c:v>
                </c:pt>
                <c:pt idx="60">
                  <c:v>113.77377358490565</c:v>
                </c:pt>
                <c:pt idx="61">
                  <c:v>114.94050314465409</c:v>
                </c:pt>
                <c:pt idx="62">
                  <c:v>116.10723270440252</c:v>
                </c:pt>
                <c:pt idx="63">
                  <c:v>117.27396226415095</c:v>
                </c:pt>
                <c:pt idx="64">
                  <c:v>118.44069182389936</c:v>
                </c:pt>
                <c:pt idx="65">
                  <c:v>119.60742138364779</c:v>
                </c:pt>
                <c:pt idx="66">
                  <c:v>120.77415094339622</c:v>
                </c:pt>
                <c:pt idx="67">
                  <c:v>121.94088050314465</c:v>
                </c:pt>
                <c:pt idx="68">
                  <c:v>123.10761006289309</c:v>
                </c:pt>
                <c:pt idx="69">
                  <c:v>124.27433962264149</c:v>
                </c:pt>
                <c:pt idx="70">
                  <c:v>125.44106918238992</c:v>
                </c:pt>
                <c:pt idx="71">
                  <c:v>126.60779874213836</c:v>
                </c:pt>
                <c:pt idx="72">
                  <c:v>127.77452830188679</c:v>
                </c:pt>
                <c:pt idx="73">
                  <c:v>128.94125786163522</c:v>
                </c:pt>
                <c:pt idx="74">
                  <c:v>130.10798742138365</c:v>
                </c:pt>
                <c:pt idx="75">
                  <c:v>131.27471698113209</c:v>
                </c:pt>
                <c:pt idx="76">
                  <c:v>132.44144654088049</c:v>
                </c:pt>
                <c:pt idx="77">
                  <c:v>133.60817610062892</c:v>
                </c:pt>
                <c:pt idx="78">
                  <c:v>134.77490566037736</c:v>
                </c:pt>
                <c:pt idx="79">
                  <c:v>135.94163522012579</c:v>
                </c:pt>
                <c:pt idx="80">
                  <c:v>137.10836477987422</c:v>
                </c:pt>
                <c:pt idx="81">
                  <c:v>138.27509433962265</c:v>
                </c:pt>
                <c:pt idx="82">
                  <c:v>139.44182389937106</c:v>
                </c:pt>
                <c:pt idx="83">
                  <c:v>140.60855345911949</c:v>
                </c:pt>
                <c:pt idx="84">
                  <c:v>141.77528301886792</c:v>
                </c:pt>
                <c:pt idx="85">
                  <c:v>142.94201257861636</c:v>
                </c:pt>
                <c:pt idx="86">
                  <c:v>144.10874213836479</c:v>
                </c:pt>
                <c:pt idx="87">
                  <c:v>145.27547169811319</c:v>
                </c:pt>
                <c:pt idx="88">
                  <c:v>146.44220125786163</c:v>
                </c:pt>
                <c:pt idx="89">
                  <c:v>147.60893081761006</c:v>
                </c:pt>
                <c:pt idx="90">
                  <c:v>148.77566037735849</c:v>
                </c:pt>
                <c:pt idx="91">
                  <c:v>149.94238993710692</c:v>
                </c:pt>
                <c:pt idx="92">
                  <c:v>151.10911949685533</c:v>
                </c:pt>
                <c:pt idx="93">
                  <c:v>152.27584905660379</c:v>
                </c:pt>
                <c:pt idx="94">
                  <c:v>153.44257861635219</c:v>
                </c:pt>
                <c:pt idx="95">
                  <c:v>154.60930817610063</c:v>
                </c:pt>
                <c:pt idx="96">
                  <c:v>155.77603773584906</c:v>
                </c:pt>
                <c:pt idx="97">
                  <c:v>156.94276729559746</c:v>
                </c:pt>
                <c:pt idx="98">
                  <c:v>158.10949685534592</c:v>
                </c:pt>
                <c:pt idx="99">
                  <c:v>159.27622641509433</c:v>
                </c:pt>
                <c:pt idx="100">
                  <c:v>160.44295597484276</c:v>
                </c:pt>
                <c:pt idx="101">
                  <c:v>161.60968553459119</c:v>
                </c:pt>
                <c:pt idx="102">
                  <c:v>162.77641509433963</c:v>
                </c:pt>
                <c:pt idx="103">
                  <c:v>163.94314465408806</c:v>
                </c:pt>
                <c:pt idx="104">
                  <c:v>165.10987421383649</c:v>
                </c:pt>
                <c:pt idx="105">
                  <c:v>166.2766037735849</c:v>
                </c:pt>
                <c:pt idx="106">
                  <c:v>167.44333333333333</c:v>
                </c:pt>
                <c:pt idx="107">
                  <c:v>168.61006289308176</c:v>
                </c:pt>
                <c:pt idx="108">
                  <c:v>169.77679245283019</c:v>
                </c:pt>
                <c:pt idx="109">
                  <c:v>170.94352201257863</c:v>
                </c:pt>
                <c:pt idx="110">
                  <c:v>172.11025157232706</c:v>
                </c:pt>
                <c:pt idx="111">
                  <c:v>173.27698113207549</c:v>
                </c:pt>
                <c:pt idx="112">
                  <c:v>174.4437106918239</c:v>
                </c:pt>
                <c:pt idx="113">
                  <c:v>175.61044025157233</c:v>
                </c:pt>
                <c:pt idx="114">
                  <c:v>176.77716981132076</c:v>
                </c:pt>
                <c:pt idx="115">
                  <c:v>177.94389937106916</c:v>
                </c:pt>
                <c:pt idx="116">
                  <c:v>179.11062893081763</c:v>
                </c:pt>
                <c:pt idx="117">
                  <c:v>180.27735849056603</c:v>
                </c:pt>
                <c:pt idx="118">
                  <c:v>181.44408805031449</c:v>
                </c:pt>
                <c:pt idx="119">
                  <c:v>182.6108176100629</c:v>
                </c:pt>
                <c:pt idx="120">
                  <c:v>183.7775471698113</c:v>
                </c:pt>
                <c:pt idx="121">
                  <c:v>184.94427672955976</c:v>
                </c:pt>
                <c:pt idx="122">
                  <c:v>186.11100628930816</c:v>
                </c:pt>
                <c:pt idx="123">
                  <c:v>187.2777358490566</c:v>
                </c:pt>
                <c:pt idx="124">
                  <c:v>188.44446540880503</c:v>
                </c:pt>
                <c:pt idx="125">
                  <c:v>189.61119496855346</c:v>
                </c:pt>
                <c:pt idx="126">
                  <c:v>190.7779245283019</c:v>
                </c:pt>
                <c:pt idx="127">
                  <c:v>191.94465408805033</c:v>
                </c:pt>
                <c:pt idx="128">
                  <c:v>193.11138364779873</c:v>
                </c:pt>
                <c:pt idx="129">
                  <c:v>194.27811320754716</c:v>
                </c:pt>
                <c:pt idx="130">
                  <c:v>195.4448427672956</c:v>
                </c:pt>
                <c:pt idx="131">
                  <c:v>196.61157232704403</c:v>
                </c:pt>
                <c:pt idx="132">
                  <c:v>197.77830188679246</c:v>
                </c:pt>
                <c:pt idx="133">
                  <c:v>198.94503144654087</c:v>
                </c:pt>
                <c:pt idx="134">
                  <c:v>200.11176100628933</c:v>
                </c:pt>
                <c:pt idx="135">
                  <c:v>201.27849056603773</c:v>
                </c:pt>
                <c:pt idx="136">
                  <c:v>202.44522012578616</c:v>
                </c:pt>
                <c:pt idx="137">
                  <c:v>203.6119496855346</c:v>
                </c:pt>
                <c:pt idx="138">
                  <c:v>204.778679245283</c:v>
                </c:pt>
                <c:pt idx="139">
                  <c:v>205.94540880503146</c:v>
                </c:pt>
                <c:pt idx="140">
                  <c:v>207.11213836477987</c:v>
                </c:pt>
                <c:pt idx="141">
                  <c:v>208.2788679245283</c:v>
                </c:pt>
                <c:pt idx="142">
                  <c:v>209.44559748427673</c:v>
                </c:pt>
                <c:pt idx="143">
                  <c:v>210.61232704402516</c:v>
                </c:pt>
                <c:pt idx="144">
                  <c:v>211.7790566037736</c:v>
                </c:pt>
                <c:pt idx="145">
                  <c:v>212.945786163522</c:v>
                </c:pt>
                <c:pt idx="146">
                  <c:v>214.11251572327043</c:v>
                </c:pt>
                <c:pt idx="147">
                  <c:v>215.27924528301887</c:v>
                </c:pt>
                <c:pt idx="148">
                  <c:v>216.4459748427673</c:v>
                </c:pt>
                <c:pt idx="149">
                  <c:v>217.61270440251573</c:v>
                </c:pt>
                <c:pt idx="150">
                  <c:v>218.77943396226416</c:v>
                </c:pt>
                <c:pt idx="151">
                  <c:v>219.94616352201257</c:v>
                </c:pt>
                <c:pt idx="152">
                  <c:v>221.112893081761</c:v>
                </c:pt>
                <c:pt idx="153">
                  <c:v>222.27962264150943</c:v>
                </c:pt>
                <c:pt idx="154">
                  <c:v>223.44635220125787</c:v>
                </c:pt>
                <c:pt idx="155">
                  <c:v>224.6130817610063</c:v>
                </c:pt>
                <c:pt idx="156">
                  <c:v>225.7798113207547</c:v>
                </c:pt>
                <c:pt idx="157">
                  <c:v>226.94654088050316</c:v>
                </c:pt>
                <c:pt idx="158">
                  <c:v>228.11327044025157</c:v>
                </c:pt>
                <c:pt idx="159">
                  <c:v>229.28</c:v>
                </c:pt>
                <c:pt idx="160">
                  <c:v>230.44672955974843</c:v>
                </c:pt>
              </c:numCache>
            </c:numRef>
          </c:val>
          <c:smooth val="0"/>
          <c:extLst>
            <c:ext xmlns:c16="http://schemas.microsoft.com/office/drawing/2014/chart" uri="{C3380CC4-5D6E-409C-BE32-E72D297353CC}">
              <c16:uniqueId val="{00000001-A819-5246-B0FD-279E143C679B}"/>
            </c:ext>
          </c:extLst>
        </c:ser>
        <c:dLbls>
          <c:showLegendKey val="0"/>
          <c:showVal val="0"/>
          <c:showCatName val="0"/>
          <c:showSerName val="0"/>
          <c:showPercent val="0"/>
          <c:showBubbleSize val="0"/>
        </c:dLbls>
        <c:hiLowLines>
          <c:spPr>
            <a:ln w="0">
              <a:noFill/>
            </a:ln>
          </c:spPr>
        </c:hiLowLines>
        <c:marker val="1"/>
        <c:smooth val="0"/>
        <c:axId val="70036297"/>
        <c:axId val="35132701"/>
      </c:lineChart>
      <c:dateAx>
        <c:axId val="26829863"/>
        <c:scaling>
          <c:orientation val="minMax"/>
        </c:scaling>
        <c:delete val="1"/>
        <c:axPos val="b"/>
        <c:numFmt formatCode="mm/dd/yyyy" sourceLinked="1"/>
        <c:majorTickMark val="none"/>
        <c:minorTickMark val="none"/>
        <c:tickLblPos val="nextTo"/>
        <c:crossAx val="81203312"/>
        <c:crosses val="autoZero"/>
        <c:auto val="1"/>
        <c:lblOffset val="100"/>
        <c:baseTimeUnit val="days"/>
      </c:dateAx>
      <c:valAx>
        <c:axId val="812033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6829863"/>
        <c:crosses val="autoZero"/>
        <c:crossBetween val="between"/>
      </c:valAx>
      <c:dateAx>
        <c:axId val="70036297"/>
        <c:scaling>
          <c:orientation val="minMax"/>
        </c:scaling>
        <c:delete val="1"/>
        <c:axPos val="b"/>
        <c:numFmt formatCode="mm/dd/yyyy" sourceLinked="1"/>
        <c:majorTickMark val="none"/>
        <c:minorTickMark val="none"/>
        <c:tickLblPos val="nextTo"/>
        <c:crossAx val="35132701"/>
        <c:crosses val="autoZero"/>
        <c:auto val="1"/>
        <c:lblOffset val="100"/>
        <c:baseTimeUnit val="days"/>
      </c:dateAx>
      <c:valAx>
        <c:axId val="351327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003629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(Calc)'!$J$3:$J$500</c:f>
              <c:numCache>
                <c:formatCode>0.0%</c:formatCode>
                <c:ptCount val="498"/>
                <c:pt idx="0">
                  <c:v>-7.3944921316166035E-2</c:v>
                </c:pt>
                <c:pt idx="1">
                  <c:v>-1.6317466447813067E-2</c:v>
                </c:pt>
                <c:pt idx="2">
                  <c:v>-2.9446407538280317E-2</c:v>
                </c:pt>
                <c:pt idx="3">
                  <c:v>6.8770226537218093E-3</c:v>
                </c:pt>
                <c:pt idx="4">
                  <c:v>-6.588991562876656E-2</c:v>
                </c:pt>
                <c:pt idx="5">
                  <c:v>-4.9892473118279601E-2</c:v>
                </c:pt>
                <c:pt idx="6">
                  <c:v>9.4839293798098634E-2</c:v>
                </c:pt>
                <c:pt idx="7">
                  <c:v>-1.8709944180276938E-2</c:v>
                </c:pt>
                <c:pt idx="8">
                  <c:v>5.2775729484883405E-2</c:v>
                </c:pt>
                <c:pt idx="9">
                  <c:v>1.7510506303782369E-2</c:v>
                </c:pt>
                <c:pt idx="10">
                  <c:v>5.5856033041597142E-2</c:v>
                </c:pt>
                <c:pt idx="11">
                  <c:v>1.3504703362205328E-2</c:v>
                </c:pt>
                <c:pt idx="12">
                  <c:v>0.127366292960853</c:v>
                </c:pt>
                <c:pt idx="13">
                  <c:v>-1.385718943593095E-2</c:v>
                </c:pt>
                <c:pt idx="14">
                  <c:v>6.7779798313769568E-3</c:v>
                </c:pt>
                <c:pt idx="15">
                  <c:v>-2.0525451559934349E-2</c:v>
                </c:pt>
                <c:pt idx="16">
                  <c:v>7.5440067057837012E-3</c:v>
                </c:pt>
                <c:pt idx="17">
                  <c:v>-2.3627287853577372E-2</c:v>
                </c:pt>
                <c:pt idx="18">
                  <c:v>-1.218473074301285E-2</c:v>
                </c:pt>
                <c:pt idx="19">
                  <c:v>1.8718192012421087E-2</c:v>
                </c:pt>
                <c:pt idx="20">
                  <c:v>2.4978831498729814E-2</c:v>
                </c:pt>
                <c:pt idx="21">
                  <c:v>6.8566707971913221E-3</c:v>
                </c:pt>
                <c:pt idx="22">
                  <c:v>-1.3127666557268824E-3</c:v>
                </c:pt>
                <c:pt idx="23">
                  <c:v>1.0433782451528151E-2</c:v>
                </c:pt>
                <c:pt idx="24">
                  <c:v>3.4962192048133556E-3</c:v>
                </c:pt>
                <c:pt idx="25">
                  <c:v>-3.7757251660994973E-2</c:v>
                </c:pt>
                <c:pt idx="26">
                  <c:v>-3.0313236780060704E-3</c:v>
                </c:pt>
                <c:pt idx="27">
                  <c:v>1.2415540540540615E-2</c:v>
                </c:pt>
                <c:pt idx="28">
                  <c:v>-4.2128973054142094E-2</c:v>
                </c:pt>
                <c:pt idx="29">
                  <c:v>-4.5985020031353296E-2</c:v>
                </c:pt>
                <c:pt idx="30">
                  <c:v>-0.1303633375935731</c:v>
                </c:pt>
                <c:pt idx="31">
                  <c:v>5.5637203443208438E-3</c:v>
                </c:pt>
                <c:pt idx="32">
                  <c:v>1.7538365173817683E-2</c:v>
                </c:pt>
                <c:pt idx="33">
                  <c:v>1.5184159228480709E-2</c:v>
                </c:pt>
                <c:pt idx="34">
                  <c:v>3.7291561394643846E-2</c:v>
                </c:pt>
                <c:pt idx="35">
                  <c:v>-6.0600155884645401E-2</c:v>
                </c:pt>
                <c:pt idx="36">
                  <c:v>5.486413607135443E-2</c:v>
                </c:pt>
                <c:pt idx="37">
                  <c:v>-2.6546062334086296E-3</c:v>
                </c:pt>
                <c:pt idx="38">
                  <c:v>1.8927444794952786E-2</c:v>
                </c:pt>
                <c:pt idx="39">
                  <c:v>-1.731811145510842E-2</c:v>
                </c:pt>
                <c:pt idx="40">
                  <c:v>2.6582652357979741E-2</c:v>
                </c:pt>
                <c:pt idx="41">
                  <c:v>1.9180972475304481E-2</c:v>
                </c:pt>
                <c:pt idx="42">
                  <c:v>4.9684765220664451E-2</c:v>
                </c:pt>
                <c:pt idx="43">
                  <c:v>3.0031376064545201E-2</c:v>
                </c:pt>
                <c:pt idx="44">
                  <c:v>-8.7032201914708507E-3</c:v>
                </c:pt>
                <c:pt idx="45">
                  <c:v>1.0623353819139592E-2</c:v>
                </c:pt>
                <c:pt idx="46">
                  <c:v>-1.6766571105898631E-2</c:v>
                </c:pt>
                <c:pt idx="47">
                  <c:v>7.7752253048242181E-3</c:v>
                </c:pt>
                <c:pt idx="48">
                  <c:v>4.8921620199894766E-2</c:v>
                </c:pt>
                <c:pt idx="49">
                  <c:v>-8.1076563022400849E-3</c:v>
                </c:pt>
                <c:pt idx="50">
                  <c:v>-4.5504339765737312E-3</c:v>
                </c:pt>
                <c:pt idx="51">
                  <c:v>2.1586387877761792E-2</c:v>
                </c:pt>
                <c:pt idx="52">
                  <c:v>-2.7510772290354701E-2</c:v>
                </c:pt>
                <c:pt idx="53">
                  <c:v>9.3728698023176626E-4</c:v>
                </c:pt>
                <c:pt idx="54">
                  <c:v>-2.5197922873925194E-2</c:v>
                </c:pt>
                <c:pt idx="55">
                  <c:v>-1.7815037987948701E-2</c:v>
                </c:pt>
                <c:pt idx="56">
                  <c:v>1.8760558371121228E-2</c:v>
                </c:pt>
                <c:pt idx="57">
                  <c:v>-4.0495723511956738E-2</c:v>
                </c:pt>
                <c:pt idx="58">
                  <c:v>-3.5201018737493261E-2</c:v>
                </c:pt>
                <c:pt idx="59">
                  <c:v>2.1400961629112869E-2</c:v>
                </c:pt>
                <c:pt idx="60">
                  <c:v>-2.0767952741369777E-2</c:v>
                </c:pt>
                <c:pt idx="61">
                  <c:v>2.0925629182769301E-2</c:v>
                </c:pt>
                <c:pt idx="62">
                  <c:v>8.4941371987812264E-3</c:v>
                </c:pt>
                <c:pt idx="63">
                  <c:v>-4.0922823400164732E-2</c:v>
                </c:pt>
                <c:pt idx="64">
                  <c:v>-7.7319587628865705E-3</c:v>
                </c:pt>
                <c:pt idx="65">
                  <c:v>-6.2241462241462209E-2</c:v>
                </c:pt>
                <c:pt idx="66">
                  <c:v>1.8567911366434098E-2</c:v>
                </c:pt>
                <c:pt idx="67">
                  <c:v>3.7264578507401058E-3</c:v>
                </c:pt>
                <c:pt idx="68">
                  <c:v>-1.9265502709211346E-2</c:v>
                </c:pt>
                <c:pt idx="69">
                  <c:v>5.6783302639656252E-2</c:v>
                </c:pt>
                <c:pt idx="70">
                  <c:v>8.6358795623971307E-2</c:v>
                </c:pt>
                <c:pt idx="71">
                  <c:v>2.6735585063721867E-3</c:v>
                </c:pt>
                <c:pt idx="72">
                  <c:v>-1.5909696915829774E-2</c:v>
                </c:pt>
                <c:pt idx="73">
                  <c:v>2.980491329479773E-2</c:v>
                </c:pt>
                <c:pt idx="74">
                  <c:v>1.0524469391335334E-3</c:v>
                </c:pt>
                <c:pt idx="75">
                  <c:v>2.4356053968810354E-2</c:v>
                </c:pt>
                <c:pt idx="76">
                  <c:v>-3.2329798152582967E-2</c:v>
                </c:pt>
                <c:pt idx="77">
                  <c:v>-6.6908255258971261E-2</c:v>
                </c:pt>
                <c:pt idx="78">
                  <c:v>-2.2354835654068372E-2</c:v>
                </c:pt>
                <c:pt idx="79">
                  <c:v>1.8699738397442101E-2</c:v>
                </c:pt>
                <c:pt idx="80">
                  <c:v>-0.11061441887007795</c:v>
                </c:pt>
                <c:pt idx="81">
                  <c:v>-2.0425622928029186E-2</c:v>
                </c:pt>
                <c:pt idx="82">
                  <c:v>6.1026200873362413E-2</c:v>
                </c:pt>
                <c:pt idx="83">
                  <c:v>1.3375861714166604E-3</c:v>
                </c:pt>
                <c:pt idx="84">
                  <c:v>3.1031648170982473E-2</c:v>
                </c:pt>
                <c:pt idx="85">
                  <c:v>1.4251544747857281E-2</c:v>
                </c:pt>
                <c:pt idx="86">
                  <c:v>3.3998231305885973E-2</c:v>
                </c:pt>
                <c:pt idx="87">
                  <c:v>-5.8823529411764719E-2</c:v>
                </c:pt>
                <c:pt idx="88">
                  <c:v>4.3820678513731615E-2</c:v>
                </c:pt>
                <c:pt idx="89">
                  <c:v>1.7411491584446992E-3</c:v>
                </c:pt>
                <c:pt idx="90">
                  <c:v>-1.3904982618771711E-2</c:v>
                </c:pt>
                <c:pt idx="91">
                  <c:v>-5.3858206032120215E-3</c:v>
                </c:pt>
                <c:pt idx="92">
                  <c:v>-6.8917987594752095E-4</c:v>
                </c:pt>
                <c:pt idx="93">
                  <c:v>2.2758620689655285E-2</c:v>
                </c:pt>
                <c:pt idx="94">
                  <c:v>1.0596281668432628E-2</c:v>
                </c:pt>
                <c:pt idx="95">
                  <c:v>-2.1923553522066541E-2</c:v>
                </c:pt>
                <c:pt idx="96">
                  <c:v>3.2940259233992686E-2</c:v>
                </c:pt>
                <c:pt idx="97">
                  <c:v>-4.8778186621379449E-2</c:v>
                </c:pt>
                <c:pt idx="98">
                  <c:v>7.3398135290618782E-3</c:v>
                </c:pt>
                <c:pt idx="99">
                  <c:v>8.5663647105160834E-3</c:v>
                </c:pt>
                <c:pt idx="100">
                  <c:v>5.3402323538025875E-2</c:v>
                </c:pt>
                <c:pt idx="101">
                  <c:v>1.3345690454124259E-2</c:v>
                </c:pt>
                <c:pt idx="102">
                  <c:v>-1.097494055240622E-3</c:v>
                </c:pt>
                <c:pt idx="103">
                  <c:v>1.4924006592199168E-2</c:v>
                </c:pt>
                <c:pt idx="104">
                  <c:v>-7.2169598556607317E-3</c:v>
                </c:pt>
                <c:pt idx="105">
                  <c:v>5.9972739663789465E-3</c:v>
                </c:pt>
                <c:pt idx="106">
                  <c:v>2.520097552163314E-2</c:v>
                </c:pt>
                <c:pt idx="107">
                  <c:v>-4.9867841409691582E-2</c:v>
                </c:pt>
                <c:pt idx="108">
                  <c:v>0.11554154302670616</c:v>
                </c:pt>
                <c:pt idx="109">
                  <c:v>1.8952618453865311E-2</c:v>
                </c:pt>
                <c:pt idx="110">
                  <c:v>-1.851851851851849E-2</c:v>
                </c:pt>
                <c:pt idx="111">
                  <c:v>1.2218435707755049E-2</c:v>
                </c:pt>
                <c:pt idx="112">
                  <c:v>-2.2089012974215727E-2</c:v>
                </c:pt>
                <c:pt idx="113">
                  <c:v>2.4099420606264133E-2</c:v>
                </c:pt>
                <c:pt idx="114">
                  <c:v>2.1810429649065322E-2</c:v>
                </c:pt>
                <c:pt idx="115">
                  <c:v>-4.3331728454502061E-3</c:v>
                </c:pt>
                <c:pt idx="116">
                  <c:v>1.7246937459703515E-2</c:v>
                </c:pt>
                <c:pt idx="117">
                  <c:v>-1.5053081920456401E-2</c:v>
                </c:pt>
                <c:pt idx="118">
                  <c:v>1.1583011583011782E-2</c:v>
                </c:pt>
                <c:pt idx="119">
                  <c:v>2.703562340966803E-3</c:v>
                </c:pt>
                <c:pt idx="120">
                  <c:v>2.6962727993655733E-3</c:v>
                </c:pt>
                <c:pt idx="121">
                  <c:v>2.9421069281872825E-2</c:v>
                </c:pt>
                <c:pt idx="122">
                  <c:v>-4.5482483097725845E-2</c:v>
                </c:pt>
                <c:pt idx="123">
                  <c:v>2.6802962009014886E-2</c:v>
                </c:pt>
                <c:pt idx="124">
                  <c:v>4.8992709884769114E-2</c:v>
                </c:pt>
                <c:pt idx="125">
                  <c:v>1.4721267374084634E-2</c:v>
                </c:pt>
                <c:pt idx="126">
                  <c:v>1.8263495102732286E-2</c:v>
                </c:pt>
                <c:pt idx="127">
                  <c:v>7.5215158747377053E-3</c:v>
                </c:pt>
                <c:pt idx="128">
                  <c:v>-5.634914937908253E-2</c:v>
                </c:pt>
                <c:pt idx="129">
                  <c:v>-2.07667731629394E-2</c:v>
                </c:pt>
                <c:pt idx="130">
                  <c:v>-2.0508040083896395E-2</c:v>
                </c:pt>
                <c:pt idx="131">
                  <c:v>6.8998334522958338E-3</c:v>
                </c:pt>
                <c:pt idx="132">
                  <c:v>3.7807183364839236E-2</c:v>
                </c:pt>
                <c:pt idx="133">
                  <c:v>2.5576806314511202E-2</c:v>
                </c:pt>
                <c:pt idx="134">
                  <c:v>5.7648190631243823E-2</c:v>
                </c:pt>
                <c:pt idx="135">
                  <c:v>-2.071088720962766E-2</c:v>
                </c:pt>
                <c:pt idx="136">
                  <c:v>-4.7870820234353628E-3</c:v>
                </c:pt>
                <c:pt idx="137">
                  <c:v>1.8881470313733884E-2</c:v>
                </c:pt>
                <c:pt idx="138">
                  <c:v>-2.466178128523111E-2</c:v>
                </c:pt>
                <c:pt idx="139">
                  <c:v>3.8217020661754253E-2</c:v>
                </c:pt>
                <c:pt idx="140">
                  <c:v>-1.6700299213694314E-2</c:v>
                </c:pt>
                <c:pt idx="141">
                  <c:v>7.5012384120018982E-3</c:v>
                </c:pt>
                <c:pt idx="142">
                  <c:v>2.9079159935379462E-2</c:v>
                </c:pt>
                <c:pt idx="143">
                  <c:v>-4.8324346460992373E-2</c:v>
                </c:pt>
                <c:pt idx="144">
                  <c:v>-4.0163522914724581E-3</c:v>
                </c:pt>
                <c:pt idx="145">
                  <c:v>-3.8885288399221896E-3</c:v>
                </c:pt>
                <c:pt idx="146">
                  <c:v>1.0337598496349187E-2</c:v>
                </c:pt>
                <c:pt idx="147">
                  <c:v>6.3322839152833543E-2</c:v>
                </c:pt>
                <c:pt idx="148">
                  <c:v>-1.440010766435651E-2</c:v>
                </c:pt>
                <c:pt idx="149">
                  <c:v>-2.0482009967911496E-2</c:v>
                </c:pt>
                <c:pt idx="150">
                  <c:v>-3.0738133407681056E-2</c:v>
                </c:pt>
                <c:pt idx="151">
                  <c:v>6.1843808428014846E-3</c:v>
                </c:pt>
                <c:pt idx="152">
                  <c:v>5.4316752429961479E-3</c:v>
                </c:pt>
                <c:pt idx="153">
                  <c:v>-7.7480807506398186E-3</c:v>
                </c:pt>
                <c:pt idx="154">
                  <c:v>-2.3855577047066534E-2</c:v>
                </c:pt>
                <c:pt idx="155">
                  <c:v>-1.1595479230882E-2</c:v>
                </c:pt>
                <c:pt idx="156">
                  <c:v>1.1880011880012198E-3</c:v>
                </c:pt>
                <c:pt idx="157">
                  <c:v>-1.3274992583802936E-2</c:v>
                </c:pt>
                <c:pt idx="158">
                  <c:v>-3.1116121758737458E-2</c:v>
                </c:pt>
                <c:pt idx="159">
                  <c:v>4.4992630517415311E-3</c:v>
                </c:pt>
                <c:pt idx="160">
                  <c:v>0</c:v>
                </c:pt>
              </c:numCache>
            </c:numRef>
          </c:val>
          <c:extLst>
            <c:ext xmlns:c16="http://schemas.microsoft.com/office/drawing/2014/chart" uri="{C3380CC4-5D6E-409C-BE32-E72D297353CC}">
              <c16:uniqueId val="{00000000-DCE3-AB43-8AE1-E9A45704726D}"/>
            </c:ext>
          </c:extLst>
        </c:ser>
        <c:dLbls>
          <c:showLegendKey val="0"/>
          <c:showVal val="0"/>
          <c:showCatName val="0"/>
          <c:showSerName val="0"/>
          <c:showPercent val="0"/>
          <c:showBubbleSize val="0"/>
        </c:dLbls>
        <c:gapWidth val="150"/>
        <c:axId val="54353059"/>
        <c:axId val="35059027"/>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(Calc)'!$AE$3:$AE$500</c:f>
              <c:numCache>
                <c:formatCode>#,##0.00</c:formatCode>
                <c:ptCount val="498"/>
                <c:pt idx="0">
                  <c:v>111.84</c:v>
                </c:pt>
                <c:pt idx="1">
                  <c:v>111.95100628930818</c:v>
                </c:pt>
                <c:pt idx="2">
                  <c:v>112.06201257861636</c:v>
                </c:pt>
                <c:pt idx="3">
                  <c:v>112.17301886792453</c:v>
                </c:pt>
                <c:pt idx="4">
                  <c:v>112.2840251572327</c:v>
                </c:pt>
                <c:pt idx="5">
                  <c:v>112.39503144654088</c:v>
                </c:pt>
                <c:pt idx="6">
                  <c:v>112.50603773584906</c:v>
                </c:pt>
                <c:pt idx="7">
                  <c:v>112.61704402515724</c:v>
                </c:pt>
                <c:pt idx="8">
                  <c:v>112.72805031446541</c:v>
                </c:pt>
                <c:pt idx="9">
                  <c:v>112.83905660377359</c:v>
                </c:pt>
                <c:pt idx="10">
                  <c:v>112.95006289308176</c:v>
                </c:pt>
                <c:pt idx="11">
                  <c:v>113.06106918238994</c:v>
                </c:pt>
                <c:pt idx="12">
                  <c:v>113.17207547169812</c:v>
                </c:pt>
                <c:pt idx="13">
                  <c:v>113.28308176100629</c:v>
                </c:pt>
                <c:pt idx="14">
                  <c:v>113.39408805031447</c:v>
                </c:pt>
                <c:pt idx="15">
                  <c:v>113.50509433962264</c:v>
                </c:pt>
                <c:pt idx="16">
                  <c:v>113.61610062893082</c:v>
                </c:pt>
                <c:pt idx="17">
                  <c:v>113.727106918239</c:v>
                </c:pt>
                <c:pt idx="18">
                  <c:v>113.83811320754717</c:v>
                </c:pt>
                <c:pt idx="19">
                  <c:v>113.94911949685535</c:v>
                </c:pt>
                <c:pt idx="20">
                  <c:v>114.06012578616352</c:v>
                </c:pt>
                <c:pt idx="21">
                  <c:v>114.1711320754717</c:v>
                </c:pt>
                <c:pt idx="22">
                  <c:v>114.28213836477988</c:v>
                </c:pt>
                <c:pt idx="23">
                  <c:v>114.39314465408806</c:v>
                </c:pt>
                <c:pt idx="24">
                  <c:v>114.50415094339623</c:v>
                </c:pt>
                <c:pt idx="25">
                  <c:v>114.61515723270441</c:v>
                </c:pt>
                <c:pt idx="26">
                  <c:v>114.72616352201258</c:v>
                </c:pt>
                <c:pt idx="27">
                  <c:v>114.83716981132076</c:v>
                </c:pt>
                <c:pt idx="28">
                  <c:v>114.94817610062894</c:v>
                </c:pt>
                <c:pt idx="29">
                  <c:v>115.05918238993711</c:v>
                </c:pt>
                <c:pt idx="30">
                  <c:v>115.17018867924529</c:v>
                </c:pt>
                <c:pt idx="31">
                  <c:v>115.28119496855346</c:v>
                </c:pt>
                <c:pt idx="32">
                  <c:v>115.39220125786164</c:v>
                </c:pt>
                <c:pt idx="33">
                  <c:v>115.50320754716982</c:v>
                </c:pt>
                <c:pt idx="34">
                  <c:v>115.61421383647799</c:v>
                </c:pt>
                <c:pt idx="35">
                  <c:v>115.72522012578617</c:v>
                </c:pt>
                <c:pt idx="36">
                  <c:v>115.83622641509434</c:v>
                </c:pt>
                <c:pt idx="37">
                  <c:v>115.94723270440252</c:v>
                </c:pt>
                <c:pt idx="38">
                  <c:v>116.0582389937107</c:v>
                </c:pt>
                <c:pt idx="39">
                  <c:v>116.16924528301887</c:v>
                </c:pt>
                <c:pt idx="40">
                  <c:v>116.28025157232705</c:v>
                </c:pt>
                <c:pt idx="41">
                  <c:v>116.39125786163522</c:v>
                </c:pt>
                <c:pt idx="42">
                  <c:v>116.5022641509434</c:v>
                </c:pt>
                <c:pt idx="43">
                  <c:v>116.61327044025158</c:v>
                </c:pt>
                <c:pt idx="44">
                  <c:v>116.72427672955975</c:v>
                </c:pt>
                <c:pt idx="45">
                  <c:v>116.83528301886793</c:v>
                </c:pt>
                <c:pt idx="46">
                  <c:v>116.94628930817611</c:v>
                </c:pt>
                <c:pt idx="47">
                  <c:v>117.05729559748428</c:v>
                </c:pt>
                <c:pt idx="48">
                  <c:v>117.16830188679246</c:v>
                </c:pt>
                <c:pt idx="49">
                  <c:v>117.27930817610063</c:v>
                </c:pt>
                <c:pt idx="50">
                  <c:v>117.39031446540881</c:v>
                </c:pt>
                <c:pt idx="51">
                  <c:v>117.50132075471699</c:v>
                </c:pt>
                <c:pt idx="52">
                  <c:v>117.61232704402516</c:v>
                </c:pt>
                <c:pt idx="53">
                  <c:v>117.72333333333334</c:v>
                </c:pt>
                <c:pt idx="54">
                  <c:v>117.83433962264152</c:v>
                </c:pt>
                <c:pt idx="55">
                  <c:v>117.94534591194969</c:v>
                </c:pt>
                <c:pt idx="56">
                  <c:v>118.05635220125787</c:v>
                </c:pt>
                <c:pt idx="57">
                  <c:v>118.16735849056604</c:v>
                </c:pt>
                <c:pt idx="58">
                  <c:v>118.27836477987422</c:v>
                </c:pt>
                <c:pt idx="59">
                  <c:v>118.3893710691824</c:v>
                </c:pt>
                <c:pt idx="60">
                  <c:v>118.50037735849057</c:v>
                </c:pt>
                <c:pt idx="61">
                  <c:v>118.61138364779875</c:v>
                </c:pt>
                <c:pt idx="62">
                  <c:v>118.72238993710693</c:v>
                </c:pt>
                <c:pt idx="63">
                  <c:v>118.8333962264151</c:v>
                </c:pt>
                <c:pt idx="64">
                  <c:v>118.94440251572328</c:v>
                </c:pt>
                <c:pt idx="65">
                  <c:v>119.05540880503145</c:v>
                </c:pt>
                <c:pt idx="66">
                  <c:v>119.16641509433963</c:v>
                </c:pt>
                <c:pt idx="67">
                  <c:v>119.27742138364781</c:v>
                </c:pt>
                <c:pt idx="68">
                  <c:v>119.38842767295598</c:v>
                </c:pt>
                <c:pt idx="69">
                  <c:v>119.49943396226416</c:v>
                </c:pt>
                <c:pt idx="70">
                  <c:v>119.61044025157233</c:v>
                </c:pt>
                <c:pt idx="71">
                  <c:v>119.72144654088051</c:v>
                </c:pt>
                <c:pt idx="72">
                  <c:v>119.83245283018869</c:v>
                </c:pt>
                <c:pt idx="73">
                  <c:v>119.94345911949686</c:v>
                </c:pt>
                <c:pt idx="74">
                  <c:v>120.05446540880504</c:v>
                </c:pt>
                <c:pt idx="75">
                  <c:v>120.16547169811321</c:v>
                </c:pt>
                <c:pt idx="76">
                  <c:v>120.27647798742139</c:v>
                </c:pt>
                <c:pt idx="77">
                  <c:v>120.38748427672957</c:v>
                </c:pt>
                <c:pt idx="78">
                  <c:v>120.49849056603774</c:v>
                </c:pt>
                <c:pt idx="79">
                  <c:v>120.60949685534592</c:v>
                </c:pt>
                <c:pt idx="80">
                  <c:v>120.72050314465409</c:v>
                </c:pt>
                <c:pt idx="81">
                  <c:v>120.83150943396227</c:v>
                </c:pt>
                <c:pt idx="82">
                  <c:v>120.94251572327045</c:v>
                </c:pt>
                <c:pt idx="83">
                  <c:v>121.05352201257863</c:v>
                </c:pt>
                <c:pt idx="84">
                  <c:v>121.1645283018868</c:v>
                </c:pt>
                <c:pt idx="85">
                  <c:v>121.27553459119497</c:v>
                </c:pt>
                <c:pt idx="86">
                  <c:v>121.38654088050315</c:v>
                </c:pt>
                <c:pt idx="87">
                  <c:v>121.49754716981133</c:v>
                </c:pt>
                <c:pt idx="88">
                  <c:v>121.60855345911951</c:v>
                </c:pt>
                <c:pt idx="89">
                  <c:v>121.71955974842768</c:v>
                </c:pt>
                <c:pt idx="90">
                  <c:v>121.83056603773585</c:v>
                </c:pt>
                <c:pt idx="91">
                  <c:v>121.94157232704403</c:v>
                </c:pt>
                <c:pt idx="92">
                  <c:v>122.05257861635221</c:v>
                </c:pt>
                <c:pt idx="93">
                  <c:v>122.16358490566039</c:v>
                </c:pt>
                <c:pt idx="94">
                  <c:v>122.27459119496856</c:v>
                </c:pt>
                <c:pt idx="95">
                  <c:v>122.38559748427673</c:v>
                </c:pt>
                <c:pt idx="96">
                  <c:v>122.49660377358491</c:v>
                </c:pt>
                <c:pt idx="97">
                  <c:v>122.60761006289309</c:v>
                </c:pt>
                <c:pt idx="98">
                  <c:v>122.71861635220127</c:v>
                </c:pt>
                <c:pt idx="99">
                  <c:v>122.82962264150945</c:v>
                </c:pt>
                <c:pt idx="100">
                  <c:v>122.94062893081761</c:v>
                </c:pt>
                <c:pt idx="101">
                  <c:v>123.05163522012579</c:v>
                </c:pt>
                <c:pt idx="102">
                  <c:v>123.16264150943397</c:v>
                </c:pt>
                <c:pt idx="103">
                  <c:v>123.27364779874215</c:v>
                </c:pt>
                <c:pt idx="104">
                  <c:v>123.38465408805033</c:v>
                </c:pt>
                <c:pt idx="105">
                  <c:v>123.4956603773585</c:v>
                </c:pt>
                <c:pt idx="106">
                  <c:v>123.60666666666667</c:v>
                </c:pt>
                <c:pt idx="107">
                  <c:v>123.71767295597485</c:v>
                </c:pt>
                <c:pt idx="108">
                  <c:v>123.82867924528303</c:v>
                </c:pt>
                <c:pt idx="109">
                  <c:v>123.93968553459121</c:v>
                </c:pt>
                <c:pt idx="110">
                  <c:v>124.05069182389938</c:v>
                </c:pt>
                <c:pt idx="111">
                  <c:v>124.16169811320755</c:v>
                </c:pt>
                <c:pt idx="112">
                  <c:v>124.27270440251573</c:v>
                </c:pt>
                <c:pt idx="113">
                  <c:v>124.38371069182391</c:v>
                </c:pt>
                <c:pt idx="114">
                  <c:v>124.49471698113209</c:v>
                </c:pt>
                <c:pt idx="115">
                  <c:v>124.60572327044027</c:v>
                </c:pt>
                <c:pt idx="116">
                  <c:v>124.71672955974843</c:v>
                </c:pt>
                <c:pt idx="117">
                  <c:v>124.82773584905661</c:v>
                </c:pt>
                <c:pt idx="118">
                  <c:v>124.93874213836479</c:v>
                </c:pt>
                <c:pt idx="119">
                  <c:v>125.04974842767297</c:v>
                </c:pt>
                <c:pt idx="120">
                  <c:v>125.16075471698115</c:v>
                </c:pt>
                <c:pt idx="121">
                  <c:v>125.27176100628931</c:v>
                </c:pt>
                <c:pt idx="122">
                  <c:v>125.38276729559749</c:v>
                </c:pt>
                <c:pt idx="123">
                  <c:v>125.49377358490567</c:v>
                </c:pt>
                <c:pt idx="124">
                  <c:v>125.60477987421385</c:v>
                </c:pt>
                <c:pt idx="125">
                  <c:v>125.71578616352203</c:v>
                </c:pt>
                <c:pt idx="126">
                  <c:v>125.82679245283019</c:v>
                </c:pt>
                <c:pt idx="127">
                  <c:v>125.93779874213837</c:v>
                </c:pt>
                <c:pt idx="128">
                  <c:v>126.04880503144655</c:v>
                </c:pt>
                <c:pt idx="129">
                  <c:v>126.15981132075473</c:v>
                </c:pt>
                <c:pt idx="130">
                  <c:v>126.27081761006291</c:v>
                </c:pt>
                <c:pt idx="131">
                  <c:v>126.38182389937107</c:v>
                </c:pt>
                <c:pt idx="132">
                  <c:v>126.49283018867925</c:v>
                </c:pt>
                <c:pt idx="133">
                  <c:v>126.60383647798743</c:v>
                </c:pt>
                <c:pt idx="134">
                  <c:v>126.71484276729561</c:v>
                </c:pt>
                <c:pt idx="135">
                  <c:v>126.82584905660379</c:v>
                </c:pt>
                <c:pt idx="136">
                  <c:v>126.93685534591195</c:v>
                </c:pt>
                <c:pt idx="137">
                  <c:v>127.04786163522013</c:v>
                </c:pt>
                <c:pt idx="138">
                  <c:v>127.15886792452831</c:v>
                </c:pt>
                <c:pt idx="139">
                  <c:v>127.26987421383649</c:v>
                </c:pt>
                <c:pt idx="140">
                  <c:v>127.38088050314467</c:v>
                </c:pt>
                <c:pt idx="141">
                  <c:v>127.49188679245285</c:v>
                </c:pt>
                <c:pt idx="142">
                  <c:v>127.60289308176101</c:v>
                </c:pt>
                <c:pt idx="143">
                  <c:v>127.71389937106919</c:v>
                </c:pt>
                <c:pt idx="144">
                  <c:v>127.82490566037737</c:v>
                </c:pt>
                <c:pt idx="145">
                  <c:v>127.93591194968555</c:v>
                </c:pt>
                <c:pt idx="146">
                  <c:v>128.04691823899373</c:v>
                </c:pt>
                <c:pt idx="147">
                  <c:v>128.15792452830189</c:v>
                </c:pt>
                <c:pt idx="148">
                  <c:v>128.26893081761006</c:v>
                </c:pt>
                <c:pt idx="149">
                  <c:v>128.37993710691825</c:v>
                </c:pt>
                <c:pt idx="150">
                  <c:v>128.49094339622641</c:v>
                </c:pt>
                <c:pt idx="151">
                  <c:v>128.60194968553461</c:v>
                </c:pt>
                <c:pt idx="152">
                  <c:v>128.71295597484277</c:v>
                </c:pt>
                <c:pt idx="153">
                  <c:v>128.82396226415096</c:v>
                </c:pt>
                <c:pt idx="154">
                  <c:v>128.93496855345913</c:v>
                </c:pt>
                <c:pt idx="155">
                  <c:v>129.04597484276729</c:v>
                </c:pt>
                <c:pt idx="156">
                  <c:v>129.15698113207549</c:v>
                </c:pt>
                <c:pt idx="157">
                  <c:v>129.26798742138365</c:v>
                </c:pt>
                <c:pt idx="158">
                  <c:v>129.37899371069182</c:v>
                </c:pt>
                <c:pt idx="159">
                  <c:v>129.49</c:v>
                </c:pt>
                <c:pt idx="160">
                  <c:v>129.60100628930817</c:v>
                </c:pt>
              </c:numCache>
            </c:numRef>
          </c:val>
          <c:smooth val="0"/>
          <c:extLst>
            <c:ext xmlns:c16="http://schemas.microsoft.com/office/drawing/2014/chart" uri="{C3380CC4-5D6E-409C-BE32-E72D297353CC}">
              <c16:uniqueId val="{00000001-DCE3-AB43-8AE1-E9A45704726D}"/>
            </c:ext>
          </c:extLst>
        </c:ser>
        <c:dLbls>
          <c:showLegendKey val="0"/>
          <c:showVal val="0"/>
          <c:showCatName val="0"/>
          <c:showSerName val="0"/>
          <c:showPercent val="0"/>
          <c:showBubbleSize val="0"/>
        </c:dLbls>
        <c:hiLowLines>
          <c:spPr>
            <a:ln w="0">
              <a:noFill/>
            </a:ln>
          </c:spPr>
        </c:hiLowLines>
        <c:marker val="1"/>
        <c:smooth val="0"/>
        <c:axId val="16620007"/>
        <c:axId val="25333406"/>
      </c:lineChart>
      <c:dateAx>
        <c:axId val="54353059"/>
        <c:scaling>
          <c:orientation val="minMax"/>
        </c:scaling>
        <c:delete val="1"/>
        <c:axPos val="b"/>
        <c:numFmt formatCode="mm/dd/yyyy" sourceLinked="1"/>
        <c:majorTickMark val="none"/>
        <c:minorTickMark val="none"/>
        <c:tickLblPos val="nextTo"/>
        <c:crossAx val="35059027"/>
        <c:crosses val="autoZero"/>
        <c:auto val="1"/>
        <c:lblOffset val="100"/>
        <c:baseTimeUnit val="days"/>
      </c:dateAx>
      <c:valAx>
        <c:axId val="350590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4353059"/>
        <c:crosses val="autoZero"/>
        <c:crossBetween val="between"/>
      </c:valAx>
      <c:dateAx>
        <c:axId val="16620007"/>
        <c:scaling>
          <c:orientation val="minMax"/>
        </c:scaling>
        <c:delete val="1"/>
        <c:axPos val="b"/>
        <c:numFmt formatCode="mm/dd/yyyy" sourceLinked="1"/>
        <c:majorTickMark val="none"/>
        <c:minorTickMark val="none"/>
        <c:tickLblPos val="nextTo"/>
        <c:crossAx val="25333406"/>
        <c:crosses val="autoZero"/>
        <c:auto val="1"/>
        <c:lblOffset val="100"/>
        <c:baseTimeUnit val="days"/>
      </c:dateAx>
      <c:valAx>
        <c:axId val="253334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662000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(Calc)'!$K$3:$K$500</c:f>
              <c:numCache>
                <c:formatCode>0.0%</c:formatCode>
                <c:ptCount val="498"/>
                <c:pt idx="0">
                  <c:v>-7.8277886497064575E-2</c:v>
                </c:pt>
                <c:pt idx="1">
                  <c:v>0.13234253361641901</c:v>
                </c:pt>
                <c:pt idx="2">
                  <c:v>3.8124999999999964E-2</c:v>
                </c:pt>
                <c:pt idx="3">
                  <c:v>4.5153521974714117E-2</c:v>
                </c:pt>
                <c:pt idx="4">
                  <c:v>-7.2004608294930827E-2</c:v>
                </c:pt>
                <c:pt idx="5">
                  <c:v>-6.4556176288019795E-2</c:v>
                </c:pt>
                <c:pt idx="6">
                  <c:v>0.25348374253483752</c:v>
                </c:pt>
                <c:pt idx="7">
                  <c:v>4.1291688724192754E-2</c:v>
                </c:pt>
                <c:pt idx="8">
                  <c:v>4.1687849517030751E-2</c:v>
                </c:pt>
                <c:pt idx="9">
                  <c:v>-6.2957540263543166E-2</c:v>
                </c:pt>
                <c:pt idx="10">
                  <c:v>5.5729166666666607E-2</c:v>
                </c:pt>
                <c:pt idx="11">
                  <c:v>-0.12333497779970404</c:v>
                </c:pt>
                <c:pt idx="12">
                  <c:v>2.4198086662915008E-2</c:v>
                </c:pt>
                <c:pt idx="13">
                  <c:v>-4.3406593406593363E-2</c:v>
                </c:pt>
                <c:pt idx="14">
                  <c:v>-1.378518093049963E-2</c:v>
                </c:pt>
                <c:pt idx="15">
                  <c:v>-6.9306930693069368E-2</c:v>
                </c:pt>
                <c:pt idx="16">
                  <c:v>4.8811013767209088E-2</c:v>
                </c:pt>
                <c:pt idx="17">
                  <c:v>1.1933174224343368E-3</c:v>
                </c:pt>
                <c:pt idx="18">
                  <c:v>-2.5625744934445804E-2</c:v>
                </c:pt>
                <c:pt idx="19">
                  <c:v>4.0978593272171127E-2</c:v>
                </c:pt>
                <c:pt idx="20">
                  <c:v>0.43243243243243246</c:v>
                </c:pt>
                <c:pt idx="21">
                  <c:v>2.4610336341264194E-3</c:v>
                </c:pt>
                <c:pt idx="22">
                  <c:v>-6.0147299509001773E-2</c:v>
                </c:pt>
                <c:pt idx="23">
                  <c:v>8.5328689595124185E-2</c:v>
                </c:pt>
                <c:pt idx="24">
                  <c:v>4.4524669073405576E-2</c:v>
                </c:pt>
                <c:pt idx="25">
                  <c:v>-9.7926267281105983E-2</c:v>
                </c:pt>
                <c:pt idx="26">
                  <c:v>2.9374201787994991E-2</c:v>
                </c:pt>
                <c:pt idx="27">
                  <c:v>-4.8387096774193505E-2</c:v>
                </c:pt>
                <c:pt idx="28">
                  <c:v>-2.1729682746631784E-3</c:v>
                </c:pt>
                <c:pt idx="29">
                  <c:v>-1.2630662020905903E-2</c:v>
                </c:pt>
                <c:pt idx="30">
                  <c:v>-9.7044552271724815E-2</c:v>
                </c:pt>
                <c:pt idx="31">
                  <c:v>0.10014655593551547</c:v>
                </c:pt>
                <c:pt idx="32">
                  <c:v>3.5968028419182785E-2</c:v>
                </c:pt>
                <c:pt idx="33">
                  <c:v>-0.11701671667381042</c:v>
                </c:pt>
                <c:pt idx="34">
                  <c:v>5.6310679611650594E-2</c:v>
                </c:pt>
                <c:pt idx="35">
                  <c:v>-3.4466911764705843E-2</c:v>
                </c:pt>
                <c:pt idx="36">
                  <c:v>3.188957639219403E-2</c:v>
                </c:pt>
                <c:pt idx="37">
                  <c:v>7.5184501845018348E-2</c:v>
                </c:pt>
                <c:pt idx="38">
                  <c:v>1.1154011154011156E-2</c:v>
                </c:pt>
                <c:pt idx="39">
                  <c:v>1.1455239711497756E-2</c:v>
                </c:pt>
                <c:pt idx="40">
                  <c:v>6.25E-2</c:v>
                </c:pt>
                <c:pt idx="41">
                  <c:v>7.500986971970014E-2</c:v>
                </c:pt>
                <c:pt idx="42">
                  <c:v>3.084832904884327E-2</c:v>
                </c:pt>
                <c:pt idx="43">
                  <c:v>1.8168863555397152E-2</c:v>
                </c:pt>
                <c:pt idx="44">
                  <c:v>-4.8985304408677321E-2</c:v>
                </c:pt>
                <c:pt idx="45">
                  <c:v>-8.9771891096394496E-2</c:v>
                </c:pt>
                <c:pt idx="46">
                  <c:v>0.21301535974130981</c:v>
                </c:pt>
                <c:pt idx="47">
                  <c:v>6.8977007664111856E-2</c:v>
                </c:pt>
                <c:pt idx="48">
                  <c:v>-9.3516209476308676E-3</c:v>
                </c:pt>
                <c:pt idx="49">
                  <c:v>-9.4398993077406956E-3</c:v>
                </c:pt>
                <c:pt idx="50">
                  <c:v>-3.6531130876747198E-2</c:v>
                </c:pt>
                <c:pt idx="51">
                  <c:v>0.17342565117045838</c:v>
                </c:pt>
                <c:pt idx="52">
                  <c:v>4.5237426243326828E-2</c:v>
                </c:pt>
                <c:pt idx="53">
                  <c:v>-9.6774193548386789E-3</c:v>
                </c:pt>
                <c:pt idx="54">
                  <c:v>8.6047774158523271E-2</c:v>
                </c:pt>
                <c:pt idx="55">
                  <c:v>8.7478130467383064E-2</c:v>
                </c:pt>
                <c:pt idx="56">
                  <c:v>-1.2410940013789951E-2</c:v>
                </c:pt>
                <c:pt idx="57">
                  <c:v>4.3984175005818082E-2</c:v>
                </c:pt>
                <c:pt idx="58">
                  <c:v>-6.553722692822106E-2</c:v>
                </c:pt>
                <c:pt idx="59">
                  <c:v>0.39289122137404586</c:v>
                </c:pt>
                <c:pt idx="60">
                  <c:v>0.1263915053947593</c:v>
                </c:pt>
                <c:pt idx="61">
                  <c:v>-2.1590390755663713E-2</c:v>
                </c:pt>
                <c:pt idx="62">
                  <c:v>4.2424242424242475E-2</c:v>
                </c:pt>
                <c:pt idx="63">
                  <c:v>0.13804412641621955</c:v>
                </c:pt>
                <c:pt idx="64">
                  <c:v>-3.5368090123134577E-3</c:v>
                </c:pt>
                <c:pt idx="65">
                  <c:v>5.889312475351649E-2</c:v>
                </c:pt>
                <c:pt idx="66">
                  <c:v>-1.8249534450651805E-2</c:v>
                </c:pt>
                <c:pt idx="67">
                  <c:v>1.0242792109256493E-2</c:v>
                </c:pt>
                <c:pt idx="68">
                  <c:v>-0.15809237701840029</c:v>
                </c:pt>
                <c:pt idx="69">
                  <c:v>6.7053226286053924E-2</c:v>
                </c:pt>
                <c:pt idx="70">
                  <c:v>0.10045980214574346</c:v>
                </c:pt>
                <c:pt idx="71">
                  <c:v>4.4441630792605658E-2</c:v>
                </c:pt>
                <c:pt idx="72">
                  <c:v>0.34379924839374465</c:v>
                </c:pt>
                <c:pt idx="73">
                  <c:v>7.4966170500676554E-2</c:v>
                </c:pt>
                <c:pt idx="74">
                  <c:v>-0.14946290701577714</c:v>
                </c:pt>
                <c:pt idx="75">
                  <c:v>-0.16211149481993092</c:v>
                </c:pt>
                <c:pt idx="76">
                  <c:v>-1.1775788977863577E-4</c:v>
                </c:pt>
                <c:pt idx="77">
                  <c:v>1.5663643858202736E-2</c:v>
                </c:pt>
                <c:pt idx="78">
                  <c:v>5.4730983302411884E-2</c:v>
                </c:pt>
                <c:pt idx="79">
                  <c:v>-5.6178540017590151E-2</c:v>
                </c:pt>
                <c:pt idx="80">
                  <c:v>-0.13791496796738489</c:v>
                </c:pt>
                <c:pt idx="81">
                  <c:v>0.19645993784623683</c:v>
                </c:pt>
                <c:pt idx="82">
                  <c:v>5.9062676453980778E-2</c:v>
                </c:pt>
                <c:pt idx="83">
                  <c:v>0.20260183407976107</c:v>
                </c:pt>
                <c:pt idx="84">
                  <c:v>0.10196843411952483</c:v>
                </c:pt>
                <c:pt idx="85">
                  <c:v>-5.6163501770196356E-2</c:v>
                </c:pt>
                <c:pt idx="86">
                  <c:v>0.10417732310315442</c:v>
                </c:pt>
                <c:pt idx="87">
                  <c:v>-4.7946263125386079E-2</c:v>
                </c:pt>
                <c:pt idx="88">
                  <c:v>6.8688670829616383E-2</c:v>
                </c:pt>
                <c:pt idx="89">
                  <c:v>-3.0808923964182777E-2</c:v>
                </c:pt>
                <c:pt idx="90">
                  <c:v>7.5790792358283898E-2</c:v>
                </c:pt>
                <c:pt idx="91">
                  <c:v>-7.2780203784561515E-4</c:v>
                </c:pt>
                <c:pt idx="92">
                  <c:v>-4.7778587035688269E-2</c:v>
                </c:pt>
                <c:pt idx="93">
                  <c:v>2.7688542144714834E-2</c:v>
                </c:pt>
                <c:pt idx="94">
                  <c:v>5.760643048526326E-2</c:v>
                </c:pt>
                <c:pt idx="95">
                  <c:v>8.0365939479239978E-2</c:v>
                </c:pt>
                <c:pt idx="96">
                  <c:v>3.4392912975508061E-2</c:v>
                </c:pt>
                <c:pt idx="97">
                  <c:v>-2.8526448362720447E-2</c:v>
                </c:pt>
                <c:pt idx="98">
                  <c:v>0.21190121216049773</c:v>
                </c:pt>
                <c:pt idx="99">
                  <c:v>-5.2364142062473418E-2</c:v>
                </c:pt>
                <c:pt idx="100">
                  <c:v>-0.10402438336061404</c:v>
                </c:pt>
                <c:pt idx="101">
                  <c:v>-1.2788207131157914E-2</c:v>
                </c:pt>
                <c:pt idx="102">
                  <c:v>-2.2972369344649302E-2</c:v>
                </c:pt>
                <c:pt idx="103">
                  <c:v>0.1196525373914179</c:v>
                </c:pt>
                <c:pt idx="104">
                  <c:v>6.3932800559995284E-2</c:v>
                </c:pt>
                <c:pt idx="105">
                  <c:v>-2.6426887439004343E-2</c:v>
                </c:pt>
                <c:pt idx="106">
                  <c:v>-2.5342118601115016E-2</c:v>
                </c:pt>
                <c:pt idx="107">
                  <c:v>1.3693881088576942E-2</c:v>
                </c:pt>
                <c:pt idx="108">
                  <c:v>1.5446876424988654E-2</c:v>
                </c:pt>
                <c:pt idx="109">
                  <c:v>3.6373842267751755E-2</c:v>
                </c:pt>
                <c:pt idx="110">
                  <c:v>8.5793208037697077E-2</c:v>
                </c:pt>
                <c:pt idx="111">
                  <c:v>-0.1124357759265725</c:v>
                </c:pt>
                <c:pt idx="112">
                  <c:v>-2.2031135839937099E-2</c:v>
                </c:pt>
                <c:pt idx="113">
                  <c:v>-0.11010861444744557</c:v>
                </c:pt>
                <c:pt idx="114">
                  <c:v>8.782692928640623E-2</c:v>
                </c:pt>
                <c:pt idx="115">
                  <c:v>7.9014544375185514E-2</c:v>
                </c:pt>
                <c:pt idx="116">
                  <c:v>9.9581866197182567E-3</c:v>
                </c:pt>
                <c:pt idx="117">
                  <c:v>5.3440104592253679E-2</c:v>
                </c:pt>
                <c:pt idx="118">
                  <c:v>-2.4149343261971157E-2</c:v>
                </c:pt>
                <c:pt idx="119">
                  <c:v>-0.1104869906205288</c:v>
                </c:pt>
                <c:pt idx="120">
                  <c:v>5.7369236268318913E-2</c:v>
                </c:pt>
                <c:pt idx="121">
                  <c:v>-3.6790805115781144E-2</c:v>
                </c:pt>
                <c:pt idx="122">
                  <c:v>-7.9550772110436041E-3</c:v>
                </c:pt>
                <c:pt idx="123">
                  <c:v>-0.13567216981132069</c:v>
                </c:pt>
                <c:pt idx="124">
                  <c:v>-7.2924483252609251E-2</c:v>
                </c:pt>
                <c:pt idx="125">
                  <c:v>-3.303899926416487E-2</c:v>
                </c:pt>
                <c:pt idx="126">
                  <c:v>2.9145422722776093E-2</c:v>
                </c:pt>
                <c:pt idx="127">
                  <c:v>1.4418811002661958E-2</c:v>
                </c:pt>
                <c:pt idx="128">
                  <c:v>0.14556454552081055</c:v>
                </c:pt>
                <c:pt idx="129">
                  <c:v>-3.9513871214049479E-2</c:v>
                </c:pt>
                <c:pt idx="130">
                  <c:v>-1.7886717456110368E-3</c:v>
                </c:pt>
                <c:pt idx="131">
                  <c:v>-5.0570745951685758E-2</c:v>
                </c:pt>
                <c:pt idx="132">
                  <c:v>3.7746400111841272E-2</c:v>
                </c:pt>
                <c:pt idx="133">
                  <c:v>-0.13741075037047024</c:v>
                </c:pt>
                <c:pt idx="134">
                  <c:v>0.14313602998594388</c:v>
                </c:pt>
                <c:pt idx="135">
                  <c:v>-2.2542523396406722E-2</c:v>
                </c:pt>
                <c:pt idx="136">
                  <c:v>6.8488363966734411E-3</c:v>
                </c:pt>
                <c:pt idx="137">
                  <c:v>-4.3520510862774864E-2</c:v>
                </c:pt>
                <c:pt idx="138">
                  <c:v>-2.7648766328011609E-2</c:v>
                </c:pt>
                <c:pt idx="139">
                  <c:v>2.1568773789088613E-2</c:v>
                </c:pt>
                <c:pt idx="140">
                  <c:v>0.14362945645821146</c:v>
                </c:pt>
                <c:pt idx="141">
                  <c:v>-0.13421489715088786</c:v>
                </c:pt>
                <c:pt idx="142">
                  <c:v>-5.5633439090976178E-2</c:v>
                </c:pt>
                <c:pt idx="143">
                  <c:v>3.7502929916399808E-3</c:v>
                </c:pt>
                <c:pt idx="144">
                  <c:v>-0.12096209231727251</c:v>
                </c:pt>
                <c:pt idx="145">
                  <c:v>0.14495705304170725</c:v>
                </c:pt>
                <c:pt idx="146">
                  <c:v>-1.9412219644238227E-2</c:v>
                </c:pt>
                <c:pt idx="147">
                  <c:v>4.4088650524489292E-2</c:v>
                </c:pt>
                <c:pt idx="148">
                  <c:v>-7.1460945762199635E-2</c:v>
                </c:pt>
                <c:pt idx="149">
                  <c:v>1.138952164009055E-3</c:v>
                </c:pt>
                <c:pt idx="150">
                  <c:v>0.39777344384852897</c:v>
                </c:pt>
                <c:pt idx="151">
                  <c:v>1.1801639439567468E-2</c:v>
                </c:pt>
                <c:pt idx="152">
                  <c:v>3.3900252815444842E-2</c:v>
                </c:pt>
                <c:pt idx="153">
                  <c:v>3.528954095809711E-2</c:v>
                </c:pt>
                <c:pt idx="154">
                  <c:v>-6.4200976971388601E-2</c:v>
                </c:pt>
                <c:pt idx="155">
                  <c:v>-4.0727356163597905E-2</c:v>
                </c:pt>
                <c:pt idx="156">
                  <c:v>6.2249596364288617E-2</c:v>
                </c:pt>
                <c:pt idx="157">
                  <c:v>6.772123395631624E-2</c:v>
                </c:pt>
                <c:pt idx="158">
                  <c:v>-4.8505298676648767E-3</c:v>
                </c:pt>
                <c:pt idx="159">
                  <c:v>0.10754966887417217</c:v>
                </c:pt>
                <c:pt idx="160">
                  <c:v>0</c:v>
                </c:pt>
              </c:numCache>
            </c:numRef>
          </c:val>
          <c:extLst>
            <c:ext xmlns:c16="http://schemas.microsoft.com/office/drawing/2014/chart" uri="{C3380CC4-5D6E-409C-BE32-E72D297353CC}">
              <c16:uniqueId val="{00000000-AF65-7846-9380-4659AA97D7F0}"/>
            </c:ext>
          </c:extLst>
        </c:ser>
        <c:dLbls>
          <c:showLegendKey val="0"/>
          <c:showVal val="0"/>
          <c:showCatName val="0"/>
          <c:showSerName val="0"/>
          <c:showPercent val="0"/>
          <c:showBubbleSize val="0"/>
        </c:dLbls>
        <c:gapWidth val="150"/>
        <c:axId val="27734826"/>
        <c:axId val="51781392"/>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(Calc)'!$AF$3:$AF$500</c:f>
              <c:numCache>
                <c:formatCode>#,##0.00</c:formatCode>
                <c:ptCount val="498"/>
                <c:pt idx="0">
                  <c:v>15.33</c:v>
                </c:pt>
                <c:pt idx="1">
                  <c:v>16.548364779874213</c:v>
                </c:pt>
                <c:pt idx="2">
                  <c:v>17.766729559748427</c:v>
                </c:pt>
                <c:pt idx="3">
                  <c:v>18.985094339622641</c:v>
                </c:pt>
                <c:pt idx="4">
                  <c:v>20.203459119496856</c:v>
                </c:pt>
                <c:pt idx="5">
                  <c:v>21.42182389937107</c:v>
                </c:pt>
                <c:pt idx="6">
                  <c:v>22.640188679245284</c:v>
                </c:pt>
                <c:pt idx="7">
                  <c:v>23.858553459119499</c:v>
                </c:pt>
                <c:pt idx="8">
                  <c:v>25.076918238993713</c:v>
                </c:pt>
                <c:pt idx="9">
                  <c:v>26.295283018867927</c:v>
                </c:pt>
                <c:pt idx="10">
                  <c:v>27.513647798742138</c:v>
                </c:pt>
                <c:pt idx="11">
                  <c:v>28.732012578616352</c:v>
                </c:pt>
                <c:pt idx="12">
                  <c:v>29.950377358490563</c:v>
                </c:pt>
                <c:pt idx="13">
                  <c:v>31.168742138364781</c:v>
                </c:pt>
                <c:pt idx="14">
                  <c:v>32.387106918238992</c:v>
                </c:pt>
                <c:pt idx="15">
                  <c:v>33.605471698113206</c:v>
                </c:pt>
                <c:pt idx="16">
                  <c:v>34.82383647798742</c:v>
                </c:pt>
                <c:pt idx="17">
                  <c:v>36.042201257861635</c:v>
                </c:pt>
                <c:pt idx="18">
                  <c:v>37.260566037735849</c:v>
                </c:pt>
                <c:pt idx="19">
                  <c:v>38.478930817610063</c:v>
                </c:pt>
                <c:pt idx="20">
                  <c:v>39.697295597484278</c:v>
                </c:pt>
                <c:pt idx="21">
                  <c:v>40.915660377358492</c:v>
                </c:pt>
                <c:pt idx="22">
                  <c:v>42.134025157232706</c:v>
                </c:pt>
                <c:pt idx="23">
                  <c:v>43.352389937106921</c:v>
                </c:pt>
                <c:pt idx="24">
                  <c:v>44.570754716981128</c:v>
                </c:pt>
                <c:pt idx="25">
                  <c:v>45.789119496855349</c:v>
                </c:pt>
                <c:pt idx="26">
                  <c:v>47.007484276729564</c:v>
                </c:pt>
                <c:pt idx="27">
                  <c:v>48.225849056603771</c:v>
                </c:pt>
                <c:pt idx="28">
                  <c:v>49.444213836477985</c:v>
                </c:pt>
                <c:pt idx="29">
                  <c:v>50.662578616352199</c:v>
                </c:pt>
                <c:pt idx="30">
                  <c:v>51.880943396226414</c:v>
                </c:pt>
                <c:pt idx="31">
                  <c:v>53.099308176100628</c:v>
                </c:pt>
                <c:pt idx="32">
                  <c:v>54.317672955974842</c:v>
                </c:pt>
                <c:pt idx="33">
                  <c:v>55.536037735849057</c:v>
                </c:pt>
                <c:pt idx="34">
                  <c:v>56.754402515723264</c:v>
                </c:pt>
                <c:pt idx="35">
                  <c:v>57.972767295597478</c:v>
                </c:pt>
                <c:pt idx="36">
                  <c:v>59.1911320754717</c:v>
                </c:pt>
                <c:pt idx="37">
                  <c:v>60.409496855345914</c:v>
                </c:pt>
                <c:pt idx="38">
                  <c:v>61.627861635220121</c:v>
                </c:pt>
                <c:pt idx="39">
                  <c:v>62.846226415094335</c:v>
                </c:pt>
                <c:pt idx="40">
                  <c:v>64.064591194968557</c:v>
                </c:pt>
                <c:pt idx="41">
                  <c:v>65.282955974842764</c:v>
                </c:pt>
                <c:pt idx="42">
                  <c:v>66.501320754716986</c:v>
                </c:pt>
                <c:pt idx="43">
                  <c:v>67.719685534591193</c:v>
                </c:pt>
                <c:pt idx="44">
                  <c:v>68.938050314465414</c:v>
                </c:pt>
                <c:pt idx="45">
                  <c:v>70.156415094339621</c:v>
                </c:pt>
                <c:pt idx="46">
                  <c:v>71.374779874213843</c:v>
                </c:pt>
                <c:pt idx="47">
                  <c:v>72.59314465408805</c:v>
                </c:pt>
                <c:pt idx="48">
                  <c:v>73.811509433962257</c:v>
                </c:pt>
                <c:pt idx="49">
                  <c:v>75.029874213836479</c:v>
                </c:pt>
                <c:pt idx="50">
                  <c:v>76.2482389937107</c:v>
                </c:pt>
                <c:pt idx="51">
                  <c:v>77.466603773584907</c:v>
                </c:pt>
                <c:pt idx="52">
                  <c:v>78.684968553459129</c:v>
                </c:pt>
                <c:pt idx="53">
                  <c:v>79.903333333333336</c:v>
                </c:pt>
                <c:pt idx="54">
                  <c:v>81.121698113207543</c:v>
                </c:pt>
                <c:pt idx="55">
                  <c:v>82.340062893081765</c:v>
                </c:pt>
                <c:pt idx="56">
                  <c:v>83.558427672955972</c:v>
                </c:pt>
                <c:pt idx="57">
                  <c:v>84.776792452830179</c:v>
                </c:pt>
                <c:pt idx="58">
                  <c:v>85.9951572327044</c:v>
                </c:pt>
                <c:pt idx="59">
                  <c:v>87.213522012578608</c:v>
                </c:pt>
                <c:pt idx="60">
                  <c:v>88.431886792452829</c:v>
                </c:pt>
                <c:pt idx="61">
                  <c:v>89.650251572327036</c:v>
                </c:pt>
                <c:pt idx="62">
                  <c:v>90.868616352201258</c:v>
                </c:pt>
                <c:pt idx="63">
                  <c:v>92.086981132075479</c:v>
                </c:pt>
                <c:pt idx="64">
                  <c:v>93.305345911949686</c:v>
                </c:pt>
                <c:pt idx="65">
                  <c:v>94.523710691823894</c:v>
                </c:pt>
                <c:pt idx="66">
                  <c:v>95.742075471698115</c:v>
                </c:pt>
                <c:pt idx="67">
                  <c:v>96.960440251572322</c:v>
                </c:pt>
                <c:pt idx="68">
                  <c:v>98.178805031446529</c:v>
                </c:pt>
                <c:pt idx="69">
                  <c:v>99.397169811320751</c:v>
                </c:pt>
                <c:pt idx="70">
                  <c:v>100.61553459119496</c:v>
                </c:pt>
                <c:pt idx="71">
                  <c:v>101.83389937106918</c:v>
                </c:pt>
                <c:pt idx="72">
                  <c:v>103.0522641509434</c:v>
                </c:pt>
                <c:pt idx="73">
                  <c:v>104.27062893081761</c:v>
                </c:pt>
                <c:pt idx="74">
                  <c:v>105.48899371069183</c:v>
                </c:pt>
                <c:pt idx="75">
                  <c:v>106.70735849056604</c:v>
                </c:pt>
                <c:pt idx="76">
                  <c:v>107.92572327044024</c:v>
                </c:pt>
                <c:pt idx="77">
                  <c:v>109.14408805031447</c:v>
                </c:pt>
                <c:pt idx="78">
                  <c:v>110.36245283018867</c:v>
                </c:pt>
                <c:pt idx="79">
                  <c:v>111.58081761006288</c:v>
                </c:pt>
                <c:pt idx="80">
                  <c:v>112.7991823899371</c:v>
                </c:pt>
                <c:pt idx="81">
                  <c:v>114.01754716981132</c:v>
                </c:pt>
                <c:pt idx="82">
                  <c:v>115.23591194968553</c:v>
                </c:pt>
                <c:pt idx="83">
                  <c:v>116.45427672955975</c:v>
                </c:pt>
                <c:pt idx="84">
                  <c:v>117.67264150943396</c:v>
                </c:pt>
                <c:pt idx="85">
                  <c:v>118.89100628930818</c:v>
                </c:pt>
                <c:pt idx="86">
                  <c:v>120.10937106918237</c:v>
                </c:pt>
                <c:pt idx="87">
                  <c:v>121.32773584905659</c:v>
                </c:pt>
                <c:pt idx="88">
                  <c:v>122.54610062893082</c:v>
                </c:pt>
                <c:pt idx="89">
                  <c:v>123.76446540880502</c:v>
                </c:pt>
                <c:pt idx="90">
                  <c:v>124.98283018867924</c:v>
                </c:pt>
                <c:pt idx="91">
                  <c:v>126.20119496855347</c:v>
                </c:pt>
                <c:pt idx="92">
                  <c:v>127.41955974842769</c:v>
                </c:pt>
                <c:pt idx="93">
                  <c:v>128.63792452830188</c:v>
                </c:pt>
                <c:pt idx="94">
                  <c:v>129.85628930817612</c:v>
                </c:pt>
                <c:pt idx="95">
                  <c:v>131.07465408805032</c:v>
                </c:pt>
                <c:pt idx="96">
                  <c:v>132.29301886792453</c:v>
                </c:pt>
                <c:pt idx="97">
                  <c:v>133.51138364779874</c:v>
                </c:pt>
                <c:pt idx="98">
                  <c:v>134.72974842767297</c:v>
                </c:pt>
                <c:pt idx="99">
                  <c:v>135.94811320754718</c:v>
                </c:pt>
                <c:pt idx="100">
                  <c:v>137.16647798742139</c:v>
                </c:pt>
                <c:pt idx="101">
                  <c:v>138.38484276729562</c:v>
                </c:pt>
                <c:pt idx="102">
                  <c:v>139.6032075471698</c:v>
                </c:pt>
                <c:pt idx="103">
                  <c:v>140.82157232704404</c:v>
                </c:pt>
                <c:pt idx="104">
                  <c:v>142.03993710691825</c:v>
                </c:pt>
                <c:pt idx="105">
                  <c:v>143.25830188679245</c:v>
                </c:pt>
                <c:pt idx="106">
                  <c:v>144.47666666666669</c:v>
                </c:pt>
                <c:pt idx="107">
                  <c:v>145.6950314465409</c:v>
                </c:pt>
                <c:pt idx="108">
                  <c:v>146.9133962264151</c:v>
                </c:pt>
                <c:pt idx="109">
                  <c:v>148.13176100628931</c:v>
                </c:pt>
                <c:pt idx="110">
                  <c:v>149.35012578616355</c:v>
                </c:pt>
                <c:pt idx="111">
                  <c:v>150.56849056603772</c:v>
                </c:pt>
                <c:pt idx="112">
                  <c:v>151.78685534591196</c:v>
                </c:pt>
                <c:pt idx="113">
                  <c:v>153.00522012578617</c:v>
                </c:pt>
                <c:pt idx="114">
                  <c:v>154.22358490566037</c:v>
                </c:pt>
                <c:pt idx="115">
                  <c:v>155.44194968553461</c:v>
                </c:pt>
                <c:pt idx="116">
                  <c:v>156.66031446540882</c:v>
                </c:pt>
                <c:pt idx="117">
                  <c:v>157.87867924528305</c:v>
                </c:pt>
                <c:pt idx="118">
                  <c:v>159.09704402515723</c:v>
                </c:pt>
                <c:pt idx="119">
                  <c:v>160.31540880503147</c:v>
                </c:pt>
                <c:pt idx="120">
                  <c:v>161.53377358490567</c:v>
                </c:pt>
                <c:pt idx="121">
                  <c:v>162.75213836477988</c:v>
                </c:pt>
                <c:pt idx="122">
                  <c:v>163.97050314465409</c:v>
                </c:pt>
                <c:pt idx="123">
                  <c:v>165.18886792452832</c:v>
                </c:pt>
                <c:pt idx="124">
                  <c:v>166.40723270440253</c:v>
                </c:pt>
                <c:pt idx="125">
                  <c:v>167.62559748427674</c:v>
                </c:pt>
                <c:pt idx="126">
                  <c:v>168.84396226415097</c:v>
                </c:pt>
                <c:pt idx="127">
                  <c:v>170.06232704402515</c:v>
                </c:pt>
                <c:pt idx="128">
                  <c:v>171.28069182389939</c:v>
                </c:pt>
                <c:pt idx="129">
                  <c:v>172.4990566037736</c:v>
                </c:pt>
                <c:pt idx="130">
                  <c:v>173.7174213836478</c:v>
                </c:pt>
                <c:pt idx="131">
                  <c:v>174.93578616352201</c:v>
                </c:pt>
                <c:pt idx="132">
                  <c:v>176.15415094339625</c:v>
                </c:pt>
                <c:pt idx="133">
                  <c:v>177.37251572327045</c:v>
                </c:pt>
                <c:pt idx="134">
                  <c:v>178.59088050314466</c:v>
                </c:pt>
                <c:pt idx="135">
                  <c:v>179.8092452830189</c:v>
                </c:pt>
                <c:pt idx="136">
                  <c:v>181.02761006289307</c:v>
                </c:pt>
                <c:pt idx="137">
                  <c:v>182.24597484276731</c:v>
                </c:pt>
                <c:pt idx="138">
                  <c:v>183.46433962264152</c:v>
                </c:pt>
                <c:pt idx="139">
                  <c:v>184.68270440251572</c:v>
                </c:pt>
                <c:pt idx="140">
                  <c:v>185.90106918238993</c:v>
                </c:pt>
                <c:pt idx="141">
                  <c:v>187.11943396226417</c:v>
                </c:pt>
                <c:pt idx="142">
                  <c:v>188.33779874213838</c:v>
                </c:pt>
                <c:pt idx="143">
                  <c:v>189.55616352201258</c:v>
                </c:pt>
                <c:pt idx="144">
                  <c:v>190.77452830188682</c:v>
                </c:pt>
                <c:pt idx="145">
                  <c:v>191.99289308176103</c:v>
                </c:pt>
                <c:pt idx="146">
                  <c:v>193.21125786163523</c:v>
                </c:pt>
                <c:pt idx="147">
                  <c:v>194.42962264150944</c:v>
                </c:pt>
                <c:pt idx="148">
                  <c:v>195.64798742138368</c:v>
                </c:pt>
                <c:pt idx="149">
                  <c:v>196.86635220125785</c:v>
                </c:pt>
                <c:pt idx="150">
                  <c:v>198.08471698113209</c:v>
                </c:pt>
                <c:pt idx="151">
                  <c:v>199.3030817610063</c:v>
                </c:pt>
                <c:pt idx="152">
                  <c:v>200.5214465408805</c:v>
                </c:pt>
                <c:pt idx="153">
                  <c:v>201.73981132075474</c:v>
                </c:pt>
                <c:pt idx="154">
                  <c:v>202.95817610062895</c:v>
                </c:pt>
                <c:pt idx="155">
                  <c:v>204.17654088050315</c:v>
                </c:pt>
                <c:pt idx="156">
                  <c:v>205.39490566037736</c:v>
                </c:pt>
                <c:pt idx="157">
                  <c:v>206.6132704402516</c:v>
                </c:pt>
                <c:pt idx="158">
                  <c:v>207.83163522012578</c:v>
                </c:pt>
                <c:pt idx="159">
                  <c:v>209.05</c:v>
                </c:pt>
                <c:pt idx="160">
                  <c:v>210.26836477987422</c:v>
                </c:pt>
              </c:numCache>
            </c:numRef>
          </c:val>
          <c:smooth val="0"/>
          <c:extLst>
            <c:ext xmlns:c16="http://schemas.microsoft.com/office/drawing/2014/chart" uri="{C3380CC4-5D6E-409C-BE32-E72D297353CC}">
              <c16:uniqueId val="{00000001-AF65-7846-9380-4659AA97D7F0}"/>
            </c:ext>
          </c:extLst>
        </c:ser>
        <c:dLbls>
          <c:showLegendKey val="0"/>
          <c:showVal val="0"/>
          <c:showCatName val="0"/>
          <c:showSerName val="0"/>
          <c:showPercent val="0"/>
          <c:showBubbleSize val="0"/>
        </c:dLbls>
        <c:hiLowLines>
          <c:spPr>
            <a:ln w="0">
              <a:noFill/>
            </a:ln>
          </c:spPr>
        </c:hiLowLines>
        <c:marker val="1"/>
        <c:smooth val="0"/>
        <c:axId val="7293504"/>
        <c:axId val="32610870"/>
      </c:lineChart>
      <c:dateAx>
        <c:axId val="27734826"/>
        <c:scaling>
          <c:orientation val="minMax"/>
        </c:scaling>
        <c:delete val="1"/>
        <c:axPos val="b"/>
        <c:numFmt formatCode="mm/dd/yyyy" sourceLinked="1"/>
        <c:majorTickMark val="none"/>
        <c:minorTickMark val="none"/>
        <c:tickLblPos val="nextTo"/>
        <c:crossAx val="51781392"/>
        <c:crosses val="autoZero"/>
        <c:auto val="1"/>
        <c:lblOffset val="100"/>
        <c:baseTimeUnit val="days"/>
      </c:dateAx>
      <c:valAx>
        <c:axId val="517813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7734826"/>
        <c:crosses val="autoZero"/>
        <c:crossBetween val="between"/>
      </c:valAx>
      <c:dateAx>
        <c:axId val="7293504"/>
        <c:scaling>
          <c:orientation val="minMax"/>
        </c:scaling>
        <c:delete val="1"/>
        <c:axPos val="b"/>
        <c:numFmt formatCode="mm/dd/yyyy" sourceLinked="1"/>
        <c:majorTickMark val="none"/>
        <c:minorTickMark val="none"/>
        <c:tickLblPos val="nextTo"/>
        <c:crossAx val="32610870"/>
        <c:crosses val="autoZero"/>
        <c:auto val="1"/>
        <c:lblOffset val="100"/>
        <c:baseTimeUnit val="days"/>
      </c:dateAx>
      <c:valAx>
        <c:axId val="326108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29350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(Calc)'!$L$3:$L$500</c:f>
              <c:numCache>
                <c:formatCode>0.0%</c:formatCode>
                <c:ptCount val="498"/>
                <c:pt idx="0">
                  <c:v>-4.0466472303206991E-2</c:v>
                </c:pt>
                <c:pt idx="1">
                  <c:v>1.4705882352941124E-2</c:v>
                </c:pt>
                <c:pt idx="2">
                  <c:v>2.7548209366391241E-2</c:v>
                </c:pt>
                <c:pt idx="3">
                  <c:v>1.3171698333138915E-2</c:v>
                </c:pt>
                <c:pt idx="4">
                  <c:v>9.3189139438565327E-3</c:v>
                </c:pt>
                <c:pt idx="5">
                  <c:v>-5.8246893878946771E-2</c:v>
                </c:pt>
                <c:pt idx="6">
                  <c:v>6.7417090292907211E-2</c:v>
                </c:pt>
                <c:pt idx="7">
                  <c:v>6.1571606758135999E-2</c:v>
                </c:pt>
                <c:pt idx="8">
                  <c:v>2.2003845332194016E-2</c:v>
                </c:pt>
                <c:pt idx="9">
                  <c:v>-1.7558528428093689E-2</c:v>
                </c:pt>
                <c:pt idx="10">
                  <c:v>7.3404255319149403E-3</c:v>
                </c:pt>
                <c:pt idx="11">
                  <c:v>1.8270144682648759E-2</c:v>
                </c:pt>
                <c:pt idx="12">
                  <c:v>2.665422111595106E-2</c:v>
                </c:pt>
                <c:pt idx="13">
                  <c:v>5.8591776947165553E-3</c:v>
                </c:pt>
                <c:pt idx="14">
                  <c:v>8.3358441297580743E-3</c:v>
                </c:pt>
                <c:pt idx="15">
                  <c:v>-4.2231075697211296E-2</c:v>
                </c:pt>
                <c:pt idx="16">
                  <c:v>1.6326955074875249E-2</c:v>
                </c:pt>
                <c:pt idx="17">
                  <c:v>0.12800573007264893</c:v>
                </c:pt>
                <c:pt idx="18">
                  <c:v>2.6850507982583594E-2</c:v>
                </c:pt>
                <c:pt idx="19">
                  <c:v>-1.2897526501766898E-2</c:v>
                </c:pt>
                <c:pt idx="20">
                  <c:v>0.14999105065330243</c:v>
                </c:pt>
                <c:pt idx="21">
                  <c:v>-4.8249027237354136E-2</c:v>
                </c:pt>
                <c:pt idx="22">
                  <c:v>2.240392477514308E-2</c:v>
                </c:pt>
                <c:pt idx="23">
                  <c:v>3.3749200255917877E-2</c:v>
                </c:pt>
                <c:pt idx="24">
                  <c:v>9.3145598019495734E-2</c:v>
                </c:pt>
                <c:pt idx="25">
                  <c:v>-6.4189667374380921E-2</c:v>
                </c:pt>
                <c:pt idx="26">
                  <c:v>3.0174695606140833E-2</c:v>
                </c:pt>
                <c:pt idx="27">
                  <c:v>-3.1933636764058138E-2</c:v>
                </c:pt>
                <c:pt idx="28">
                  <c:v>3.8977781148100243E-2</c:v>
                </c:pt>
                <c:pt idx="29">
                  <c:v>8.2475731698414823E-3</c:v>
                </c:pt>
                <c:pt idx="30">
                  <c:v>-0.10402490227305627</c:v>
                </c:pt>
                <c:pt idx="31">
                  <c:v>8.3057283671325921E-2</c:v>
                </c:pt>
                <c:pt idx="32">
                  <c:v>2.357329354718396E-2</c:v>
                </c:pt>
                <c:pt idx="33">
                  <c:v>5.4369215071787602E-2</c:v>
                </c:pt>
                <c:pt idx="34">
                  <c:v>1.6243865348724906E-2</c:v>
                </c:pt>
                <c:pt idx="35">
                  <c:v>5.4822473132907001E-2</c:v>
                </c:pt>
                <c:pt idx="36">
                  <c:v>-5.597111168429203E-2</c:v>
                </c:pt>
                <c:pt idx="37">
                  <c:v>8.838797814207644E-2</c:v>
                </c:pt>
                <c:pt idx="38">
                  <c:v>5.265470064014055E-2</c:v>
                </c:pt>
                <c:pt idx="39">
                  <c:v>8.4063673761403113E-3</c:v>
                </c:pt>
                <c:pt idx="40">
                  <c:v>-8.2771668440340118E-4</c:v>
                </c:pt>
                <c:pt idx="41">
                  <c:v>5.8579881656804833E-2</c:v>
                </c:pt>
                <c:pt idx="42">
                  <c:v>1.8222470653996625E-2</c:v>
                </c:pt>
                <c:pt idx="43">
                  <c:v>-0.11517347386912602</c:v>
                </c:pt>
                <c:pt idx="44">
                  <c:v>-2.3079786574016659E-2</c:v>
                </c:pt>
                <c:pt idx="45">
                  <c:v>-7.4622126254286769E-2</c:v>
                </c:pt>
                <c:pt idx="46">
                  <c:v>0.11516024981126893</c:v>
                </c:pt>
                <c:pt idx="47">
                  <c:v>4.4433503600221469E-2</c:v>
                </c:pt>
                <c:pt idx="48">
                  <c:v>-1.8678922868422654E-2</c:v>
                </c:pt>
                <c:pt idx="49">
                  <c:v>2.4618710219765916E-3</c:v>
                </c:pt>
                <c:pt idx="50">
                  <c:v>-8.6672656483977262E-2</c:v>
                </c:pt>
                <c:pt idx="51">
                  <c:v>0.1040136411332635</c:v>
                </c:pt>
                <c:pt idx="52">
                  <c:v>9.2075561363904601E-3</c:v>
                </c:pt>
                <c:pt idx="53">
                  <c:v>2.2308552592854358E-2</c:v>
                </c:pt>
                <c:pt idx="54">
                  <c:v>1.7964071856287456E-2</c:v>
                </c:pt>
                <c:pt idx="55">
                  <c:v>5.3223981900452522E-2</c:v>
                </c:pt>
                <c:pt idx="56">
                  <c:v>5.2252832823156625E-2</c:v>
                </c:pt>
                <c:pt idx="57">
                  <c:v>1.3269368173930873E-2</c:v>
                </c:pt>
                <c:pt idx="58">
                  <c:v>-5.1576508512138464E-2</c:v>
                </c:pt>
                <c:pt idx="59">
                  <c:v>4.2750929368029711E-2</c:v>
                </c:pt>
                <c:pt idx="60">
                  <c:v>-7.5477463712757764E-2</c:v>
                </c:pt>
                <c:pt idx="61">
                  <c:v>2.1869663416515195E-2</c:v>
                </c:pt>
                <c:pt idx="62">
                  <c:v>-2.8517520215633363E-2</c:v>
                </c:pt>
                <c:pt idx="63">
                  <c:v>9.9439542755673793E-2</c:v>
                </c:pt>
                <c:pt idx="64">
                  <c:v>-6.8641800837833111E-3</c:v>
                </c:pt>
                <c:pt idx="65">
                  <c:v>-1.8803679422676356E-2</c:v>
                </c:pt>
                <c:pt idx="66">
                  <c:v>2.2427098979644677E-2</c:v>
                </c:pt>
                <c:pt idx="67">
                  <c:v>3.4599797365754803E-2</c:v>
                </c:pt>
                <c:pt idx="68">
                  <c:v>-1.1261812662194393E-3</c:v>
                </c:pt>
                <c:pt idx="69">
                  <c:v>1.4999999999999902E-2</c:v>
                </c:pt>
                <c:pt idx="70">
                  <c:v>4.9067903023278348E-2</c:v>
                </c:pt>
                <c:pt idx="71">
                  <c:v>-5.6578583924132175E-2</c:v>
                </c:pt>
                <c:pt idx="72">
                  <c:v>-1.532230517737776E-2</c:v>
                </c:pt>
                <c:pt idx="73">
                  <c:v>-1.0753753902571939E-2</c:v>
                </c:pt>
                <c:pt idx="74">
                  <c:v>-2.7752730187355912E-2</c:v>
                </c:pt>
                <c:pt idx="75">
                  <c:v>-8.9344600164880439E-2</c:v>
                </c:pt>
                <c:pt idx="76">
                  <c:v>-1.9010976575761118E-2</c:v>
                </c:pt>
                <c:pt idx="77">
                  <c:v>-1.6956973122620789E-2</c:v>
                </c:pt>
                <c:pt idx="78">
                  <c:v>1.9068293827740002E-2</c:v>
                </c:pt>
                <c:pt idx="79">
                  <c:v>-6.4943289769128887E-2</c:v>
                </c:pt>
                <c:pt idx="80">
                  <c:v>-0.11163105720091127</c:v>
                </c:pt>
                <c:pt idx="81">
                  <c:v>7.0002772387025125E-2</c:v>
                </c:pt>
                <c:pt idx="82">
                  <c:v>-3.4006995724834788E-2</c:v>
                </c:pt>
                <c:pt idx="83">
                  <c:v>8.8043988466438572E-2</c:v>
                </c:pt>
                <c:pt idx="84">
                  <c:v>8.5911500061629509E-2</c:v>
                </c:pt>
                <c:pt idx="85">
                  <c:v>-1.538024971623142E-2</c:v>
                </c:pt>
                <c:pt idx="86">
                  <c:v>0.10023632486022249</c:v>
                </c:pt>
                <c:pt idx="87">
                  <c:v>-1.1525565800502902E-2</c:v>
                </c:pt>
                <c:pt idx="88">
                  <c:v>6.9959720161119066E-3</c:v>
                </c:pt>
                <c:pt idx="89">
                  <c:v>6.1368421052631517E-2</c:v>
                </c:pt>
                <c:pt idx="90">
                  <c:v>3.2579589407914389E-2</c:v>
                </c:pt>
                <c:pt idx="91">
                  <c:v>-7.5397397108966091E-3</c:v>
                </c:pt>
                <c:pt idx="92">
                  <c:v>9.0970676473434597E-2</c:v>
                </c:pt>
                <c:pt idx="93">
                  <c:v>2.7277565865341913E-2</c:v>
                </c:pt>
                <c:pt idx="94">
                  <c:v>-1.8738396442295246E-2</c:v>
                </c:pt>
                <c:pt idx="95">
                  <c:v>4.3384520614247357E-2</c:v>
                </c:pt>
                <c:pt idx="96">
                  <c:v>2.1633703032092111E-2</c:v>
                </c:pt>
                <c:pt idx="97">
                  <c:v>-4.230991496739045E-2</c:v>
                </c:pt>
                <c:pt idx="98">
                  <c:v>2.8145338562993061E-2</c:v>
                </c:pt>
                <c:pt idx="99">
                  <c:v>-1.2199211872222726E-2</c:v>
                </c:pt>
                <c:pt idx="100">
                  <c:v>-2.4657301701820677E-2</c:v>
                </c:pt>
                <c:pt idx="101">
                  <c:v>-9.0940736228353192E-3</c:v>
                </c:pt>
                <c:pt idx="102">
                  <c:v>5.4318710753963106E-2</c:v>
                </c:pt>
                <c:pt idx="103">
                  <c:v>6.5431070387338641E-2</c:v>
                </c:pt>
                <c:pt idx="104">
                  <c:v>2.4588561823228217E-2</c:v>
                </c:pt>
                <c:pt idx="105">
                  <c:v>3.2048836322014385E-2</c:v>
                </c:pt>
                <c:pt idx="106">
                  <c:v>6.8872458410351278E-2</c:v>
                </c:pt>
                <c:pt idx="107">
                  <c:v>-3.9463217237920567E-2</c:v>
                </c:pt>
                <c:pt idx="108">
                  <c:v>5.1382687599020427E-2</c:v>
                </c:pt>
                <c:pt idx="109">
                  <c:v>-4.1097297852665804E-4</c:v>
                </c:pt>
                <c:pt idx="110">
                  <c:v>1.8535649432966705E-2</c:v>
                </c:pt>
                <c:pt idx="111">
                  <c:v>-4.6353606027986993E-2</c:v>
                </c:pt>
                <c:pt idx="112">
                  <c:v>-5.855379188712595E-3</c:v>
                </c:pt>
                <c:pt idx="113">
                  <c:v>-3.4274765824581221E-2</c:v>
                </c:pt>
                <c:pt idx="114">
                  <c:v>5.9813358806672046E-2</c:v>
                </c:pt>
                <c:pt idx="115">
                  <c:v>1.0989391943423854E-2</c:v>
                </c:pt>
                <c:pt idx="116">
                  <c:v>-6.412234680931328E-3</c:v>
                </c:pt>
                <c:pt idx="117">
                  <c:v>-1.0560463832136935E-2</c:v>
                </c:pt>
                <c:pt idx="118">
                  <c:v>4.8064178583885786E-2</c:v>
                </c:pt>
                <c:pt idx="119">
                  <c:v>5.5378061767838105E-2</c:v>
                </c:pt>
                <c:pt idx="120">
                  <c:v>1.2581987891019164E-2</c:v>
                </c:pt>
                <c:pt idx="121">
                  <c:v>5.7986359814393929E-2</c:v>
                </c:pt>
                <c:pt idx="122">
                  <c:v>-2.1988049333294124E-2</c:v>
                </c:pt>
                <c:pt idx="123">
                  <c:v>-1.2881478360320164E-2</c:v>
                </c:pt>
                <c:pt idx="124">
                  <c:v>5.5338740167083289E-2</c:v>
                </c:pt>
                <c:pt idx="125">
                  <c:v>5.018345708259897E-2</c:v>
                </c:pt>
                <c:pt idx="126">
                  <c:v>1.1416781292984846E-2</c:v>
                </c:pt>
                <c:pt idx="127">
                  <c:v>1.0907112743098191E-2</c:v>
                </c:pt>
                <c:pt idx="128">
                  <c:v>-9.5275251574019282E-2</c:v>
                </c:pt>
                <c:pt idx="129">
                  <c:v>-1.7249070631969454E-3</c:v>
                </c:pt>
                <c:pt idx="130">
                  <c:v>-2.4071260464146427E-2</c:v>
                </c:pt>
                <c:pt idx="131">
                  <c:v>-7.6009646204094894E-3</c:v>
                </c:pt>
                <c:pt idx="132">
                  <c:v>3.7649953860350527E-2</c:v>
                </c:pt>
                <c:pt idx="133">
                  <c:v>9.3081164403865602E-2</c:v>
                </c:pt>
                <c:pt idx="134">
                  <c:v>-2.4407441557749987E-4</c:v>
                </c:pt>
                <c:pt idx="135">
                  <c:v>8.6260680862606742E-2</c:v>
                </c:pt>
                <c:pt idx="136">
                  <c:v>-1.1911599450618038E-2</c:v>
                </c:pt>
                <c:pt idx="137">
                  <c:v>3.5230489284270083E-2</c:v>
                </c:pt>
                <c:pt idx="138">
                  <c:v>-1.7796982569210584E-2</c:v>
                </c:pt>
                <c:pt idx="139">
                  <c:v>4.2253871200270687E-4</c:v>
                </c:pt>
                <c:pt idx="140">
                  <c:v>3.4434782608695702E-2</c:v>
                </c:pt>
                <c:pt idx="141">
                  <c:v>-7.8537803823615082E-3</c:v>
                </c:pt>
                <c:pt idx="142">
                  <c:v>2.3505773560241305E-2</c:v>
                </c:pt>
                <c:pt idx="143">
                  <c:v>9.0066225165562841E-2</c:v>
                </c:pt>
                <c:pt idx="144">
                  <c:v>-6.4420239541746249E-2</c:v>
                </c:pt>
                <c:pt idx="145">
                  <c:v>4.1976854750807036E-3</c:v>
                </c:pt>
                <c:pt idx="146">
                  <c:v>-1.1547344110862667E-4</c:v>
                </c:pt>
                <c:pt idx="147">
                  <c:v>-8.2342071832775088E-2</c:v>
                </c:pt>
                <c:pt idx="148">
                  <c:v>1.2660458092121685E-2</c:v>
                </c:pt>
                <c:pt idx="149">
                  <c:v>2.0878383416598201E-3</c:v>
                </c:pt>
                <c:pt idx="150">
                  <c:v>3.9065406652280643E-2</c:v>
                </c:pt>
                <c:pt idx="151">
                  <c:v>1.5014799961806435E-2</c:v>
                </c:pt>
                <c:pt idx="152">
                  <c:v>-1.7356129912278639E-2</c:v>
                </c:pt>
                <c:pt idx="153">
                  <c:v>-3.4224445348587373E-3</c:v>
                </c:pt>
                <c:pt idx="154">
                  <c:v>2.728146013448618E-2</c:v>
                </c:pt>
                <c:pt idx="155">
                  <c:v>1.0099121002431266E-2</c:v>
                </c:pt>
                <c:pt idx="156">
                  <c:v>5.9942603221625479E-3</c:v>
                </c:pt>
                <c:pt idx="157">
                  <c:v>3.667149791796076E-2</c:v>
                </c:pt>
                <c:pt idx="158">
                  <c:v>4.9199973369432382E-2</c:v>
                </c:pt>
                <c:pt idx="159">
                  <c:v>-4.1181945090739802E-2</c:v>
                </c:pt>
                <c:pt idx="160">
                  <c:v>0</c:v>
                </c:pt>
              </c:numCache>
            </c:numRef>
          </c:val>
          <c:extLst>
            <c:ext xmlns:c16="http://schemas.microsoft.com/office/drawing/2014/chart" uri="{C3380CC4-5D6E-409C-BE32-E72D297353CC}">
              <c16:uniqueId val="{00000000-3EB3-A841-8CE5-A6F1BD60E917}"/>
            </c:ext>
          </c:extLst>
        </c:ser>
        <c:dLbls>
          <c:showLegendKey val="0"/>
          <c:showVal val="0"/>
          <c:showCatName val="0"/>
          <c:showSerName val="0"/>
          <c:showPercent val="0"/>
          <c:showBubbleSize val="0"/>
        </c:dLbls>
        <c:gapWidth val="150"/>
        <c:axId val="95537676"/>
        <c:axId val="14912745"/>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(Calc)'!$AG$3:$AG$500</c:f>
              <c:numCache>
                <c:formatCode>#,##0.00</c:formatCode>
                <c:ptCount val="498"/>
                <c:pt idx="0">
                  <c:v>85.75</c:v>
                </c:pt>
                <c:pt idx="1">
                  <c:v>88.061698113207541</c:v>
                </c:pt>
                <c:pt idx="2">
                  <c:v>90.373396226415096</c:v>
                </c:pt>
                <c:pt idx="3">
                  <c:v>92.685094339622637</c:v>
                </c:pt>
                <c:pt idx="4">
                  <c:v>94.996792452830192</c:v>
                </c:pt>
                <c:pt idx="5">
                  <c:v>97.308490566037733</c:v>
                </c:pt>
                <c:pt idx="6">
                  <c:v>99.620188679245288</c:v>
                </c:pt>
                <c:pt idx="7">
                  <c:v>101.93188679245283</c:v>
                </c:pt>
                <c:pt idx="8">
                  <c:v>104.24358490566038</c:v>
                </c:pt>
                <c:pt idx="9">
                  <c:v>106.55528301886793</c:v>
                </c:pt>
                <c:pt idx="10">
                  <c:v>108.86698113207547</c:v>
                </c:pt>
                <c:pt idx="11">
                  <c:v>111.17867924528302</c:v>
                </c:pt>
                <c:pt idx="12">
                  <c:v>113.49037735849058</c:v>
                </c:pt>
                <c:pt idx="13">
                  <c:v>115.80207547169812</c:v>
                </c:pt>
                <c:pt idx="14">
                  <c:v>118.11377358490566</c:v>
                </c:pt>
                <c:pt idx="15">
                  <c:v>120.4254716981132</c:v>
                </c:pt>
                <c:pt idx="16">
                  <c:v>122.73716981132075</c:v>
                </c:pt>
                <c:pt idx="17">
                  <c:v>125.04886792452831</c:v>
                </c:pt>
                <c:pt idx="18">
                  <c:v>127.36056603773585</c:v>
                </c:pt>
                <c:pt idx="19">
                  <c:v>129.67226415094339</c:v>
                </c:pt>
                <c:pt idx="20">
                  <c:v>131.98396226415093</c:v>
                </c:pt>
                <c:pt idx="21">
                  <c:v>134.2956603773585</c:v>
                </c:pt>
                <c:pt idx="22">
                  <c:v>136.60735849056604</c:v>
                </c:pt>
                <c:pt idx="23">
                  <c:v>138.91905660377358</c:v>
                </c:pt>
                <c:pt idx="24">
                  <c:v>141.23075471698115</c:v>
                </c:pt>
                <c:pt idx="25">
                  <c:v>143.54245283018867</c:v>
                </c:pt>
                <c:pt idx="26">
                  <c:v>145.85415094339623</c:v>
                </c:pt>
                <c:pt idx="27">
                  <c:v>148.16584905660378</c:v>
                </c:pt>
                <c:pt idx="28">
                  <c:v>150.47754716981132</c:v>
                </c:pt>
                <c:pt idx="29">
                  <c:v>152.78924528301889</c:v>
                </c:pt>
                <c:pt idx="30">
                  <c:v>155.1009433962264</c:v>
                </c:pt>
                <c:pt idx="31">
                  <c:v>157.41264150943397</c:v>
                </c:pt>
                <c:pt idx="32">
                  <c:v>159.72433962264151</c:v>
                </c:pt>
                <c:pt idx="33">
                  <c:v>162.03603773584905</c:v>
                </c:pt>
                <c:pt idx="34">
                  <c:v>164.34773584905662</c:v>
                </c:pt>
                <c:pt idx="35">
                  <c:v>166.65943396226416</c:v>
                </c:pt>
                <c:pt idx="36">
                  <c:v>168.9711320754717</c:v>
                </c:pt>
                <c:pt idx="37">
                  <c:v>171.28283018867924</c:v>
                </c:pt>
                <c:pt idx="38">
                  <c:v>173.59452830188678</c:v>
                </c:pt>
                <c:pt idx="39">
                  <c:v>175.90622641509435</c:v>
                </c:pt>
                <c:pt idx="40">
                  <c:v>178.21792452830186</c:v>
                </c:pt>
                <c:pt idx="41">
                  <c:v>180.52962264150943</c:v>
                </c:pt>
                <c:pt idx="42">
                  <c:v>182.841320754717</c:v>
                </c:pt>
                <c:pt idx="43">
                  <c:v>185.15301886792452</c:v>
                </c:pt>
                <c:pt idx="44">
                  <c:v>187.46471698113209</c:v>
                </c:pt>
                <c:pt idx="45">
                  <c:v>189.77641509433963</c:v>
                </c:pt>
                <c:pt idx="46">
                  <c:v>192.08811320754717</c:v>
                </c:pt>
                <c:pt idx="47">
                  <c:v>194.39981132075474</c:v>
                </c:pt>
                <c:pt idx="48">
                  <c:v>196.71150943396228</c:v>
                </c:pt>
                <c:pt idx="49">
                  <c:v>199.02320754716982</c:v>
                </c:pt>
                <c:pt idx="50">
                  <c:v>201.33490566037736</c:v>
                </c:pt>
                <c:pt idx="51">
                  <c:v>203.6466037735849</c:v>
                </c:pt>
                <c:pt idx="52">
                  <c:v>205.95830188679244</c:v>
                </c:pt>
                <c:pt idx="53">
                  <c:v>208.26999999999998</c:v>
                </c:pt>
                <c:pt idx="54">
                  <c:v>210.58169811320755</c:v>
                </c:pt>
                <c:pt idx="55">
                  <c:v>212.89339622641509</c:v>
                </c:pt>
                <c:pt idx="56">
                  <c:v>215.20509433962263</c:v>
                </c:pt>
                <c:pt idx="57">
                  <c:v>217.5167924528302</c:v>
                </c:pt>
                <c:pt idx="58">
                  <c:v>219.82849056603774</c:v>
                </c:pt>
                <c:pt idx="59">
                  <c:v>222.14018867924528</c:v>
                </c:pt>
                <c:pt idx="60">
                  <c:v>224.45188679245283</c:v>
                </c:pt>
                <c:pt idx="61">
                  <c:v>226.76358490566037</c:v>
                </c:pt>
                <c:pt idx="62">
                  <c:v>229.07528301886794</c:v>
                </c:pt>
                <c:pt idx="63">
                  <c:v>231.38698113207548</c:v>
                </c:pt>
                <c:pt idx="64">
                  <c:v>233.69867924528302</c:v>
                </c:pt>
                <c:pt idx="65">
                  <c:v>236.01037735849059</c:v>
                </c:pt>
                <c:pt idx="66">
                  <c:v>238.3220754716981</c:v>
                </c:pt>
                <c:pt idx="67">
                  <c:v>240.63377358490567</c:v>
                </c:pt>
                <c:pt idx="68">
                  <c:v>242.94547169811321</c:v>
                </c:pt>
                <c:pt idx="69">
                  <c:v>245.25716981132075</c:v>
                </c:pt>
                <c:pt idx="70">
                  <c:v>247.56886792452832</c:v>
                </c:pt>
                <c:pt idx="71">
                  <c:v>249.88056603773583</c:v>
                </c:pt>
                <c:pt idx="72">
                  <c:v>252.1922641509434</c:v>
                </c:pt>
                <c:pt idx="73">
                  <c:v>254.50396226415094</c:v>
                </c:pt>
                <c:pt idx="74">
                  <c:v>256.81566037735848</c:v>
                </c:pt>
                <c:pt idx="75">
                  <c:v>259.12735849056605</c:v>
                </c:pt>
                <c:pt idx="76">
                  <c:v>261.43905660377357</c:v>
                </c:pt>
                <c:pt idx="77">
                  <c:v>263.75075471698113</c:v>
                </c:pt>
                <c:pt idx="78">
                  <c:v>266.0624528301887</c:v>
                </c:pt>
                <c:pt idx="79">
                  <c:v>268.37415094339622</c:v>
                </c:pt>
                <c:pt idx="80">
                  <c:v>270.68584905660373</c:v>
                </c:pt>
                <c:pt idx="81">
                  <c:v>272.99754716981136</c:v>
                </c:pt>
                <c:pt idx="82">
                  <c:v>275.30924528301887</c:v>
                </c:pt>
                <c:pt idx="83">
                  <c:v>277.62094339622638</c:v>
                </c:pt>
                <c:pt idx="84">
                  <c:v>279.93264150943401</c:v>
                </c:pt>
                <c:pt idx="85">
                  <c:v>282.24433962264152</c:v>
                </c:pt>
                <c:pt idx="86">
                  <c:v>284.55603773584903</c:v>
                </c:pt>
                <c:pt idx="87">
                  <c:v>286.8677358490566</c:v>
                </c:pt>
                <c:pt idx="88">
                  <c:v>289.17943396226417</c:v>
                </c:pt>
                <c:pt idx="89">
                  <c:v>291.49113207547168</c:v>
                </c:pt>
                <c:pt idx="90">
                  <c:v>293.80283018867925</c:v>
                </c:pt>
                <c:pt idx="91">
                  <c:v>296.11452830188682</c:v>
                </c:pt>
                <c:pt idx="92">
                  <c:v>298.42622641509433</c:v>
                </c:pt>
                <c:pt idx="93">
                  <c:v>300.7379245283019</c:v>
                </c:pt>
                <c:pt idx="94">
                  <c:v>303.04962264150947</c:v>
                </c:pt>
                <c:pt idx="95">
                  <c:v>305.36132075471698</c:v>
                </c:pt>
                <c:pt idx="96">
                  <c:v>307.67301886792455</c:v>
                </c:pt>
                <c:pt idx="97">
                  <c:v>309.98471698113207</c:v>
                </c:pt>
                <c:pt idx="98">
                  <c:v>312.29641509433964</c:v>
                </c:pt>
                <c:pt idx="99">
                  <c:v>314.60811320754715</c:v>
                </c:pt>
                <c:pt idx="100">
                  <c:v>316.91981132075472</c:v>
                </c:pt>
                <c:pt idx="101">
                  <c:v>319.23150943396229</c:v>
                </c:pt>
                <c:pt idx="102">
                  <c:v>321.5432075471698</c:v>
                </c:pt>
                <c:pt idx="103">
                  <c:v>323.85490566037737</c:v>
                </c:pt>
                <c:pt idx="104">
                  <c:v>326.16660377358488</c:v>
                </c:pt>
                <c:pt idx="105">
                  <c:v>328.47830188679245</c:v>
                </c:pt>
                <c:pt idx="106">
                  <c:v>330.78999999999996</c:v>
                </c:pt>
                <c:pt idx="107">
                  <c:v>333.10169811320753</c:v>
                </c:pt>
                <c:pt idx="108">
                  <c:v>335.4133962264151</c:v>
                </c:pt>
                <c:pt idx="109">
                  <c:v>337.72509433962261</c:v>
                </c:pt>
                <c:pt idx="110">
                  <c:v>340.03679245283018</c:v>
                </c:pt>
                <c:pt idx="111">
                  <c:v>342.34849056603775</c:v>
                </c:pt>
                <c:pt idx="112">
                  <c:v>344.66018867924527</c:v>
                </c:pt>
                <c:pt idx="113">
                  <c:v>346.97188679245284</c:v>
                </c:pt>
                <c:pt idx="114">
                  <c:v>349.2835849056604</c:v>
                </c:pt>
                <c:pt idx="115">
                  <c:v>351.59528301886792</c:v>
                </c:pt>
                <c:pt idx="116">
                  <c:v>353.90698113207549</c:v>
                </c:pt>
                <c:pt idx="117">
                  <c:v>356.218679245283</c:v>
                </c:pt>
                <c:pt idx="118">
                  <c:v>358.53037735849057</c:v>
                </c:pt>
                <c:pt idx="119">
                  <c:v>360.84207547169814</c:v>
                </c:pt>
                <c:pt idx="120">
                  <c:v>363.15377358490565</c:v>
                </c:pt>
                <c:pt idx="121">
                  <c:v>365.46547169811322</c:v>
                </c:pt>
                <c:pt idx="122">
                  <c:v>367.77716981132073</c:v>
                </c:pt>
                <c:pt idx="123">
                  <c:v>370.0888679245283</c:v>
                </c:pt>
                <c:pt idx="124">
                  <c:v>372.40056603773587</c:v>
                </c:pt>
                <c:pt idx="125">
                  <c:v>374.71226415094338</c:v>
                </c:pt>
                <c:pt idx="126">
                  <c:v>377.02396226415095</c:v>
                </c:pt>
                <c:pt idx="127">
                  <c:v>379.33566037735852</c:v>
                </c:pt>
                <c:pt idx="128">
                  <c:v>381.64735849056603</c:v>
                </c:pt>
                <c:pt idx="129">
                  <c:v>383.95905660377355</c:v>
                </c:pt>
                <c:pt idx="130">
                  <c:v>386.27075471698117</c:v>
                </c:pt>
                <c:pt idx="131">
                  <c:v>388.58245283018869</c:v>
                </c:pt>
                <c:pt idx="132">
                  <c:v>390.8941509433962</c:v>
                </c:pt>
                <c:pt idx="133">
                  <c:v>393.20584905660377</c:v>
                </c:pt>
                <c:pt idx="134">
                  <c:v>395.51754716981134</c:v>
                </c:pt>
                <c:pt idx="135">
                  <c:v>397.82924528301885</c:v>
                </c:pt>
                <c:pt idx="136">
                  <c:v>400.14094339622642</c:v>
                </c:pt>
                <c:pt idx="137">
                  <c:v>402.45264150943399</c:v>
                </c:pt>
                <c:pt idx="138">
                  <c:v>404.7643396226415</c:v>
                </c:pt>
                <c:pt idx="139">
                  <c:v>407.07603773584907</c:v>
                </c:pt>
                <c:pt idx="140">
                  <c:v>409.38773584905664</c:v>
                </c:pt>
                <c:pt idx="141">
                  <c:v>411.69943396226415</c:v>
                </c:pt>
                <c:pt idx="142">
                  <c:v>414.01113207547166</c:v>
                </c:pt>
                <c:pt idx="143">
                  <c:v>416.32283018867923</c:v>
                </c:pt>
                <c:pt idx="144">
                  <c:v>418.6345283018868</c:v>
                </c:pt>
                <c:pt idx="145">
                  <c:v>420.94622641509432</c:v>
                </c:pt>
                <c:pt idx="146">
                  <c:v>423.25792452830188</c:v>
                </c:pt>
                <c:pt idx="147">
                  <c:v>425.56962264150945</c:v>
                </c:pt>
                <c:pt idx="148">
                  <c:v>427.88132075471697</c:v>
                </c:pt>
                <c:pt idx="149">
                  <c:v>430.19301886792454</c:v>
                </c:pt>
                <c:pt idx="150">
                  <c:v>432.50471698113205</c:v>
                </c:pt>
                <c:pt idx="151">
                  <c:v>434.81641509433962</c:v>
                </c:pt>
                <c:pt idx="152">
                  <c:v>437.12811320754719</c:v>
                </c:pt>
                <c:pt idx="153">
                  <c:v>439.4398113207547</c:v>
                </c:pt>
                <c:pt idx="154">
                  <c:v>441.75150943396227</c:v>
                </c:pt>
                <c:pt idx="155">
                  <c:v>444.06320754716984</c:v>
                </c:pt>
                <c:pt idx="156">
                  <c:v>446.37490566037735</c:v>
                </c:pt>
                <c:pt idx="157">
                  <c:v>448.68660377358492</c:v>
                </c:pt>
                <c:pt idx="158">
                  <c:v>450.99830188679249</c:v>
                </c:pt>
                <c:pt idx="159">
                  <c:v>453.31</c:v>
                </c:pt>
                <c:pt idx="160">
                  <c:v>455.62169811320751</c:v>
                </c:pt>
              </c:numCache>
            </c:numRef>
          </c:val>
          <c:smooth val="0"/>
          <c:extLst>
            <c:ext xmlns:c16="http://schemas.microsoft.com/office/drawing/2014/chart" uri="{C3380CC4-5D6E-409C-BE32-E72D297353CC}">
              <c16:uniqueId val="{00000001-3EB3-A841-8CE5-A6F1BD60E917}"/>
            </c:ext>
          </c:extLst>
        </c:ser>
        <c:dLbls>
          <c:showLegendKey val="0"/>
          <c:showVal val="0"/>
          <c:showCatName val="0"/>
          <c:showSerName val="0"/>
          <c:showPercent val="0"/>
          <c:showBubbleSize val="0"/>
        </c:dLbls>
        <c:hiLowLines>
          <c:spPr>
            <a:ln w="0">
              <a:noFill/>
            </a:ln>
          </c:spPr>
        </c:hiLowLines>
        <c:marker val="1"/>
        <c:smooth val="0"/>
        <c:axId val="78885139"/>
        <c:axId val="10950822"/>
      </c:lineChart>
      <c:dateAx>
        <c:axId val="95537676"/>
        <c:scaling>
          <c:orientation val="minMax"/>
        </c:scaling>
        <c:delete val="1"/>
        <c:axPos val="b"/>
        <c:numFmt formatCode="mm/dd/yyyy" sourceLinked="1"/>
        <c:majorTickMark val="none"/>
        <c:minorTickMark val="none"/>
        <c:tickLblPos val="nextTo"/>
        <c:crossAx val="14912745"/>
        <c:crosses val="autoZero"/>
        <c:auto val="1"/>
        <c:lblOffset val="100"/>
        <c:baseTimeUnit val="days"/>
      </c:dateAx>
      <c:valAx>
        <c:axId val="149127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5537676"/>
        <c:crosses val="autoZero"/>
        <c:crossBetween val="between"/>
      </c:valAx>
      <c:dateAx>
        <c:axId val="78885139"/>
        <c:scaling>
          <c:orientation val="minMax"/>
        </c:scaling>
        <c:delete val="1"/>
        <c:axPos val="b"/>
        <c:numFmt formatCode="mm/dd/yyyy" sourceLinked="1"/>
        <c:majorTickMark val="none"/>
        <c:minorTickMark val="none"/>
        <c:tickLblPos val="nextTo"/>
        <c:crossAx val="10950822"/>
        <c:crosses val="autoZero"/>
        <c:auto val="1"/>
        <c:lblOffset val="100"/>
        <c:baseTimeUnit val="days"/>
      </c:dateAx>
      <c:valAx>
        <c:axId val="109508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888513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(Calc)'!$M$3:$M$500</c:f>
              <c:numCache>
                <c:formatCode>0.0%</c:formatCode>
                <c:ptCount val="498"/>
                <c:pt idx="0">
                  <c:v>-4.4976328248290343E-2</c:v>
                </c:pt>
                <c:pt idx="1">
                  <c:v>2.0655466813549905E-2</c:v>
                </c:pt>
                <c:pt idx="2">
                  <c:v>6.907717215326481E-2</c:v>
                </c:pt>
                <c:pt idx="3">
                  <c:v>-1.6910651186269443E-2</c:v>
                </c:pt>
                <c:pt idx="4">
                  <c:v>-6.0333761232349237E-2</c:v>
                </c:pt>
                <c:pt idx="5">
                  <c:v>-8.7431693989070691E-3</c:v>
                </c:pt>
                <c:pt idx="6">
                  <c:v>0.11025358324145529</c:v>
                </c:pt>
                <c:pt idx="7">
                  <c:v>3.4508440913604721E-2</c:v>
                </c:pt>
                <c:pt idx="8">
                  <c:v>3.4797216222702154E-2</c:v>
                </c:pt>
                <c:pt idx="9">
                  <c:v>-1.3914656771799483E-2</c:v>
                </c:pt>
                <c:pt idx="10">
                  <c:v>5.7619943555973663E-2</c:v>
                </c:pt>
                <c:pt idx="11">
                  <c:v>4.4696464309539552E-2</c:v>
                </c:pt>
                <c:pt idx="12">
                  <c:v>1.2558535547041449E-2</c:v>
                </c:pt>
                <c:pt idx="13">
                  <c:v>2.2072734916964487E-2</c:v>
                </c:pt>
                <c:pt idx="14">
                  <c:v>-1.5425750719868403E-2</c:v>
                </c:pt>
                <c:pt idx="15">
                  <c:v>-3.5721746396490506E-2</c:v>
                </c:pt>
                <c:pt idx="16">
                  <c:v>6.9324090121317239E-2</c:v>
                </c:pt>
                <c:pt idx="17">
                  <c:v>8.3670988654781286E-2</c:v>
                </c:pt>
                <c:pt idx="18">
                  <c:v>-3.9259674705552916E-3</c:v>
                </c:pt>
                <c:pt idx="19">
                  <c:v>0.14996246246246248</c:v>
                </c:pt>
                <c:pt idx="20">
                  <c:v>3.3295250530439136E-2</c:v>
                </c:pt>
                <c:pt idx="21">
                  <c:v>-8.6874111514769758E-3</c:v>
                </c:pt>
                <c:pt idx="22">
                  <c:v>-4.3021032504779733E-3</c:v>
                </c:pt>
                <c:pt idx="23">
                  <c:v>0.12562009921587447</c:v>
                </c:pt>
                <c:pt idx="24">
                  <c:v>-1.7059994313335269E-2</c:v>
                </c:pt>
                <c:pt idx="25">
                  <c:v>6.8990454150998026E-2</c:v>
                </c:pt>
                <c:pt idx="26">
                  <c:v>0.11283994046813706</c:v>
                </c:pt>
                <c:pt idx="27">
                  <c:v>-9.9696048632218481E-3</c:v>
                </c:pt>
                <c:pt idx="28">
                  <c:v>4.4946579884563409E-2</c:v>
                </c:pt>
                <c:pt idx="29">
                  <c:v>-1.7040780350217499E-2</c:v>
                </c:pt>
                <c:pt idx="30">
                  <c:v>-0.10581061692969862</c:v>
                </c:pt>
                <c:pt idx="31">
                  <c:v>0.24628961091054946</c:v>
                </c:pt>
                <c:pt idx="32">
                  <c:v>-5.149662053427595E-3</c:v>
                </c:pt>
                <c:pt idx="33">
                  <c:v>2.5773751752399487E-2</c:v>
                </c:pt>
                <c:pt idx="34">
                  <c:v>1.4718250630782137E-2</c:v>
                </c:pt>
                <c:pt idx="35">
                  <c:v>9.666390385412349E-2</c:v>
                </c:pt>
                <c:pt idx="36">
                  <c:v>-7.6239962210675416E-2</c:v>
                </c:pt>
                <c:pt idx="37">
                  <c:v>-0.10595213745142151</c:v>
                </c:pt>
                <c:pt idx="38">
                  <c:v>4.3353923587279741E-2</c:v>
                </c:pt>
                <c:pt idx="39">
                  <c:v>-9.0998793991886595E-3</c:v>
                </c:pt>
                <c:pt idx="40">
                  <c:v>-4.470015490152679E-2</c:v>
                </c:pt>
                <c:pt idx="41">
                  <c:v>6.0111188325225884E-2</c:v>
                </c:pt>
                <c:pt idx="42">
                  <c:v>-2.2943297279580444E-2</c:v>
                </c:pt>
                <c:pt idx="43">
                  <c:v>-4.8641395504864238E-2</c:v>
                </c:pt>
                <c:pt idx="44">
                  <c:v>-9.6027268453220516E-2</c:v>
                </c:pt>
                <c:pt idx="45">
                  <c:v>-9.9336887270836005E-2</c:v>
                </c:pt>
                <c:pt idx="46">
                  <c:v>2.8872527789808089E-2</c:v>
                </c:pt>
                <c:pt idx="47">
                  <c:v>0.11140732425985678</c:v>
                </c:pt>
                <c:pt idx="48">
                  <c:v>-1.0983461684130669E-2</c:v>
                </c:pt>
                <c:pt idx="49">
                  <c:v>5.7058973704365634E-2</c:v>
                </c:pt>
                <c:pt idx="50">
                  <c:v>-0.13561164110614665</c:v>
                </c:pt>
                <c:pt idx="51">
                  <c:v>0.19488683989941324</c:v>
                </c:pt>
                <c:pt idx="52">
                  <c:v>0.10265403951829777</c:v>
                </c:pt>
                <c:pt idx="53">
                  <c:v>4.0928851659421062E-2</c:v>
                </c:pt>
                <c:pt idx="54">
                  <c:v>6.9063868799022154E-2</c:v>
                </c:pt>
                <c:pt idx="55">
                  <c:v>6.3077656026679252E-2</c:v>
                </c:pt>
                <c:pt idx="56">
                  <c:v>3.6748229810881217E-3</c:v>
                </c:pt>
                <c:pt idx="57">
                  <c:v>-7.1441328808719007E-4</c:v>
                </c:pt>
                <c:pt idx="58">
                  <c:v>-4.7006255585344103E-2</c:v>
                </c:pt>
                <c:pt idx="59">
                  <c:v>0.17638784696174037</c:v>
                </c:pt>
                <c:pt idx="60">
                  <c:v>-3.882024711040255E-2</c:v>
                </c:pt>
                <c:pt idx="61">
                  <c:v>0.1594791839442693</c:v>
                </c:pt>
                <c:pt idx="62">
                  <c:v>-8.9550103712180751E-2</c:v>
                </c:pt>
                <c:pt idx="63">
                  <c:v>4.933616152093645E-2</c:v>
                </c:pt>
                <c:pt idx="64">
                  <c:v>-6.0342891367822005E-2</c:v>
                </c:pt>
                <c:pt idx="65">
                  <c:v>-4.5574057843996485E-2</c:v>
                </c:pt>
                <c:pt idx="66">
                  <c:v>-4.1071875782619616E-2</c:v>
                </c:pt>
                <c:pt idx="67">
                  <c:v>9.1668843039958148E-2</c:v>
                </c:pt>
                <c:pt idx="68">
                  <c:v>2.5996810207336463E-2</c:v>
                </c:pt>
                <c:pt idx="69">
                  <c:v>5.3862894450489751E-2</c:v>
                </c:pt>
                <c:pt idx="70">
                  <c:v>7.6849325171472804E-2</c:v>
                </c:pt>
                <c:pt idx="71">
                  <c:v>-0.20026025614683929</c:v>
                </c:pt>
                <c:pt idx="72">
                  <c:v>3.7252719020296476E-2</c:v>
                </c:pt>
                <c:pt idx="73">
                  <c:v>-0.10980845442536336</c:v>
                </c:pt>
                <c:pt idx="74">
                  <c:v>-0.11157484696716735</c:v>
                </c:pt>
                <c:pt idx="75">
                  <c:v>-8.5603925253158186E-3</c:v>
                </c:pt>
                <c:pt idx="76">
                  <c:v>-0.10645466989575658</c:v>
                </c:pt>
                <c:pt idx="77">
                  <c:v>2.839971718123957E-2</c:v>
                </c:pt>
                <c:pt idx="78">
                  <c:v>1.3865016615102643E-2</c:v>
                </c:pt>
                <c:pt idx="79">
                  <c:v>-0.16229656419529837</c:v>
                </c:pt>
                <c:pt idx="80">
                  <c:v>-0.19981111710739341</c:v>
                </c:pt>
                <c:pt idx="81">
                  <c:v>0.1716405327937951</c:v>
                </c:pt>
                <c:pt idx="82">
                  <c:v>5.180601525399342E-2</c:v>
                </c:pt>
                <c:pt idx="83">
                  <c:v>0.18757695991243661</c:v>
                </c:pt>
                <c:pt idx="84">
                  <c:v>9.2626728110599243E-2</c:v>
                </c:pt>
                <c:pt idx="85">
                  <c:v>-9.9114297764656412E-3</c:v>
                </c:pt>
                <c:pt idx="86">
                  <c:v>0.12736954206602769</c:v>
                </c:pt>
                <c:pt idx="87">
                  <c:v>-1.7948233515964529E-2</c:v>
                </c:pt>
                <c:pt idx="88">
                  <c:v>3.6456329357445139E-2</c:v>
                </c:pt>
                <c:pt idx="89">
                  <c:v>6.8863109048723947E-2</c:v>
                </c:pt>
                <c:pt idx="90">
                  <c:v>-3.8117565338195769E-2</c:v>
                </c:pt>
                <c:pt idx="91">
                  <c:v>6.8604441234879854E-2</c:v>
                </c:pt>
                <c:pt idx="92">
                  <c:v>7.2731880385200176E-2</c:v>
                </c:pt>
                <c:pt idx="93">
                  <c:v>5.3547523427042165E-3</c:v>
                </c:pt>
                <c:pt idx="94">
                  <c:v>-3.5560429231612845E-2</c:v>
                </c:pt>
                <c:pt idx="95">
                  <c:v>4.6779826199951247E-2</c:v>
                </c:pt>
                <c:pt idx="96">
                  <c:v>6.5171851966793426E-2</c:v>
                </c:pt>
                <c:pt idx="97">
                  <c:v>2.9936630490203342E-2</c:v>
                </c:pt>
                <c:pt idx="98">
                  <c:v>-1.1739745403111734E-2</c:v>
                </c:pt>
                <c:pt idx="99">
                  <c:v>-4.9019607843137414E-2</c:v>
                </c:pt>
                <c:pt idx="100">
                  <c:v>-5.3352396719090867E-2</c:v>
                </c:pt>
                <c:pt idx="101">
                  <c:v>1.2559618441971399E-2</c:v>
                </c:pt>
                <c:pt idx="102">
                  <c:v>-2.7869367247605581E-2</c:v>
                </c:pt>
                <c:pt idx="103">
                  <c:v>8.7458612614067732E-2</c:v>
                </c:pt>
                <c:pt idx="104">
                  <c:v>6.5275508688548811E-2</c:v>
                </c:pt>
                <c:pt idx="105">
                  <c:v>-3.4715928895085346E-2</c:v>
                </c:pt>
                <c:pt idx="106">
                  <c:v>0.15570159601357703</c:v>
                </c:pt>
                <c:pt idx="107">
                  <c:v>5.4989689433231348E-2</c:v>
                </c:pt>
                <c:pt idx="108">
                  <c:v>2.9497127287804181E-2</c:v>
                </c:pt>
                <c:pt idx="109">
                  <c:v>6.9328577181980489E-2</c:v>
                </c:pt>
                <c:pt idx="110">
                  <c:v>3.6532874206391952E-2</c:v>
                </c:pt>
                <c:pt idx="111">
                  <c:v>-6.7687516221126343E-2</c:v>
                </c:pt>
                <c:pt idx="112">
                  <c:v>-4.9106397193920293E-2</c:v>
                </c:pt>
                <c:pt idx="113">
                  <c:v>-6.5167749868259239E-2</c:v>
                </c:pt>
                <c:pt idx="114">
                  <c:v>0.12495302517850448</c:v>
                </c:pt>
                <c:pt idx="115">
                  <c:v>5.166750180947588E-2</c:v>
                </c:pt>
                <c:pt idx="116">
                  <c:v>-0.14680501879400709</c:v>
                </c:pt>
                <c:pt idx="117">
                  <c:v>-8.997269793993512E-3</c:v>
                </c:pt>
                <c:pt idx="118">
                  <c:v>4.8525452382443213E-2</c:v>
                </c:pt>
                <c:pt idx="119">
                  <c:v>4.7951749671563348E-2</c:v>
                </c:pt>
                <c:pt idx="120">
                  <c:v>-6.8493931278135523E-2</c:v>
                </c:pt>
                <c:pt idx="121">
                  <c:v>8.1605187496176734E-2</c:v>
                </c:pt>
                <c:pt idx="122">
                  <c:v>3.138962728352479E-2</c:v>
                </c:pt>
                <c:pt idx="123">
                  <c:v>2.02347005922352E-2</c:v>
                </c:pt>
                <c:pt idx="124">
                  <c:v>5.0470303681805939E-2</c:v>
                </c:pt>
                <c:pt idx="125">
                  <c:v>0.19919156774457636</c:v>
                </c:pt>
                <c:pt idx="126">
                  <c:v>3.9296838332551154E-2</c:v>
                </c:pt>
                <c:pt idx="127">
                  <c:v>4.569340668363564E-2</c:v>
                </c:pt>
                <c:pt idx="128">
                  <c:v>-5.1431039221074948E-2</c:v>
                </c:pt>
                <c:pt idx="129">
                  <c:v>7.0733827242249747E-2</c:v>
                </c:pt>
                <c:pt idx="130">
                  <c:v>-1.1364514882102772E-2</c:v>
                </c:pt>
                <c:pt idx="131">
                  <c:v>-1.8767594619956141E-2</c:v>
                </c:pt>
                <c:pt idx="132">
                  <c:v>4.0683774306662368E-2</c:v>
                </c:pt>
                <c:pt idx="133">
                  <c:v>0.12945590994371492</c:v>
                </c:pt>
                <c:pt idx="134">
                  <c:v>4.1426537392365459E-2</c:v>
                </c:pt>
                <c:pt idx="135">
                  <c:v>5.2441406250000044E-2</c:v>
                </c:pt>
                <c:pt idx="136">
                  <c:v>1.5001082552349221E-2</c:v>
                </c:pt>
                <c:pt idx="137">
                  <c:v>3.5531448074110017E-2</c:v>
                </c:pt>
                <c:pt idx="138">
                  <c:v>9.1077629333176313E-2</c:v>
                </c:pt>
                <c:pt idx="139">
                  <c:v>-0.11721552444911931</c:v>
                </c:pt>
                <c:pt idx="140">
                  <c:v>-3.5868137239925435E-2</c:v>
                </c:pt>
                <c:pt idx="141">
                  <c:v>-4.8166809265772992E-2</c:v>
                </c:pt>
                <c:pt idx="142">
                  <c:v>7.8569763957785366E-3</c:v>
                </c:pt>
                <c:pt idx="143">
                  <c:v>9.9890991973045296E-2</c:v>
                </c:pt>
                <c:pt idx="144">
                  <c:v>-8.7365228098627568E-2</c:v>
                </c:pt>
                <c:pt idx="145">
                  <c:v>-1.1254442543109144E-2</c:v>
                </c:pt>
                <c:pt idx="146">
                  <c:v>6.0973174465819069E-2</c:v>
                </c:pt>
                <c:pt idx="147">
                  <c:v>-9.1881548403287439E-2</c:v>
                </c:pt>
                <c:pt idx="148">
                  <c:v>2.7634806038205895E-3</c:v>
                </c:pt>
                <c:pt idx="149">
                  <c:v>-0.16803885769403015</c:v>
                </c:pt>
                <c:pt idx="150">
                  <c:v>0.12761376340524189</c:v>
                </c:pt>
                <c:pt idx="151">
                  <c:v>7.8728013806778518E-2</c:v>
                </c:pt>
                <c:pt idx="152">
                  <c:v>-0.10852027096027506</c:v>
                </c:pt>
                <c:pt idx="153">
                  <c:v>-1.8595593569819435E-2</c:v>
                </c:pt>
                <c:pt idx="154">
                  <c:v>9.1199128472492452E-2</c:v>
                </c:pt>
                <c:pt idx="155">
                  <c:v>-8.364829209156377E-2</c:v>
                </c:pt>
                <c:pt idx="156">
                  <c:v>-2.9610894941634269E-2</c:v>
                </c:pt>
                <c:pt idx="157">
                  <c:v>1.5598059264605668E-2</c:v>
                </c:pt>
                <c:pt idx="158">
                  <c:v>-4.3430195830701512E-3</c:v>
                </c:pt>
                <c:pt idx="159">
                  <c:v>-3.7274962328495587E-2</c:v>
                </c:pt>
                <c:pt idx="160">
                  <c:v>0</c:v>
                </c:pt>
              </c:numCache>
            </c:numRef>
          </c:val>
          <c:extLst>
            <c:ext xmlns:c16="http://schemas.microsoft.com/office/drawing/2014/chart" uri="{C3380CC4-5D6E-409C-BE32-E72D297353CC}">
              <c16:uniqueId val="{00000000-CD88-8147-B4D8-155F8BD5FF08}"/>
            </c:ext>
          </c:extLst>
        </c:ser>
        <c:dLbls>
          <c:showLegendKey val="0"/>
          <c:showVal val="0"/>
          <c:showCatName val="0"/>
          <c:showSerName val="0"/>
          <c:showPercent val="0"/>
          <c:showBubbleSize val="0"/>
        </c:dLbls>
        <c:gapWidth val="150"/>
        <c:axId val="19777909"/>
        <c:axId val="34404549"/>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(Calc)'!$AH$3:$AH$500</c:f>
              <c:numCache>
                <c:formatCode>#,##0.00</c:formatCode>
                <c:ptCount val="498"/>
                <c:pt idx="0">
                  <c:v>38.020000000000003</c:v>
                </c:pt>
                <c:pt idx="1">
                  <c:v>39.307798742138367</c:v>
                </c:pt>
                <c:pt idx="2">
                  <c:v>40.59559748427673</c:v>
                </c:pt>
                <c:pt idx="3">
                  <c:v>41.883396226415094</c:v>
                </c:pt>
                <c:pt idx="4">
                  <c:v>43.171194968553465</c:v>
                </c:pt>
                <c:pt idx="5">
                  <c:v>44.458993710691828</c:v>
                </c:pt>
                <c:pt idx="6">
                  <c:v>45.746792452830192</c:v>
                </c:pt>
                <c:pt idx="7">
                  <c:v>47.034591194968556</c:v>
                </c:pt>
                <c:pt idx="8">
                  <c:v>48.322389937106919</c:v>
                </c:pt>
                <c:pt idx="9">
                  <c:v>49.610188679245283</c:v>
                </c:pt>
                <c:pt idx="10">
                  <c:v>50.897987421383647</c:v>
                </c:pt>
                <c:pt idx="11">
                  <c:v>52.18578616352201</c:v>
                </c:pt>
                <c:pt idx="12">
                  <c:v>53.473584905660381</c:v>
                </c:pt>
                <c:pt idx="13">
                  <c:v>54.761383647798745</c:v>
                </c:pt>
                <c:pt idx="14">
                  <c:v>56.049182389937108</c:v>
                </c:pt>
                <c:pt idx="15">
                  <c:v>57.336981132075472</c:v>
                </c:pt>
                <c:pt idx="16">
                  <c:v>58.624779874213843</c:v>
                </c:pt>
                <c:pt idx="17">
                  <c:v>59.912578616352206</c:v>
                </c:pt>
                <c:pt idx="18">
                  <c:v>61.20037735849057</c:v>
                </c:pt>
                <c:pt idx="19">
                  <c:v>62.488176100628934</c:v>
                </c:pt>
                <c:pt idx="20">
                  <c:v>63.775974842767297</c:v>
                </c:pt>
                <c:pt idx="21">
                  <c:v>65.063773584905661</c:v>
                </c:pt>
                <c:pt idx="22">
                  <c:v>66.351572327044025</c:v>
                </c:pt>
                <c:pt idx="23">
                  <c:v>67.639371069182388</c:v>
                </c:pt>
                <c:pt idx="24">
                  <c:v>68.927169811320752</c:v>
                </c:pt>
                <c:pt idx="25">
                  <c:v>70.21496855345913</c:v>
                </c:pt>
                <c:pt idx="26">
                  <c:v>71.502767295597494</c:v>
                </c:pt>
                <c:pt idx="27">
                  <c:v>72.790566037735857</c:v>
                </c:pt>
                <c:pt idx="28">
                  <c:v>74.078364779874221</c:v>
                </c:pt>
                <c:pt idx="29">
                  <c:v>75.366163522012585</c:v>
                </c:pt>
                <c:pt idx="30">
                  <c:v>76.653962264150948</c:v>
                </c:pt>
                <c:pt idx="31">
                  <c:v>77.941761006289312</c:v>
                </c:pt>
                <c:pt idx="32">
                  <c:v>79.229559748427675</c:v>
                </c:pt>
                <c:pt idx="33">
                  <c:v>80.517358490566039</c:v>
                </c:pt>
                <c:pt idx="34">
                  <c:v>81.805157232704403</c:v>
                </c:pt>
                <c:pt idx="35">
                  <c:v>83.092955974842766</c:v>
                </c:pt>
                <c:pt idx="36">
                  <c:v>84.38075471698113</c:v>
                </c:pt>
                <c:pt idx="37">
                  <c:v>85.668553459119494</c:v>
                </c:pt>
                <c:pt idx="38">
                  <c:v>86.956352201257857</c:v>
                </c:pt>
                <c:pt idx="39">
                  <c:v>88.244150943396221</c:v>
                </c:pt>
                <c:pt idx="40">
                  <c:v>89.531949685534585</c:v>
                </c:pt>
                <c:pt idx="41">
                  <c:v>90.819748427672948</c:v>
                </c:pt>
                <c:pt idx="42">
                  <c:v>92.107547169811326</c:v>
                </c:pt>
                <c:pt idx="43">
                  <c:v>93.39534591194969</c:v>
                </c:pt>
                <c:pt idx="44">
                  <c:v>94.683144654088039</c:v>
                </c:pt>
                <c:pt idx="45">
                  <c:v>95.970943396226403</c:v>
                </c:pt>
                <c:pt idx="46">
                  <c:v>97.258742138364781</c:v>
                </c:pt>
                <c:pt idx="47">
                  <c:v>98.546540880503144</c:v>
                </c:pt>
                <c:pt idx="48">
                  <c:v>99.834339622641508</c:v>
                </c:pt>
                <c:pt idx="49">
                  <c:v>101.12213836477989</c:v>
                </c:pt>
                <c:pt idx="50">
                  <c:v>102.40993710691825</c:v>
                </c:pt>
                <c:pt idx="51">
                  <c:v>103.69773584905661</c:v>
                </c:pt>
                <c:pt idx="52">
                  <c:v>104.98553459119498</c:v>
                </c:pt>
                <c:pt idx="53">
                  <c:v>106.27333333333334</c:v>
                </c:pt>
                <c:pt idx="54">
                  <c:v>107.5611320754717</c:v>
                </c:pt>
                <c:pt idx="55">
                  <c:v>108.84893081761007</c:v>
                </c:pt>
                <c:pt idx="56">
                  <c:v>110.13672955974843</c:v>
                </c:pt>
                <c:pt idx="57">
                  <c:v>111.4245283018868</c:v>
                </c:pt>
                <c:pt idx="58">
                  <c:v>112.71232704402516</c:v>
                </c:pt>
                <c:pt idx="59">
                  <c:v>114.00012578616352</c:v>
                </c:pt>
                <c:pt idx="60">
                  <c:v>115.28792452830189</c:v>
                </c:pt>
                <c:pt idx="61">
                  <c:v>116.57572327044025</c:v>
                </c:pt>
                <c:pt idx="62">
                  <c:v>117.86352201257861</c:v>
                </c:pt>
                <c:pt idx="63">
                  <c:v>119.15132075471698</c:v>
                </c:pt>
                <c:pt idx="64">
                  <c:v>120.43911949685534</c:v>
                </c:pt>
                <c:pt idx="65">
                  <c:v>121.7269182389937</c:v>
                </c:pt>
                <c:pt idx="66">
                  <c:v>123.01471698113207</c:v>
                </c:pt>
                <c:pt idx="67">
                  <c:v>124.30251572327043</c:v>
                </c:pt>
                <c:pt idx="68">
                  <c:v>125.59031446540882</c:v>
                </c:pt>
                <c:pt idx="69">
                  <c:v>126.87811320754716</c:v>
                </c:pt>
                <c:pt idx="70">
                  <c:v>128.16591194968552</c:v>
                </c:pt>
                <c:pt idx="71">
                  <c:v>129.45371069182389</c:v>
                </c:pt>
                <c:pt idx="72">
                  <c:v>130.74150943396225</c:v>
                </c:pt>
                <c:pt idx="73">
                  <c:v>132.02930817610064</c:v>
                </c:pt>
                <c:pt idx="74">
                  <c:v>133.31710691823901</c:v>
                </c:pt>
                <c:pt idx="75">
                  <c:v>134.60490566037737</c:v>
                </c:pt>
                <c:pt idx="76">
                  <c:v>135.8927044025157</c:v>
                </c:pt>
                <c:pt idx="77">
                  <c:v>137.1805031446541</c:v>
                </c:pt>
                <c:pt idx="78">
                  <c:v>138.46830188679246</c:v>
                </c:pt>
                <c:pt idx="79">
                  <c:v>139.75610062893082</c:v>
                </c:pt>
                <c:pt idx="80">
                  <c:v>141.04389937106919</c:v>
                </c:pt>
                <c:pt idx="81">
                  <c:v>142.33169811320752</c:v>
                </c:pt>
                <c:pt idx="82">
                  <c:v>143.61949685534591</c:v>
                </c:pt>
                <c:pt idx="83">
                  <c:v>144.90729559748428</c:v>
                </c:pt>
                <c:pt idx="84">
                  <c:v>146.19509433962264</c:v>
                </c:pt>
                <c:pt idx="85">
                  <c:v>147.48289308176101</c:v>
                </c:pt>
                <c:pt idx="86">
                  <c:v>148.77069182389937</c:v>
                </c:pt>
                <c:pt idx="87">
                  <c:v>150.05849056603773</c:v>
                </c:pt>
                <c:pt idx="88">
                  <c:v>151.3462893081761</c:v>
                </c:pt>
                <c:pt idx="89">
                  <c:v>152.63408805031446</c:v>
                </c:pt>
                <c:pt idx="90">
                  <c:v>153.92188679245282</c:v>
                </c:pt>
                <c:pt idx="91">
                  <c:v>155.20968553459119</c:v>
                </c:pt>
                <c:pt idx="92">
                  <c:v>156.49748427672955</c:v>
                </c:pt>
                <c:pt idx="93">
                  <c:v>157.78528301886794</c:v>
                </c:pt>
                <c:pt idx="94">
                  <c:v>159.07308176100628</c:v>
                </c:pt>
                <c:pt idx="95">
                  <c:v>160.36088050314467</c:v>
                </c:pt>
                <c:pt idx="96">
                  <c:v>161.64867924528301</c:v>
                </c:pt>
                <c:pt idx="97">
                  <c:v>162.93647798742137</c:v>
                </c:pt>
                <c:pt idx="98">
                  <c:v>164.22427672955976</c:v>
                </c:pt>
                <c:pt idx="99">
                  <c:v>165.5120754716981</c:v>
                </c:pt>
                <c:pt idx="100">
                  <c:v>166.79987421383649</c:v>
                </c:pt>
                <c:pt idx="101">
                  <c:v>168.08767295597485</c:v>
                </c:pt>
                <c:pt idx="102">
                  <c:v>169.37547169811322</c:v>
                </c:pt>
                <c:pt idx="103">
                  <c:v>170.66327044025158</c:v>
                </c:pt>
                <c:pt idx="104">
                  <c:v>171.95106918238994</c:v>
                </c:pt>
                <c:pt idx="105">
                  <c:v>173.23886792452831</c:v>
                </c:pt>
                <c:pt idx="106">
                  <c:v>174.52666666666667</c:v>
                </c:pt>
                <c:pt idx="107">
                  <c:v>175.81446540880503</c:v>
                </c:pt>
                <c:pt idx="108">
                  <c:v>177.1022641509434</c:v>
                </c:pt>
                <c:pt idx="109">
                  <c:v>178.39006289308176</c:v>
                </c:pt>
                <c:pt idx="110">
                  <c:v>179.67786163522013</c:v>
                </c:pt>
                <c:pt idx="111">
                  <c:v>180.96566037735852</c:v>
                </c:pt>
                <c:pt idx="112">
                  <c:v>182.25345911949685</c:v>
                </c:pt>
                <c:pt idx="113">
                  <c:v>183.54125786163522</c:v>
                </c:pt>
                <c:pt idx="114">
                  <c:v>184.82905660377358</c:v>
                </c:pt>
                <c:pt idx="115">
                  <c:v>186.11685534591194</c:v>
                </c:pt>
                <c:pt idx="116">
                  <c:v>187.40465408805034</c:v>
                </c:pt>
                <c:pt idx="117">
                  <c:v>188.69245283018867</c:v>
                </c:pt>
                <c:pt idx="118">
                  <c:v>189.98025157232706</c:v>
                </c:pt>
                <c:pt idx="119">
                  <c:v>191.2680503144654</c:v>
                </c:pt>
                <c:pt idx="120">
                  <c:v>192.55584905660376</c:v>
                </c:pt>
                <c:pt idx="121">
                  <c:v>193.84364779874215</c:v>
                </c:pt>
                <c:pt idx="122">
                  <c:v>195.13144654088049</c:v>
                </c:pt>
                <c:pt idx="123">
                  <c:v>196.41924528301888</c:v>
                </c:pt>
                <c:pt idx="124">
                  <c:v>197.70704402515722</c:v>
                </c:pt>
                <c:pt idx="125">
                  <c:v>198.99484276729561</c:v>
                </c:pt>
                <c:pt idx="126">
                  <c:v>200.28264150943397</c:v>
                </c:pt>
                <c:pt idx="127">
                  <c:v>201.57044025157234</c:v>
                </c:pt>
                <c:pt idx="128">
                  <c:v>202.8582389937107</c:v>
                </c:pt>
                <c:pt idx="129">
                  <c:v>204.14603773584906</c:v>
                </c:pt>
                <c:pt idx="130">
                  <c:v>205.43383647798743</c:v>
                </c:pt>
                <c:pt idx="131">
                  <c:v>206.72163522012579</c:v>
                </c:pt>
                <c:pt idx="132">
                  <c:v>208.00943396226415</c:v>
                </c:pt>
                <c:pt idx="133">
                  <c:v>209.29723270440252</c:v>
                </c:pt>
                <c:pt idx="134">
                  <c:v>210.58503144654088</c:v>
                </c:pt>
                <c:pt idx="135">
                  <c:v>211.87283018867925</c:v>
                </c:pt>
                <c:pt idx="136">
                  <c:v>213.16062893081764</c:v>
                </c:pt>
                <c:pt idx="137">
                  <c:v>214.44842767295597</c:v>
                </c:pt>
                <c:pt idx="138">
                  <c:v>215.73622641509434</c:v>
                </c:pt>
                <c:pt idx="139">
                  <c:v>217.0240251572327</c:v>
                </c:pt>
                <c:pt idx="140">
                  <c:v>218.31182389937106</c:v>
                </c:pt>
                <c:pt idx="141">
                  <c:v>219.59962264150946</c:v>
                </c:pt>
                <c:pt idx="142">
                  <c:v>220.88742138364779</c:v>
                </c:pt>
                <c:pt idx="143">
                  <c:v>222.17522012578618</c:v>
                </c:pt>
                <c:pt idx="144">
                  <c:v>223.46301886792452</c:v>
                </c:pt>
                <c:pt idx="145">
                  <c:v>224.75081761006288</c:v>
                </c:pt>
                <c:pt idx="146">
                  <c:v>226.03861635220127</c:v>
                </c:pt>
                <c:pt idx="147">
                  <c:v>227.32641509433961</c:v>
                </c:pt>
                <c:pt idx="148">
                  <c:v>228.614213836478</c:v>
                </c:pt>
                <c:pt idx="149">
                  <c:v>229.90201257861634</c:v>
                </c:pt>
                <c:pt idx="150">
                  <c:v>231.18981132075473</c:v>
                </c:pt>
                <c:pt idx="151">
                  <c:v>232.47761006289309</c:v>
                </c:pt>
                <c:pt idx="152">
                  <c:v>233.76540880503143</c:v>
                </c:pt>
                <c:pt idx="153">
                  <c:v>235.05320754716982</c:v>
                </c:pt>
                <c:pt idx="154">
                  <c:v>236.34100628930818</c:v>
                </c:pt>
                <c:pt idx="155">
                  <c:v>237.62880503144655</c:v>
                </c:pt>
                <c:pt idx="156">
                  <c:v>238.91660377358491</c:v>
                </c:pt>
                <c:pt idx="157">
                  <c:v>240.20440251572327</c:v>
                </c:pt>
                <c:pt idx="158">
                  <c:v>241.49220125786164</c:v>
                </c:pt>
                <c:pt idx="159">
                  <c:v>242.78</c:v>
                </c:pt>
                <c:pt idx="160">
                  <c:v>244.06779874213836</c:v>
                </c:pt>
              </c:numCache>
            </c:numRef>
          </c:val>
          <c:smooth val="0"/>
          <c:extLst>
            <c:ext xmlns:c16="http://schemas.microsoft.com/office/drawing/2014/chart" uri="{C3380CC4-5D6E-409C-BE32-E72D297353CC}">
              <c16:uniqueId val="{00000001-CD88-8147-B4D8-155F8BD5FF08}"/>
            </c:ext>
          </c:extLst>
        </c:ser>
        <c:dLbls>
          <c:showLegendKey val="0"/>
          <c:showVal val="0"/>
          <c:showCatName val="0"/>
          <c:showSerName val="0"/>
          <c:showPercent val="0"/>
          <c:showBubbleSize val="0"/>
        </c:dLbls>
        <c:hiLowLines>
          <c:spPr>
            <a:ln w="0">
              <a:noFill/>
            </a:ln>
          </c:spPr>
        </c:hiLowLines>
        <c:marker val="1"/>
        <c:smooth val="0"/>
        <c:axId val="82119516"/>
        <c:axId val="78657135"/>
      </c:lineChart>
      <c:dateAx>
        <c:axId val="19777909"/>
        <c:scaling>
          <c:orientation val="minMax"/>
        </c:scaling>
        <c:delete val="1"/>
        <c:axPos val="b"/>
        <c:numFmt formatCode="mm/dd/yyyy" sourceLinked="1"/>
        <c:majorTickMark val="none"/>
        <c:minorTickMark val="none"/>
        <c:tickLblPos val="nextTo"/>
        <c:crossAx val="34404549"/>
        <c:crosses val="autoZero"/>
        <c:auto val="1"/>
        <c:lblOffset val="100"/>
        <c:baseTimeUnit val="days"/>
      </c:dateAx>
      <c:valAx>
        <c:axId val="344045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9777909"/>
        <c:crosses val="autoZero"/>
        <c:crossBetween val="between"/>
      </c:valAx>
      <c:dateAx>
        <c:axId val="82119516"/>
        <c:scaling>
          <c:orientation val="minMax"/>
        </c:scaling>
        <c:delete val="1"/>
        <c:axPos val="b"/>
        <c:numFmt formatCode="mm/dd/yyyy" sourceLinked="1"/>
        <c:majorTickMark val="none"/>
        <c:minorTickMark val="none"/>
        <c:tickLblPos val="nextTo"/>
        <c:crossAx val="78657135"/>
        <c:crosses val="autoZero"/>
        <c:auto val="1"/>
        <c:lblOffset val="100"/>
        <c:baseTimeUnit val="days"/>
      </c:dateAx>
      <c:valAx>
        <c:axId val="786571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211951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(Calc)'!$N$3:$N$500</c:f>
              <c:numCache>
                <c:formatCode>0.0%</c:formatCode>
                <c:ptCount val="498"/>
                <c:pt idx="0">
                  <c:v>1.8056749785038129E-3</c:v>
                </c:pt>
                <c:pt idx="1">
                  <c:v>-5.1211627042027086E-3</c:v>
                </c:pt>
                <c:pt idx="2">
                  <c:v>3.7039167193880562E-2</c:v>
                </c:pt>
                <c:pt idx="3">
                  <c:v>2.8783761299983279E-2</c:v>
                </c:pt>
                <c:pt idx="4">
                  <c:v>-2.4636118598382661E-2</c:v>
                </c:pt>
                <c:pt idx="5">
                  <c:v>-1.8183827999779023E-2</c:v>
                </c:pt>
                <c:pt idx="6">
                  <c:v>5.8883134429182693E-2</c:v>
                </c:pt>
                <c:pt idx="7">
                  <c:v>-6.7783094098884389E-3</c:v>
                </c:pt>
                <c:pt idx="8">
                  <c:v>-6.1956376287970016E-2</c:v>
                </c:pt>
                <c:pt idx="9">
                  <c:v>7.2467902995720923E-3</c:v>
                </c:pt>
                <c:pt idx="10">
                  <c:v>-5.3251756174937936E-3</c:v>
                </c:pt>
                <c:pt idx="11">
                  <c:v>-2.8761817974713999E-3</c:v>
                </c:pt>
                <c:pt idx="12">
                  <c:v>0.17286877052691718</c:v>
                </c:pt>
                <c:pt idx="13">
                  <c:v>-1.3221973312554813E-2</c:v>
                </c:pt>
                <c:pt idx="14">
                  <c:v>4.0468846391117363E-3</c:v>
                </c:pt>
                <c:pt idx="15">
                  <c:v>2.3618176902848509E-2</c:v>
                </c:pt>
                <c:pt idx="16">
                  <c:v>4.057623049219683E-2</c:v>
                </c:pt>
                <c:pt idx="17">
                  <c:v>3.737886479003194E-3</c:v>
                </c:pt>
                <c:pt idx="18">
                  <c:v>-1.1148912693669133E-2</c:v>
                </c:pt>
                <c:pt idx="19">
                  <c:v>-1.2762396261942976E-2</c:v>
                </c:pt>
                <c:pt idx="20">
                  <c:v>-4.1678440237354897E-3</c:v>
                </c:pt>
                <c:pt idx="21">
                  <c:v>-1.6788441985293723E-3</c:v>
                </c:pt>
                <c:pt idx="22">
                  <c:v>1.8735196589294123E-2</c:v>
                </c:pt>
                <c:pt idx="23">
                  <c:v>6.161214573016105E-3</c:v>
                </c:pt>
                <c:pt idx="24">
                  <c:v>-4.4297069969498115E-2</c:v>
                </c:pt>
                <c:pt idx="25">
                  <c:v>-1.4265335235377985E-2</c:v>
                </c:pt>
                <c:pt idx="26">
                  <c:v>1.954916725943745E-2</c:v>
                </c:pt>
                <c:pt idx="27">
                  <c:v>5.6536592407254727E-3</c:v>
                </c:pt>
                <c:pt idx="28">
                  <c:v>-2.7128537594794278E-2</c:v>
                </c:pt>
                <c:pt idx="29">
                  <c:v>-2.4885041925885809E-2</c:v>
                </c:pt>
                <c:pt idx="30">
                  <c:v>-5.7243727146640833E-3</c:v>
                </c:pt>
                <c:pt idx="31">
                  <c:v>8.1160596530385209E-3</c:v>
                </c:pt>
                <c:pt idx="32">
                  <c:v>9.0570594746903765E-3</c:v>
                </c:pt>
                <c:pt idx="33">
                  <c:v>5.4103919417572532E-2</c:v>
                </c:pt>
                <c:pt idx="34">
                  <c:v>5.3053597615781323E-2</c:v>
                </c:pt>
                <c:pt idx="35">
                  <c:v>2.6369578401203908E-2</c:v>
                </c:pt>
                <c:pt idx="36">
                  <c:v>-3.5233614180982809E-3</c:v>
                </c:pt>
                <c:pt idx="37">
                  <c:v>6.0833662757499907E-2</c:v>
                </c:pt>
                <c:pt idx="38">
                  <c:v>-4.7822126531964493E-3</c:v>
                </c:pt>
                <c:pt idx="39">
                  <c:v>-2.5003640297048269E-2</c:v>
                </c:pt>
                <c:pt idx="40">
                  <c:v>2.1335153933321749E-5</c:v>
                </c:pt>
                <c:pt idx="41">
                  <c:v>1.2480798771121293E-2</c:v>
                </c:pt>
                <c:pt idx="42">
                  <c:v>2.9858608845902745E-2</c:v>
                </c:pt>
                <c:pt idx="43">
                  <c:v>5.7903998035764292E-3</c:v>
                </c:pt>
                <c:pt idx="44">
                  <c:v>7.5065606119169015E-3</c:v>
                </c:pt>
                <c:pt idx="45">
                  <c:v>-1.6153131688406708E-3</c:v>
                </c:pt>
                <c:pt idx="46">
                  <c:v>-5.2602839461230455E-2</c:v>
                </c:pt>
                <c:pt idx="47">
                  <c:v>1.9041519906073168E-2</c:v>
                </c:pt>
                <c:pt idx="48">
                  <c:v>8.1069191612375135E-3</c:v>
                </c:pt>
                <c:pt idx="49">
                  <c:v>3.0442191006566421E-2</c:v>
                </c:pt>
                <c:pt idx="50">
                  <c:v>-5.624231180302075E-2</c:v>
                </c:pt>
                <c:pt idx="51">
                  <c:v>3.7115384615384661E-2</c:v>
                </c:pt>
                <c:pt idx="52">
                  <c:v>-4.2132805900653048E-2</c:v>
                </c:pt>
                <c:pt idx="53">
                  <c:v>-4.3878516734062734E-3</c:v>
                </c:pt>
                <c:pt idx="54">
                  <c:v>-1.6354130660214294E-2</c:v>
                </c:pt>
                <c:pt idx="55">
                  <c:v>5.7982473479607277E-2</c:v>
                </c:pt>
                <c:pt idx="56">
                  <c:v>2.6779597683252998E-3</c:v>
                </c:pt>
                <c:pt idx="57">
                  <c:v>-1.0973084886128359E-2</c:v>
                </c:pt>
                <c:pt idx="58">
                  <c:v>-1.3774335356918521E-2</c:v>
                </c:pt>
                <c:pt idx="59">
                  <c:v>9.6833078621158197E-2</c:v>
                </c:pt>
                <c:pt idx="60">
                  <c:v>-9.8773077369663675E-2</c:v>
                </c:pt>
                <c:pt idx="61">
                  <c:v>-3.1629804595232902E-2</c:v>
                </c:pt>
                <c:pt idx="62">
                  <c:v>3.8051311617180561E-2</c:v>
                </c:pt>
                <c:pt idx="63">
                  <c:v>-1.28810373186935E-2</c:v>
                </c:pt>
                <c:pt idx="64">
                  <c:v>3.5273750270503612E-3</c:v>
                </c:pt>
                <c:pt idx="65">
                  <c:v>-0.14331615379639018</c:v>
                </c:pt>
                <c:pt idx="66">
                  <c:v>2.8922395348251806E-2</c:v>
                </c:pt>
                <c:pt idx="67">
                  <c:v>-4.0365984930031962E-3</c:v>
                </c:pt>
                <c:pt idx="68">
                  <c:v>6.0180295251897054E-3</c:v>
                </c:pt>
                <c:pt idx="69">
                  <c:v>3.0374059966793654E-2</c:v>
                </c:pt>
                <c:pt idx="70">
                  <c:v>4.1753554502369727E-2</c:v>
                </c:pt>
                <c:pt idx="71">
                  <c:v>5.0179700650561765E-2</c:v>
                </c:pt>
                <c:pt idx="72">
                  <c:v>1.6548258534049509E-2</c:v>
                </c:pt>
                <c:pt idx="73">
                  <c:v>-2.1989261058552811E-2</c:v>
                </c:pt>
                <c:pt idx="74">
                  <c:v>5.4989106753812633E-2</c:v>
                </c:pt>
                <c:pt idx="75">
                  <c:v>-9.1896580208160605E-3</c:v>
                </c:pt>
                <c:pt idx="76">
                  <c:v>1.7716084120135811E-2</c:v>
                </c:pt>
                <c:pt idx="77">
                  <c:v>3.3750435192201333E-2</c:v>
                </c:pt>
                <c:pt idx="78">
                  <c:v>-3.1103274758801369E-3</c:v>
                </c:pt>
                <c:pt idx="79">
                  <c:v>-2.0886327503974567E-2</c:v>
                </c:pt>
                <c:pt idx="80">
                  <c:v>-3.6676206133674283E-2</c:v>
                </c:pt>
                <c:pt idx="81">
                  <c:v>2.022670768193513E-2</c:v>
                </c:pt>
                <c:pt idx="82">
                  <c:v>1.0078063690058148E-2</c:v>
                </c:pt>
                <c:pt idx="83">
                  <c:v>9.6912696790021347E-3</c:v>
                </c:pt>
                <c:pt idx="84">
                  <c:v>1.4802365138506302E-2</c:v>
                </c:pt>
                <c:pt idx="85">
                  <c:v>-0.15197046792377522</c:v>
                </c:pt>
                <c:pt idx="86">
                  <c:v>3.2141932751358793E-2</c:v>
                </c:pt>
                <c:pt idx="87">
                  <c:v>-6.041262965918115E-3</c:v>
                </c:pt>
                <c:pt idx="88">
                  <c:v>1.3876146788990962E-2</c:v>
                </c:pt>
                <c:pt idx="89">
                  <c:v>1.9115484673679406E-2</c:v>
                </c:pt>
                <c:pt idx="90">
                  <c:v>1.0987791342952358E-2</c:v>
                </c:pt>
                <c:pt idx="91">
                  <c:v>-3.2012295531891555E-2</c:v>
                </c:pt>
                <c:pt idx="92">
                  <c:v>9.7534420577494174E-4</c:v>
                </c:pt>
                <c:pt idx="93">
                  <c:v>4.15137094946747E-2</c:v>
                </c:pt>
                <c:pt idx="94">
                  <c:v>2.0081806709890904E-2</c:v>
                </c:pt>
                <c:pt idx="95">
                  <c:v>-1.9281220006398647E-2</c:v>
                </c:pt>
                <c:pt idx="96">
                  <c:v>2.1400143537548155E-2</c:v>
                </c:pt>
                <c:pt idx="97">
                  <c:v>-1.6011923773022407E-2</c:v>
                </c:pt>
                <c:pt idx="98">
                  <c:v>-0.20684655832774324</c:v>
                </c:pt>
                <c:pt idx="99">
                  <c:v>7.1615649042396479E-2</c:v>
                </c:pt>
                <c:pt idx="100">
                  <c:v>5.9319229104610738E-3</c:v>
                </c:pt>
                <c:pt idx="101">
                  <c:v>-1.0376594452318311E-2</c:v>
                </c:pt>
                <c:pt idx="102">
                  <c:v>1.3042811109406305E-2</c:v>
                </c:pt>
                <c:pt idx="103">
                  <c:v>-4.0139351711603322E-3</c:v>
                </c:pt>
                <c:pt idx="104">
                  <c:v>-2.8920487668871786E-2</c:v>
                </c:pt>
                <c:pt idx="105">
                  <c:v>6.8385884318229451E-3</c:v>
                </c:pt>
                <c:pt idx="106">
                  <c:v>4.552289106652152E-2</c:v>
                </c:pt>
                <c:pt idx="107">
                  <c:v>1.1133151500124061E-2</c:v>
                </c:pt>
                <c:pt idx="108">
                  <c:v>2.2119228034036986E-2</c:v>
                </c:pt>
                <c:pt idx="109">
                  <c:v>1.0988220052301934E-2</c:v>
                </c:pt>
                <c:pt idx="110">
                  <c:v>9.919551958992967E-3</c:v>
                </c:pt>
                <c:pt idx="111">
                  <c:v>-3.7831614070540587E-2</c:v>
                </c:pt>
                <c:pt idx="112">
                  <c:v>6.7599579944806587E-2</c:v>
                </c:pt>
                <c:pt idx="113">
                  <c:v>-2.3767585496969001E-2</c:v>
                </c:pt>
                <c:pt idx="114">
                  <c:v>1.6051176305183379E-2</c:v>
                </c:pt>
                <c:pt idx="115">
                  <c:v>5.0437028666313166E-2</c:v>
                </c:pt>
                <c:pt idx="116">
                  <c:v>-7.5524721173267917E-3</c:v>
                </c:pt>
                <c:pt idx="117">
                  <c:v>9.2027254225288679E-3</c:v>
                </c:pt>
                <c:pt idx="118">
                  <c:v>1.4686540990793473E-2</c:v>
                </c:pt>
                <c:pt idx="119">
                  <c:v>-2.326636422553463E-2</c:v>
                </c:pt>
                <c:pt idx="120">
                  <c:v>2.5943865702342306E-2</c:v>
                </c:pt>
                <c:pt idx="121">
                  <c:v>-4.8506014745828496E-2</c:v>
                </c:pt>
                <c:pt idx="122">
                  <c:v>6.1287837592894689E-2</c:v>
                </c:pt>
                <c:pt idx="123">
                  <c:v>3.1809739330928011E-3</c:v>
                </c:pt>
                <c:pt idx="124">
                  <c:v>1.706746116194946E-2</c:v>
                </c:pt>
                <c:pt idx="125">
                  <c:v>2.8352025443588946E-2</c:v>
                </c:pt>
                <c:pt idx="126">
                  <c:v>-2.9645756607727947E-2</c:v>
                </c:pt>
                <c:pt idx="127">
                  <c:v>4.1790731809603798E-2</c:v>
                </c:pt>
                <c:pt idx="128">
                  <c:v>-8.0792222691866367E-2</c:v>
                </c:pt>
                <c:pt idx="129">
                  <c:v>2.7699314633558902E-2</c:v>
                </c:pt>
                <c:pt idx="130">
                  <c:v>-3.2684194826777979E-2</c:v>
                </c:pt>
                <c:pt idx="131">
                  <c:v>-4.6101321585903077E-2</c:v>
                </c:pt>
                <c:pt idx="132">
                  <c:v>1.3023298773870318E-2</c:v>
                </c:pt>
                <c:pt idx="133">
                  <c:v>-5.5617606163524957E-3</c:v>
                </c:pt>
                <c:pt idx="134">
                  <c:v>1.1300341531620406E-2</c:v>
                </c:pt>
                <c:pt idx="135">
                  <c:v>-2.4728014505892904E-2</c:v>
                </c:pt>
                <c:pt idx="136">
                  <c:v>-1.4803969415975282E-2</c:v>
                </c:pt>
                <c:pt idx="137">
                  <c:v>1.3917720324589489E-2</c:v>
                </c:pt>
                <c:pt idx="138">
                  <c:v>1.6588339304825173E-2</c:v>
                </c:pt>
                <c:pt idx="139">
                  <c:v>-5.5612770339855677E-3</c:v>
                </c:pt>
                <c:pt idx="140">
                  <c:v>2.9964098315382603E-2</c:v>
                </c:pt>
                <c:pt idx="141">
                  <c:v>-1.5864503731510826E-3</c:v>
                </c:pt>
                <c:pt idx="142">
                  <c:v>-4.2521764429424014E-3</c:v>
                </c:pt>
                <c:pt idx="143">
                  <c:v>1.5058548535724636E-2</c:v>
                </c:pt>
                <c:pt idx="144">
                  <c:v>8.7925957088767381E-2</c:v>
                </c:pt>
                <c:pt idx="145">
                  <c:v>7.4693694793829035E-2</c:v>
                </c:pt>
                <c:pt idx="146">
                  <c:v>-8.0770396182107351E-2</c:v>
                </c:pt>
                <c:pt idx="147">
                  <c:v>5.3565174395853177E-4</c:v>
                </c:pt>
                <c:pt idx="148">
                  <c:v>-1.7069906311129368E-2</c:v>
                </c:pt>
                <c:pt idx="149">
                  <c:v>-5.4466230936822679E-4</c:v>
                </c:pt>
                <c:pt idx="150">
                  <c:v>3.9761056382309645E-2</c:v>
                </c:pt>
                <c:pt idx="151">
                  <c:v>1.9513375128510146E-2</c:v>
                </c:pt>
                <c:pt idx="152">
                  <c:v>8.3638161146811552E-2</c:v>
                </c:pt>
                <c:pt idx="153">
                  <c:v>-1.1604780585712793E-2</c:v>
                </c:pt>
                <c:pt idx="154">
                  <c:v>8.1781092506783004E-3</c:v>
                </c:pt>
                <c:pt idx="155">
                  <c:v>-5.6178129348861017E-2</c:v>
                </c:pt>
                <c:pt idx="156">
                  <c:v>-1.3774639143256384E-2</c:v>
                </c:pt>
                <c:pt idx="157">
                  <c:v>3.5114293583035083E-2</c:v>
                </c:pt>
                <c:pt idx="158">
                  <c:v>-4.0783747315608521E-2</c:v>
                </c:pt>
                <c:pt idx="159">
                  <c:v>1.0599726586491665E-2</c:v>
                </c:pt>
                <c:pt idx="160">
                  <c:v>0</c:v>
                </c:pt>
              </c:numCache>
            </c:numRef>
          </c:val>
          <c:extLst>
            <c:ext xmlns:c16="http://schemas.microsoft.com/office/drawing/2014/chart" uri="{C3380CC4-5D6E-409C-BE32-E72D297353CC}">
              <c16:uniqueId val="{00000000-7B75-754E-9D17-8D5755BCA752}"/>
            </c:ext>
          </c:extLst>
        </c:ser>
        <c:dLbls>
          <c:showLegendKey val="0"/>
          <c:showVal val="0"/>
          <c:showCatName val="0"/>
          <c:showSerName val="0"/>
          <c:showPercent val="0"/>
          <c:showBubbleSize val="0"/>
        </c:dLbls>
        <c:gapWidth val="150"/>
        <c:axId val="57635508"/>
        <c:axId val="98949309"/>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(Calc)'!$AI$3:$AI$500</c:f>
              <c:numCache>
                <c:formatCode>#,##0.00</c:formatCode>
                <c:ptCount val="498"/>
                <c:pt idx="0">
                  <c:v>348.9</c:v>
                </c:pt>
                <c:pt idx="1">
                  <c:v>349.91371069182389</c:v>
                </c:pt>
                <c:pt idx="2">
                  <c:v>350.92742138364775</c:v>
                </c:pt>
                <c:pt idx="3">
                  <c:v>351.94113207547167</c:v>
                </c:pt>
                <c:pt idx="4">
                  <c:v>352.95484276729559</c:v>
                </c:pt>
                <c:pt idx="5">
                  <c:v>353.96855345911945</c:v>
                </c:pt>
                <c:pt idx="6">
                  <c:v>354.98226415094337</c:v>
                </c:pt>
                <c:pt idx="7">
                  <c:v>355.99597484276728</c:v>
                </c:pt>
                <c:pt idx="8">
                  <c:v>357.0096855345912</c:v>
                </c:pt>
                <c:pt idx="9">
                  <c:v>358.02339622641506</c:v>
                </c:pt>
                <c:pt idx="10">
                  <c:v>359.03710691823898</c:v>
                </c:pt>
                <c:pt idx="11">
                  <c:v>360.05081761006289</c:v>
                </c:pt>
                <c:pt idx="12">
                  <c:v>361.06452830188675</c:v>
                </c:pt>
                <c:pt idx="13">
                  <c:v>362.07823899371067</c:v>
                </c:pt>
                <c:pt idx="14">
                  <c:v>363.09194968553459</c:v>
                </c:pt>
                <c:pt idx="15">
                  <c:v>364.10566037735845</c:v>
                </c:pt>
                <c:pt idx="16">
                  <c:v>365.11937106918236</c:v>
                </c:pt>
                <c:pt idx="17">
                  <c:v>366.13308176100628</c:v>
                </c:pt>
                <c:pt idx="18">
                  <c:v>367.14679245283014</c:v>
                </c:pt>
                <c:pt idx="19">
                  <c:v>368.16050314465406</c:v>
                </c:pt>
                <c:pt idx="20">
                  <c:v>369.17421383647797</c:v>
                </c:pt>
                <c:pt idx="21">
                  <c:v>370.18792452830189</c:v>
                </c:pt>
                <c:pt idx="22">
                  <c:v>371.20163522012575</c:v>
                </c:pt>
                <c:pt idx="23">
                  <c:v>372.21534591194967</c:v>
                </c:pt>
                <c:pt idx="24">
                  <c:v>373.22905660377359</c:v>
                </c:pt>
                <c:pt idx="25">
                  <c:v>374.24276729559745</c:v>
                </c:pt>
                <c:pt idx="26">
                  <c:v>375.25647798742136</c:v>
                </c:pt>
                <c:pt idx="27">
                  <c:v>376.27018867924528</c:v>
                </c:pt>
                <c:pt idx="28">
                  <c:v>377.28389937106914</c:v>
                </c:pt>
                <c:pt idx="29">
                  <c:v>378.29761006289306</c:v>
                </c:pt>
                <c:pt idx="30">
                  <c:v>379.31132075471697</c:v>
                </c:pt>
                <c:pt idx="31">
                  <c:v>380.32503144654083</c:v>
                </c:pt>
                <c:pt idx="32">
                  <c:v>381.33874213836475</c:v>
                </c:pt>
                <c:pt idx="33">
                  <c:v>382.35245283018867</c:v>
                </c:pt>
                <c:pt idx="34">
                  <c:v>383.36616352201258</c:v>
                </c:pt>
                <c:pt idx="35">
                  <c:v>384.37987421383644</c:v>
                </c:pt>
                <c:pt idx="36">
                  <c:v>385.39358490566036</c:v>
                </c:pt>
                <c:pt idx="37">
                  <c:v>386.40729559748422</c:v>
                </c:pt>
                <c:pt idx="38">
                  <c:v>387.42100628930814</c:v>
                </c:pt>
                <c:pt idx="39">
                  <c:v>388.43471698113206</c:v>
                </c:pt>
                <c:pt idx="40">
                  <c:v>389.44842767295597</c:v>
                </c:pt>
                <c:pt idx="41">
                  <c:v>390.46213836477983</c:v>
                </c:pt>
                <c:pt idx="42">
                  <c:v>391.47584905660375</c:v>
                </c:pt>
                <c:pt idx="43">
                  <c:v>392.48955974842767</c:v>
                </c:pt>
                <c:pt idx="44">
                  <c:v>393.50327044025153</c:v>
                </c:pt>
                <c:pt idx="45">
                  <c:v>394.51698113207544</c:v>
                </c:pt>
                <c:pt idx="46">
                  <c:v>395.53069182389936</c:v>
                </c:pt>
                <c:pt idx="47">
                  <c:v>396.54440251572328</c:v>
                </c:pt>
                <c:pt idx="48">
                  <c:v>397.55811320754714</c:v>
                </c:pt>
                <c:pt idx="49">
                  <c:v>398.57182389937105</c:v>
                </c:pt>
                <c:pt idx="50">
                  <c:v>399.58553459119491</c:v>
                </c:pt>
                <c:pt idx="51">
                  <c:v>400.59924528301883</c:v>
                </c:pt>
                <c:pt idx="52">
                  <c:v>401.61295597484275</c:v>
                </c:pt>
                <c:pt idx="53">
                  <c:v>402.62666666666667</c:v>
                </c:pt>
                <c:pt idx="54">
                  <c:v>403.64037735849058</c:v>
                </c:pt>
                <c:pt idx="55">
                  <c:v>404.65408805031444</c:v>
                </c:pt>
                <c:pt idx="56">
                  <c:v>405.66779874213836</c:v>
                </c:pt>
                <c:pt idx="57">
                  <c:v>406.68150943396222</c:v>
                </c:pt>
                <c:pt idx="58">
                  <c:v>407.69522012578614</c:v>
                </c:pt>
                <c:pt idx="59">
                  <c:v>408.70893081761005</c:v>
                </c:pt>
                <c:pt idx="60">
                  <c:v>409.72264150943397</c:v>
                </c:pt>
                <c:pt idx="61">
                  <c:v>410.73635220125783</c:v>
                </c:pt>
                <c:pt idx="62">
                  <c:v>411.75006289308175</c:v>
                </c:pt>
                <c:pt idx="63">
                  <c:v>412.76377358490561</c:v>
                </c:pt>
                <c:pt idx="64">
                  <c:v>413.77748427672952</c:v>
                </c:pt>
                <c:pt idx="65">
                  <c:v>414.79119496855344</c:v>
                </c:pt>
                <c:pt idx="66">
                  <c:v>415.80490566037736</c:v>
                </c:pt>
                <c:pt idx="67">
                  <c:v>416.81861635220127</c:v>
                </c:pt>
                <c:pt idx="68">
                  <c:v>417.83232704402513</c:v>
                </c:pt>
                <c:pt idx="69">
                  <c:v>418.84603773584905</c:v>
                </c:pt>
                <c:pt idx="70">
                  <c:v>419.85974842767291</c:v>
                </c:pt>
                <c:pt idx="71">
                  <c:v>420.87345911949683</c:v>
                </c:pt>
                <c:pt idx="72">
                  <c:v>421.88716981132075</c:v>
                </c:pt>
                <c:pt idx="73">
                  <c:v>422.90088050314466</c:v>
                </c:pt>
                <c:pt idx="74">
                  <c:v>423.91459119496852</c:v>
                </c:pt>
                <c:pt idx="75">
                  <c:v>424.92830188679244</c:v>
                </c:pt>
                <c:pt idx="76">
                  <c:v>425.9420125786163</c:v>
                </c:pt>
                <c:pt idx="77">
                  <c:v>426.95572327044022</c:v>
                </c:pt>
                <c:pt idx="78">
                  <c:v>427.96943396226413</c:v>
                </c:pt>
                <c:pt idx="79">
                  <c:v>428.98314465408805</c:v>
                </c:pt>
                <c:pt idx="80">
                  <c:v>429.99685534591197</c:v>
                </c:pt>
                <c:pt idx="81">
                  <c:v>431.01056603773583</c:v>
                </c:pt>
                <c:pt idx="82">
                  <c:v>432.02427672955974</c:v>
                </c:pt>
                <c:pt idx="83">
                  <c:v>433.0379874213836</c:v>
                </c:pt>
                <c:pt idx="84">
                  <c:v>434.05169811320752</c:v>
                </c:pt>
                <c:pt idx="85">
                  <c:v>435.06540880503144</c:v>
                </c:pt>
                <c:pt idx="86">
                  <c:v>436.07911949685536</c:v>
                </c:pt>
                <c:pt idx="87">
                  <c:v>437.09283018867922</c:v>
                </c:pt>
                <c:pt idx="88">
                  <c:v>438.10654088050313</c:v>
                </c:pt>
                <c:pt idx="89">
                  <c:v>439.12025157232699</c:v>
                </c:pt>
                <c:pt idx="90">
                  <c:v>440.13396226415091</c:v>
                </c:pt>
                <c:pt idx="91">
                  <c:v>441.14767295597483</c:v>
                </c:pt>
                <c:pt idx="92">
                  <c:v>442.16138364779874</c:v>
                </c:pt>
                <c:pt idx="93">
                  <c:v>443.1750943396226</c:v>
                </c:pt>
                <c:pt idx="94">
                  <c:v>444.18880503144652</c:v>
                </c:pt>
                <c:pt idx="95">
                  <c:v>445.20251572327044</c:v>
                </c:pt>
                <c:pt idx="96">
                  <c:v>446.2162264150943</c:v>
                </c:pt>
                <c:pt idx="97">
                  <c:v>447.22993710691821</c:v>
                </c:pt>
                <c:pt idx="98">
                  <c:v>448.24364779874213</c:v>
                </c:pt>
                <c:pt idx="99">
                  <c:v>449.25735849056605</c:v>
                </c:pt>
                <c:pt idx="100">
                  <c:v>450.27106918238991</c:v>
                </c:pt>
                <c:pt idx="101">
                  <c:v>451.28477987421383</c:v>
                </c:pt>
                <c:pt idx="102">
                  <c:v>452.29849056603769</c:v>
                </c:pt>
                <c:pt idx="103">
                  <c:v>453.3122012578616</c:v>
                </c:pt>
                <c:pt idx="104">
                  <c:v>454.32591194968552</c:v>
                </c:pt>
                <c:pt idx="105">
                  <c:v>455.33962264150944</c:v>
                </c:pt>
                <c:pt idx="106">
                  <c:v>456.35333333333335</c:v>
                </c:pt>
                <c:pt idx="107">
                  <c:v>457.36704402515721</c:v>
                </c:pt>
                <c:pt idx="108">
                  <c:v>458.38075471698113</c:v>
                </c:pt>
                <c:pt idx="109">
                  <c:v>459.39446540880499</c:v>
                </c:pt>
                <c:pt idx="110">
                  <c:v>460.40817610062891</c:v>
                </c:pt>
                <c:pt idx="111">
                  <c:v>461.42188679245282</c:v>
                </c:pt>
                <c:pt idx="112">
                  <c:v>462.43559748427674</c:v>
                </c:pt>
                <c:pt idx="113">
                  <c:v>463.4493081761006</c:v>
                </c:pt>
                <c:pt idx="114">
                  <c:v>464.46301886792452</c:v>
                </c:pt>
                <c:pt idx="115">
                  <c:v>465.47672955974838</c:v>
                </c:pt>
                <c:pt idx="116">
                  <c:v>466.49044025157229</c:v>
                </c:pt>
                <c:pt idx="117">
                  <c:v>467.50415094339621</c:v>
                </c:pt>
                <c:pt idx="118">
                  <c:v>468.51786163522013</c:v>
                </c:pt>
                <c:pt idx="119">
                  <c:v>469.53157232704405</c:v>
                </c:pt>
                <c:pt idx="120">
                  <c:v>470.54528301886791</c:v>
                </c:pt>
                <c:pt idx="121">
                  <c:v>471.55899371069182</c:v>
                </c:pt>
                <c:pt idx="122">
                  <c:v>472.57270440251568</c:v>
                </c:pt>
                <c:pt idx="123">
                  <c:v>473.5864150943396</c:v>
                </c:pt>
                <c:pt idx="124">
                  <c:v>474.60012578616352</c:v>
                </c:pt>
                <c:pt idx="125">
                  <c:v>475.61383647798743</c:v>
                </c:pt>
                <c:pt idx="126">
                  <c:v>476.62754716981129</c:v>
                </c:pt>
                <c:pt idx="127">
                  <c:v>477.64125786163521</c:v>
                </c:pt>
                <c:pt idx="128">
                  <c:v>478.65496855345907</c:v>
                </c:pt>
                <c:pt idx="129">
                  <c:v>479.66867924528299</c:v>
                </c:pt>
                <c:pt idx="130">
                  <c:v>480.6823899371069</c:v>
                </c:pt>
                <c:pt idx="131">
                  <c:v>481.69610062893082</c:v>
                </c:pt>
                <c:pt idx="132">
                  <c:v>482.70981132075474</c:v>
                </c:pt>
                <c:pt idx="133">
                  <c:v>483.7235220125786</c:v>
                </c:pt>
                <c:pt idx="134">
                  <c:v>484.73723270440252</c:v>
                </c:pt>
                <c:pt idx="135">
                  <c:v>485.75094339622638</c:v>
                </c:pt>
                <c:pt idx="136">
                  <c:v>486.76465408805029</c:v>
                </c:pt>
                <c:pt idx="137">
                  <c:v>487.77836477987421</c:v>
                </c:pt>
                <c:pt idx="138">
                  <c:v>488.79207547169813</c:v>
                </c:pt>
                <c:pt idx="139">
                  <c:v>489.80578616352199</c:v>
                </c:pt>
                <c:pt idx="140">
                  <c:v>490.8194968553459</c:v>
                </c:pt>
                <c:pt idx="141">
                  <c:v>491.83320754716976</c:v>
                </c:pt>
                <c:pt idx="142">
                  <c:v>492.84691823899368</c:v>
                </c:pt>
                <c:pt idx="143">
                  <c:v>493.8606289308176</c:v>
                </c:pt>
                <c:pt idx="144">
                  <c:v>494.87433962264151</c:v>
                </c:pt>
                <c:pt idx="145">
                  <c:v>495.88805031446543</c:v>
                </c:pt>
                <c:pt idx="146">
                  <c:v>496.90176100628929</c:v>
                </c:pt>
                <c:pt idx="147">
                  <c:v>497.91547169811321</c:v>
                </c:pt>
                <c:pt idx="148">
                  <c:v>498.92918238993707</c:v>
                </c:pt>
                <c:pt idx="149">
                  <c:v>499.94289308176099</c:v>
                </c:pt>
                <c:pt idx="150">
                  <c:v>500.9566037735849</c:v>
                </c:pt>
                <c:pt idx="151">
                  <c:v>501.97031446540882</c:v>
                </c:pt>
                <c:pt idx="152">
                  <c:v>502.98402515723268</c:v>
                </c:pt>
                <c:pt idx="153">
                  <c:v>503.9977358490566</c:v>
                </c:pt>
                <c:pt idx="154">
                  <c:v>505.01144654088046</c:v>
                </c:pt>
                <c:pt idx="155">
                  <c:v>506.02515723270437</c:v>
                </c:pt>
                <c:pt idx="156">
                  <c:v>507.03886792452829</c:v>
                </c:pt>
                <c:pt idx="157">
                  <c:v>508.05257861635221</c:v>
                </c:pt>
                <c:pt idx="158">
                  <c:v>509.06628930817612</c:v>
                </c:pt>
                <c:pt idx="159">
                  <c:v>510.08</c:v>
                </c:pt>
                <c:pt idx="160">
                  <c:v>511.0937106918239</c:v>
                </c:pt>
              </c:numCache>
            </c:numRef>
          </c:val>
          <c:smooth val="0"/>
          <c:extLst>
            <c:ext xmlns:c16="http://schemas.microsoft.com/office/drawing/2014/chart" uri="{C3380CC4-5D6E-409C-BE32-E72D297353CC}">
              <c16:uniqueId val="{00000001-7B75-754E-9D17-8D5755BCA752}"/>
            </c:ext>
          </c:extLst>
        </c:ser>
        <c:dLbls>
          <c:showLegendKey val="0"/>
          <c:showVal val="0"/>
          <c:showCatName val="0"/>
          <c:showSerName val="0"/>
          <c:showPercent val="0"/>
          <c:showBubbleSize val="0"/>
        </c:dLbls>
        <c:hiLowLines>
          <c:spPr>
            <a:ln w="0">
              <a:noFill/>
            </a:ln>
          </c:spPr>
        </c:hiLowLines>
        <c:marker val="1"/>
        <c:smooth val="0"/>
        <c:axId val="45151912"/>
        <c:axId val="15079216"/>
      </c:lineChart>
      <c:dateAx>
        <c:axId val="57635508"/>
        <c:scaling>
          <c:orientation val="minMax"/>
        </c:scaling>
        <c:delete val="1"/>
        <c:axPos val="b"/>
        <c:numFmt formatCode="mm/dd/yyyy" sourceLinked="1"/>
        <c:majorTickMark val="none"/>
        <c:minorTickMark val="none"/>
        <c:tickLblPos val="nextTo"/>
        <c:crossAx val="98949309"/>
        <c:crosses val="autoZero"/>
        <c:auto val="1"/>
        <c:lblOffset val="100"/>
        <c:baseTimeUnit val="days"/>
      </c:dateAx>
      <c:valAx>
        <c:axId val="989493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7635508"/>
        <c:crosses val="autoZero"/>
        <c:crossBetween val="between"/>
      </c:valAx>
      <c:dateAx>
        <c:axId val="45151912"/>
        <c:scaling>
          <c:orientation val="minMax"/>
        </c:scaling>
        <c:delete val="1"/>
        <c:axPos val="b"/>
        <c:numFmt formatCode="mm/dd/yyyy" sourceLinked="1"/>
        <c:majorTickMark val="none"/>
        <c:minorTickMark val="none"/>
        <c:tickLblPos val="nextTo"/>
        <c:crossAx val="15079216"/>
        <c:crosses val="autoZero"/>
        <c:auto val="1"/>
        <c:lblOffset val="100"/>
        <c:baseTimeUnit val="days"/>
      </c:dateAx>
      <c:valAx>
        <c:axId val="150792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515191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(Calc)'!$O$3:$O$500</c:f>
              <c:numCache>
                <c:formatCode>0.0%</c:formatCode>
                <c:ptCount val="498"/>
                <c:pt idx="0">
                  <c:v>-2.9212587969725146E-2</c:v>
                </c:pt>
                <c:pt idx="1">
                  <c:v>1.6413623307345082E-2</c:v>
                </c:pt>
                <c:pt idx="2">
                  <c:v>-3.0143991387431179E-2</c:v>
                </c:pt>
                <c:pt idx="3">
                  <c:v>2.6363257943666785E-3</c:v>
                </c:pt>
                <c:pt idx="4">
                  <c:v>-1.6745087185164764E-2</c:v>
                </c:pt>
                <c:pt idx="5">
                  <c:v>-1.5482054890921804E-2</c:v>
                </c:pt>
                <c:pt idx="6">
                  <c:v>7.1622587562544471E-2</c:v>
                </c:pt>
                <c:pt idx="7">
                  <c:v>-3.415154749199556E-2</c:v>
                </c:pt>
                <c:pt idx="8">
                  <c:v>5.5524861878452958E-2</c:v>
                </c:pt>
                <c:pt idx="9">
                  <c:v>1.3085579691196614E-4</c:v>
                </c:pt>
                <c:pt idx="10">
                  <c:v>3.3494701033625285E-2</c:v>
                </c:pt>
                <c:pt idx="11">
                  <c:v>8.3554880364604678E-3</c:v>
                </c:pt>
                <c:pt idx="12">
                  <c:v>5.4865034526051293E-2</c:v>
                </c:pt>
                <c:pt idx="13">
                  <c:v>2.7731492501785304E-2</c:v>
                </c:pt>
                <c:pt idx="14">
                  <c:v>-3.7058482918355118E-3</c:v>
                </c:pt>
                <c:pt idx="15">
                  <c:v>-2.592119028245965E-2</c:v>
                </c:pt>
                <c:pt idx="16">
                  <c:v>-1.1336515513126533E-2</c:v>
                </c:pt>
                <c:pt idx="17">
                  <c:v>3.0175015087507973E-3</c:v>
                </c:pt>
                <c:pt idx="18">
                  <c:v>2.3586040914560957E-2</c:v>
                </c:pt>
                <c:pt idx="19">
                  <c:v>-1.869268751469555E-2</c:v>
                </c:pt>
                <c:pt idx="20">
                  <c:v>8.9852641667664823E-3</c:v>
                </c:pt>
                <c:pt idx="21">
                  <c:v>7.1241985276655484E-3</c:v>
                </c:pt>
                <c:pt idx="22">
                  <c:v>-3.3011082291910521E-3</c:v>
                </c:pt>
                <c:pt idx="23">
                  <c:v>1.5732197776200607E-2</c:v>
                </c:pt>
                <c:pt idx="24">
                  <c:v>1.1645510655642344E-3</c:v>
                </c:pt>
                <c:pt idx="25">
                  <c:v>-8.4913341863440683E-3</c:v>
                </c:pt>
                <c:pt idx="26">
                  <c:v>2.7334584702017883E-2</c:v>
                </c:pt>
                <c:pt idx="27">
                  <c:v>2.8662784058467672E-2</c:v>
                </c:pt>
                <c:pt idx="28">
                  <c:v>-2.1536412078152711E-2</c:v>
                </c:pt>
                <c:pt idx="29">
                  <c:v>-3.0859995461765322E-2</c:v>
                </c:pt>
                <c:pt idx="30">
                  <c:v>-9.0142823694684404E-3</c:v>
                </c:pt>
                <c:pt idx="31">
                  <c:v>2.4808033077377445E-2</c:v>
                </c:pt>
                <c:pt idx="32">
                  <c:v>6.8011527377522807E-3</c:v>
                </c:pt>
                <c:pt idx="33">
                  <c:v>1.7288756583466736E-2</c:v>
                </c:pt>
                <c:pt idx="34">
                  <c:v>1.1029825548677596E-2</c:v>
                </c:pt>
                <c:pt idx="35">
                  <c:v>-1.4805744183457592E-2</c:v>
                </c:pt>
                <c:pt idx="36">
                  <c:v>1.0734463276836248E-2</c:v>
                </c:pt>
                <c:pt idx="37">
                  <c:v>-3.409726103968691E-2</c:v>
                </c:pt>
                <c:pt idx="38">
                  <c:v>-2.3842592592592582E-2</c:v>
                </c:pt>
                <c:pt idx="39">
                  <c:v>1.0789660896371789E-2</c:v>
                </c:pt>
                <c:pt idx="40">
                  <c:v>1.6656891495601123E-2</c:v>
                </c:pt>
                <c:pt idx="41">
                  <c:v>-1.6499365409022859E-2</c:v>
                </c:pt>
                <c:pt idx="42">
                  <c:v>5.5725011731581509E-2</c:v>
                </c:pt>
                <c:pt idx="43">
                  <c:v>2.6447383042560446E-2</c:v>
                </c:pt>
                <c:pt idx="44">
                  <c:v>3.6267186315903421E-2</c:v>
                </c:pt>
                <c:pt idx="45">
                  <c:v>-7.1458420392812361E-2</c:v>
                </c:pt>
                <c:pt idx="46">
                  <c:v>-1.7664266426642539E-2</c:v>
                </c:pt>
                <c:pt idx="47">
                  <c:v>2.8633604398121681E-2</c:v>
                </c:pt>
                <c:pt idx="48">
                  <c:v>3.1065582897227495E-2</c:v>
                </c:pt>
                <c:pt idx="49">
                  <c:v>5.399568034558655E-4</c:v>
                </c:pt>
                <c:pt idx="50">
                  <c:v>-5.6664867781975214E-2</c:v>
                </c:pt>
                <c:pt idx="51">
                  <c:v>2.8832951945080065E-2</c:v>
                </c:pt>
                <c:pt idx="52">
                  <c:v>3.0249110320284656E-2</c:v>
                </c:pt>
                <c:pt idx="53">
                  <c:v>4.3177892918833116E-4</c:v>
                </c:pt>
                <c:pt idx="54">
                  <c:v>2.8053517479498247E-3</c:v>
                </c:pt>
                <c:pt idx="55">
                  <c:v>1.1943189154293155E-2</c:v>
                </c:pt>
                <c:pt idx="56">
                  <c:v>1.254651780967575E-2</c:v>
                </c:pt>
                <c:pt idx="57">
                  <c:v>-3.328782946550457E-2</c:v>
                </c:pt>
                <c:pt idx="58">
                  <c:v>-2.3897458179448217E-3</c:v>
                </c:pt>
                <c:pt idx="59">
                  <c:v>8.8632404181184565E-2</c:v>
                </c:pt>
                <c:pt idx="60">
                  <c:v>-1.940388077615518E-2</c:v>
                </c:pt>
                <c:pt idx="61">
                  <c:v>3.6515707874337E-2</c:v>
                </c:pt>
                <c:pt idx="62">
                  <c:v>6.7900019681164103E-3</c:v>
                </c:pt>
                <c:pt idx="63">
                  <c:v>-2.0819079268888596E-2</c:v>
                </c:pt>
                <c:pt idx="64">
                  <c:v>-1.2377720103813217E-2</c:v>
                </c:pt>
                <c:pt idx="65">
                  <c:v>-5.387103294926221E-2</c:v>
                </c:pt>
                <c:pt idx="66">
                  <c:v>3.9525691699604515E-3</c:v>
                </c:pt>
                <c:pt idx="67">
                  <c:v>7.8740157480314821E-3</c:v>
                </c:pt>
                <c:pt idx="68">
                  <c:v>-2.6288006756756688E-2</c:v>
                </c:pt>
                <c:pt idx="69">
                  <c:v>4.889949040442354E-2</c:v>
                </c:pt>
                <c:pt idx="70">
                  <c:v>5.0651230101304012E-3</c:v>
                </c:pt>
                <c:pt idx="71">
                  <c:v>-1.5118790496760237E-2</c:v>
                </c:pt>
                <c:pt idx="72">
                  <c:v>-1.1591478696741819E-2</c:v>
                </c:pt>
                <c:pt idx="73">
                  <c:v>3.0639197041730792E-3</c:v>
                </c:pt>
                <c:pt idx="74">
                  <c:v>-3.6549399620813161E-2</c:v>
                </c:pt>
                <c:pt idx="75">
                  <c:v>-1.1260522575707865E-2</c:v>
                </c:pt>
                <c:pt idx="76">
                  <c:v>-4.4891640866873139E-2</c:v>
                </c:pt>
                <c:pt idx="77">
                  <c:v>-1.8754341282704257E-2</c:v>
                </c:pt>
                <c:pt idx="78">
                  <c:v>9.6743747050493933E-3</c:v>
                </c:pt>
                <c:pt idx="79">
                  <c:v>-4.6739892498246505E-3</c:v>
                </c:pt>
                <c:pt idx="80">
                  <c:v>-0.10471941770368631</c:v>
                </c:pt>
                <c:pt idx="81">
                  <c:v>1.2588512981903888E-2</c:v>
                </c:pt>
                <c:pt idx="82">
                  <c:v>1.8648018648018683E-2</c:v>
                </c:pt>
                <c:pt idx="83">
                  <c:v>2.8095601322146058E-2</c:v>
                </c:pt>
                <c:pt idx="84">
                  <c:v>3.3881538271299583E-2</c:v>
                </c:pt>
                <c:pt idx="85">
                  <c:v>1.1601483076187025E-2</c:v>
                </c:pt>
                <c:pt idx="86">
                  <c:v>4.8947741782927379E-2</c:v>
                </c:pt>
                <c:pt idx="87">
                  <c:v>-4.0013525698827768E-2</c:v>
                </c:pt>
                <c:pt idx="88">
                  <c:v>1.1741223435481896E-2</c:v>
                </c:pt>
                <c:pt idx="89">
                  <c:v>1.8451897412092411E-2</c:v>
                </c:pt>
                <c:pt idx="90">
                  <c:v>-6.0391978122151802E-3</c:v>
                </c:pt>
                <c:pt idx="91">
                  <c:v>1.7195918835262169E-3</c:v>
                </c:pt>
                <c:pt idx="92">
                  <c:v>2.5520714122224897E-2</c:v>
                </c:pt>
                <c:pt idx="93">
                  <c:v>4.1624818658631879E-2</c:v>
                </c:pt>
                <c:pt idx="94">
                  <c:v>-1.2856224555389817E-3</c:v>
                </c:pt>
                <c:pt idx="95">
                  <c:v>-1.1800042909246855E-2</c:v>
                </c:pt>
                <c:pt idx="96">
                  <c:v>1.4763352149370412E-2</c:v>
                </c:pt>
                <c:pt idx="97">
                  <c:v>-5.0278134360291049E-2</c:v>
                </c:pt>
                <c:pt idx="98">
                  <c:v>2.3316062176165664E-2</c:v>
                </c:pt>
                <c:pt idx="99">
                  <c:v>2.9829389102916881E-2</c:v>
                </c:pt>
                <c:pt idx="100">
                  <c:v>3.9760581445061893E-2</c:v>
                </c:pt>
                <c:pt idx="101">
                  <c:v>8.4292763157893802E-3</c:v>
                </c:pt>
                <c:pt idx="102">
                  <c:v>1.0907237512742141E-2</c:v>
                </c:pt>
                <c:pt idx="103">
                  <c:v>-7.9661187859232374E-3</c:v>
                </c:pt>
                <c:pt idx="104">
                  <c:v>5.6922138646067211E-3</c:v>
                </c:pt>
                <c:pt idx="105">
                  <c:v>3.0321406913280669E-3</c:v>
                </c:pt>
                <c:pt idx="106">
                  <c:v>1.108424022571608E-3</c:v>
                </c:pt>
                <c:pt idx="107">
                  <c:v>-5.4353296426774E-2</c:v>
                </c:pt>
                <c:pt idx="108">
                  <c:v>1.9584885577434763E-2</c:v>
                </c:pt>
                <c:pt idx="109">
                  <c:v>2.9439398684622642E-2</c:v>
                </c:pt>
                <c:pt idx="110">
                  <c:v>-2.1194605009633993E-2</c:v>
                </c:pt>
                <c:pt idx="111">
                  <c:v>-6.2163282221305849E-4</c:v>
                </c:pt>
                <c:pt idx="112">
                  <c:v>-1.4513788098693414E-3</c:v>
                </c:pt>
                <c:pt idx="113">
                  <c:v>-7.7865448504983448E-3</c:v>
                </c:pt>
                <c:pt idx="114">
                  <c:v>4.436538662760281E-2</c:v>
                </c:pt>
                <c:pt idx="115">
                  <c:v>1.7533313295261088E-2</c:v>
                </c:pt>
                <c:pt idx="116">
                  <c:v>2.146514375738473E-2</c:v>
                </c:pt>
                <c:pt idx="117">
                  <c:v>-9.0611143242721459E-3</c:v>
                </c:pt>
                <c:pt idx="118">
                  <c:v>-8.7548638132295409E-4</c:v>
                </c:pt>
                <c:pt idx="119">
                  <c:v>-5.5496056859116738E-3</c:v>
                </c:pt>
                <c:pt idx="120">
                  <c:v>4.082631682005089E-2</c:v>
                </c:pt>
                <c:pt idx="121">
                  <c:v>1.1005549807167725E-2</c:v>
                </c:pt>
                <c:pt idx="122">
                  <c:v>-1.8608113137341675E-4</c:v>
                </c:pt>
                <c:pt idx="123">
                  <c:v>7.2585147962032082E-3</c:v>
                </c:pt>
                <c:pt idx="124">
                  <c:v>5.413895048041395E-2</c:v>
                </c:pt>
                <c:pt idx="125">
                  <c:v>-2.5416301489920023E-3</c:v>
                </c:pt>
                <c:pt idx="126">
                  <c:v>5.6234074334418072E-3</c:v>
                </c:pt>
                <c:pt idx="127">
                  <c:v>-2.2193097422455232E-2</c:v>
                </c:pt>
                <c:pt idx="128">
                  <c:v>-3.8334375837726697E-2</c:v>
                </c:pt>
                <c:pt idx="129">
                  <c:v>-1.9141423527225476E-2</c:v>
                </c:pt>
                <c:pt idx="130">
                  <c:v>-1.9893899204245225E-3</c:v>
                </c:pt>
                <c:pt idx="131">
                  <c:v>2.9615567157095457E-2</c:v>
                </c:pt>
                <c:pt idx="132">
                  <c:v>2.0097722872683743E-2</c:v>
                </c:pt>
                <c:pt idx="133">
                  <c:v>2.9733393583371015E-2</c:v>
                </c:pt>
                <c:pt idx="134">
                  <c:v>2.4311040898718606E-2</c:v>
                </c:pt>
                <c:pt idx="135">
                  <c:v>1.2252591894439169E-2</c:v>
                </c:pt>
                <c:pt idx="136">
                  <c:v>8.379888268156277E-3</c:v>
                </c:pt>
                <c:pt idx="137">
                  <c:v>-1.0073029463610883E-3</c:v>
                </c:pt>
                <c:pt idx="138">
                  <c:v>-2.1594823964372845E-2</c:v>
                </c:pt>
                <c:pt idx="139">
                  <c:v>2.370319477842675E-2</c:v>
                </c:pt>
                <c:pt idx="140">
                  <c:v>1.677852348993536E-4</c:v>
                </c:pt>
                <c:pt idx="141">
                  <c:v>-2.9357490353967286E-3</c:v>
                </c:pt>
                <c:pt idx="142">
                  <c:v>4.2904012787078338E-2</c:v>
                </c:pt>
                <c:pt idx="143">
                  <c:v>-1.9117528434298703E-2</c:v>
                </c:pt>
                <c:pt idx="144">
                  <c:v>2.409539473684208E-2</c:v>
                </c:pt>
                <c:pt idx="145">
                  <c:v>-1.1402874809282926E-2</c:v>
                </c:pt>
                <c:pt idx="146">
                  <c:v>3.5740394768906114E-3</c:v>
                </c:pt>
                <c:pt idx="147">
                  <c:v>1.1250505868069638E-2</c:v>
                </c:pt>
                <c:pt idx="148">
                  <c:v>-5.6026892908589421E-4</c:v>
                </c:pt>
                <c:pt idx="149">
                  <c:v>0</c:v>
                </c:pt>
                <c:pt idx="150">
                  <c:v>1.2813325858893165E-2</c:v>
                </c:pt>
                <c:pt idx="151">
                  <c:v>1.4548904878627367E-2</c:v>
                </c:pt>
                <c:pt idx="152">
                  <c:v>-1.7691528329826123E-2</c:v>
                </c:pt>
                <c:pt idx="153">
                  <c:v>-6.9819105046018404E-3</c:v>
                </c:pt>
                <c:pt idx="154">
                  <c:v>1.0866091403004097E-2</c:v>
                </c:pt>
                <c:pt idx="155">
                  <c:v>-1.5965855200758772E-2</c:v>
                </c:pt>
                <c:pt idx="156">
                  <c:v>-2.0401606425702878E-2</c:v>
                </c:pt>
                <c:pt idx="157">
                  <c:v>-1.2709084945883853E-2</c:v>
                </c:pt>
                <c:pt idx="158">
                  <c:v>-3.1558840627854412E-3</c:v>
                </c:pt>
                <c:pt idx="159">
                  <c:v>-3.2491877030742522E-3</c:v>
                </c:pt>
                <c:pt idx="160">
                  <c:v>0</c:v>
                </c:pt>
              </c:numCache>
            </c:numRef>
          </c:val>
          <c:extLst>
            <c:ext xmlns:c16="http://schemas.microsoft.com/office/drawing/2014/chart" uri="{C3380CC4-5D6E-409C-BE32-E72D297353CC}">
              <c16:uniqueId val="{00000000-599A-D44A-A340-19A7E51C53DB}"/>
            </c:ext>
          </c:extLst>
        </c:ser>
        <c:dLbls>
          <c:showLegendKey val="0"/>
          <c:showVal val="0"/>
          <c:showCatName val="0"/>
          <c:showSerName val="0"/>
          <c:showPercent val="0"/>
          <c:showBubbleSize val="0"/>
        </c:dLbls>
        <c:gapWidth val="150"/>
        <c:axId val="74458039"/>
        <c:axId val="17969525"/>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(Calc)'!$AJ$3:$AJ$500</c:f>
              <c:numCache>
                <c:formatCode>#,##0.00</c:formatCode>
                <c:ptCount val="498"/>
                <c:pt idx="0">
                  <c:v>75.31</c:v>
                </c:pt>
                <c:pt idx="1">
                  <c:v>75.58880503144654</c:v>
                </c:pt>
                <c:pt idx="2">
                  <c:v>75.867610062893078</c:v>
                </c:pt>
                <c:pt idx="3">
                  <c:v>76.146415094339631</c:v>
                </c:pt>
                <c:pt idx="4">
                  <c:v>76.425220125786169</c:v>
                </c:pt>
                <c:pt idx="5">
                  <c:v>76.704025157232707</c:v>
                </c:pt>
                <c:pt idx="6">
                  <c:v>76.982830188679245</c:v>
                </c:pt>
                <c:pt idx="7">
                  <c:v>77.261635220125783</c:v>
                </c:pt>
                <c:pt idx="8">
                  <c:v>77.540440251572335</c:v>
                </c:pt>
                <c:pt idx="9">
                  <c:v>77.819245283018873</c:v>
                </c:pt>
                <c:pt idx="10">
                  <c:v>78.098050314465411</c:v>
                </c:pt>
                <c:pt idx="11">
                  <c:v>78.376855345911949</c:v>
                </c:pt>
                <c:pt idx="12">
                  <c:v>78.655660377358487</c:v>
                </c:pt>
                <c:pt idx="13">
                  <c:v>78.934465408805039</c:v>
                </c:pt>
                <c:pt idx="14">
                  <c:v>79.213270440251577</c:v>
                </c:pt>
                <c:pt idx="15">
                  <c:v>79.492075471698115</c:v>
                </c:pt>
                <c:pt idx="16">
                  <c:v>79.770880503144653</c:v>
                </c:pt>
                <c:pt idx="17">
                  <c:v>80.049685534591191</c:v>
                </c:pt>
                <c:pt idx="18">
                  <c:v>80.328490566037743</c:v>
                </c:pt>
                <c:pt idx="19">
                  <c:v>80.607295597484281</c:v>
                </c:pt>
                <c:pt idx="20">
                  <c:v>80.886100628930819</c:v>
                </c:pt>
                <c:pt idx="21">
                  <c:v>81.164905660377357</c:v>
                </c:pt>
                <c:pt idx="22">
                  <c:v>81.443710691823895</c:v>
                </c:pt>
                <c:pt idx="23">
                  <c:v>81.722515723270448</c:v>
                </c:pt>
                <c:pt idx="24">
                  <c:v>82.001320754716986</c:v>
                </c:pt>
                <c:pt idx="25">
                  <c:v>82.280125786163524</c:v>
                </c:pt>
                <c:pt idx="26">
                  <c:v>82.558930817610062</c:v>
                </c:pt>
                <c:pt idx="27">
                  <c:v>82.8377358490566</c:v>
                </c:pt>
                <c:pt idx="28">
                  <c:v>83.116540880503152</c:v>
                </c:pt>
                <c:pt idx="29">
                  <c:v>83.39534591194969</c:v>
                </c:pt>
                <c:pt idx="30">
                  <c:v>83.674150943396228</c:v>
                </c:pt>
                <c:pt idx="31">
                  <c:v>83.952955974842766</c:v>
                </c:pt>
                <c:pt idx="32">
                  <c:v>84.231761006289304</c:v>
                </c:pt>
                <c:pt idx="33">
                  <c:v>84.510566037735856</c:v>
                </c:pt>
                <c:pt idx="34">
                  <c:v>84.789371069182394</c:v>
                </c:pt>
                <c:pt idx="35">
                  <c:v>85.068176100628932</c:v>
                </c:pt>
                <c:pt idx="36">
                  <c:v>85.34698113207547</c:v>
                </c:pt>
                <c:pt idx="37">
                  <c:v>85.625786163522008</c:v>
                </c:pt>
                <c:pt idx="38">
                  <c:v>85.90459119496856</c:v>
                </c:pt>
                <c:pt idx="39">
                  <c:v>86.183396226415098</c:v>
                </c:pt>
                <c:pt idx="40">
                  <c:v>86.462201257861636</c:v>
                </c:pt>
                <c:pt idx="41">
                  <c:v>86.741006289308174</c:v>
                </c:pt>
                <c:pt idx="42">
                  <c:v>87.019811320754712</c:v>
                </c:pt>
                <c:pt idx="43">
                  <c:v>87.298616352201265</c:v>
                </c:pt>
                <c:pt idx="44">
                  <c:v>87.577421383647803</c:v>
                </c:pt>
                <c:pt idx="45">
                  <c:v>87.856226415094341</c:v>
                </c:pt>
                <c:pt idx="46">
                  <c:v>88.135031446540879</c:v>
                </c:pt>
                <c:pt idx="47">
                  <c:v>88.413836477987417</c:v>
                </c:pt>
                <c:pt idx="48">
                  <c:v>88.692641509433969</c:v>
                </c:pt>
                <c:pt idx="49">
                  <c:v>88.971446540880507</c:v>
                </c:pt>
                <c:pt idx="50">
                  <c:v>89.250251572327045</c:v>
                </c:pt>
                <c:pt idx="51">
                  <c:v>89.529056603773583</c:v>
                </c:pt>
                <c:pt idx="52">
                  <c:v>89.807861635220121</c:v>
                </c:pt>
                <c:pt idx="53">
                  <c:v>90.086666666666673</c:v>
                </c:pt>
                <c:pt idx="54">
                  <c:v>90.365471698113211</c:v>
                </c:pt>
                <c:pt idx="55">
                  <c:v>90.644276729559749</c:v>
                </c:pt>
                <c:pt idx="56">
                  <c:v>90.923081761006287</c:v>
                </c:pt>
                <c:pt idx="57">
                  <c:v>91.201886792452825</c:v>
                </c:pt>
                <c:pt idx="58">
                  <c:v>91.480691823899377</c:v>
                </c:pt>
                <c:pt idx="59">
                  <c:v>91.759496855345915</c:v>
                </c:pt>
                <c:pt idx="60">
                  <c:v>92.038301886792453</c:v>
                </c:pt>
                <c:pt idx="61">
                  <c:v>92.317106918238991</c:v>
                </c:pt>
                <c:pt idx="62">
                  <c:v>92.595911949685529</c:v>
                </c:pt>
                <c:pt idx="63">
                  <c:v>92.874716981132082</c:v>
                </c:pt>
                <c:pt idx="64">
                  <c:v>93.15352201257862</c:v>
                </c:pt>
                <c:pt idx="65">
                  <c:v>93.432327044025158</c:v>
                </c:pt>
                <c:pt idx="66">
                  <c:v>93.711132075471696</c:v>
                </c:pt>
                <c:pt idx="67">
                  <c:v>93.989937106918234</c:v>
                </c:pt>
                <c:pt idx="68">
                  <c:v>94.268742138364786</c:v>
                </c:pt>
                <c:pt idx="69">
                  <c:v>94.547547169811324</c:v>
                </c:pt>
                <c:pt idx="70">
                  <c:v>94.826352201257862</c:v>
                </c:pt>
                <c:pt idx="71">
                  <c:v>95.1051572327044</c:v>
                </c:pt>
                <c:pt idx="72">
                  <c:v>95.383962264150938</c:v>
                </c:pt>
                <c:pt idx="73">
                  <c:v>95.66276729559749</c:v>
                </c:pt>
                <c:pt idx="74">
                  <c:v>95.941572327044028</c:v>
                </c:pt>
                <c:pt idx="75">
                  <c:v>96.220377358490566</c:v>
                </c:pt>
                <c:pt idx="76">
                  <c:v>96.499182389937104</c:v>
                </c:pt>
                <c:pt idx="77">
                  <c:v>96.777987421383642</c:v>
                </c:pt>
                <c:pt idx="78">
                  <c:v>97.056792452830194</c:v>
                </c:pt>
                <c:pt idx="79">
                  <c:v>97.335597484276732</c:v>
                </c:pt>
                <c:pt idx="80">
                  <c:v>97.61440251572327</c:v>
                </c:pt>
                <c:pt idx="81">
                  <c:v>97.893207547169808</c:v>
                </c:pt>
                <c:pt idx="82">
                  <c:v>98.172012578616346</c:v>
                </c:pt>
                <c:pt idx="83">
                  <c:v>98.450817610062899</c:v>
                </c:pt>
                <c:pt idx="84">
                  <c:v>98.729622641509437</c:v>
                </c:pt>
                <c:pt idx="85">
                  <c:v>99.008427672955975</c:v>
                </c:pt>
                <c:pt idx="86">
                  <c:v>99.287232704402513</c:v>
                </c:pt>
                <c:pt idx="87">
                  <c:v>99.566037735849051</c:v>
                </c:pt>
                <c:pt idx="88">
                  <c:v>99.844842767295603</c:v>
                </c:pt>
                <c:pt idx="89">
                  <c:v>100.12364779874214</c:v>
                </c:pt>
                <c:pt idx="90">
                  <c:v>100.40245283018868</c:v>
                </c:pt>
                <c:pt idx="91">
                  <c:v>100.68125786163522</c:v>
                </c:pt>
                <c:pt idx="92">
                  <c:v>100.96006289308175</c:v>
                </c:pt>
                <c:pt idx="93">
                  <c:v>101.23886792452831</c:v>
                </c:pt>
                <c:pt idx="94">
                  <c:v>101.51767295597485</c:v>
                </c:pt>
                <c:pt idx="95">
                  <c:v>101.79647798742138</c:v>
                </c:pt>
                <c:pt idx="96">
                  <c:v>102.07528301886794</c:v>
                </c:pt>
                <c:pt idx="97">
                  <c:v>102.35408805031447</c:v>
                </c:pt>
                <c:pt idx="98">
                  <c:v>102.63289308176101</c:v>
                </c:pt>
                <c:pt idx="99">
                  <c:v>102.91169811320755</c:v>
                </c:pt>
                <c:pt idx="100">
                  <c:v>103.19050314465409</c:v>
                </c:pt>
                <c:pt idx="101">
                  <c:v>103.46930817610063</c:v>
                </c:pt>
                <c:pt idx="102">
                  <c:v>103.74811320754716</c:v>
                </c:pt>
                <c:pt idx="103">
                  <c:v>104.02691823899372</c:v>
                </c:pt>
                <c:pt idx="104">
                  <c:v>104.30572327044025</c:v>
                </c:pt>
                <c:pt idx="105">
                  <c:v>104.58452830188679</c:v>
                </c:pt>
                <c:pt idx="106">
                  <c:v>104.86333333333333</c:v>
                </c:pt>
                <c:pt idx="107">
                  <c:v>105.14213836477987</c:v>
                </c:pt>
                <c:pt idx="108">
                  <c:v>105.42094339622642</c:v>
                </c:pt>
                <c:pt idx="109">
                  <c:v>105.69974842767296</c:v>
                </c:pt>
                <c:pt idx="110">
                  <c:v>105.9785534591195</c:v>
                </c:pt>
                <c:pt idx="111">
                  <c:v>106.25735849056605</c:v>
                </c:pt>
                <c:pt idx="112">
                  <c:v>106.53616352201259</c:v>
                </c:pt>
                <c:pt idx="113">
                  <c:v>106.81496855345912</c:v>
                </c:pt>
                <c:pt idx="114">
                  <c:v>107.09377358490566</c:v>
                </c:pt>
                <c:pt idx="115">
                  <c:v>107.3725786163522</c:v>
                </c:pt>
                <c:pt idx="116">
                  <c:v>107.65138364779875</c:v>
                </c:pt>
                <c:pt idx="117">
                  <c:v>107.93018867924528</c:v>
                </c:pt>
                <c:pt idx="118">
                  <c:v>108.20899371069183</c:v>
                </c:pt>
                <c:pt idx="119">
                  <c:v>108.48779874213837</c:v>
                </c:pt>
                <c:pt idx="120">
                  <c:v>108.7666037735849</c:v>
                </c:pt>
                <c:pt idx="121">
                  <c:v>109.04540880503144</c:v>
                </c:pt>
                <c:pt idx="122">
                  <c:v>109.32421383647798</c:v>
                </c:pt>
                <c:pt idx="123">
                  <c:v>109.60301886792453</c:v>
                </c:pt>
                <c:pt idx="124">
                  <c:v>109.88182389937107</c:v>
                </c:pt>
                <c:pt idx="125">
                  <c:v>110.16062893081761</c:v>
                </c:pt>
                <c:pt idx="126">
                  <c:v>110.43943396226416</c:v>
                </c:pt>
                <c:pt idx="127">
                  <c:v>110.71823899371068</c:v>
                </c:pt>
                <c:pt idx="128">
                  <c:v>110.99704402515724</c:v>
                </c:pt>
                <c:pt idx="129">
                  <c:v>111.27584905660378</c:v>
                </c:pt>
                <c:pt idx="130">
                  <c:v>111.55465408805031</c:v>
                </c:pt>
                <c:pt idx="131">
                  <c:v>111.83345911949687</c:v>
                </c:pt>
                <c:pt idx="132">
                  <c:v>112.11226415094339</c:v>
                </c:pt>
                <c:pt idx="133">
                  <c:v>112.39106918238994</c:v>
                </c:pt>
                <c:pt idx="134">
                  <c:v>112.66987421383648</c:v>
                </c:pt>
                <c:pt idx="135">
                  <c:v>112.94867924528302</c:v>
                </c:pt>
                <c:pt idx="136">
                  <c:v>113.22748427672957</c:v>
                </c:pt>
                <c:pt idx="137">
                  <c:v>113.50628930817609</c:v>
                </c:pt>
                <c:pt idx="138">
                  <c:v>113.78509433962265</c:v>
                </c:pt>
                <c:pt idx="139">
                  <c:v>114.06389937106918</c:v>
                </c:pt>
                <c:pt idx="140">
                  <c:v>114.34270440251572</c:v>
                </c:pt>
                <c:pt idx="141">
                  <c:v>114.62150943396227</c:v>
                </c:pt>
                <c:pt idx="142">
                  <c:v>114.9003144654088</c:v>
                </c:pt>
                <c:pt idx="143">
                  <c:v>115.17911949685535</c:v>
                </c:pt>
                <c:pt idx="144">
                  <c:v>115.45792452830189</c:v>
                </c:pt>
                <c:pt idx="145">
                  <c:v>115.73672955974843</c:v>
                </c:pt>
                <c:pt idx="146">
                  <c:v>116.01553459119496</c:v>
                </c:pt>
                <c:pt idx="147">
                  <c:v>116.2943396226415</c:v>
                </c:pt>
                <c:pt idx="148">
                  <c:v>116.57314465408805</c:v>
                </c:pt>
                <c:pt idx="149">
                  <c:v>116.85194968553459</c:v>
                </c:pt>
                <c:pt idx="150">
                  <c:v>117.13075471698113</c:v>
                </c:pt>
                <c:pt idx="151">
                  <c:v>117.40955974842768</c:v>
                </c:pt>
                <c:pt idx="152">
                  <c:v>117.68836477987421</c:v>
                </c:pt>
                <c:pt idx="153">
                  <c:v>117.96716981132076</c:v>
                </c:pt>
                <c:pt idx="154">
                  <c:v>118.2459748427673</c:v>
                </c:pt>
                <c:pt idx="155">
                  <c:v>118.52477987421383</c:v>
                </c:pt>
                <c:pt idx="156">
                  <c:v>118.80358490566039</c:v>
                </c:pt>
                <c:pt idx="157">
                  <c:v>119.08238993710691</c:v>
                </c:pt>
                <c:pt idx="158">
                  <c:v>119.36119496855346</c:v>
                </c:pt>
                <c:pt idx="159">
                  <c:v>119.64</c:v>
                </c:pt>
                <c:pt idx="160">
                  <c:v>119.91880503144654</c:v>
                </c:pt>
              </c:numCache>
            </c:numRef>
          </c:val>
          <c:smooth val="0"/>
          <c:extLst>
            <c:ext xmlns:c16="http://schemas.microsoft.com/office/drawing/2014/chart" uri="{C3380CC4-5D6E-409C-BE32-E72D297353CC}">
              <c16:uniqueId val="{00000001-599A-D44A-A340-19A7E51C53DB}"/>
            </c:ext>
          </c:extLst>
        </c:ser>
        <c:dLbls>
          <c:showLegendKey val="0"/>
          <c:showVal val="0"/>
          <c:showCatName val="0"/>
          <c:showSerName val="0"/>
          <c:showPercent val="0"/>
          <c:showBubbleSize val="0"/>
        </c:dLbls>
        <c:hiLowLines>
          <c:spPr>
            <a:ln w="0">
              <a:noFill/>
            </a:ln>
          </c:spPr>
        </c:hiLowLines>
        <c:marker val="1"/>
        <c:smooth val="0"/>
        <c:axId val="97269477"/>
        <c:axId val="1868260"/>
      </c:lineChart>
      <c:dateAx>
        <c:axId val="74458039"/>
        <c:scaling>
          <c:orientation val="minMax"/>
        </c:scaling>
        <c:delete val="1"/>
        <c:axPos val="b"/>
        <c:numFmt formatCode="mm/dd/yyyy" sourceLinked="1"/>
        <c:majorTickMark val="none"/>
        <c:minorTickMark val="none"/>
        <c:tickLblPos val="nextTo"/>
        <c:crossAx val="17969525"/>
        <c:crosses val="autoZero"/>
        <c:auto val="1"/>
        <c:lblOffset val="100"/>
        <c:baseTimeUnit val="days"/>
      </c:dateAx>
      <c:valAx>
        <c:axId val="179695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4458039"/>
        <c:crosses val="autoZero"/>
        <c:crossBetween val="between"/>
      </c:valAx>
      <c:dateAx>
        <c:axId val="97269477"/>
        <c:scaling>
          <c:orientation val="minMax"/>
        </c:scaling>
        <c:delete val="1"/>
        <c:axPos val="b"/>
        <c:numFmt formatCode="mm/dd/yyyy" sourceLinked="1"/>
        <c:majorTickMark val="none"/>
        <c:minorTickMark val="none"/>
        <c:tickLblPos val="nextTo"/>
        <c:crossAx val="1868260"/>
        <c:crosses val="autoZero"/>
        <c:auto val="1"/>
        <c:lblOffset val="100"/>
        <c:baseTimeUnit val="days"/>
      </c:dateAx>
      <c:valAx>
        <c:axId val="18682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726947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(Calc)'!$Q$3:$Q$500</c:f>
              <c:numCache>
                <c:formatCode>0.0%</c:formatCode>
                <c:ptCount val="498"/>
                <c:pt idx="0">
                  <c:v>0</c:v>
                </c:pt>
                <c:pt idx="1">
                  <c:v>0</c:v>
                </c:pt>
                <c:pt idx="2">
                  <c:v>3.2719836400818547E-3</c:v>
                </c:pt>
                <c:pt idx="3">
                  <c:v>3.4651447207501018E-3</c:v>
                </c:pt>
                <c:pt idx="4">
                  <c:v>-1.137517773715202E-2</c:v>
                </c:pt>
                <c:pt idx="5">
                  <c:v>-1.7259091843024543E-2</c:v>
                </c:pt>
                <c:pt idx="6">
                  <c:v>4.035124398912826E-2</c:v>
                </c:pt>
                <c:pt idx="7">
                  <c:v>1.0048231511254002E-2</c:v>
                </c:pt>
                <c:pt idx="8">
                  <c:v>1.2932749701551893E-2</c:v>
                </c:pt>
                <c:pt idx="9">
                  <c:v>4.3213514044393442E-3</c:v>
                </c:pt>
                <c:pt idx="10">
                  <c:v>9.7789947193427373E-4</c:v>
                </c:pt>
                <c:pt idx="11">
                  <c:v>3.71238765142623E-3</c:v>
                </c:pt>
                <c:pt idx="12">
                  <c:v>9.1493089351761814E-3</c:v>
                </c:pt>
                <c:pt idx="13">
                  <c:v>1.1574074074072183E-3</c:v>
                </c:pt>
                <c:pt idx="14">
                  <c:v>1.734104046242857E-3</c:v>
                </c:pt>
                <c:pt idx="15">
                  <c:v>-4.4239276783997195E-3</c:v>
                </c:pt>
                <c:pt idx="16">
                  <c:v>9.8531684698610622E-3</c:v>
                </c:pt>
                <c:pt idx="17">
                  <c:v>5.9307442127414234E-3</c:v>
                </c:pt>
                <c:pt idx="18">
                  <c:v>6.2761506276149959E-3</c:v>
                </c:pt>
                <c:pt idx="19">
                  <c:v>1.41750141750141E-2</c:v>
                </c:pt>
                <c:pt idx="20">
                  <c:v>4.2862467387254632E-3</c:v>
                </c:pt>
                <c:pt idx="21">
                  <c:v>-5.5668955279272181E-3</c:v>
                </c:pt>
                <c:pt idx="22">
                  <c:v>7.6506810972196693E-3</c:v>
                </c:pt>
                <c:pt idx="23">
                  <c:v>6.2962962962964664E-3</c:v>
                </c:pt>
                <c:pt idx="24">
                  <c:v>5.5207949944779955E-4</c:v>
                </c:pt>
                <c:pt idx="25">
                  <c:v>1.8392495861707658E-4</c:v>
                </c:pt>
                <c:pt idx="26">
                  <c:v>1.2136815005516777E-2</c:v>
                </c:pt>
                <c:pt idx="27">
                  <c:v>7.2674418604656843E-4</c:v>
                </c:pt>
                <c:pt idx="28">
                  <c:v>-3.8126361655773655E-3</c:v>
                </c:pt>
                <c:pt idx="29">
                  <c:v>-6.3787133223982551E-3</c:v>
                </c:pt>
                <c:pt idx="30">
                  <c:v>-1.9442406456346317E-2</c:v>
                </c:pt>
                <c:pt idx="31">
                  <c:v>2.0576131687242816E-2</c:v>
                </c:pt>
                <c:pt idx="32">
                  <c:v>4.2155425219940756E-3</c:v>
                </c:pt>
                <c:pt idx="33">
                  <c:v>1.5513779886840773E-2</c:v>
                </c:pt>
                <c:pt idx="34">
                  <c:v>1.078360891444996E-2</c:v>
                </c:pt>
                <c:pt idx="35">
                  <c:v>1.0668563300142431E-3</c:v>
                </c:pt>
                <c:pt idx="36">
                  <c:v>-2.6642984014209059E-3</c:v>
                </c:pt>
                <c:pt idx="37">
                  <c:v>1.1041852181656431E-2</c:v>
                </c:pt>
                <c:pt idx="38">
                  <c:v>9.1597674828254316E-3</c:v>
                </c:pt>
                <c:pt idx="39">
                  <c:v>3.1419095828242316E-3</c:v>
                </c:pt>
                <c:pt idx="40">
                  <c:v>4.1760918740212372E-3</c:v>
                </c:pt>
                <c:pt idx="41">
                  <c:v>7.1044879570265618E-3</c:v>
                </c:pt>
                <c:pt idx="42">
                  <c:v>3.4411562284928365E-3</c:v>
                </c:pt>
                <c:pt idx="43">
                  <c:v>-6.6872427983538651E-3</c:v>
                </c:pt>
                <c:pt idx="44">
                  <c:v>-4.1429311237700661E-3</c:v>
                </c:pt>
                <c:pt idx="45">
                  <c:v>-1.0747096550528634E-2</c:v>
                </c:pt>
                <c:pt idx="46">
                  <c:v>7.0089363939018767E-4</c:v>
                </c:pt>
                <c:pt idx="47">
                  <c:v>2.6090001751006842E-2</c:v>
                </c:pt>
                <c:pt idx="48">
                  <c:v>8.8737201365187701E-3</c:v>
                </c:pt>
                <c:pt idx="49">
                  <c:v>3.5520974289580121E-3</c:v>
                </c:pt>
                <c:pt idx="50">
                  <c:v>-2.696780718017866E-2</c:v>
                </c:pt>
                <c:pt idx="51">
                  <c:v>2.5983024424042878E-2</c:v>
                </c:pt>
                <c:pt idx="52">
                  <c:v>8.2728347121392432E-3</c:v>
                </c:pt>
                <c:pt idx="53">
                  <c:v>6.8653717347622045E-3</c:v>
                </c:pt>
                <c:pt idx="54">
                  <c:v>1.3304506901712365E-3</c:v>
                </c:pt>
                <c:pt idx="55">
                  <c:v>8.1381830260753851E-3</c:v>
                </c:pt>
                <c:pt idx="56">
                  <c:v>8.2372322899506578E-3</c:v>
                </c:pt>
                <c:pt idx="57">
                  <c:v>-2.7777777777777679E-3</c:v>
                </c:pt>
                <c:pt idx="58">
                  <c:v>-8.8481074881205934E-3</c:v>
                </c:pt>
                <c:pt idx="59">
                  <c:v>2.4301537444205712E-2</c:v>
                </c:pt>
                <c:pt idx="60">
                  <c:v>-9.5222724338283049E-3</c:v>
                </c:pt>
                <c:pt idx="61">
                  <c:v>7.4955189832166536E-3</c:v>
                </c:pt>
                <c:pt idx="62">
                  <c:v>6.145883875141589E-3</c:v>
                </c:pt>
                <c:pt idx="63">
                  <c:v>3.6971547982638242E-3</c:v>
                </c:pt>
                <c:pt idx="64">
                  <c:v>-1.7616912235746129E-3</c:v>
                </c:pt>
                <c:pt idx="65">
                  <c:v>-1.2193165409914886E-2</c:v>
                </c:pt>
                <c:pt idx="66">
                  <c:v>6.4966704563911293E-3</c:v>
                </c:pt>
                <c:pt idx="67">
                  <c:v>-4.0342101016620502E-3</c:v>
                </c:pt>
                <c:pt idx="68">
                  <c:v>-1.2151652624756926E-2</c:v>
                </c:pt>
                <c:pt idx="69">
                  <c:v>1.7221584385763489E-2</c:v>
                </c:pt>
                <c:pt idx="70">
                  <c:v>1.0319251854240541E-2</c:v>
                </c:pt>
                <c:pt idx="71">
                  <c:v>-8.6179380785189608E-3</c:v>
                </c:pt>
                <c:pt idx="72">
                  <c:v>-6.4391500321958617E-4</c:v>
                </c:pt>
                <c:pt idx="73">
                  <c:v>1.0470360824742286E-2</c:v>
                </c:pt>
                <c:pt idx="74">
                  <c:v>-8.9271480950102733E-3</c:v>
                </c:pt>
                <c:pt idx="75">
                  <c:v>-6.4339713688273958E-3</c:v>
                </c:pt>
                <c:pt idx="76">
                  <c:v>-1.748421563865965E-2</c:v>
                </c:pt>
                <c:pt idx="77">
                  <c:v>-1.4170374031965749E-2</c:v>
                </c:pt>
                <c:pt idx="78">
                  <c:v>-2.0056827678421874E-3</c:v>
                </c:pt>
                <c:pt idx="79">
                  <c:v>-1.1555853290906026E-2</c:v>
                </c:pt>
                <c:pt idx="80">
                  <c:v>-3.8800406641816387E-2</c:v>
                </c:pt>
                <c:pt idx="81">
                  <c:v>1.8861272695223086E-2</c:v>
                </c:pt>
                <c:pt idx="82">
                  <c:v>-6.0553633217992342E-3</c:v>
                </c:pt>
                <c:pt idx="83">
                  <c:v>1.7754569190600478E-2</c:v>
                </c:pt>
                <c:pt idx="84">
                  <c:v>1.641867624422777E-2</c:v>
                </c:pt>
                <c:pt idx="85">
                  <c:v>-2.5239777889953796E-3</c:v>
                </c:pt>
                <c:pt idx="86">
                  <c:v>2.9352226720647856E-2</c:v>
                </c:pt>
                <c:pt idx="87">
                  <c:v>-1.6551950180268893E-2</c:v>
                </c:pt>
                <c:pt idx="88">
                  <c:v>1.0831528078653507E-2</c:v>
                </c:pt>
                <c:pt idx="89">
                  <c:v>9.7263435542367382E-3</c:v>
                </c:pt>
                <c:pt idx="90">
                  <c:v>-1.6326530612242873E-4</c:v>
                </c:pt>
                <c:pt idx="91">
                  <c:v>8.1645983017630819E-4</c:v>
                </c:pt>
                <c:pt idx="92">
                  <c:v>1.2400065263501459E-2</c:v>
                </c:pt>
                <c:pt idx="93">
                  <c:v>6.6075745366640515E-3</c:v>
                </c:pt>
                <c:pt idx="94">
                  <c:v>1.6010246557798258E-3</c:v>
                </c:pt>
                <c:pt idx="95">
                  <c:v>3.5166240409207905E-3</c:v>
                </c:pt>
                <c:pt idx="96">
                  <c:v>2.2300095571838874E-3</c:v>
                </c:pt>
                <c:pt idx="97">
                  <c:v>-1.0489510489510523E-2</c:v>
                </c:pt>
                <c:pt idx="98">
                  <c:v>1.1564407324124559E-2</c:v>
                </c:pt>
                <c:pt idx="99">
                  <c:v>7.3039060019053359E-3</c:v>
                </c:pt>
                <c:pt idx="100">
                  <c:v>3.6254728877680442E-3</c:v>
                </c:pt>
                <c:pt idx="101">
                  <c:v>1.5705983979885652E-4</c:v>
                </c:pt>
                <c:pt idx="102">
                  <c:v>2.1984924623115187E-3</c:v>
                </c:pt>
                <c:pt idx="103">
                  <c:v>8.4612973989344198E-3</c:v>
                </c:pt>
                <c:pt idx="104">
                  <c:v>2.0198881292727844E-3</c:v>
                </c:pt>
                <c:pt idx="105">
                  <c:v>3.1012560086840502E-4</c:v>
                </c:pt>
                <c:pt idx="106">
                  <c:v>3.2553092543790019E-3</c:v>
                </c:pt>
                <c:pt idx="107">
                  <c:v>-1.2669962917181699E-2</c:v>
                </c:pt>
                <c:pt idx="108">
                  <c:v>9.8591549295774517E-3</c:v>
                </c:pt>
                <c:pt idx="109">
                  <c:v>1.0072834340616899E-2</c:v>
                </c:pt>
                <c:pt idx="110">
                  <c:v>6.1368517950288748E-4</c:v>
                </c:pt>
                <c:pt idx="111">
                  <c:v>-5.0597976080956064E-3</c:v>
                </c:pt>
                <c:pt idx="112">
                  <c:v>1.5410695022344267E-3</c:v>
                </c:pt>
                <c:pt idx="113">
                  <c:v>-8.9244499153715573E-3</c:v>
                </c:pt>
                <c:pt idx="114">
                  <c:v>2.1735755317497274E-2</c:v>
                </c:pt>
                <c:pt idx="115">
                  <c:v>2.2792888618750062E-3</c:v>
                </c:pt>
                <c:pt idx="116">
                  <c:v>-1.2128562765312267E-3</c:v>
                </c:pt>
                <c:pt idx="117">
                  <c:v>2.2768670309654127E-3</c:v>
                </c:pt>
                <c:pt idx="118">
                  <c:v>1.0601241859760746E-2</c:v>
                </c:pt>
                <c:pt idx="119">
                  <c:v>-8.242169938558308E-3</c:v>
                </c:pt>
                <c:pt idx="120">
                  <c:v>9.0661831368992196E-3</c:v>
                </c:pt>
                <c:pt idx="121">
                  <c:v>-4.4923629829289879E-3</c:v>
                </c:pt>
                <c:pt idx="122">
                  <c:v>-3.0084235860428077E-4</c:v>
                </c:pt>
                <c:pt idx="123">
                  <c:v>3.6111947035812886E-3</c:v>
                </c:pt>
                <c:pt idx="124">
                  <c:v>2.8485757121439192E-3</c:v>
                </c:pt>
                <c:pt idx="125">
                  <c:v>-8.6709523097622254E-3</c:v>
                </c:pt>
                <c:pt idx="126">
                  <c:v>6.7863067410647293E-3</c:v>
                </c:pt>
                <c:pt idx="127">
                  <c:v>-5.6920311563811721E-3</c:v>
                </c:pt>
                <c:pt idx="128">
                  <c:v>-1.1298583910816506E-2</c:v>
                </c:pt>
                <c:pt idx="129">
                  <c:v>-1.3408502209355411E-2</c:v>
                </c:pt>
                <c:pt idx="130">
                  <c:v>-1.1119691119691133E-2</c:v>
                </c:pt>
                <c:pt idx="131">
                  <c:v>-1.2806496954552604E-2</c:v>
                </c:pt>
                <c:pt idx="132">
                  <c:v>1.1707008384749251E-2</c:v>
                </c:pt>
                <c:pt idx="133">
                  <c:v>2.0328381548084362E-2</c:v>
                </c:pt>
                <c:pt idx="134">
                  <c:v>2.5747126436781675E-2</c:v>
                </c:pt>
                <c:pt idx="135">
                  <c:v>2.2411474675032572E-3</c:v>
                </c:pt>
                <c:pt idx="136">
                  <c:v>4.0250447227190289E-3</c:v>
                </c:pt>
                <c:pt idx="137">
                  <c:v>1.9302152932443306E-3</c:v>
                </c:pt>
                <c:pt idx="138">
                  <c:v>2.9638411381149865E-4</c:v>
                </c:pt>
                <c:pt idx="139">
                  <c:v>7.407407407407085E-4</c:v>
                </c:pt>
                <c:pt idx="140">
                  <c:v>4.2931162102146647E-3</c:v>
                </c:pt>
                <c:pt idx="141">
                  <c:v>-1.0465801886792581E-2</c:v>
                </c:pt>
                <c:pt idx="142">
                  <c:v>4.468940861015458E-4</c:v>
                </c:pt>
                <c:pt idx="143">
                  <c:v>8.3382966051221974E-3</c:v>
                </c:pt>
                <c:pt idx="144">
                  <c:v>-1.0779681039574829E-2</c:v>
                </c:pt>
                <c:pt idx="145">
                  <c:v>7.6130765785940024E-3</c:v>
                </c:pt>
                <c:pt idx="146">
                  <c:v>1.0962962962962841E-2</c:v>
                </c:pt>
                <c:pt idx="147">
                  <c:v>-9.2321219226260132E-3</c:v>
                </c:pt>
                <c:pt idx="148">
                  <c:v>-1.7748853719864455E-3</c:v>
                </c:pt>
                <c:pt idx="149">
                  <c:v>1.2890798636835177E-2</c:v>
                </c:pt>
                <c:pt idx="150">
                  <c:v>2.062609713282626E-2</c:v>
                </c:pt>
                <c:pt idx="151">
                  <c:v>4.1565142611439398E-3</c:v>
                </c:pt>
                <c:pt idx="152">
                  <c:v>-1.0562375107051269E-2</c:v>
                </c:pt>
                <c:pt idx="153">
                  <c:v>4.0392383150607003E-3</c:v>
                </c:pt>
                <c:pt idx="154">
                  <c:v>4.310344827587187E-4</c:v>
                </c:pt>
                <c:pt idx="155">
                  <c:v>-6.8935803532957918E-3</c:v>
                </c:pt>
                <c:pt idx="156">
                  <c:v>-2.3138105567608314E-3</c:v>
                </c:pt>
                <c:pt idx="157">
                  <c:v>8.5519640527613738E-3</c:v>
                </c:pt>
                <c:pt idx="158">
                  <c:v>-2.2995113538372136E-3</c:v>
                </c:pt>
                <c:pt idx="159">
                  <c:v>7.9227888216650832E-3</c:v>
                </c:pt>
                <c:pt idx="160">
                  <c:v>0</c:v>
                </c:pt>
              </c:numCache>
            </c:numRef>
          </c:val>
          <c:extLst>
            <c:ext xmlns:c16="http://schemas.microsoft.com/office/drawing/2014/chart" uri="{C3380CC4-5D6E-409C-BE32-E72D297353CC}">
              <c16:uniqueId val="{00000000-CD53-FB46-A13E-6494076BF7DB}"/>
            </c:ext>
          </c:extLst>
        </c:ser>
        <c:dLbls>
          <c:showLegendKey val="0"/>
          <c:showVal val="0"/>
          <c:showCatName val="0"/>
          <c:showSerName val="0"/>
          <c:showPercent val="0"/>
          <c:showBubbleSize val="0"/>
        </c:dLbls>
        <c:gapWidth val="150"/>
        <c:axId val="58223982"/>
        <c:axId val="44992481"/>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(Calc)'!$AK$3:$AK$500</c:f>
              <c:numCache>
                <c:formatCode>#,##0.00</c:formatCode>
                <c:ptCount val="498"/>
                <c:pt idx="0">
                  <c:v>0</c:v>
                </c:pt>
                <c:pt idx="1">
                  <c:v>0.440062893081761</c:v>
                </c:pt>
                <c:pt idx="2">
                  <c:v>0.88012578616352199</c:v>
                </c:pt>
                <c:pt idx="3">
                  <c:v>1.320188679245283</c:v>
                </c:pt>
                <c:pt idx="4">
                  <c:v>1.760251572327044</c:v>
                </c:pt>
                <c:pt idx="5">
                  <c:v>2.2003144654088054</c:v>
                </c:pt>
                <c:pt idx="6">
                  <c:v>2.6403773584905661</c:v>
                </c:pt>
                <c:pt idx="7">
                  <c:v>3.0804402515723268</c:v>
                </c:pt>
                <c:pt idx="8">
                  <c:v>3.520503144654088</c:v>
                </c:pt>
                <c:pt idx="9">
                  <c:v>3.9605660377358491</c:v>
                </c:pt>
                <c:pt idx="10">
                  <c:v>4.4006289308176108</c:v>
                </c:pt>
                <c:pt idx="11">
                  <c:v>4.8406918238993706</c:v>
                </c:pt>
                <c:pt idx="12">
                  <c:v>5.2807547169811322</c:v>
                </c:pt>
                <c:pt idx="13">
                  <c:v>5.7208176100628929</c:v>
                </c:pt>
                <c:pt idx="14">
                  <c:v>6.1608805031446536</c:v>
                </c:pt>
                <c:pt idx="15">
                  <c:v>6.6009433962264152</c:v>
                </c:pt>
                <c:pt idx="16">
                  <c:v>7.041006289308176</c:v>
                </c:pt>
                <c:pt idx="17">
                  <c:v>7.4810691823899376</c:v>
                </c:pt>
                <c:pt idx="18">
                  <c:v>7.9211320754716983</c:v>
                </c:pt>
                <c:pt idx="19">
                  <c:v>8.361194968553459</c:v>
                </c:pt>
                <c:pt idx="20">
                  <c:v>8.8012578616352215</c:v>
                </c:pt>
                <c:pt idx="21">
                  <c:v>9.2413207547169804</c:v>
                </c:pt>
                <c:pt idx="22">
                  <c:v>9.6813836477987412</c:v>
                </c:pt>
                <c:pt idx="23">
                  <c:v>10.121446540880504</c:v>
                </c:pt>
                <c:pt idx="24">
                  <c:v>10.561509433962264</c:v>
                </c:pt>
                <c:pt idx="25">
                  <c:v>11.001572327044025</c:v>
                </c:pt>
                <c:pt idx="26">
                  <c:v>11.441635220125786</c:v>
                </c:pt>
                <c:pt idx="27">
                  <c:v>11.881698113207548</c:v>
                </c:pt>
                <c:pt idx="28">
                  <c:v>12.321761006289307</c:v>
                </c:pt>
                <c:pt idx="29">
                  <c:v>12.761823899371068</c:v>
                </c:pt>
                <c:pt idx="30">
                  <c:v>13.20188679245283</c:v>
                </c:pt>
                <c:pt idx="31">
                  <c:v>13.641949685534593</c:v>
                </c:pt>
                <c:pt idx="32">
                  <c:v>14.082012578616352</c:v>
                </c:pt>
                <c:pt idx="33">
                  <c:v>14.522075471698111</c:v>
                </c:pt>
                <c:pt idx="34">
                  <c:v>14.962138364779875</c:v>
                </c:pt>
                <c:pt idx="35">
                  <c:v>15.402201257861634</c:v>
                </c:pt>
                <c:pt idx="36">
                  <c:v>15.842264150943397</c:v>
                </c:pt>
                <c:pt idx="37">
                  <c:v>16.282327044025156</c:v>
                </c:pt>
                <c:pt idx="38">
                  <c:v>16.722389937106918</c:v>
                </c:pt>
                <c:pt idx="39">
                  <c:v>17.162452830188681</c:v>
                </c:pt>
                <c:pt idx="40">
                  <c:v>17.602515723270443</c:v>
                </c:pt>
                <c:pt idx="41">
                  <c:v>18.042578616352202</c:v>
                </c:pt>
                <c:pt idx="42">
                  <c:v>18.482641509433961</c:v>
                </c:pt>
                <c:pt idx="43">
                  <c:v>18.922704402515723</c:v>
                </c:pt>
                <c:pt idx="44">
                  <c:v>19.362767295597482</c:v>
                </c:pt>
                <c:pt idx="45">
                  <c:v>19.802830188679245</c:v>
                </c:pt>
                <c:pt idx="46">
                  <c:v>20.242893081761007</c:v>
                </c:pt>
                <c:pt idx="47">
                  <c:v>20.68295597484277</c:v>
                </c:pt>
                <c:pt idx="48">
                  <c:v>21.123018867924529</c:v>
                </c:pt>
                <c:pt idx="49">
                  <c:v>21.563081761006288</c:v>
                </c:pt>
                <c:pt idx="50">
                  <c:v>22.00314465408805</c:v>
                </c:pt>
                <c:pt idx="51">
                  <c:v>22.443207547169809</c:v>
                </c:pt>
                <c:pt idx="52">
                  <c:v>22.883270440251572</c:v>
                </c:pt>
                <c:pt idx="53">
                  <c:v>23.323333333333334</c:v>
                </c:pt>
                <c:pt idx="54">
                  <c:v>23.763396226415097</c:v>
                </c:pt>
                <c:pt idx="55">
                  <c:v>24.203459119496856</c:v>
                </c:pt>
                <c:pt idx="56">
                  <c:v>24.643522012578615</c:v>
                </c:pt>
                <c:pt idx="57">
                  <c:v>25.083584905660377</c:v>
                </c:pt>
                <c:pt idx="58">
                  <c:v>25.523647798742136</c:v>
                </c:pt>
                <c:pt idx="59">
                  <c:v>25.963710691823895</c:v>
                </c:pt>
                <c:pt idx="60">
                  <c:v>26.403773584905661</c:v>
                </c:pt>
                <c:pt idx="61">
                  <c:v>26.843836477987423</c:v>
                </c:pt>
                <c:pt idx="62">
                  <c:v>27.283899371069186</c:v>
                </c:pt>
                <c:pt idx="63">
                  <c:v>27.723962264150941</c:v>
                </c:pt>
                <c:pt idx="64">
                  <c:v>28.164025157232704</c:v>
                </c:pt>
                <c:pt idx="65">
                  <c:v>28.604088050314466</c:v>
                </c:pt>
                <c:pt idx="66">
                  <c:v>29.044150943396222</c:v>
                </c:pt>
                <c:pt idx="67">
                  <c:v>29.484213836477988</c:v>
                </c:pt>
                <c:pt idx="68">
                  <c:v>29.92427672955975</c:v>
                </c:pt>
                <c:pt idx="69">
                  <c:v>30.364339622641513</c:v>
                </c:pt>
                <c:pt idx="70">
                  <c:v>30.804402515723268</c:v>
                </c:pt>
                <c:pt idx="71">
                  <c:v>31.244465408805031</c:v>
                </c:pt>
                <c:pt idx="72">
                  <c:v>31.684528301886793</c:v>
                </c:pt>
                <c:pt idx="73">
                  <c:v>32.124591194968552</c:v>
                </c:pt>
                <c:pt idx="74">
                  <c:v>32.564654088050311</c:v>
                </c:pt>
                <c:pt idx="75">
                  <c:v>33.004716981132077</c:v>
                </c:pt>
                <c:pt idx="76">
                  <c:v>33.444779874213836</c:v>
                </c:pt>
                <c:pt idx="77">
                  <c:v>33.884842767295595</c:v>
                </c:pt>
                <c:pt idx="78">
                  <c:v>34.324905660377361</c:v>
                </c:pt>
                <c:pt idx="79">
                  <c:v>34.76496855345912</c:v>
                </c:pt>
                <c:pt idx="80">
                  <c:v>35.205031446540886</c:v>
                </c:pt>
                <c:pt idx="81">
                  <c:v>35.645094339622638</c:v>
                </c:pt>
                <c:pt idx="82">
                  <c:v>36.085157232704404</c:v>
                </c:pt>
                <c:pt idx="83">
                  <c:v>36.525220125786163</c:v>
                </c:pt>
                <c:pt idx="84">
                  <c:v>36.965283018867922</c:v>
                </c:pt>
                <c:pt idx="85">
                  <c:v>37.405345911949688</c:v>
                </c:pt>
                <c:pt idx="86">
                  <c:v>37.845408805031447</c:v>
                </c:pt>
                <c:pt idx="87">
                  <c:v>38.285471698113213</c:v>
                </c:pt>
                <c:pt idx="88">
                  <c:v>38.725534591194965</c:v>
                </c:pt>
                <c:pt idx="89">
                  <c:v>39.165597484276731</c:v>
                </c:pt>
                <c:pt idx="90">
                  <c:v>39.60566037735849</c:v>
                </c:pt>
                <c:pt idx="91">
                  <c:v>40.045723270440249</c:v>
                </c:pt>
                <c:pt idx="92">
                  <c:v>40.485786163522015</c:v>
                </c:pt>
                <c:pt idx="93">
                  <c:v>40.925849056603774</c:v>
                </c:pt>
                <c:pt idx="94">
                  <c:v>41.36591194968554</c:v>
                </c:pt>
                <c:pt idx="95">
                  <c:v>41.805974842767291</c:v>
                </c:pt>
                <c:pt idx="96">
                  <c:v>42.246037735849058</c:v>
                </c:pt>
                <c:pt idx="97">
                  <c:v>42.686100628930816</c:v>
                </c:pt>
                <c:pt idx="98">
                  <c:v>43.126163522012575</c:v>
                </c:pt>
                <c:pt idx="99">
                  <c:v>43.566226415094341</c:v>
                </c:pt>
                <c:pt idx="100">
                  <c:v>44.0062893081761</c:v>
                </c:pt>
                <c:pt idx="101">
                  <c:v>44.446352201257866</c:v>
                </c:pt>
                <c:pt idx="102">
                  <c:v>44.886415094339618</c:v>
                </c:pt>
                <c:pt idx="103">
                  <c:v>45.326477987421384</c:v>
                </c:pt>
                <c:pt idx="104">
                  <c:v>45.766540880503143</c:v>
                </c:pt>
                <c:pt idx="105">
                  <c:v>46.206603773584902</c:v>
                </c:pt>
                <c:pt idx="106">
                  <c:v>46.646666666666668</c:v>
                </c:pt>
                <c:pt idx="107">
                  <c:v>47.086729559748427</c:v>
                </c:pt>
                <c:pt idx="108">
                  <c:v>47.526792452830193</c:v>
                </c:pt>
                <c:pt idx="109">
                  <c:v>47.966855345911945</c:v>
                </c:pt>
                <c:pt idx="110">
                  <c:v>48.406918238993711</c:v>
                </c:pt>
                <c:pt idx="111">
                  <c:v>48.84698113207547</c:v>
                </c:pt>
                <c:pt idx="112">
                  <c:v>49.287044025157229</c:v>
                </c:pt>
                <c:pt idx="113">
                  <c:v>49.727106918238995</c:v>
                </c:pt>
                <c:pt idx="114">
                  <c:v>50.167169811320754</c:v>
                </c:pt>
                <c:pt idx="115">
                  <c:v>50.60723270440252</c:v>
                </c:pt>
                <c:pt idx="116">
                  <c:v>51.047295597484272</c:v>
                </c:pt>
                <c:pt idx="117">
                  <c:v>51.487358490566038</c:v>
                </c:pt>
                <c:pt idx="118">
                  <c:v>51.92742138364779</c:v>
                </c:pt>
                <c:pt idx="119">
                  <c:v>52.367484276729563</c:v>
                </c:pt>
                <c:pt idx="120">
                  <c:v>52.807547169811322</c:v>
                </c:pt>
                <c:pt idx="121">
                  <c:v>53.247610062893074</c:v>
                </c:pt>
                <c:pt idx="122">
                  <c:v>53.687672955974847</c:v>
                </c:pt>
                <c:pt idx="123">
                  <c:v>54.127735849056599</c:v>
                </c:pt>
                <c:pt idx="124">
                  <c:v>54.567798742138372</c:v>
                </c:pt>
                <c:pt idx="125">
                  <c:v>55.007861635220124</c:v>
                </c:pt>
                <c:pt idx="126">
                  <c:v>55.447924528301883</c:v>
                </c:pt>
                <c:pt idx="127">
                  <c:v>55.887987421383649</c:v>
                </c:pt>
                <c:pt idx="128">
                  <c:v>56.328050314465408</c:v>
                </c:pt>
                <c:pt idx="129">
                  <c:v>56.768113207547167</c:v>
                </c:pt>
                <c:pt idx="130">
                  <c:v>57.208176100628933</c:v>
                </c:pt>
                <c:pt idx="131">
                  <c:v>57.648238993710692</c:v>
                </c:pt>
                <c:pt idx="132">
                  <c:v>58.088301886792443</c:v>
                </c:pt>
                <c:pt idx="133">
                  <c:v>58.528364779874217</c:v>
                </c:pt>
                <c:pt idx="134">
                  <c:v>58.968427672955976</c:v>
                </c:pt>
                <c:pt idx="135">
                  <c:v>59.408490566037742</c:v>
                </c:pt>
                <c:pt idx="136">
                  <c:v>59.848553459119501</c:v>
                </c:pt>
                <c:pt idx="137">
                  <c:v>60.288616352201252</c:v>
                </c:pt>
                <c:pt idx="138">
                  <c:v>60.728679245283026</c:v>
                </c:pt>
                <c:pt idx="139">
                  <c:v>61.168742138364777</c:v>
                </c:pt>
                <c:pt idx="140">
                  <c:v>61.608805031446536</c:v>
                </c:pt>
                <c:pt idx="141">
                  <c:v>62.048867924528302</c:v>
                </c:pt>
                <c:pt idx="142">
                  <c:v>62.488930817610061</c:v>
                </c:pt>
                <c:pt idx="143">
                  <c:v>62.92899371069182</c:v>
                </c:pt>
                <c:pt idx="144">
                  <c:v>63.369056603773586</c:v>
                </c:pt>
                <c:pt idx="145">
                  <c:v>63.809119496855345</c:v>
                </c:pt>
                <c:pt idx="146">
                  <c:v>64.249182389937104</c:v>
                </c:pt>
                <c:pt idx="147">
                  <c:v>64.689245283018863</c:v>
                </c:pt>
                <c:pt idx="148">
                  <c:v>65.129308176100622</c:v>
                </c:pt>
                <c:pt idx="149">
                  <c:v>65.569371069182395</c:v>
                </c:pt>
                <c:pt idx="150">
                  <c:v>66.009433962264154</c:v>
                </c:pt>
                <c:pt idx="151">
                  <c:v>66.449496855345913</c:v>
                </c:pt>
                <c:pt idx="152">
                  <c:v>66.889559748427672</c:v>
                </c:pt>
                <c:pt idx="153">
                  <c:v>67.329622641509431</c:v>
                </c:pt>
                <c:pt idx="154">
                  <c:v>67.76968553459119</c:v>
                </c:pt>
                <c:pt idx="155">
                  <c:v>68.209748427672963</c:v>
                </c:pt>
                <c:pt idx="156">
                  <c:v>68.649811320754722</c:v>
                </c:pt>
                <c:pt idx="157">
                  <c:v>69.089874213836467</c:v>
                </c:pt>
                <c:pt idx="158">
                  <c:v>69.52993710691824</c:v>
                </c:pt>
                <c:pt idx="159">
                  <c:v>69.97</c:v>
                </c:pt>
                <c:pt idx="160">
                  <c:v>70.410062893081772</c:v>
                </c:pt>
              </c:numCache>
            </c:numRef>
          </c:val>
          <c:smooth val="0"/>
          <c:extLst>
            <c:ext xmlns:c16="http://schemas.microsoft.com/office/drawing/2014/chart" uri="{C3380CC4-5D6E-409C-BE32-E72D297353CC}">
              <c16:uniqueId val="{00000001-CD53-FB46-A13E-6494076BF7DB}"/>
            </c:ext>
          </c:extLst>
        </c:ser>
        <c:dLbls>
          <c:showLegendKey val="0"/>
          <c:showVal val="0"/>
          <c:showCatName val="0"/>
          <c:showSerName val="0"/>
          <c:showPercent val="0"/>
          <c:showBubbleSize val="0"/>
        </c:dLbls>
        <c:hiLowLines>
          <c:spPr>
            <a:ln w="0">
              <a:noFill/>
            </a:ln>
          </c:spPr>
        </c:hiLowLines>
        <c:marker val="1"/>
        <c:smooth val="0"/>
        <c:axId val="91725486"/>
        <c:axId val="56010482"/>
      </c:lineChart>
      <c:dateAx>
        <c:axId val="58223982"/>
        <c:scaling>
          <c:orientation val="minMax"/>
        </c:scaling>
        <c:delete val="1"/>
        <c:axPos val="b"/>
        <c:numFmt formatCode="mm/dd/yyyy" sourceLinked="1"/>
        <c:majorTickMark val="none"/>
        <c:minorTickMark val="none"/>
        <c:tickLblPos val="nextTo"/>
        <c:crossAx val="44992481"/>
        <c:crosses val="autoZero"/>
        <c:auto val="1"/>
        <c:lblOffset val="100"/>
        <c:baseTimeUnit val="days"/>
      </c:dateAx>
      <c:valAx>
        <c:axId val="449924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8223982"/>
        <c:crosses val="autoZero"/>
        <c:crossBetween val="between"/>
      </c:valAx>
      <c:dateAx>
        <c:axId val="91725486"/>
        <c:scaling>
          <c:orientation val="minMax"/>
        </c:scaling>
        <c:delete val="1"/>
        <c:axPos val="b"/>
        <c:numFmt formatCode="mm/dd/yyyy" sourceLinked="1"/>
        <c:majorTickMark val="none"/>
        <c:minorTickMark val="none"/>
        <c:tickLblPos val="nextTo"/>
        <c:crossAx val="56010482"/>
        <c:crosses val="autoZero"/>
        <c:auto val="1"/>
        <c:lblOffset val="100"/>
        <c:baseTimeUnit val="days"/>
      </c:dateAx>
      <c:valAx>
        <c:axId val="560104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172548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(Calc)'!$R$3:$R$500</c:f>
              <c:numCache>
                <c:formatCode>0.0%</c:formatCode>
                <c:ptCount val="498"/>
                <c:pt idx="0">
                  <c:v>-2.6972157772621852E-2</c:v>
                </c:pt>
                <c:pt idx="1">
                  <c:v>5.9612518628915367E-4</c:v>
                </c:pt>
                <c:pt idx="2">
                  <c:v>1.3106940720881699E-2</c:v>
                </c:pt>
                <c:pt idx="3">
                  <c:v>2.646280505733678E-3</c:v>
                </c:pt>
                <c:pt idx="4">
                  <c:v>-1.9648093841642233E-2</c:v>
                </c:pt>
                <c:pt idx="5">
                  <c:v>-2.0939276099312121E-2</c:v>
                </c:pt>
                <c:pt idx="6">
                  <c:v>5.7439657806293898E-2</c:v>
                </c:pt>
                <c:pt idx="7">
                  <c:v>2.080323605894252E-2</c:v>
                </c:pt>
                <c:pt idx="8">
                  <c:v>9.3405038211151759E-3</c:v>
                </c:pt>
                <c:pt idx="9">
                  <c:v>5.328098710039475E-3</c:v>
                </c:pt>
                <c:pt idx="10">
                  <c:v>1.9525801952580135E-3</c:v>
                </c:pt>
                <c:pt idx="11">
                  <c:v>7.2383073496657957E-3</c:v>
                </c:pt>
                <c:pt idx="12">
                  <c:v>1.5201768933112092E-2</c:v>
                </c:pt>
                <c:pt idx="13">
                  <c:v>2.9948271167983265E-3</c:v>
                </c:pt>
                <c:pt idx="14">
                  <c:v>3.2573289902280145E-3</c:v>
                </c:pt>
                <c:pt idx="15">
                  <c:v>-1.5692640692640647E-2</c:v>
                </c:pt>
                <c:pt idx="16">
                  <c:v>2.7487630566245258E-2</c:v>
                </c:pt>
                <c:pt idx="17">
                  <c:v>1.7656500802568198E-2</c:v>
                </c:pt>
                <c:pt idx="18">
                  <c:v>7.8864353312304569E-3</c:v>
                </c:pt>
                <c:pt idx="19">
                  <c:v>9.650495565988404E-3</c:v>
                </c:pt>
                <c:pt idx="20">
                  <c:v>1.0591578403513324E-2</c:v>
                </c:pt>
                <c:pt idx="21">
                  <c:v>-3.323108384457929E-3</c:v>
                </c:pt>
                <c:pt idx="22">
                  <c:v>1.2567324955116588E-2</c:v>
                </c:pt>
                <c:pt idx="23">
                  <c:v>1.2664640324214771E-2</c:v>
                </c:pt>
                <c:pt idx="24">
                  <c:v>-1.5007503751874873E-3</c:v>
                </c:pt>
                <c:pt idx="25">
                  <c:v>-5.2605210420841875E-3</c:v>
                </c:pt>
                <c:pt idx="26">
                  <c:v>2.5686225132208307E-2</c:v>
                </c:pt>
                <c:pt idx="27">
                  <c:v>-4.9103854652576828E-4</c:v>
                </c:pt>
                <c:pt idx="28">
                  <c:v>-4.1758781626136665E-3</c:v>
                </c:pt>
                <c:pt idx="29">
                  <c:v>-3.453379378391741E-3</c:v>
                </c:pt>
                <c:pt idx="30">
                  <c:v>-4.8019801980197951E-2</c:v>
                </c:pt>
                <c:pt idx="31">
                  <c:v>3.5881435257410388E-2</c:v>
                </c:pt>
                <c:pt idx="32">
                  <c:v>1.0040160642570184E-2</c:v>
                </c:pt>
                <c:pt idx="33">
                  <c:v>1.391650099403563E-2</c:v>
                </c:pt>
                <c:pt idx="34">
                  <c:v>1.2009803921568585E-2</c:v>
                </c:pt>
                <c:pt idx="35">
                  <c:v>4.6015984499878648E-3</c:v>
                </c:pt>
                <c:pt idx="36">
                  <c:v>-3.3751205400190942E-3</c:v>
                </c:pt>
                <c:pt idx="37">
                  <c:v>1.4029995162070596E-2</c:v>
                </c:pt>
                <c:pt idx="38">
                  <c:v>1.2643129770992356E-2</c:v>
                </c:pt>
                <c:pt idx="39">
                  <c:v>9.4228504122484402E-4</c:v>
                </c:pt>
                <c:pt idx="40">
                  <c:v>4.7069898799716459E-3</c:v>
                </c:pt>
                <c:pt idx="41">
                  <c:v>1.4523307566174815E-2</c:v>
                </c:pt>
                <c:pt idx="42">
                  <c:v>-6.9268067420924506E-4</c:v>
                </c:pt>
                <c:pt idx="43">
                  <c:v>-2.957486136783738E-2</c:v>
                </c:pt>
                <c:pt idx="44">
                  <c:v>-2.261904761904765E-2</c:v>
                </c:pt>
                <c:pt idx="45">
                  <c:v>-2.655298416565155E-2</c:v>
                </c:pt>
                <c:pt idx="46">
                  <c:v>2.752752752752663E-3</c:v>
                </c:pt>
                <c:pt idx="47">
                  <c:v>4.217619166458686E-2</c:v>
                </c:pt>
                <c:pt idx="48">
                  <c:v>8.3812260536397787E-3</c:v>
                </c:pt>
                <c:pt idx="49">
                  <c:v>3.3246259795773891E-3</c:v>
                </c:pt>
                <c:pt idx="50">
                  <c:v>-4.0236686390532572E-2</c:v>
                </c:pt>
                <c:pt idx="51">
                  <c:v>4.636251541307046E-2</c:v>
                </c:pt>
                <c:pt idx="52">
                  <c:v>1.2491161913740223E-2</c:v>
                </c:pt>
                <c:pt idx="53">
                  <c:v>6.9832402234635271E-3</c:v>
                </c:pt>
                <c:pt idx="54">
                  <c:v>2.3116042533517511E-3</c:v>
                </c:pt>
                <c:pt idx="55">
                  <c:v>8.9944649446493941E-3</c:v>
                </c:pt>
                <c:pt idx="56">
                  <c:v>7.5428571428570734E-3</c:v>
                </c:pt>
                <c:pt idx="57">
                  <c:v>2.2686025408349408E-3</c:v>
                </c:pt>
                <c:pt idx="58">
                  <c:v>-8.3748302399274666E-3</c:v>
                </c:pt>
                <c:pt idx="59">
                  <c:v>3.8575667655786239E-2</c:v>
                </c:pt>
                <c:pt idx="60">
                  <c:v>-1.6483516483516536E-2</c:v>
                </c:pt>
                <c:pt idx="61">
                  <c:v>1.7206703910614518E-2</c:v>
                </c:pt>
                <c:pt idx="62">
                  <c:v>9.2267135325130312E-3</c:v>
                </c:pt>
                <c:pt idx="63">
                  <c:v>1.8502394427514224E-2</c:v>
                </c:pt>
                <c:pt idx="64">
                  <c:v>3.8469758495405237E-3</c:v>
                </c:pt>
                <c:pt idx="65">
                  <c:v>-1.1070896316797918E-2</c:v>
                </c:pt>
                <c:pt idx="66">
                  <c:v>9.2572658772873684E-3</c:v>
                </c:pt>
                <c:pt idx="67">
                  <c:v>-3.4129692832765013E-3</c:v>
                </c:pt>
                <c:pt idx="68">
                  <c:v>-1.9263698630136994E-2</c:v>
                </c:pt>
                <c:pt idx="69">
                  <c:v>2.3134002618943716E-2</c:v>
                </c:pt>
                <c:pt idx="70">
                  <c:v>1.3865187713310467E-2</c:v>
                </c:pt>
                <c:pt idx="71">
                  <c:v>-1.0309278350515538E-2</c:v>
                </c:pt>
                <c:pt idx="72">
                  <c:v>2.5510204081631294E-3</c:v>
                </c:pt>
                <c:pt idx="73">
                  <c:v>1.929601357082289E-2</c:v>
                </c:pt>
                <c:pt idx="74">
                  <c:v>-1.2065737466195103E-2</c:v>
                </c:pt>
                <c:pt idx="75">
                  <c:v>-2.7584754685196944E-2</c:v>
                </c:pt>
                <c:pt idx="76">
                  <c:v>-3.1398873971416275E-2</c:v>
                </c:pt>
                <c:pt idx="77">
                  <c:v>-2.123854236530287E-2</c:v>
                </c:pt>
                <c:pt idx="78">
                  <c:v>3.6546368204659618E-3</c:v>
                </c:pt>
                <c:pt idx="79">
                  <c:v>-1.8889394629039602E-2</c:v>
                </c:pt>
                <c:pt idx="80">
                  <c:v>-9.0930178612850909E-2</c:v>
                </c:pt>
                <c:pt idx="81">
                  <c:v>6.3026282214850626E-2</c:v>
                </c:pt>
                <c:pt idx="82">
                  <c:v>-1.6082573211713691E-2</c:v>
                </c:pt>
                <c:pt idx="83">
                  <c:v>4.8060502561600327E-2</c:v>
                </c:pt>
                <c:pt idx="84">
                  <c:v>1.9785847299813808E-2</c:v>
                </c:pt>
                <c:pt idx="85">
                  <c:v>2.7391006619492675E-3</c:v>
                </c:pt>
                <c:pt idx="86">
                  <c:v>1.7300250398361028E-2</c:v>
                </c:pt>
                <c:pt idx="87">
                  <c:v>-9.1743119266054496E-3</c:v>
                </c:pt>
                <c:pt idx="88">
                  <c:v>1.129177958446248E-2</c:v>
                </c:pt>
                <c:pt idx="89">
                  <c:v>1.3175524787851556E-2</c:v>
                </c:pt>
                <c:pt idx="90">
                  <c:v>-1.9836896627726253E-3</c:v>
                </c:pt>
                <c:pt idx="91">
                  <c:v>3.0918727915194566E-3</c:v>
                </c:pt>
                <c:pt idx="92">
                  <c:v>2.8841919859092791E-2</c:v>
                </c:pt>
                <c:pt idx="93">
                  <c:v>7.0618446394179468E-3</c:v>
                </c:pt>
                <c:pt idx="94">
                  <c:v>3.612409689757623E-3</c:v>
                </c:pt>
                <c:pt idx="95">
                  <c:v>6.1401651492696274E-3</c:v>
                </c:pt>
                <c:pt idx="96">
                  <c:v>7.1548821548821362E-3</c:v>
                </c:pt>
                <c:pt idx="97">
                  <c:v>-1.5252820727120753E-2</c:v>
                </c:pt>
                <c:pt idx="98">
                  <c:v>2.8219817525992008E-2</c:v>
                </c:pt>
                <c:pt idx="99">
                  <c:v>8.6669418076765758E-3</c:v>
                </c:pt>
                <c:pt idx="100">
                  <c:v>-2.4549918166940632E-3</c:v>
                </c:pt>
                <c:pt idx="101">
                  <c:v>2.0508613617731264E-4</c:v>
                </c:pt>
                <c:pt idx="102">
                  <c:v>9.8421160549517772E-3</c:v>
                </c:pt>
                <c:pt idx="103">
                  <c:v>1.3604060913705585E-2</c:v>
                </c:pt>
                <c:pt idx="104">
                  <c:v>1.1017628205128194E-2</c:v>
                </c:pt>
                <c:pt idx="105">
                  <c:v>1.5851000594411246E-3</c:v>
                </c:pt>
                <c:pt idx="106">
                  <c:v>8.3086053412462224E-3</c:v>
                </c:pt>
                <c:pt idx="107">
                  <c:v>-1.6676476358642334E-2</c:v>
                </c:pt>
                <c:pt idx="108">
                  <c:v>2.0550678371907383E-2</c:v>
                </c:pt>
                <c:pt idx="109">
                  <c:v>1.8572825024437911E-2</c:v>
                </c:pt>
                <c:pt idx="110">
                  <c:v>9.4049904030710785E-3</c:v>
                </c:pt>
                <c:pt idx="111">
                  <c:v>-1.5592317931165667E-2</c:v>
                </c:pt>
                <c:pt idx="112">
                  <c:v>1.9316206297081973E-3</c:v>
                </c:pt>
                <c:pt idx="113">
                  <c:v>-2.7376132639290396E-2</c:v>
                </c:pt>
                <c:pt idx="114">
                  <c:v>4.5787908820614343E-2</c:v>
                </c:pt>
                <c:pt idx="115">
                  <c:v>9.6664139499622603E-3</c:v>
                </c:pt>
                <c:pt idx="116">
                  <c:v>-1.0887929416181774E-2</c:v>
                </c:pt>
                <c:pt idx="117">
                  <c:v>7.4017840197380114E-3</c:v>
                </c:pt>
                <c:pt idx="118">
                  <c:v>1.2434061793519247E-2</c:v>
                </c:pt>
                <c:pt idx="119">
                  <c:v>-1.1537030145143401E-2</c:v>
                </c:pt>
                <c:pt idx="120">
                  <c:v>1.8448795180723065E-2</c:v>
                </c:pt>
                <c:pt idx="121">
                  <c:v>-4.0665434380776633E-3</c:v>
                </c:pt>
                <c:pt idx="122">
                  <c:v>5.1967334818112665E-3</c:v>
                </c:pt>
                <c:pt idx="123">
                  <c:v>3.5081240768095601E-3</c:v>
                </c:pt>
                <c:pt idx="124">
                  <c:v>-1.5455381784728717E-2</c:v>
                </c:pt>
                <c:pt idx="125">
                  <c:v>-9.3440478415249828E-3</c:v>
                </c:pt>
                <c:pt idx="126">
                  <c:v>1.1129975476325216E-2</c:v>
                </c:pt>
                <c:pt idx="127">
                  <c:v>-1.8656716417910779E-3</c:v>
                </c:pt>
                <c:pt idx="128">
                  <c:v>-1.1962616822429939E-2</c:v>
                </c:pt>
                <c:pt idx="129">
                  <c:v>-5.107832009080493E-3</c:v>
                </c:pt>
                <c:pt idx="130">
                  <c:v>-1.4071116181783694E-2</c:v>
                </c:pt>
                <c:pt idx="131">
                  <c:v>-2.9315332690453277E-2</c:v>
                </c:pt>
                <c:pt idx="132">
                  <c:v>3.7552155771905404E-2</c:v>
                </c:pt>
                <c:pt idx="133">
                  <c:v>3.6384527001148914E-2</c:v>
                </c:pt>
                <c:pt idx="134">
                  <c:v>1.8107908351810975E-2</c:v>
                </c:pt>
                <c:pt idx="135">
                  <c:v>5.6261343012702358E-3</c:v>
                </c:pt>
                <c:pt idx="136">
                  <c:v>7.9408049088613986E-3</c:v>
                </c:pt>
                <c:pt idx="137">
                  <c:v>1.271262309758292E-2</c:v>
                </c:pt>
                <c:pt idx="138">
                  <c:v>2.652050919377702E-3</c:v>
                </c:pt>
                <c:pt idx="139">
                  <c:v>7.4061012167165874E-3</c:v>
                </c:pt>
                <c:pt idx="140">
                  <c:v>1.5578505163661882E-2</c:v>
                </c:pt>
                <c:pt idx="141">
                  <c:v>-2.792140641158225E-2</c:v>
                </c:pt>
                <c:pt idx="142">
                  <c:v>1.6312056737588732E-2</c:v>
                </c:pt>
                <c:pt idx="143">
                  <c:v>2.4773203070481475E-2</c:v>
                </c:pt>
                <c:pt idx="144">
                  <c:v>-3.1324480762683016E-2</c:v>
                </c:pt>
                <c:pt idx="145">
                  <c:v>1.001757469244291E-2</c:v>
                </c:pt>
                <c:pt idx="146">
                  <c:v>1.8792413433095456E-2</c:v>
                </c:pt>
                <c:pt idx="147">
                  <c:v>-3.2963279248505506E-2</c:v>
                </c:pt>
                <c:pt idx="148">
                  <c:v>-9.3606499470151316E-3</c:v>
                </c:pt>
                <c:pt idx="149">
                  <c:v>4.9919771795328138E-3</c:v>
                </c:pt>
                <c:pt idx="150">
                  <c:v>3.8140855064750845E-2</c:v>
                </c:pt>
                <c:pt idx="151">
                  <c:v>1.3157894736842035E-2</c:v>
                </c:pt>
                <c:pt idx="152">
                  <c:v>-1.1469050430089389E-2</c:v>
                </c:pt>
                <c:pt idx="153">
                  <c:v>5.2891997952568826E-3</c:v>
                </c:pt>
                <c:pt idx="154">
                  <c:v>6.7888662593347249E-3</c:v>
                </c:pt>
                <c:pt idx="155">
                  <c:v>-1.5171948752529252E-3</c:v>
                </c:pt>
                <c:pt idx="156">
                  <c:v>7.5975012662503616E-3</c:v>
                </c:pt>
                <c:pt idx="157">
                  <c:v>1.6588471849865893E-2</c:v>
                </c:pt>
                <c:pt idx="158">
                  <c:v>6.0985660128562991E-3</c:v>
                </c:pt>
                <c:pt idx="159">
                  <c:v>8.1913499344699048E-4</c:v>
                </c:pt>
                <c:pt idx="160">
                  <c:v>0</c:v>
                </c:pt>
              </c:numCache>
            </c:numRef>
          </c:val>
          <c:extLst>
            <c:ext xmlns:c16="http://schemas.microsoft.com/office/drawing/2014/chart" uri="{C3380CC4-5D6E-409C-BE32-E72D297353CC}">
              <c16:uniqueId val="{00000000-1E3B-7344-B5CE-CB20DF090919}"/>
            </c:ext>
          </c:extLst>
        </c:ser>
        <c:dLbls>
          <c:showLegendKey val="0"/>
          <c:showVal val="0"/>
          <c:showCatName val="0"/>
          <c:showSerName val="0"/>
          <c:showPercent val="0"/>
          <c:showBubbleSize val="0"/>
        </c:dLbls>
        <c:gapWidth val="150"/>
        <c:axId val="6164841"/>
        <c:axId val="95001619"/>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(Calc)'!$AL$3:$AL$500</c:f>
              <c:numCache>
                <c:formatCode>#,##0.00</c:formatCode>
                <c:ptCount val="498"/>
                <c:pt idx="0">
                  <c:v>34.479999999999997</c:v>
                </c:pt>
                <c:pt idx="1">
                  <c:v>34.647358490566035</c:v>
                </c:pt>
                <c:pt idx="2">
                  <c:v>34.814716981132072</c:v>
                </c:pt>
                <c:pt idx="3">
                  <c:v>34.98207547169811</c:v>
                </c:pt>
                <c:pt idx="4">
                  <c:v>35.149433962264148</c:v>
                </c:pt>
                <c:pt idx="5">
                  <c:v>35.316792452830185</c:v>
                </c:pt>
                <c:pt idx="6">
                  <c:v>35.484150943396223</c:v>
                </c:pt>
                <c:pt idx="7">
                  <c:v>35.651509433962261</c:v>
                </c:pt>
                <c:pt idx="8">
                  <c:v>35.818867924528298</c:v>
                </c:pt>
                <c:pt idx="9">
                  <c:v>35.986226415094336</c:v>
                </c:pt>
                <c:pt idx="10">
                  <c:v>36.153584905660374</c:v>
                </c:pt>
                <c:pt idx="11">
                  <c:v>36.320943396226411</c:v>
                </c:pt>
                <c:pt idx="12">
                  <c:v>36.488301886792449</c:v>
                </c:pt>
                <c:pt idx="13">
                  <c:v>36.655660377358487</c:v>
                </c:pt>
                <c:pt idx="14">
                  <c:v>36.823018867924524</c:v>
                </c:pt>
                <c:pt idx="15">
                  <c:v>36.990377358490562</c:v>
                </c:pt>
                <c:pt idx="16">
                  <c:v>37.1577358490566</c:v>
                </c:pt>
                <c:pt idx="17">
                  <c:v>37.325094339622638</c:v>
                </c:pt>
                <c:pt idx="18">
                  <c:v>37.492452830188675</c:v>
                </c:pt>
                <c:pt idx="19">
                  <c:v>37.659811320754713</c:v>
                </c:pt>
                <c:pt idx="20">
                  <c:v>37.827169811320751</c:v>
                </c:pt>
                <c:pt idx="21">
                  <c:v>37.994528301886788</c:v>
                </c:pt>
                <c:pt idx="22">
                  <c:v>38.161886792452826</c:v>
                </c:pt>
                <c:pt idx="23">
                  <c:v>38.329245283018864</c:v>
                </c:pt>
                <c:pt idx="24">
                  <c:v>38.496603773584901</c:v>
                </c:pt>
                <c:pt idx="25">
                  <c:v>38.663962264150939</c:v>
                </c:pt>
                <c:pt idx="26">
                  <c:v>38.831320754716977</c:v>
                </c:pt>
                <c:pt idx="27">
                  <c:v>38.998679245283014</c:v>
                </c:pt>
                <c:pt idx="28">
                  <c:v>39.166037735849052</c:v>
                </c:pt>
                <c:pt idx="29">
                  <c:v>39.33339622641509</c:v>
                </c:pt>
                <c:pt idx="30">
                  <c:v>39.500754716981128</c:v>
                </c:pt>
                <c:pt idx="31">
                  <c:v>39.668113207547165</c:v>
                </c:pt>
                <c:pt idx="32">
                  <c:v>39.835471698113203</c:v>
                </c:pt>
                <c:pt idx="33">
                  <c:v>40.002830188679241</c:v>
                </c:pt>
                <c:pt idx="34">
                  <c:v>40.170188679245285</c:v>
                </c:pt>
                <c:pt idx="35">
                  <c:v>40.337547169811316</c:v>
                </c:pt>
                <c:pt idx="36">
                  <c:v>40.504905660377361</c:v>
                </c:pt>
                <c:pt idx="37">
                  <c:v>40.672264150943391</c:v>
                </c:pt>
                <c:pt idx="38">
                  <c:v>40.839622641509436</c:v>
                </c:pt>
                <c:pt idx="39">
                  <c:v>41.006981132075467</c:v>
                </c:pt>
                <c:pt idx="40">
                  <c:v>41.174339622641511</c:v>
                </c:pt>
                <c:pt idx="41">
                  <c:v>41.341698113207542</c:v>
                </c:pt>
                <c:pt idx="42">
                  <c:v>41.509056603773587</c:v>
                </c:pt>
                <c:pt idx="43">
                  <c:v>41.676415094339617</c:v>
                </c:pt>
                <c:pt idx="44">
                  <c:v>41.843773584905662</c:v>
                </c:pt>
                <c:pt idx="45">
                  <c:v>42.011132075471693</c:v>
                </c:pt>
                <c:pt idx="46">
                  <c:v>42.178490566037738</c:v>
                </c:pt>
                <c:pt idx="47">
                  <c:v>42.345849056603775</c:v>
                </c:pt>
                <c:pt idx="48">
                  <c:v>42.513207547169813</c:v>
                </c:pt>
                <c:pt idx="49">
                  <c:v>42.680566037735844</c:v>
                </c:pt>
                <c:pt idx="50">
                  <c:v>42.847924528301888</c:v>
                </c:pt>
                <c:pt idx="51">
                  <c:v>43.015283018867926</c:v>
                </c:pt>
                <c:pt idx="52">
                  <c:v>43.182641509433964</c:v>
                </c:pt>
                <c:pt idx="53">
                  <c:v>43.35</c:v>
                </c:pt>
                <c:pt idx="54">
                  <c:v>43.517358490566039</c:v>
                </c:pt>
                <c:pt idx="55">
                  <c:v>43.684716981132077</c:v>
                </c:pt>
                <c:pt idx="56">
                  <c:v>43.852075471698114</c:v>
                </c:pt>
                <c:pt idx="57">
                  <c:v>44.019433962264152</c:v>
                </c:pt>
                <c:pt idx="58">
                  <c:v>44.18679245283019</c:v>
                </c:pt>
                <c:pt idx="59">
                  <c:v>44.354150943396228</c:v>
                </c:pt>
                <c:pt idx="60">
                  <c:v>44.521509433962265</c:v>
                </c:pt>
                <c:pt idx="61">
                  <c:v>44.688867924528303</c:v>
                </c:pt>
                <c:pt idx="62">
                  <c:v>44.856226415094341</c:v>
                </c:pt>
                <c:pt idx="63">
                  <c:v>45.023584905660378</c:v>
                </c:pt>
                <c:pt idx="64">
                  <c:v>45.190943396226416</c:v>
                </c:pt>
                <c:pt idx="65">
                  <c:v>45.358301886792454</c:v>
                </c:pt>
                <c:pt idx="66">
                  <c:v>45.525660377358491</c:v>
                </c:pt>
                <c:pt idx="67">
                  <c:v>45.693018867924529</c:v>
                </c:pt>
                <c:pt idx="68">
                  <c:v>45.860377358490567</c:v>
                </c:pt>
                <c:pt idx="69">
                  <c:v>46.027735849056604</c:v>
                </c:pt>
                <c:pt idx="70">
                  <c:v>46.195094339622642</c:v>
                </c:pt>
                <c:pt idx="71">
                  <c:v>46.36245283018868</c:v>
                </c:pt>
                <c:pt idx="72">
                  <c:v>46.529811320754717</c:v>
                </c:pt>
                <c:pt idx="73">
                  <c:v>46.697169811320755</c:v>
                </c:pt>
                <c:pt idx="74">
                  <c:v>46.864528301886793</c:v>
                </c:pt>
                <c:pt idx="75">
                  <c:v>47.031886792452831</c:v>
                </c:pt>
                <c:pt idx="76">
                  <c:v>47.199245283018868</c:v>
                </c:pt>
                <c:pt idx="77">
                  <c:v>47.366603773584906</c:v>
                </c:pt>
                <c:pt idx="78">
                  <c:v>47.533962264150944</c:v>
                </c:pt>
                <c:pt idx="79">
                  <c:v>47.701320754716981</c:v>
                </c:pt>
                <c:pt idx="80">
                  <c:v>47.868679245283019</c:v>
                </c:pt>
                <c:pt idx="81">
                  <c:v>48.036037735849057</c:v>
                </c:pt>
                <c:pt idx="82">
                  <c:v>48.203396226415094</c:v>
                </c:pt>
                <c:pt idx="83">
                  <c:v>48.370754716981132</c:v>
                </c:pt>
                <c:pt idx="84">
                  <c:v>48.53811320754717</c:v>
                </c:pt>
                <c:pt idx="85">
                  <c:v>48.705471698113207</c:v>
                </c:pt>
                <c:pt idx="86">
                  <c:v>48.872830188679245</c:v>
                </c:pt>
                <c:pt idx="87">
                  <c:v>49.040188679245283</c:v>
                </c:pt>
                <c:pt idx="88">
                  <c:v>49.20754716981132</c:v>
                </c:pt>
                <c:pt idx="89">
                  <c:v>49.374905660377358</c:v>
                </c:pt>
                <c:pt idx="90">
                  <c:v>49.542264150943396</c:v>
                </c:pt>
                <c:pt idx="91">
                  <c:v>49.709622641509434</c:v>
                </c:pt>
                <c:pt idx="92">
                  <c:v>49.876981132075471</c:v>
                </c:pt>
                <c:pt idx="93">
                  <c:v>50.044339622641509</c:v>
                </c:pt>
                <c:pt idx="94">
                  <c:v>50.211698113207547</c:v>
                </c:pt>
                <c:pt idx="95">
                  <c:v>50.379056603773584</c:v>
                </c:pt>
                <c:pt idx="96">
                  <c:v>50.546415094339622</c:v>
                </c:pt>
                <c:pt idx="97">
                  <c:v>50.71377358490566</c:v>
                </c:pt>
                <c:pt idx="98">
                  <c:v>50.881132075471697</c:v>
                </c:pt>
                <c:pt idx="99">
                  <c:v>51.048490566037742</c:v>
                </c:pt>
                <c:pt idx="100">
                  <c:v>51.215849056603773</c:v>
                </c:pt>
                <c:pt idx="101">
                  <c:v>51.38320754716981</c:v>
                </c:pt>
                <c:pt idx="102">
                  <c:v>51.550566037735848</c:v>
                </c:pt>
                <c:pt idx="103">
                  <c:v>51.717924528301893</c:v>
                </c:pt>
                <c:pt idx="104">
                  <c:v>51.885283018867923</c:v>
                </c:pt>
                <c:pt idx="105">
                  <c:v>52.052641509433968</c:v>
                </c:pt>
                <c:pt idx="106">
                  <c:v>52.22</c:v>
                </c:pt>
                <c:pt idx="107">
                  <c:v>52.387358490566044</c:v>
                </c:pt>
                <c:pt idx="108">
                  <c:v>52.554716981132074</c:v>
                </c:pt>
                <c:pt idx="109">
                  <c:v>52.722075471698119</c:v>
                </c:pt>
                <c:pt idx="110">
                  <c:v>52.88943396226415</c:v>
                </c:pt>
                <c:pt idx="111">
                  <c:v>53.056792452830194</c:v>
                </c:pt>
                <c:pt idx="112">
                  <c:v>53.224150943396225</c:v>
                </c:pt>
                <c:pt idx="113">
                  <c:v>53.39150943396227</c:v>
                </c:pt>
                <c:pt idx="114">
                  <c:v>53.5588679245283</c:v>
                </c:pt>
                <c:pt idx="115">
                  <c:v>53.726226415094345</c:v>
                </c:pt>
                <c:pt idx="116">
                  <c:v>53.893584905660376</c:v>
                </c:pt>
                <c:pt idx="117">
                  <c:v>54.060943396226421</c:v>
                </c:pt>
                <c:pt idx="118">
                  <c:v>54.228301886792451</c:v>
                </c:pt>
                <c:pt idx="119">
                  <c:v>54.395660377358496</c:v>
                </c:pt>
                <c:pt idx="120">
                  <c:v>54.563018867924526</c:v>
                </c:pt>
                <c:pt idx="121">
                  <c:v>54.730377358490571</c:v>
                </c:pt>
                <c:pt idx="122">
                  <c:v>54.897735849056602</c:v>
                </c:pt>
                <c:pt idx="123">
                  <c:v>55.065094339622647</c:v>
                </c:pt>
                <c:pt idx="124">
                  <c:v>55.232452830188677</c:v>
                </c:pt>
                <c:pt idx="125">
                  <c:v>55.399811320754722</c:v>
                </c:pt>
                <c:pt idx="126">
                  <c:v>55.56716981132076</c:v>
                </c:pt>
                <c:pt idx="127">
                  <c:v>55.734528301886797</c:v>
                </c:pt>
                <c:pt idx="128">
                  <c:v>55.901886792452828</c:v>
                </c:pt>
                <c:pt idx="129">
                  <c:v>56.069245283018873</c:v>
                </c:pt>
                <c:pt idx="130">
                  <c:v>56.236603773584903</c:v>
                </c:pt>
                <c:pt idx="131">
                  <c:v>56.403962264150948</c:v>
                </c:pt>
                <c:pt idx="132">
                  <c:v>56.571320754716979</c:v>
                </c:pt>
                <c:pt idx="133">
                  <c:v>56.738679245283024</c:v>
                </c:pt>
                <c:pt idx="134">
                  <c:v>56.906037735849054</c:v>
                </c:pt>
                <c:pt idx="135">
                  <c:v>57.073396226415099</c:v>
                </c:pt>
                <c:pt idx="136">
                  <c:v>57.240754716981137</c:v>
                </c:pt>
                <c:pt idx="137">
                  <c:v>57.408113207547174</c:v>
                </c:pt>
                <c:pt idx="138">
                  <c:v>57.575471698113205</c:v>
                </c:pt>
                <c:pt idx="139">
                  <c:v>57.74283018867925</c:v>
                </c:pt>
                <c:pt idx="140">
                  <c:v>57.910188679245287</c:v>
                </c:pt>
                <c:pt idx="141">
                  <c:v>58.077547169811325</c:v>
                </c:pt>
                <c:pt idx="142">
                  <c:v>58.244905660377356</c:v>
                </c:pt>
                <c:pt idx="143">
                  <c:v>58.4122641509434</c:v>
                </c:pt>
                <c:pt idx="144">
                  <c:v>58.579622641509438</c:v>
                </c:pt>
                <c:pt idx="145">
                  <c:v>58.746981132075476</c:v>
                </c:pt>
                <c:pt idx="146">
                  <c:v>58.914339622641506</c:v>
                </c:pt>
                <c:pt idx="147">
                  <c:v>59.081698113207551</c:v>
                </c:pt>
                <c:pt idx="148">
                  <c:v>59.249056603773589</c:v>
                </c:pt>
                <c:pt idx="149">
                  <c:v>59.416415094339627</c:v>
                </c:pt>
                <c:pt idx="150">
                  <c:v>59.583773584905664</c:v>
                </c:pt>
                <c:pt idx="151">
                  <c:v>59.751132075471702</c:v>
                </c:pt>
                <c:pt idx="152">
                  <c:v>59.91849056603774</c:v>
                </c:pt>
                <c:pt idx="153">
                  <c:v>60.085849056603777</c:v>
                </c:pt>
                <c:pt idx="154">
                  <c:v>60.253207547169822</c:v>
                </c:pt>
                <c:pt idx="155">
                  <c:v>60.420566037735853</c:v>
                </c:pt>
                <c:pt idx="156">
                  <c:v>60.587924528301883</c:v>
                </c:pt>
                <c:pt idx="157">
                  <c:v>60.755283018867928</c:v>
                </c:pt>
                <c:pt idx="158">
                  <c:v>60.922641509433966</c:v>
                </c:pt>
                <c:pt idx="159">
                  <c:v>61.09</c:v>
                </c:pt>
                <c:pt idx="160">
                  <c:v>61.257358490566041</c:v>
                </c:pt>
              </c:numCache>
            </c:numRef>
          </c:val>
          <c:smooth val="0"/>
          <c:extLst>
            <c:ext xmlns:c16="http://schemas.microsoft.com/office/drawing/2014/chart" uri="{C3380CC4-5D6E-409C-BE32-E72D297353CC}">
              <c16:uniqueId val="{00000001-1E3B-7344-B5CE-CB20DF090919}"/>
            </c:ext>
          </c:extLst>
        </c:ser>
        <c:dLbls>
          <c:showLegendKey val="0"/>
          <c:showVal val="0"/>
          <c:showCatName val="0"/>
          <c:showSerName val="0"/>
          <c:showPercent val="0"/>
          <c:showBubbleSize val="0"/>
        </c:dLbls>
        <c:hiLowLines>
          <c:spPr>
            <a:ln w="0">
              <a:noFill/>
            </a:ln>
          </c:spPr>
        </c:hiLowLines>
        <c:marker val="1"/>
        <c:smooth val="0"/>
        <c:axId val="71890284"/>
        <c:axId val="22218361"/>
      </c:lineChart>
      <c:dateAx>
        <c:axId val="6164841"/>
        <c:scaling>
          <c:orientation val="minMax"/>
        </c:scaling>
        <c:delete val="1"/>
        <c:axPos val="b"/>
        <c:numFmt formatCode="mm/dd/yyyy" sourceLinked="1"/>
        <c:majorTickMark val="none"/>
        <c:minorTickMark val="none"/>
        <c:tickLblPos val="nextTo"/>
        <c:crossAx val="95001619"/>
        <c:crosses val="autoZero"/>
        <c:auto val="1"/>
        <c:lblOffset val="100"/>
        <c:baseTimeUnit val="days"/>
      </c:dateAx>
      <c:valAx>
        <c:axId val="950016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164841"/>
        <c:crosses val="autoZero"/>
        <c:crossBetween val="between"/>
      </c:valAx>
      <c:dateAx>
        <c:axId val="71890284"/>
        <c:scaling>
          <c:orientation val="minMax"/>
        </c:scaling>
        <c:delete val="1"/>
        <c:axPos val="b"/>
        <c:numFmt formatCode="mm/dd/yyyy" sourceLinked="1"/>
        <c:majorTickMark val="none"/>
        <c:minorTickMark val="none"/>
        <c:tickLblPos val="nextTo"/>
        <c:crossAx val="22218361"/>
        <c:crosses val="autoZero"/>
        <c:auto val="1"/>
        <c:lblOffset val="100"/>
        <c:baseTimeUnit val="days"/>
      </c:dateAx>
      <c:valAx>
        <c:axId val="222183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189028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(Calc)'!$S$3:$S$500</c:f>
              <c:numCache>
                <c:formatCode>0.0%</c:formatCode>
                <c:ptCount val="498"/>
                <c:pt idx="0">
                  <c:v>-2.4292903001908783E-2</c:v>
                </c:pt>
                <c:pt idx="1">
                  <c:v>-3.0232971723278546E-3</c:v>
                </c:pt>
                <c:pt idx="2">
                  <c:v>1.1059579022475896E-2</c:v>
                </c:pt>
                <c:pt idx="3">
                  <c:v>5.6457304163726185E-3</c:v>
                </c:pt>
                <c:pt idx="4">
                  <c:v>-2.8947368421052611E-2</c:v>
                </c:pt>
                <c:pt idx="5">
                  <c:v>-2.0234869015356871E-2</c:v>
                </c:pt>
                <c:pt idx="6">
                  <c:v>5.8454729854324317E-2</c:v>
                </c:pt>
                <c:pt idx="7">
                  <c:v>2.9442508710801452E-2</c:v>
                </c:pt>
                <c:pt idx="8">
                  <c:v>2.1661871721103232E-2</c:v>
                </c:pt>
                <c:pt idx="9">
                  <c:v>5.4662912042406919E-3</c:v>
                </c:pt>
                <c:pt idx="10">
                  <c:v>-2.1416803953872021E-3</c:v>
                </c:pt>
                <c:pt idx="11">
                  <c:v>3.6321611358758332E-3</c:v>
                </c:pt>
                <c:pt idx="12">
                  <c:v>3.4216153972692842E-2</c:v>
                </c:pt>
                <c:pt idx="13">
                  <c:v>1.4951487195800972E-2</c:v>
                </c:pt>
                <c:pt idx="14">
                  <c:v>7.0521861777150807E-3</c:v>
                </c:pt>
                <c:pt idx="15">
                  <c:v>-1.0270774976657404E-2</c:v>
                </c:pt>
                <c:pt idx="16">
                  <c:v>3.0974842767295563E-2</c:v>
                </c:pt>
                <c:pt idx="17">
                  <c:v>2.1198718926338289E-2</c:v>
                </c:pt>
                <c:pt idx="18">
                  <c:v>1.6129032258064724E-2</c:v>
                </c:pt>
                <c:pt idx="19">
                  <c:v>4.5708406819517933E-2</c:v>
                </c:pt>
                <c:pt idx="20">
                  <c:v>2.3893183415319541E-2</c:v>
                </c:pt>
                <c:pt idx="21">
                  <c:v>8.3733699382291249E-3</c:v>
                </c:pt>
                <c:pt idx="22">
                  <c:v>2.232507487067803E-2</c:v>
                </c:pt>
                <c:pt idx="23">
                  <c:v>2.8095872170439407E-2</c:v>
                </c:pt>
                <c:pt idx="24">
                  <c:v>3.8855070586714113E-3</c:v>
                </c:pt>
                <c:pt idx="25">
                  <c:v>-5.1606244355567599E-3</c:v>
                </c:pt>
                <c:pt idx="26">
                  <c:v>3.0086888860070049E-2</c:v>
                </c:pt>
                <c:pt idx="27">
                  <c:v>-7.5538209744430151E-3</c:v>
                </c:pt>
                <c:pt idx="28">
                  <c:v>2.9176709374603149E-3</c:v>
                </c:pt>
                <c:pt idx="29">
                  <c:v>-1.4039969643308892E-2</c:v>
                </c:pt>
                <c:pt idx="30">
                  <c:v>-5.6831302116741589E-2</c:v>
                </c:pt>
                <c:pt idx="31">
                  <c:v>3.0059847660500738E-2</c:v>
                </c:pt>
                <c:pt idx="32">
                  <c:v>9.7715568466920644E-3</c:v>
                </c:pt>
                <c:pt idx="33">
                  <c:v>2.2230940238001873E-2</c:v>
                </c:pt>
                <c:pt idx="34">
                  <c:v>1.5095305104259937E-2</c:v>
                </c:pt>
                <c:pt idx="35">
                  <c:v>1.953371140516702E-2</c:v>
                </c:pt>
                <c:pt idx="36">
                  <c:v>-1.1001236093943101E-2</c:v>
                </c:pt>
                <c:pt idx="37">
                  <c:v>3.0371203599550034E-2</c:v>
                </c:pt>
                <c:pt idx="38">
                  <c:v>4.2212518195051008E-2</c:v>
                </c:pt>
                <c:pt idx="39">
                  <c:v>-8.1471135940414108E-4</c:v>
                </c:pt>
                <c:pt idx="40">
                  <c:v>1.8637157833432116E-3</c:v>
                </c:pt>
                <c:pt idx="41">
                  <c:v>3.1042901988140859E-2</c:v>
                </c:pt>
                <c:pt idx="42">
                  <c:v>-2.0297699594046259E-3</c:v>
                </c:pt>
                <c:pt idx="43">
                  <c:v>-4.0451977401129935E-2</c:v>
                </c:pt>
                <c:pt idx="44">
                  <c:v>-1.8841262364578504E-2</c:v>
                </c:pt>
                <c:pt idx="45">
                  <c:v>-2.9764762361977781E-2</c:v>
                </c:pt>
                <c:pt idx="46">
                  <c:v>1.7318159327065707E-2</c:v>
                </c:pt>
                <c:pt idx="47">
                  <c:v>5.7028210116731648E-2</c:v>
                </c:pt>
                <c:pt idx="48">
                  <c:v>1.3804210284136476E-2</c:v>
                </c:pt>
                <c:pt idx="49">
                  <c:v>-3.9714058776806338E-3</c:v>
                </c:pt>
                <c:pt idx="50">
                  <c:v>-5.9808612440191422E-2</c:v>
                </c:pt>
                <c:pt idx="51">
                  <c:v>6.1553374530473715E-2</c:v>
                </c:pt>
                <c:pt idx="52">
                  <c:v>1.6208195411482773E-2</c:v>
                </c:pt>
                <c:pt idx="53">
                  <c:v>-1.3478602718185462E-3</c:v>
                </c:pt>
                <c:pt idx="54">
                  <c:v>1.4958947250027999E-2</c:v>
                </c:pt>
                <c:pt idx="55">
                  <c:v>2.1609042553191626E-2</c:v>
                </c:pt>
                <c:pt idx="56">
                  <c:v>4.3388653867013627E-3</c:v>
                </c:pt>
                <c:pt idx="57">
                  <c:v>-1.4688411275515678E-2</c:v>
                </c:pt>
                <c:pt idx="58">
                  <c:v>-1.3701633234681543E-2</c:v>
                </c:pt>
                <c:pt idx="59">
                  <c:v>5.9791064681040229E-2</c:v>
                </c:pt>
                <c:pt idx="60">
                  <c:v>-3.0830536912751616E-2</c:v>
                </c:pt>
                <c:pt idx="61">
                  <c:v>1.785327851114471E-2</c:v>
                </c:pt>
                <c:pt idx="62">
                  <c:v>1.3075369405761705E-2</c:v>
                </c:pt>
                <c:pt idx="63">
                  <c:v>1.9307450157397765E-2</c:v>
                </c:pt>
                <c:pt idx="64">
                  <c:v>-9.3679225859584214E-3</c:v>
                </c:pt>
                <c:pt idx="65">
                  <c:v>-2.2446222591707476E-2</c:v>
                </c:pt>
                <c:pt idx="66">
                  <c:v>1.265015414053372E-2</c:v>
                </c:pt>
                <c:pt idx="67">
                  <c:v>3.0442998110433717E-3</c:v>
                </c:pt>
                <c:pt idx="68">
                  <c:v>-1.3500784929356247E-2</c:v>
                </c:pt>
                <c:pt idx="69">
                  <c:v>3.2145130490133678E-2</c:v>
                </c:pt>
                <c:pt idx="70">
                  <c:v>2.7135368485969869E-2</c:v>
                </c:pt>
                <c:pt idx="71">
                  <c:v>-1.2708896227359268E-2</c:v>
                </c:pt>
                <c:pt idx="72">
                  <c:v>1.9866207176160611E-2</c:v>
                </c:pt>
                <c:pt idx="73">
                  <c:v>1.0137149672033274E-2</c:v>
                </c:pt>
                <c:pt idx="74">
                  <c:v>-3.0598189689098776E-2</c:v>
                </c:pt>
                <c:pt idx="75">
                  <c:v>-1.1164112453060371E-3</c:v>
                </c:pt>
                <c:pt idx="76">
                  <c:v>-5.2631578947368474E-2</c:v>
                </c:pt>
                <c:pt idx="77">
                  <c:v>-7.1857571857572022E-3</c:v>
                </c:pt>
                <c:pt idx="78">
                  <c:v>3.7809225451010953E-3</c:v>
                </c:pt>
                <c:pt idx="79">
                  <c:v>-1.9694360740421857E-2</c:v>
                </c:pt>
                <c:pt idx="80">
                  <c:v>-0.10703699637720931</c:v>
                </c:pt>
                <c:pt idx="81">
                  <c:v>9.1099090238504932E-2</c:v>
                </c:pt>
                <c:pt idx="82">
                  <c:v>-1.7352112676056408E-2</c:v>
                </c:pt>
                <c:pt idx="83">
                  <c:v>6.5244811374842504E-2</c:v>
                </c:pt>
                <c:pt idx="84">
                  <c:v>4.0258342303552075E-2</c:v>
                </c:pt>
                <c:pt idx="85">
                  <c:v>6.9329470198675747E-3</c:v>
                </c:pt>
                <c:pt idx="86">
                  <c:v>6.8235535916144396E-2</c:v>
                </c:pt>
                <c:pt idx="87">
                  <c:v>-2.2318422318422404E-2</c:v>
                </c:pt>
                <c:pt idx="88">
                  <c:v>2.4303847289186331E-2</c:v>
                </c:pt>
                <c:pt idx="89">
                  <c:v>1.4889529298751203E-2</c:v>
                </c:pt>
                <c:pt idx="90">
                  <c:v>-7.0989115002366709E-3</c:v>
                </c:pt>
                <c:pt idx="91">
                  <c:v>7.0543374642515477E-3</c:v>
                </c:pt>
                <c:pt idx="92">
                  <c:v>4.8182506626277988E-2</c:v>
                </c:pt>
                <c:pt idx="93">
                  <c:v>5.960444324031311E-3</c:v>
                </c:pt>
                <c:pt idx="94">
                  <c:v>-3.0523386300386202E-3</c:v>
                </c:pt>
                <c:pt idx="95">
                  <c:v>1.4858171994597047E-2</c:v>
                </c:pt>
                <c:pt idx="96">
                  <c:v>1.055900621118E-2</c:v>
                </c:pt>
                <c:pt idx="97">
                  <c:v>-1.5716919834928511E-2</c:v>
                </c:pt>
                <c:pt idx="98">
                  <c:v>3.4968777876895674E-2</c:v>
                </c:pt>
                <c:pt idx="99">
                  <c:v>1.0343044302707494E-3</c:v>
                </c:pt>
                <c:pt idx="100">
                  <c:v>-6.8021353538832985E-3</c:v>
                </c:pt>
                <c:pt idx="101">
                  <c:v>-2.6007802340699548E-4</c:v>
                </c:pt>
                <c:pt idx="102">
                  <c:v>4.9427679500519961E-3</c:v>
                </c:pt>
                <c:pt idx="103">
                  <c:v>2.9251876779704977E-2</c:v>
                </c:pt>
                <c:pt idx="104">
                  <c:v>1.2072434607645954E-2</c:v>
                </c:pt>
                <c:pt idx="105">
                  <c:v>-9.52617627567931E-3</c:v>
                </c:pt>
                <c:pt idx="106">
                  <c:v>-4.0980178974658887E-3</c:v>
                </c:pt>
                <c:pt idx="107">
                  <c:v>-1.3184413839435583E-2</c:v>
                </c:pt>
                <c:pt idx="108">
                  <c:v>1.6168836694749222E-2</c:v>
                </c:pt>
                <c:pt idx="109">
                  <c:v>1.0719370236998538E-2</c:v>
                </c:pt>
                <c:pt idx="110">
                  <c:v>-8.2856906123085494E-5</c:v>
                </c:pt>
                <c:pt idx="111">
                  <c:v>-2.601922439509452E-2</c:v>
                </c:pt>
                <c:pt idx="112">
                  <c:v>-5.9554194316828735E-3</c:v>
                </c:pt>
                <c:pt idx="113">
                  <c:v>-2.9955494693598039E-2</c:v>
                </c:pt>
                <c:pt idx="114">
                  <c:v>5.090877007234873E-2</c:v>
                </c:pt>
                <c:pt idx="115">
                  <c:v>6.1287885148182397E-3</c:v>
                </c:pt>
                <c:pt idx="116">
                  <c:v>-1.4519359145527488E-2</c:v>
                </c:pt>
                <c:pt idx="117">
                  <c:v>3.640982218459099E-3</c:v>
                </c:pt>
                <c:pt idx="118">
                  <c:v>1.7970134143254768E-2</c:v>
                </c:pt>
                <c:pt idx="119">
                  <c:v>-1.4089176197579989E-2</c:v>
                </c:pt>
                <c:pt idx="120">
                  <c:v>2.9421654337593584E-3</c:v>
                </c:pt>
                <c:pt idx="121">
                  <c:v>-2.5144581342717576E-4</c:v>
                </c:pt>
                <c:pt idx="122">
                  <c:v>-1.7270288397049027E-2</c:v>
                </c:pt>
                <c:pt idx="123">
                  <c:v>1.6464767104589662E-2</c:v>
                </c:pt>
                <c:pt idx="124">
                  <c:v>-2.5178346621901326E-4</c:v>
                </c:pt>
                <c:pt idx="125">
                  <c:v>-1.32639355271994E-2</c:v>
                </c:pt>
                <c:pt idx="126">
                  <c:v>1.4463161476943931E-2</c:v>
                </c:pt>
                <c:pt idx="127">
                  <c:v>-4.0254948004024849E-3</c:v>
                </c:pt>
                <c:pt idx="128">
                  <c:v>-1.0357022566520713E-2</c:v>
                </c:pt>
                <c:pt idx="129">
                  <c:v>-1.7357270484131715E-2</c:v>
                </c:pt>
                <c:pt idx="130">
                  <c:v>-2.0694432418391195E-2</c:v>
                </c:pt>
                <c:pt idx="131">
                  <c:v>-2.7763041556145063E-2</c:v>
                </c:pt>
                <c:pt idx="132">
                  <c:v>4.0196435067297198E-2</c:v>
                </c:pt>
                <c:pt idx="133">
                  <c:v>7.4925686308795258E-2</c:v>
                </c:pt>
                <c:pt idx="134">
                  <c:v>4.0178934526230226E-2</c:v>
                </c:pt>
                <c:pt idx="135">
                  <c:v>2.5099695050433857E-2</c:v>
                </c:pt>
                <c:pt idx="136">
                  <c:v>2.2120518688024449E-2</c:v>
                </c:pt>
                <c:pt idx="137">
                  <c:v>6.9850746268656838E-2</c:v>
                </c:pt>
                <c:pt idx="138">
                  <c:v>-2.3018973214286031E-3</c:v>
                </c:pt>
                <c:pt idx="139">
                  <c:v>1.0137733342655331E-2</c:v>
                </c:pt>
                <c:pt idx="140">
                  <c:v>3.8967331118494153E-2</c:v>
                </c:pt>
                <c:pt idx="141">
                  <c:v>-4.1902604756511974E-2</c:v>
                </c:pt>
                <c:pt idx="142">
                  <c:v>5.6876651369767828E-2</c:v>
                </c:pt>
                <c:pt idx="143">
                  <c:v>4.8618421052631478E-2</c:v>
                </c:pt>
                <c:pt idx="144">
                  <c:v>-3.4130121086642817E-2</c:v>
                </c:pt>
                <c:pt idx="145">
                  <c:v>-2.1890224098733202E-2</c:v>
                </c:pt>
                <c:pt idx="146">
                  <c:v>1.9391685482799792E-2</c:v>
                </c:pt>
                <c:pt idx="147">
                  <c:v>-6.410423452768732E-2</c:v>
                </c:pt>
                <c:pt idx="148">
                  <c:v>1.8167896422107921E-2</c:v>
                </c:pt>
                <c:pt idx="149">
                  <c:v>-1.825391399466747E-2</c:v>
                </c:pt>
                <c:pt idx="150">
                  <c:v>4.0738161559888519E-2</c:v>
                </c:pt>
                <c:pt idx="151">
                  <c:v>2.415523586483781E-2</c:v>
                </c:pt>
                <c:pt idx="152">
                  <c:v>-2.9857572193910831E-2</c:v>
                </c:pt>
                <c:pt idx="153">
                  <c:v>-1.3132197454374106E-2</c:v>
                </c:pt>
                <c:pt idx="154">
                  <c:v>2.0062781493107584E-2</c:v>
                </c:pt>
                <c:pt idx="155">
                  <c:v>-9.4327000267594441E-3</c:v>
                </c:pt>
                <c:pt idx="156">
                  <c:v>6.0782062537989567E-3</c:v>
                </c:pt>
                <c:pt idx="157">
                  <c:v>2.6515405786399882E-2</c:v>
                </c:pt>
                <c:pt idx="158">
                  <c:v>2.0272037666753118E-3</c:v>
                </c:pt>
                <c:pt idx="159">
                  <c:v>-1.3509103961365176E-2</c:v>
                </c:pt>
                <c:pt idx="160">
                  <c:v>0</c:v>
                </c:pt>
              </c:numCache>
            </c:numRef>
          </c:val>
          <c:extLst>
            <c:ext xmlns:c16="http://schemas.microsoft.com/office/drawing/2014/chart" uri="{C3380CC4-5D6E-409C-BE32-E72D297353CC}">
              <c16:uniqueId val="{00000000-7660-AD44-9C72-C09E40590F93}"/>
            </c:ext>
          </c:extLst>
        </c:ser>
        <c:dLbls>
          <c:showLegendKey val="0"/>
          <c:showVal val="0"/>
          <c:showCatName val="0"/>
          <c:showSerName val="0"/>
          <c:showPercent val="0"/>
          <c:showBubbleSize val="0"/>
        </c:dLbls>
        <c:gapWidth val="150"/>
        <c:axId val="14331685"/>
        <c:axId val="82356218"/>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(Calc)'!$AM$3:$AM$500</c:f>
              <c:numCache>
                <c:formatCode>#,##0.00</c:formatCode>
                <c:ptCount val="498"/>
                <c:pt idx="0">
                  <c:v>57.63</c:v>
                </c:pt>
                <c:pt idx="1">
                  <c:v>58.218238993710692</c:v>
                </c:pt>
                <c:pt idx="2">
                  <c:v>58.806477987421388</c:v>
                </c:pt>
                <c:pt idx="3">
                  <c:v>59.394716981132078</c:v>
                </c:pt>
                <c:pt idx="4">
                  <c:v>59.982955974842767</c:v>
                </c:pt>
                <c:pt idx="5">
                  <c:v>60.571194968553463</c:v>
                </c:pt>
                <c:pt idx="6">
                  <c:v>61.159433962264153</c:v>
                </c:pt>
                <c:pt idx="7">
                  <c:v>61.747672955974849</c:v>
                </c:pt>
                <c:pt idx="8">
                  <c:v>62.335911949685539</c:v>
                </c:pt>
                <c:pt idx="9">
                  <c:v>62.924150943396228</c:v>
                </c:pt>
                <c:pt idx="10">
                  <c:v>63.512389937106917</c:v>
                </c:pt>
                <c:pt idx="11">
                  <c:v>64.100628930817606</c:v>
                </c:pt>
                <c:pt idx="12">
                  <c:v>64.68886792452831</c:v>
                </c:pt>
                <c:pt idx="13">
                  <c:v>65.277106918238999</c:v>
                </c:pt>
                <c:pt idx="14">
                  <c:v>65.865345911949689</c:v>
                </c:pt>
                <c:pt idx="15">
                  <c:v>66.453584905660378</c:v>
                </c:pt>
                <c:pt idx="16">
                  <c:v>67.041823899371067</c:v>
                </c:pt>
                <c:pt idx="17">
                  <c:v>67.630062893081771</c:v>
                </c:pt>
                <c:pt idx="18">
                  <c:v>68.21830188679246</c:v>
                </c:pt>
                <c:pt idx="19">
                  <c:v>68.80654088050315</c:v>
                </c:pt>
                <c:pt idx="20">
                  <c:v>69.394779874213839</c:v>
                </c:pt>
                <c:pt idx="21">
                  <c:v>69.983018867924528</c:v>
                </c:pt>
                <c:pt idx="22">
                  <c:v>70.571257861635218</c:v>
                </c:pt>
                <c:pt idx="23">
                  <c:v>71.159496855345921</c:v>
                </c:pt>
                <c:pt idx="24">
                  <c:v>71.74773584905661</c:v>
                </c:pt>
                <c:pt idx="25">
                  <c:v>72.3359748427673</c:v>
                </c:pt>
                <c:pt idx="26">
                  <c:v>72.924213836477989</c:v>
                </c:pt>
                <c:pt idx="27">
                  <c:v>73.512452830188678</c:v>
                </c:pt>
                <c:pt idx="28">
                  <c:v>74.100691823899382</c:v>
                </c:pt>
                <c:pt idx="29">
                  <c:v>74.688930817610071</c:v>
                </c:pt>
                <c:pt idx="30">
                  <c:v>75.277169811320761</c:v>
                </c:pt>
                <c:pt idx="31">
                  <c:v>75.86540880503145</c:v>
                </c:pt>
                <c:pt idx="32">
                  <c:v>76.453647798742139</c:v>
                </c:pt>
                <c:pt idx="33">
                  <c:v>77.041886792452829</c:v>
                </c:pt>
                <c:pt idx="34">
                  <c:v>77.630125786163518</c:v>
                </c:pt>
                <c:pt idx="35">
                  <c:v>78.218364779874221</c:v>
                </c:pt>
                <c:pt idx="36">
                  <c:v>78.806603773584911</c:v>
                </c:pt>
                <c:pt idx="37">
                  <c:v>79.3948427672956</c:v>
                </c:pt>
                <c:pt idx="38">
                  <c:v>79.983081761006289</c:v>
                </c:pt>
                <c:pt idx="39">
                  <c:v>80.571320754716993</c:v>
                </c:pt>
                <c:pt idx="40">
                  <c:v>81.159559748427682</c:v>
                </c:pt>
                <c:pt idx="41">
                  <c:v>81.747798742138372</c:v>
                </c:pt>
                <c:pt idx="42">
                  <c:v>82.336037735849061</c:v>
                </c:pt>
                <c:pt idx="43">
                  <c:v>82.92427672955975</c:v>
                </c:pt>
                <c:pt idx="44">
                  <c:v>83.51251572327044</c:v>
                </c:pt>
                <c:pt idx="45">
                  <c:v>84.100754716981129</c:v>
                </c:pt>
                <c:pt idx="46">
                  <c:v>84.688993710691832</c:v>
                </c:pt>
                <c:pt idx="47">
                  <c:v>85.277232704402522</c:v>
                </c:pt>
                <c:pt idx="48">
                  <c:v>85.865471698113211</c:v>
                </c:pt>
                <c:pt idx="49">
                  <c:v>86.4537106918239</c:v>
                </c:pt>
                <c:pt idx="50">
                  <c:v>87.04194968553459</c:v>
                </c:pt>
                <c:pt idx="51">
                  <c:v>87.630188679245279</c:v>
                </c:pt>
                <c:pt idx="52">
                  <c:v>88.218427672955983</c:v>
                </c:pt>
                <c:pt idx="53">
                  <c:v>88.806666666666672</c:v>
                </c:pt>
                <c:pt idx="54">
                  <c:v>89.394905660377361</c:v>
                </c:pt>
                <c:pt idx="55">
                  <c:v>89.983144654088051</c:v>
                </c:pt>
                <c:pt idx="56">
                  <c:v>90.57138364779874</c:v>
                </c:pt>
                <c:pt idx="57">
                  <c:v>91.159622641509429</c:v>
                </c:pt>
                <c:pt idx="58">
                  <c:v>91.747861635220119</c:v>
                </c:pt>
                <c:pt idx="59">
                  <c:v>92.336100628930822</c:v>
                </c:pt>
                <c:pt idx="60">
                  <c:v>92.924339622641511</c:v>
                </c:pt>
                <c:pt idx="61">
                  <c:v>93.512578616352201</c:v>
                </c:pt>
                <c:pt idx="62">
                  <c:v>94.10081761006289</c:v>
                </c:pt>
                <c:pt idx="63">
                  <c:v>94.689056603773594</c:v>
                </c:pt>
                <c:pt idx="64">
                  <c:v>95.277295597484283</c:v>
                </c:pt>
                <c:pt idx="65">
                  <c:v>95.865534591194972</c:v>
                </c:pt>
                <c:pt idx="66">
                  <c:v>96.453773584905662</c:v>
                </c:pt>
                <c:pt idx="67">
                  <c:v>97.042012578616351</c:v>
                </c:pt>
                <c:pt idx="68">
                  <c:v>97.63025157232704</c:v>
                </c:pt>
                <c:pt idx="69">
                  <c:v>98.21849056603773</c:v>
                </c:pt>
                <c:pt idx="70">
                  <c:v>98.806729559748433</c:v>
                </c:pt>
                <c:pt idx="71">
                  <c:v>99.394968553459123</c:v>
                </c:pt>
                <c:pt idx="72">
                  <c:v>99.983207547169812</c:v>
                </c:pt>
                <c:pt idx="73">
                  <c:v>100.57144654088052</c:v>
                </c:pt>
                <c:pt idx="74">
                  <c:v>101.1596855345912</c:v>
                </c:pt>
                <c:pt idx="75">
                  <c:v>101.74792452830189</c:v>
                </c:pt>
                <c:pt idx="76">
                  <c:v>102.33616352201258</c:v>
                </c:pt>
                <c:pt idx="77">
                  <c:v>102.92440251572327</c:v>
                </c:pt>
                <c:pt idx="78">
                  <c:v>103.51264150943396</c:v>
                </c:pt>
                <c:pt idx="79">
                  <c:v>104.10088050314465</c:v>
                </c:pt>
                <c:pt idx="80">
                  <c:v>104.68911949685534</c:v>
                </c:pt>
                <c:pt idx="81">
                  <c:v>105.27735849056604</c:v>
                </c:pt>
                <c:pt idx="82">
                  <c:v>105.86559748427673</c:v>
                </c:pt>
                <c:pt idx="83">
                  <c:v>106.45383647798742</c:v>
                </c:pt>
                <c:pt idx="84">
                  <c:v>107.04207547169813</c:v>
                </c:pt>
                <c:pt idx="85">
                  <c:v>107.63031446540882</c:v>
                </c:pt>
                <c:pt idx="86">
                  <c:v>108.21855345911951</c:v>
                </c:pt>
                <c:pt idx="87">
                  <c:v>108.80679245283019</c:v>
                </c:pt>
                <c:pt idx="88">
                  <c:v>109.39503144654088</c:v>
                </c:pt>
                <c:pt idx="89">
                  <c:v>109.98327044025157</c:v>
                </c:pt>
                <c:pt idx="90">
                  <c:v>110.57150943396226</c:v>
                </c:pt>
                <c:pt idx="91">
                  <c:v>111.15974842767295</c:v>
                </c:pt>
                <c:pt idx="92">
                  <c:v>111.74798742138366</c:v>
                </c:pt>
                <c:pt idx="93">
                  <c:v>112.33622641509434</c:v>
                </c:pt>
                <c:pt idx="94">
                  <c:v>112.92446540880503</c:v>
                </c:pt>
                <c:pt idx="95">
                  <c:v>113.51270440251574</c:v>
                </c:pt>
                <c:pt idx="96">
                  <c:v>114.10094339622643</c:v>
                </c:pt>
                <c:pt idx="97">
                  <c:v>114.68918238993712</c:v>
                </c:pt>
                <c:pt idx="98">
                  <c:v>115.27742138364781</c:v>
                </c:pt>
                <c:pt idx="99">
                  <c:v>115.86566037735849</c:v>
                </c:pt>
                <c:pt idx="100">
                  <c:v>116.45389937106918</c:v>
                </c:pt>
                <c:pt idx="101">
                  <c:v>117.04213836477987</c:v>
                </c:pt>
                <c:pt idx="102">
                  <c:v>117.63037735849056</c:v>
                </c:pt>
                <c:pt idx="103">
                  <c:v>118.21861635220125</c:v>
                </c:pt>
                <c:pt idx="104">
                  <c:v>118.80685534591196</c:v>
                </c:pt>
                <c:pt idx="105">
                  <c:v>119.39509433962264</c:v>
                </c:pt>
                <c:pt idx="106">
                  <c:v>119.98333333333333</c:v>
                </c:pt>
                <c:pt idx="107">
                  <c:v>120.57157232704404</c:v>
                </c:pt>
                <c:pt idx="108">
                  <c:v>121.15981132075473</c:v>
                </c:pt>
                <c:pt idx="109">
                  <c:v>121.74805031446542</c:v>
                </c:pt>
                <c:pt idx="110">
                  <c:v>122.33628930817611</c:v>
                </c:pt>
                <c:pt idx="111">
                  <c:v>122.9245283018868</c:v>
                </c:pt>
                <c:pt idx="112">
                  <c:v>123.51276729559748</c:v>
                </c:pt>
                <c:pt idx="113">
                  <c:v>124.10100628930817</c:v>
                </c:pt>
                <c:pt idx="114">
                  <c:v>124.68924528301886</c:v>
                </c:pt>
                <c:pt idx="115">
                  <c:v>125.27748427672958</c:v>
                </c:pt>
                <c:pt idx="116">
                  <c:v>125.86572327044024</c:v>
                </c:pt>
                <c:pt idx="117">
                  <c:v>126.45396226415096</c:v>
                </c:pt>
                <c:pt idx="118">
                  <c:v>127.04220125786165</c:v>
                </c:pt>
                <c:pt idx="119">
                  <c:v>127.63044025157234</c:v>
                </c:pt>
                <c:pt idx="120">
                  <c:v>128.21867924528303</c:v>
                </c:pt>
                <c:pt idx="121">
                  <c:v>128.80691823899372</c:v>
                </c:pt>
                <c:pt idx="122">
                  <c:v>129.39515723270441</c:v>
                </c:pt>
                <c:pt idx="123">
                  <c:v>129.9833962264151</c:v>
                </c:pt>
                <c:pt idx="124">
                  <c:v>130.57163522012578</c:v>
                </c:pt>
                <c:pt idx="125">
                  <c:v>131.15987421383647</c:v>
                </c:pt>
                <c:pt idx="126">
                  <c:v>131.74811320754716</c:v>
                </c:pt>
                <c:pt idx="127">
                  <c:v>132.33635220125785</c:v>
                </c:pt>
                <c:pt idx="128">
                  <c:v>132.92459119496857</c:v>
                </c:pt>
                <c:pt idx="129">
                  <c:v>133.51283018867926</c:v>
                </c:pt>
                <c:pt idx="130">
                  <c:v>134.10106918238995</c:v>
                </c:pt>
                <c:pt idx="131">
                  <c:v>134.68930817610064</c:v>
                </c:pt>
                <c:pt idx="132">
                  <c:v>135.27754716981133</c:v>
                </c:pt>
                <c:pt idx="133">
                  <c:v>135.86578616352202</c:v>
                </c:pt>
                <c:pt idx="134">
                  <c:v>136.45402515723271</c:v>
                </c:pt>
                <c:pt idx="135">
                  <c:v>137.0422641509434</c:v>
                </c:pt>
                <c:pt idx="136">
                  <c:v>137.63050314465409</c:v>
                </c:pt>
                <c:pt idx="137">
                  <c:v>138.21874213836477</c:v>
                </c:pt>
                <c:pt idx="138">
                  <c:v>138.80698113207546</c:v>
                </c:pt>
                <c:pt idx="139">
                  <c:v>139.39522012578615</c:v>
                </c:pt>
                <c:pt idx="140">
                  <c:v>139.98345911949687</c:v>
                </c:pt>
                <c:pt idx="141">
                  <c:v>140.57169811320756</c:v>
                </c:pt>
                <c:pt idx="142">
                  <c:v>141.15993710691825</c:v>
                </c:pt>
                <c:pt idx="143">
                  <c:v>141.74817610062894</c:v>
                </c:pt>
                <c:pt idx="144">
                  <c:v>142.33641509433963</c:v>
                </c:pt>
                <c:pt idx="145">
                  <c:v>142.92465408805032</c:v>
                </c:pt>
                <c:pt idx="146">
                  <c:v>143.51289308176101</c:v>
                </c:pt>
                <c:pt idx="147">
                  <c:v>144.1011320754717</c:v>
                </c:pt>
                <c:pt idx="148">
                  <c:v>144.68937106918239</c:v>
                </c:pt>
                <c:pt idx="149">
                  <c:v>145.27761006289307</c:v>
                </c:pt>
                <c:pt idx="150">
                  <c:v>145.86584905660376</c:v>
                </c:pt>
                <c:pt idx="151">
                  <c:v>146.45408805031448</c:v>
                </c:pt>
                <c:pt idx="152">
                  <c:v>147.04232704402514</c:v>
                </c:pt>
                <c:pt idx="153">
                  <c:v>147.63056603773586</c:v>
                </c:pt>
                <c:pt idx="154">
                  <c:v>148.21880503144655</c:v>
                </c:pt>
                <c:pt idx="155">
                  <c:v>148.80704402515724</c:v>
                </c:pt>
                <c:pt idx="156">
                  <c:v>149.39528301886793</c:v>
                </c:pt>
                <c:pt idx="157">
                  <c:v>149.98352201257862</c:v>
                </c:pt>
                <c:pt idx="158">
                  <c:v>150.57176100628931</c:v>
                </c:pt>
                <c:pt idx="159">
                  <c:v>151.16</c:v>
                </c:pt>
                <c:pt idx="160">
                  <c:v>151.74823899371069</c:v>
                </c:pt>
              </c:numCache>
            </c:numRef>
          </c:val>
          <c:smooth val="0"/>
          <c:extLst>
            <c:ext xmlns:c16="http://schemas.microsoft.com/office/drawing/2014/chart" uri="{C3380CC4-5D6E-409C-BE32-E72D297353CC}">
              <c16:uniqueId val="{00000001-7660-AD44-9C72-C09E40590F93}"/>
            </c:ext>
          </c:extLst>
        </c:ser>
        <c:dLbls>
          <c:showLegendKey val="0"/>
          <c:showVal val="0"/>
          <c:showCatName val="0"/>
          <c:showSerName val="0"/>
          <c:showPercent val="0"/>
          <c:showBubbleSize val="0"/>
        </c:dLbls>
        <c:hiLowLines>
          <c:spPr>
            <a:ln w="0">
              <a:noFill/>
            </a:ln>
          </c:spPr>
        </c:hiLowLines>
        <c:marker val="1"/>
        <c:smooth val="0"/>
        <c:axId val="25891579"/>
        <c:axId val="46245262"/>
      </c:lineChart>
      <c:dateAx>
        <c:axId val="14331685"/>
        <c:scaling>
          <c:orientation val="minMax"/>
        </c:scaling>
        <c:delete val="1"/>
        <c:axPos val="b"/>
        <c:numFmt formatCode="mm/dd/yyyy" sourceLinked="1"/>
        <c:majorTickMark val="none"/>
        <c:minorTickMark val="none"/>
        <c:tickLblPos val="nextTo"/>
        <c:crossAx val="82356218"/>
        <c:crosses val="autoZero"/>
        <c:auto val="1"/>
        <c:lblOffset val="100"/>
        <c:baseTimeUnit val="days"/>
      </c:dateAx>
      <c:valAx>
        <c:axId val="823562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4331685"/>
        <c:crosses val="autoZero"/>
        <c:crossBetween val="between"/>
      </c:valAx>
      <c:dateAx>
        <c:axId val="25891579"/>
        <c:scaling>
          <c:orientation val="minMax"/>
        </c:scaling>
        <c:delete val="1"/>
        <c:axPos val="b"/>
        <c:numFmt formatCode="mm/dd/yyyy" sourceLinked="1"/>
        <c:majorTickMark val="none"/>
        <c:minorTickMark val="none"/>
        <c:tickLblPos val="nextTo"/>
        <c:crossAx val="46245262"/>
        <c:crosses val="autoZero"/>
        <c:auto val="1"/>
        <c:lblOffset val="100"/>
        <c:baseTimeUnit val="days"/>
      </c:dateAx>
      <c:valAx>
        <c:axId val="462452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589157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(Calc)'!$T$3:$T$500</c:f>
              <c:numCache>
                <c:formatCode>0.0%</c:formatCode>
                <c:ptCount val="498"/>
                <c:pt idx="0">
                  <c:v>-1.465927099841513E-2</c:v>
                </c:pt>
                <c:pt idx="1">
                  <c:v>2.8146361077603377E-3</c:v>
                </c:pt>
                <c:pt idx="2">
                  <c:v>-1.8845228548516557E-2</c:v>
                </c:pt>
                <c:pt idx="3">
                  <c:v>1.4303228442991367E-2</c:v>
                </c:pt>
                <c:pt idx="4">
                  <c:v>-1.248992747784039E-2</c:v>
                </c:pt>
                <c:pt idx="5">
                  <c:v>-3.3047735618115137E-2</c:v>
                </c:pt>
                <c:pt idx="6">
                  <c:v>5.8649789029535881E-2</c:v>
                </c:pt>
                <c:pt idx="7">
                  <c:v>-6.3770426464726526E-3</c:v>
                </c:pt>
                <c:pt idx="8">
                  <c:v>2.5671881267549157E-2</c:v>
                </c:pt>
                <c:pt idx="9">
                  <c:v>7.0394994133751165E-3</c:v>
                </c:pt>
                <c:pt idx="10">
                  <c:v>1.3592233009708687E-2</c:v>
                </c:pt>
                <c:pt idx="11">
                  <c:v>8.8122605363982753E-3</c:v>
                </c:pt>
                <c:pt idx="12">
                  <c:v>2.7725028484618219E-2</c:v>
                </c:pt>
                <c:pt idx="13">
                  <c:v>1.2195121951219523E-2</c:v>
                </c:pt>
                <c:pt idx="14">
                  <c:v>-2.1905805038335835E-3</c:v>
                </c:pt>
                <c:pt idx="15">
                  <c:v>7.3179656055621933E-4</c:v>
                </c:pt>
                <c:pt idx="16">
                  <c:v>-2.1937842778794181E-3</c:v>
                </c:pt>
                <c:pt idx="17">
                  <c:v>-9.5272993770610936E-3</c:v>
                </c:pt>
                <c:pt idx="18">
                  <c:v>8.1391046984831128E-3</c:v>
                </c:pt>
                <c:pt idx="19">
                  <c:v>9.5412844036697475E-3</c:v>
                </c:pt>
                <c:pt idx="20">
                  <c:v>5.0890585241729624E-3</c:v>
                </c:pt>
                <c:pt idx="21">
                  <c:v>8.3182640144665587E-3</c:v>
                </c:pt>
                <c:pt idx="22">
                  <c:v>2.1879483500717445E-2</c:v>
                </c:pt>
                <c:pt idx="23">
                  <c:v>2.1762021762021799E-2</c:v>
                </c:pt>
                <c:pt idx="24">
                  <c:v>1.9924424596358792E-2</c:v>
                </c:pt>
                <c:pt idx="25">
                  <c:v>1.5493432132030804E-2</c:v>
                </c:pt>
                <c:pt idx="26">
                  <c:v>2.4212271973466093E-2</c:v>
                </c:pt>
                <c:pt idx="27">
                  <c:v>1.5544041450777257E-2</c:v>
                </c:pt>
                <c:pt idx="28">
                  <c:v>-2.5510204081632404E-3</c:v>
                </c:pt>
                <c:pt idx="29">
                  <c:v>-2.5575447570332477E-2</c:v>
                </c:pt>
                <c:pt idx="30">
                  <c:v>-1.7716535433070835E-2</c:v>
                </c:pt>
                <c:pt idx="31">
                  <c:v>1.2358049432197538E-2</c:v>
                </c:pt>
                <c:pt idx="32">
                  <c:v>-1.5506433520290241E-2</c:v>
                </c:pt>
                <c:pt idx="33">
                  <c:v>2.2453083109919669E-2</c:v>
                </c:pt>
                <c:pt idx="34">
                  <c:v>9.5050803015404028E-3</c:v>
                </c:pt>
                <c:pt idx="35">
                  <c:v>-1.7207792207792227E-2</c:v>
                </c:pt>
                <c:pt idx="36">
                  <c:v>1.156260323752889E-2</c:v>
                </c:pt>
                <c:pt idx="37">
                  <c:v>-2.1227955584585345E-2</c:v>
                </c:pt>
                <c:pt idx="38">
                  <c:v>-2.0020020020019569E-3</c:v>
                </c:pt>
                <c:pt idx="39">
                  <c:v>9.6957539284519001E-3</c:v>
                </c:pt>
                <c:pt idx="40">
                  <c:v>-6.6225165562913135E-3</c:v>
                </c:pt>
                <c:pt idx="41">
                  <c:v>-1.966666666666661E-2</c:v>
                </c:pt>
                <c:pt idx="42">
                  <c:v>3.8422305338320362E-2</c:v>
                </c:pt>
                <c:pt idx="43">
                  <c:v>1.5062213490504295E-2</c:v>
                </c:pt>
                <c:pt idx="44">
                  <c:v>1.806451612903226E-2</c:v>
                </c:pt>
                <c:pt idx="45">
                  <c:v>-2.8833967046894782E-2</c:v>
                </c:pt>
                <c:pt idx="46">
                  <c:v>-9.7879282218593655E-4</c:v>
                </c:pt>
                <c:pt idx="47">
                  <c:v>1.6329196603527052E-2</c:v>
                </c:pt>
                <c:pt idx="48">
                  <c:v>3.2776349614395794E-2</c:v>
                </c:pt>
                <c:pt idx="49">
                  <c:v>3.1113876789048422E-3</c:v>
                </c:pt>
                <c:pt idx="50">
                  <c:v>-4.1253101736972719E-2</c:v>
                </c:pt>
                <c:pt idx="51">
                  <c:v>2.5558071821417006E-2</c:v>
                </c:pt>
                <c:pt idx="52">
                  <c:v>1.7350157728706739E-2</c:v>
                </c:pt>
                <c:pt idx="53">
                  <c:v>2.1705426356588564E-3</c:v>
                </c:pt>
                <c:pt idx="54">
                  <c:v>1.8564356435643692E-2</c:v>
                </c:pt>
                <c:pt idx="55">
                  <c:v>4.2527339003646247E-3</c:v>
                </c:pt>
                <c:pt idx="56">
                  <c:v>-4.8396854204477702E-3</c:v>
                </c:pt>
                <c:pt idx="57">
                  <c:v>-1.9148936170212627E-2</c:v>
                </c:pt>
                <c:pt idx="58">
                  <c:v>6.197706848465323E-4</c:v>
                </c:pt>
                <c:pt idx="59">
                  <c:v>7.7423350882626307E-2</c:v>
                </c:pt>
                <c:pt idx="60">
                  <c:v>-1.5234262719172165E-2</c:v>
                </c:pt>
                <c:pt idx="61">
                  <c:v>3.8528896672504365E-2</c:v>
                </c:pt>
                <c:pt idx="62">
                  <c:v>1.9673974142777606E-3</c:v>
                </c:pt>
                <c:pt idx="63">
                  <c:v>-8.4151472650773051E-4</c:v>
                </c:pt>
                <c:pt idx="64">
                  <c:v>-4.1549691184727622E-2</c:v>
                </c:pt>
                <c:pt idx="65">
                  <c:v>-3.0462800234329235E-2</c:v>
                </c:pt>
                <c:pt idx="66">
                  <c:v>9.3655589123866623E-3</c:v>
                </c:pt>
                <c:pt idx="67">
                  <c:v>7.4827895839568725E-3</c:v>
                </c:pt>
                <c:pt idx="68">
                  <c:v>0</c:v>
                </c:pt>
                <c:pt idx="69">
                  <c:v>3.8621509209744609E-2</c:v>
                </c:pt>
                <c:pt idx="70">
                  <c:v>2.5743707093819346E-3</c:v>
                </c:pt>
                <c:pt idx="71">
                  <c:v>-1.0271041369472211E-2</c:v>
                </c:pt>
                <c:pt idx="72">
                  <c:v>-7.4949553185355011E-3</c:v>
                </c:pt>
                <c:pt idx="73">
                  <c:v>1.1617775196050006E-2</c:v>
                </c:pt>
                <c:pt idx="74">
                  <c:v>-3.445305770887086E-3</c:v>
                </c:pt>
                <c:pt idx="75">
                  <c:v>-4.6096225871508079E-3</c:v>
                </c:pt>
                <c:pt idx="76">
                  <c:v>-1.4471780028943559E-2</c:v>
                </c:pt>
                <c:pt idx="77">
                  <c:v>-1.8795888399412597E-2</c:v>
                </c:pt>
                <c:pt idx="78">
                  <c:v>1.7060760251421669E-2</c:v>
                </c:pt>
                <c:pt idx="79">
                  <c:v>-1.6480282519128808E-2</c:v>
                </c:pt>
                <c:pt idx="80">
                  <c:v>-9.245960502693007E-2</c:v>
                </c:pt>
                <c:pt idx="81">
                  <c:v>2.1101219914276381E-2</c:v>
                </c:pt>
                <c:pt idx="82">
                  <c:v>6.780755569906427E-3</c:v>
                </c:pt>
                <c:pt idx="83">
                  <c:v>3.303399615137903E-2</c:v>
                </c:pt>
                <c:pt idx="84">
                  <c:v>1.9248680533995532E-2</c:v>
                </c:pt>
                <c:pt idx="85">
                  <c:v>-1.5229972586048302E-3</c:v>
                </c:pt>
                <c:pt idx="86">
                  <c:v>4.3014032946918856E-2</c:v>
                </c:pt>
                <c:pt idx="87">
                  <c:v>-3.4805498683825653E-2</c:v>
                </c:pt>
                <c:pt idx="88">
                  <c:v>7.8787878787878185E-3</c:v>
                </c:pt>
                <c:pt idx="89">
                  <c:v>2.3451593505712687E-2</c:v>
                </c:pt>
                <c:pt idx="90">
                  <c:v>1.3219741480611225E-2</c:v>
                </c:pt>
                <c:pt idx="91">
                  <c:v>-1.1597564511451885E-3</c:v>
                </c:pt>
                <c:pt idx="92">
                  <c:v>8.7082728592162706E-3</c:v>
                </c:pt>
                <c:pt idx="93">
                  <c:v>1.2374100719424463E-2</c:v>
                </c:pt>
                <c:pt idx="94">
                  <c:v>2.5582717453098702E-3</c:v>
                </c:pt>
                <c:pt idx="95">
                  <c:v>-2.1264530762687861E-2</c:v>
                </c:pt>
                <c:pt idx="96">
                  <c:v>2.2016222479721792E-2</c:v>
                </c:pt>
                <c:pt idx="97">
                  <c:v>-4.1950113378684928E-2</c:v>
                </c:pt>
                <c:pt idx="98">
                  <c:v>1.0059171597633254E-2</c:v>
                </c:pt>
                <c:pt idx="99">
                  <c:v>3.9543057996485054E-2</c:v>
                </c:pt>
                <c:pt idx="100">
                  <c:v>2.5922795153564326E-2</c:v>
                </c:pt>
                <c:pt idx="101">
                  <c:v>9.0634441087615869E-3</c:v>
                </c:pt>
                <c:pt idx="102">
                  <c:v>7.6211213935766242E-3</c:v>
                </c:pt>
                <c:pt idx="103">
                  <c:v>8.103727714747766E-4</c:v>
                </c:pt>
                <c:pt idx="104">
                  <c:v>-1.3495276653170407E-3</c:v>
                </c:pt>
                <c:pt idx="105">
                  <c:v>7.8378378378378688E-3</c:v>
                </c:pt>
                <c:pt idx="106">
                  <c:v>3.4861893268973709E-3</c:v>
                </c:pt>
                <c:pt idx="107">
                  <c:v>-3.3137359700694868E-2</c:v>
                </c:pt>
                <c:pt idx="108">
                  <c:v>1.4096185737976663E-2</c:v>
                </c:pt>
                <c:pt idx="109">
                  <c:v>2.5892613791223873E-2</c:v>
                </c:pt>
                <c:pt idx="110">
                  <c:v>-6.1105207226356262E-3</c:v>
                </c:pt>
                <c:pt idx="111">
                  <c:v>2.1384656508955935E-3</c:v>
                </c:pt>
                <c:pt idx="112">
                  <c:v>1.1202987463323488E-2</c:v>
                </c:pt>
                <c:pt idx="113">
                  <c:v>-2.0047480875758361E-2</c:v>
                </c:pt>
                <c:pt idx="114">
                  <c:v>3.4185733512786198E-2</c:v>
                </c:pt>
                <c:pt idx="115">
                  <c:v>1.5616866215512726E-2</c:v>
                </c:pt>
                <c:pt idx="116">
                  <c:v>1.0763710917478075E-2</c:v>
                </c:pt>
                <c:pt idx="117">
                  <c:v>-4.3103448275860767E-3</c:v>
                </c:pt>
                <c:pt idx="118">
                  <c:v>6.620830150241952E-3</c:v>
                </c:pt>
                <c:pt idx="119">
                  <c:v>-9.3599797622060388E-3</c:v>
                </c:pt>
                <c:pt idx="120">
                  <c:v>2.5791624106231037E-2</c:v>
                </c:pt>
                <c:pt idx="121">
                  <c:v>-2.0413243714214602E-2</c:v>
                </c:pt>
                <c:pt idx="122">
                  <c:v>6.3532401524777349E-3</c:v>
                </c:pt>
                <c:pt idx="123">
                  <c:v>-9.8484848484848841E-3</c:v>
                </c:pt>
                <c:pt idx="124">
                  <c:v>2.4483550114766661E-2</c:v>
                </c:pt>
                <c:pt idx="125">
                  <c:v>-4.2320139407518997E-3</c:v>
                </c:pt>
                <c:pt idx="126">
                  <c:v>2.0000000000000018E-3</c:v>
                </c:pt>
                <c:pt idx="127">
                  <c:v>3.493013972055925E-3</c:v>
                </c:pt>
                <c:pt idx="128">
                  <c:v>-9.1994032819492366E-3</c:v>
                </c:pt>
                <c:pt idx="129">
                  <c:v>-2.1580928481806705E-2</c:v>
                </c:pt>
                <c:pt idx="130">
                  <c:v>1.0259040779687645E-3</c:v>
                </c:pt>
                <c:pt idx="131">
                  <c:v>-1.2298232129131503E-2</c:v>
                </c:pt>
                <c:pt idx="132">
                  <c:v>2.8015564202334753E-2</c:v>
                </c:pt>
                <c:pt idx="133">
                  <c:v>-4.2896795357053596E-3</c:v>
                </c:pt>
                <c:pt idx="134">
                  <c:v>5.347187024835276E-2</c:v>
                </c:pt>
                <c:pt idx="135">
                  <c:v>-5.5328361799373837E-3</c:v>
                </c:pt>
                <c:pt idx="136">
                  <c:v>2.564102564102555E-2</c:v>
                </c:pt>
                <c:pt idx="137">
                  <c:v>2.4528301886792336E-2</c:v>
                </c:pt>
                <c:pt idx="138">
                  <c:v>-2.5782688766114115E-2</c:v>
                </c:pt>
                <c:pt idx="139">
                  <c:v>3.969754253308122E-2</c:v>
                </c:pt>
                <c:pt idx="140">
                  <c:v>5.4090909090909189E-2</c:v>
                </c:pt>
                <c:pt idx="141">
                  <c:v>-1.1211729193618014E-2</c:v>
                </c:pt>
                <c:pt idx="142">
                  <c:v>6.1055385957260455E-3</c:v>
                </c:pt>
                <c:pt idx="143">
                  <c:v>-2.232336367576937E-2</c:v>
                </c:pt>
                <c:pt idx="144">
                  <c:v>2.0616271336732384E-2</c:v>
                </c:pt>
                <c:pt idx="145">
                  <c:v>1.7593397046046899E-2</c:v>
                </c:pt>
                <c:pt idx="146">
                  <c:v>8.9647812166488983E-3</c:v>
                </c:pt>
                <c:pt idx="147">
                  <c:v>8.6735773217685441E-3</c:v>
                </c:pt>
                <c:pt idx="148">
                  <c:v>6.9211409395972812E-3</c:v>
                </c:pt>
                <c:pt idx="149">
                  <c:v>3.33263903353469E-2</c:v>
                </c:pt>
                <c:pt idx="150">
                  <c:v>3.5275146139891245E-2</c:v>
                </c:pt>
                <c:pt idx="151">
                  <c:v>4.3613707165109039E-2</c:v>
                </c:pt>
                <c:pt idx="152">
                  <c:v>3.2462686567164223E-2</c:v>
                </c:pt>
                <c:pt idx="153">
                  <c:v>3.7947235272857149E-3</c:v>
                </c:pt>
                <c:pt idx="154">
                  <c:v>-6.6606660666066464E-3</c:v>
                </c:pt>
                <c:pt idx="155">
                  <c:v>-2.3559260601667242E-2</c:v>
                </c:pt>
                <c:pt idx="156">
                  <c:v>-1.6332590942836012E-2</c:v>
                </c:pt>
                <c:pt idx="157">
                  <c:v>-2.6415094339622636E-2</c:v>
                </c:pt>
                <c:pt idx="158">
                  <c:v>4.2635658914729202E-3</c:v>
                </c:pt>
                <c:pt idx="159">
                  <c:v>1.9683519876495525E-2</c:v>
                </c:pt>
                <c:pt idx="160">
                  <c:v>0</c:v>
                </c:pt>
              </c:numCache>
            </c:numRef>
          </c:val>
          <c:extLst>
            <c:ext xmlns:c16="http://schemas.microsoft.com/office/drawing/2014/chart" uri="{C3380CC4-5D6E-409C-BE32-E72D297353CC}">
              <c16:uniqueId val="{00000000-4DC1-EF41-9E38-6CCEECB1D578}"/>
            </c:ext>
          </c:extLst>
        </c:ser>
        <c:dLbls>
          <c:showLegendKey val="0"/>
          <c:showVal val="0"/>
          <c:showCatName val="0"/>
          <c:showSerName val="0"/>
          <c:showPercent val="0"/>
          <c:showBubbleSize val="0"/>
        </c:dLbls>
        <c:gapWidth val="150"/>
        <c:axId val="8501746"/>
        <c:axId val="94947461"/>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(Calc)'!$AN$3:$AN$500</c:f>
              <c:numCache>
                <c:formatCode>#,##0.00</c:formatCode>
                <c:ptCount val="498"/>
                <c:pt idx="0">
                  <c:v>25.24</c:v>
                </c:pt>
                <c:pt idx="1">
                  <c:v>25.413584905660375</c:v>
                </c:pt>
                <c:pt idx="2">
                  <c:v>25.587169811320752</c:v>
                </c:pt>
                <c:pt idx="3">
                  <c:v>25.760754716981129</c:v>
                </c:pt>
                <c:pt idx="4">
                  <c:v>25.934339622641509</c:v>
                </c:pt>
                <c:pt idx="5">
                  <c:v>26.107924528301886</c:v>
                </c:pt>
                <c:pt idx="6">
                  <c:v>26.281509433962263</c:v>
                </c:pt>
                <c:pt idx="7">
                  <c:v>26.45509433962264</c:v>
                </c:pt>
                <c:pt idx="8">
                  <c:v>26.628679245283017</c:v>
                </c:pt>
                <c:pt idx="9">
                  <c:v>26.802264150943394</c:v>
                </c:pt>
                <c:pt idx="10">
                  <c:v>26.975849056603771</c:v>
                </c:pt>
                <c:pt idx="11">
                  <c:v>27.149433962264151</c:v>
                </c:pt>
                <c:pt idx="12">
                  <c:v>27.323018867924528</c:v>
                </c:pt>
                <c:pt idx="13">
                  <c:v>27.496603773584905</c:v>
                </c:pt>
                <c:pt idx="14">
                  <c:v>27.670188679245282</c:v>
                </c:pt>
                <c:pt idx="15">
                  <c:v>27.843773584905659</c:v>
                </c:pt>
                <c:pt idx="16">
                  <c:v>28.017358490566036</c:v>
                </c:pt>
                <c:pt idx="17">
                  <c:v>28.190943396226416</c:v>
                </c:pt>
                <c:pt idx="18">
                  <c:v>28.364528301886793</c:v>
                </c:pt>
                <c:pt idx="19">
                  <c:v>28.53811320754717</c:v>
                </c:pt>
                <c:pt idx="20">
                  <c:v>28.711698113207547</c:v>
                </c:pt>
                <c:pt idx="21">
                  <c:v>28.885283018867923</c:v>
                </c:pt>
                <c:pt idx="22">
                  <c:v>29.0588679245283</c:v>
                </c:pt>
                <c:pt idx="23">
                  <c:v>29.232452830188677</c:v>
                </c:pt>
                <c:pt idx="24">
                  <c:v>29.406037735849054</c:v>
                </c:pt>
                <c:pt idx="25">
                  <c:v>29.579622641509431</c:v>
                </c:pt>
                <c:pt idx="26">
                  <c:v>29.753207547169811</c:v>
                </c:pt>
                <c:pt idx="27">
                  <c:v>29.926792452830188</c:v>
                </c:pt>
                <c:pt idx="28">
                  <c:v>30.100377358490565</c:v>
                </c:pt>
                <c:pt idx="29">
                  <c:v>30.273962264150942</c:v>
                </c:pt>
                <c:pt idx="30">
                  <c:v>30.447547169811319</c:v>
                </c:pt>
                <c:pt idx="31">
                  <c:v>30.621132075471699</c:v>
                </c:pt>
                <c:pt idx="32">
                  <c:v>30.794716981132076</c:v>
                </c:pt>
                <c:pt idx="33">
                  <c:v>30.968301886792453</c:v>
                </c:pt>
                <c:pt idx="34">
                  <c:v>31.14188679245283</c:v>
                </c:pt>
                <c:pt idx="35">
                  <c:v>31.315471698113207</c:v>
                </c:pt>
                <c:pt idx="36">
                  <c:v>31.489056603773584</c:v>
                </c:pt>
                <c:pt idx="37">
                  <c:v>31.662641509433961</c:v>
                </c:pt>
                <c:pt idx="38">
                  <c:v>31.836226415094337</c:v>
                </c:pt>
                <c:pt idx="39">
                  <c:v>32.009811320754714</c:v>
                </c:pt>
                <c:pt idx="40">
                  <c:v>32.183396226415091</c:v>
                </c:pt>
                <c:pt idx="41">
                  <c:v>32.356981132075468</c:v>
                </c:pt>
                <c:pt idx="42">
                  <c:v>32.530566037735852</c:v>
                </c:pt>
                <c:pt idx="43">
                  <c:v>32.704150943396229</c:v>
                </c:pt>
                <c:pt idx="44">
                  <c:v>32.877735849056606</c:v>
                </c:pt>
                <c:pt idx="45">
                  <c:v>33.051320754716983</c:v>
                </c:pt>
                <c:pt idx="46">
                  <c:v>33.22490566037736</c:v>
                </c:pt>
                <c:pt idx="47">
                  <c:v>33.398490566037736</c:v>
                </c:pt>
                <c:pt idx="48">
                  <c:v>33.572075471698113</c:v>
                </c:pt>
                <c:pt idx="49">
                  <c:v>33.74566037735849</c:v>
                </c:pt>
                <c:pt idx="50">
                  <c:v>33.919245283018867</c:v>
                </c:pt>
                <c:pt idx="51">
                  <c:v>34.092830188679244</c:v>
                </c:pt>
                <c:pt idx="52">
                  <c:v>34.266415094339621</c:v>
                </c:pt>
                <c:pt idx="53">
                  <c:v>34.44</c:v>
                </c:pt>
                <c:pt idx="54">
                  <c:v>34.613584905660375</c:v>
                </c:pt>
                <c:pt idx="55">
                  <c:v>34.787169811320751</c:v>
                </c:pt>
                <c:pt idx="56">
                  <c:v>34.960754716981135</c:v>
                </c:pt>
                <c:pt idx="57">
                  <c:v>35.134339622641505</c:v>
                </c:pt>
                <c:pt idx="58">
                  <c:v>35.307924528301882</c:v>
                </c:pt>
                <c:pt idx="59">
                  <c:v>35.481509433962266</c:v>
                </c:pt>
                <c:pt idx="60">
                  <c:v>35.655094339622643</c:v>
                </c:pt>
                <c:pt idx="61">
                  <c:v>35.82867924528302</c:v>
                </c:pt>
                <c:pt idx="62">
                  <c:v>36.002264150943397</c:v>
                </c:pt>
                <c:pt idx="63">
                  <c:v>36.175849056603774</c:v>
                </c:pt>
                <c:pt idx="64">
                  <c:v>36.34943396226415</c:v>
                </c:pt>
                <c:pt idx="65">
                  <c:v>36.523018867924527</c:v>
                </c:pt>
                <c:pt idx="66">
                  <c:v>36.696603773584904</c:v>
                </c:pt>
                <c:pt idx="67">
                  <c:v>36.870188679245281</c:v>
                </c:pt>
                <c:pt idx="68">
                  <c:v>37.043773584905665</c:v>
                </c:pt>
                <c:pt idx="69">
                  <c:v>37.217358490566042</c:v>
                </c:pt>
                <c:pt idx="70">
                  <c:v>37.390943396226419</c:v>
                </c:pt>
                <c:pt idx="71">
                  <c:v>37.564528301886796</c:v>
                </c:pt>
                <c:pt idx="72">
                  <c:v>37.738113207547173</c:v>
                </c:pt>
                <c:pt idx="73">
                  <c:v>37.911698113207549</c:v>
                </c:pt>
                <c:pt idx="74">
                  <c:v>38.085283018867926</c:v>
                </c:pt>
                <c:pt idx="75">
                  <c:v>38.258867924528303</c:v>
                </c:pt>
                <c:pt idx="76">
                  <c:v>38.43245283018868</c:v>
                </c:pt>
                <c:pt idx="77">
                  <c:v>38.606037735849057</c:v>
                </c:pt>
                <c:pt idx="78">
                  <c:v>38.779622641509434</c:v>
                </c:pt>
                <c:pt idx="79">
                  <c:v>38.953207547169811</c:v>
                </c:pt>
                <c:pt idx="80">
                  <c:v>39.126792452830188</c:v>
                </c:pt>
                <c:pt idx="81">
                  <c:v>39.300377358490564</c:v>
                </c:pt>
                <c:pt idx="82">
                  <c:v>39.473962264150941</c:v>
                </c:pt>
                <c:pt idx="83">
                  <c:v>39.647547169811325</c:v>
                </c:pt>
                <c:pt idx="84">
                  <c:v>39.821132075471702</c:v>
                </c:pt>
                <c:pt idx="85">
                  <c:v>39.994716981132079</c:v>
                </c:pt>
                <c:pt idx="86">
                  <c:v>40.168301886792456</c:v>
                </c:pt>
                <c:pt idx="87">
                  <c:v>40.341886792452833</c:v>
                </c:pt>
                <c:pt idx="88">
                  <c:v>40.51547169811321</c:v>
                </c:pt>
                <c:pt idx="89">
                  <c:v>40.689056603773587</c:v>
                </c:pt>
                <c:pt idx="90">
                  <c:v>40.862641509433963</c:v>
                </c:pt>
                <c:pt idx="91">
                  <c:v>41.03622641509434</c:v>
                </c:pt>
                <c:pt idx="92">
                  <c:v>41.209811320754717</c:v>
                </c:pt>
                <c:pt idx="93">
                  <c:v>41.383396226415101</c:v>
                </c:pt>
                <c:pt idx="94">
                  <c:v>41.556981132075478</c:v>
                </c:pt>
                <c:pt idx="95">
                  <c:v>41.730566037735855</c:v>
                </c:pt>
                <c:pt idx="96">
                  <c:v>41.904150943396232</c:v>
                </c:pt>
                <c:pt idx="97">
                  <c:v>42.077735849056609</c:v>
                </c:pt>
                <c:pt idx="98">
                  <c:v>42.251320754716986</c:v>
                </c:pt>
                <c:pt idx="99">
                  <c:v>42.424905660377362</c:v>
                </c:pt>
                <c:pt idx="100">
                  <c:v>42.598490566037739</c:v>
                </c:pt>
                <c:pt idx="101">
                  <c:v>42.772075471698116</c:v>
                </c:pt>
                <c:pt idx="102">
                  <c:v>42.945660377358493</c:v>
                </c:pt>
                <c:pt idx="103">
                  <c:v>43.11924528301887</c:v>
                </c:pt>
                <c:pt idx="104">
                  <c:v>43.292830188679247</c:v>
                </c:pt>
                <c:pt idx="105">
                  <c:v>43.466415094339624</c:v>
                </c:pt>
                <c:pt idx="106">
                  <c:v>43.64</c:v>
                </c:pt>
                <c:pt idx="107">
                  <c:v>43.813584905660377</c:v>
                </c:pt>
                <c:pt idx="108">
                  <c:v>43.987169811320754</c:v>
                </c:pt>
                <c:pt idx="109">
                  <c:v>44.160754716981131</c:v>
                </c:pt>
                <c:pt idx="110">
                  <c:v>44.334339622641508</c:v>
                </c:pt>
                <c:pt idx="111">
                  <c:v>44.507924528301885</c:v>
                </c:pt>
                <c:pt idx="112">
                  <c:v>44.681509433962269</c:v>
                </c:pt>
                <c:pt idx="113">
                  <c:v>44.855094339622639</c:v>
                </c:pt>
                <c:pt idx="114">
                  <c:v>45.028679245283016</c:v>
                </c:pt>
                <c:pt idx="115">
                  <c:v>45.202264150943392</c:v>
                </c:pt>
                <c:pt idx="116">
                  <c:v>45.375849056603769</c:v>
                </c:pt>
                <c:pt idx="117">
                  <c:v>45.549433962264153</c:v>
                </c:pt>
                <c:pt idx="118">
                  <c:v>45.72301886792453</c:v>
                </c:pt>
                <c:pt idx="119">
                  <c:v>45.896603773584907</c:v>
                </c:pt>
                <c:pt idx="120">
                  <c:v>46.070188679245284</c:v>
                </c:pt>
                <c:pt idx="121">
                  <c:v>46.243773584905668</c:v>
                </c:pt>
                <c:pt idx="122">
                  <c:v>46.417358490566045</c:v>
                </c:pt>
                <c:pt idx="123">
                  <c:v>46.590943396226422</c:v>
                </c:pt>
                <c:pt idx="124">
                  <c:v>46.764528301886799</c:v>
                </c:pt>
                <c:pt idx="125">
                  <c:v>46.938113207547175</c:v>
                </c:pt>
                <c:pt idx="126">
                  <c:v>47.111698113207552</c:v>
                </c:pt>
                <c:pt idx="127">
                  <c:v>47.285283018867929</c:v>
                </c:pt>
                <c:pt idx="128">
                  <c:v>47.458867924528306</c:v>
                </c:pt>
                <c:pt idx="129">
                  <c:v>47.632452830188683</c:v>
                </c:pt>
                <c:pt idx="130">
                  <c:v>47.80603773584906</c:v>
                </c:pt>
                <c:pt idx="131">
                  <c:v>47.979622641509437</c:v>
                </c:pt>
                <c:pt idx="132">
                  <c:v>48.153207547169814</c:v>
                </c:pt>
                <c:pt idx="133">
                  <c:v>48.32679245283019</c:v>
                </c:pt>
                <c:pt idx="134">
                  <c:v>48.500377358490567</c:v>
                </c:pt>
                <c:pt idx="135">
                  <c:v>48.673962264150944</c:v>
                </c:pt>
                <c:pt idx="136">
                  <c:v>48.847547169811321</c:v>
                </c:pt>
                <c:pt idx="137">
                  <c:v>49.021132075471698</c:v>
                </c:pt>
                <c:pt idx="138">
                  <c:v>49.194716981132075</c:v>
                </c:pt>
                <c:pt idx="139">
                  <c:v>49.368301886792452</c:v>
                </c:pt>
                <c:pt idx="140">
                  <c:v>49.541886792452836</c:v>
                </c:pt>
                <c:pt idx="141">
                  <c:v>49.715471698113213</c:v>
                </c:pt>
                <c:pt idx="142">
                  <c:v>49.889056603773589</c:v>
                </c:pt>
                <c:pt idx="143">
                  <c:v>50.062641509433966</c:v>
                </c:pt>
                <c:pt idx="144">
                  <c:v>50.236226415094343</c:v>
                </c:pt>
                <c:pt idx="145">
                  <c:v>50.40981132075472</c:v>
                </c:pt>
                <c:pt idx="146">
                  <c:v>50.583396226415097</c:v>
                </c:pt>
                <c:pt idx="147">
                  <c:v>50.756981132075474</c:v>
                </c:pt>
                <c:pt idx="148">
                  <c:v>50.930566037735851</c:v>
                </c:pt>
                <c:pt idx="149">
                  <c:v>51.104150943396228</c:v>
                </c:pt>
                <c:pt idx="150">
                  <c:v>51.277735849056612</c:v>
                </c:pt>
                <c:pt idx="151">
                  <c:v>51.451320754716981</c:v>
                </c:pt>
                <c:pt idx="152">
                  <c:v>51.624905660377365</c:v>
                </c:pt>
                <c:pt idx="153">
                  <c:v>51.798490566037742</c:v>
                </c:pt>
                <c:pt idx="154">
                  <c:v>51.972075471698119</c:v>
                </c:pt>
                <c:pt idx="155">
                  <c:v>52.145660377358496</c:v>
                </c:pt>
                <c:pt idx="156">
                  <c:v>52.319245283018873</c:v>
                </c:pt>
                <c:pt idx="157">
                  <c:v>52.49283018867925</c:v>
                </c:pt>
                <c:pt idx="158">
                  <c:v>52.666415094339627</c:v>
                </c:pt>
                <c:pt idx="159">
                  <c:v>52.84</c:v>
                </c:pt>
                <c:pt idx="160">
                  <c:v>53.01358490566038</c:v>
                </c:pt>
              </c:numCache>
            </c:numRef>
          </c:val>
          <c:smooth val="0"/>
          <c:extLst>
            <c:ext xmlns:c16="http://schemas.microsoft.com/office/drawing/2014/chart" uri="{C3380CC4-5D6E-409C-BE32-E72D297353CC}">
              <c16:uniqueId val="{00000001-4DC1-EF41-9E38-6CCEECB1D578}"/>
            </c:ext>
          </c:extLst>
        </c:ser>
        <c:dLbls>
          <c:showLegendKey val="0"/>
          <c:showVal val="0"/>
          <c:showCatName val="0"/>
          <c:showSerName val="0"/>
          <c:showPercent val="0"/>
          <c:showBubbleSize val="0"/>
        </c:dLbls>
        <c:hiLowLines>
          <c:spPr>
            <a:ln w="0">
              <a:noFill/>
            </a:ln>
          </c:spPr>
        </c:hiLowLines>
        <c:marker val="1"/>
        <c:smooth val="0"/>
        <c:axId val="81675802"/>
        <c:axId val="53763202"/>
      </c:lineChart>
      <c:dateAx>
        <c:axId val="8501746"/>
        <c:scaling>
          <c:orientation val="minMax"/>
        </c:scaling>
        <c:delete val="1"/>
        <c:axPos val="b"/>
        <c:numFmt formatCode="mm/dd/yyyy" sourceLinked="1"/>
        <c:majorTickMark val="none"/>
        <c:minorTickMark val="none"/>
        <c:tickLblPos val="nextTo"/>
        <c:crossAx val="94947461"/>
        <c:crosses val="autoZero"/>
        <c:auto val="1"/>
        <c:lblOffset val="100"/>
        <c:baseTimeUnit val="days"/>
      </c:dateAx>
      <c:valAx>
        <c:axId val="949474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501746"/>
        <c:crosses val="autoZero"/>
        <c:crossBetween val="between"/>
      </c:valAx>
      <c:dateAx>
        <c:axId val="81675802"/>
        <c:scaling>
          <c:orientation val="minMax"/>
        </c:scaling>
        <c:delete val="1"/>
        <c:axPos val="b"/>
        <c:numFmt formatCode="mm/dd/yyyy" sourceLinked="1"/>
        <c:majorTickMark val="none"/>
        <c:minorTickMark val="none"/>
        <c:tickLblPos val="nextTo"/>
        <c:crossAx val="53763202"/>
        <c:crosses val="autoZero"/>
        <c:auto val="1"/>
        <c:lblOffset val="100"/>
        <c:baseTimeUnit val="days"/>
      </c:dateAx>
      <c:valAx>
        <c:axId val="537632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67580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layout/>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(Calc)'!$V$3:$V$500</c:f>
              <c:numCache>
                <c:formatCode>0.0%</c:formatCode>
                <c:ptCount val="498"/>
                <c:pt idx="0">
                  <c:v>-2.482705937274543E-2</c:v>
                </c:pt>
                <c:pt idx="1">
                  <c:v>-2.1585864740186311E-2</c:v>
                </c:pt>
                <c:pt idx="2">
                  <c:v>2.1884174005871504E-2</c:v>
                </c:pt>
                <c:pt idx="3">
                  <c:v>1.1186558718551343E-2</c:v>
                </c:pt>
                <c:pt idx="4">
                  <c:v>-1.8036244673066193E-2</c:v>
                </c:pt>
                <c:pt idx="5">
                  <c:v>-1.7622304050499804E-2</c:v>
                </c:pt>
                <c:pt idx="6">
                  <c:v>6.2516733601071017E-2</c:v>
                </c:pt>
                <c:pt idx="7">
                  <c:v>8.9034479862246663E-3</c:v>
                </c:pt>
                <c:pt idx="8">
                  <c:v>1.7566498772010108E-2</c:v>
                </c:pt>
                <c:pt idx="9">
                  <c:v>1.9022294947842022E-2</c:v>
                </c:pt>
                <c:pt idx="10">
                  <c:v>8.4303492573263306E-3</c:v>
                </c:pt>
                <c:pt idx="11">
                  <c:v>-2.7468152866242379E-3</c:v>
                </c:pt>
                <c:pt idx="12">
                  <c:v>8.9417588120235258E-3</c:v>
                </c:pt>
                <c:pt idx="13">
                  <c:v>1.5430267062312986E-3</c:v>
                </c:pt>
                <c:pt idx="14">
                  <c:v>7.4267203918780833E-3</c:v>
                </c:pt>
                <c:pt idx="15">
                  <c:v>-2.5096070896400979E-3</c:v>
                </c:pt>
                <c:pt idx="16">
                  <c:v>1.7218334774746324E-2</c:v>
                </c:pt>
                <c:pt idx="17">
                  <c:v>2.5506260627608635E-2</c:v>
                </c:pt>
                <c:pt idx="18">
                  <c:v>-1.0928549894483108E-2</c:v>
                </c:pt>
                <c:pt idx="19">
                  <c:v>3.4481444791587323E-2</c:v>
                </c:pt>
                <c:pt idx="20">
                  <c:v>-8.4711428676664813E-4</c:v>
                </c:pt>
                <c:pt idx="21">
                  <c:v>7.7042170451195879E-3</c:v>
                </c:pt>
                <c:pt idx="22">
                  <c:v>1.8070746607162347E-2</c:v>
                </c:pt>
                <c:pt idx="23">
                  <c:v>-1.5450397039272756E-3</c:v>
                </c:pt>
                <c:pt idx="24">
                  <c:v>-1.1011947603281946E-2</c:v>
                </c:pt>
                <c:pt idx="25">
                  <c:v>1.069791136016307E-2</c:v>
                </c:pt>
                <c:pt idx="26">
                  <c:v>7.9205069124443916E-4</c:v>
                </c:pt>
                <c:pt idx="27">
                  <c:v>-1.4749262536873253E-2</c:v>
                </c:pt>
                <c:pt idx="28">
                  <c:v>-6.973857163721231E-3</c:v>
                </c:pt>
                <c:pt idx="29">
                  <c:v>-4.2284075449499081E-3</c:v>
                </c:pt>
                <c:pt idx="30">
                  <c:v>-2.2413411121778304E-2</c:v>
                </c:pt>
                <c:pt idx="31">
                  <c:v>1.7563739376770471E-2</c:v>
                </c:pt>
                <c:pt idx="32">
                  <c:v>-2.1937639198218117E-2</c:v>
                </c:pt>
                <c:pt idx="33">
                  <c:v>4.5618429541917971E-2</c:v>
                </c:pt>
                <c:pt idx="34">
                  <c:v>-4.3555587818955299E-4</c:v>
                </c:pt>
                <c:pt idx="35">
                  <c:v>-2.0044300809760607E-2</c:v>
                </c:pt>
                <c:pt idx="36">
                  <c:v>-7.3739207766703174E-3</c:v>
                </c:pt>
                <c:pt idx="37">
                  <c:v>2.2771390174705086E-2</c:v>
                </c:pt>
                <c:pt idx="38">
                  <c:v>-2.8724724432440341E-2</c:v>
                </c:pt>
                <c:pt idx="39">
                  <c:v>1.6835143361767502E-2</c:v>
                </c:pt>
                <c:pt idx="40">
                  <c:v>-4.6343176022764943E-2</c:v>
                </c:pt>
                <c:pt idx="41">
                  <c:v>3.0071691532648659E-2</c:v>
                </c:pt>
                <c:pt idx="42">
                  <c:v>-1.707986907941772E-2</c:v>
                </c:pt>
                <c:pt idx="43">
                  <c:v>-1.0716882918052617E-3</c:v>
                </c:pt>
                <c:pt idx="44">
                  <c:v>-2.2606230123759508E-2</c:v>
                </c:pt>
                <c:pt idx="45">
                  <c:v>2.7480497079462207E-2</c:v>
                </c:pt>
                <c:pt idx="46">
                  <c:v>-2.3655093475772659E-2</c:v>
                </c:pt>
                <c:pt idx="47">
                  <c:v>2.9347401328644107E-2</c:v>
                </c:pt>
                <c:pt idx="48">
                  <c:v>2.2778178505000746E-4</c:v>
                </c:pt>
                <c:pt idx="49">
                  <c:v>3.3400387140850807E-2</c:v>
                </c:pt>
                <c:pt idx="50">
                  <c:v>1.0834833070114458E-2</c:v>
                </c:pt>
                <c:pt idx="51">
                  <c:v>2.8558971005014033E-2</c:v>
                </c:pt>
                <c:pt idx="52">
                  <c:v>-8.9727285572981375E-3</c:v>
                </c:pt>
                <c:pt idx="53">
                  <c:v>-3.3720681542739106E-2</c:v>
                </c:pt>
                <c:pt idx="54">
                  <c:v>1.0033938320791025E-2</c:v>
                </c:pt>
                <c:pt idx="55">
                  <c:v>-3.2870708546395289E-4</c:v>
                </c:pt>
                <c:pt idx="56">
                  <c:v>4.5997588688758251E-2</c:v>
                </c:pt>
                <c:pt idx="57">
                  <c:v>-3.0562347188264005E-2</c:v>
                </c:pt>
                <c:pt idx="58">
                  <c:v>3.1958205728697564E-2</c:v>
                </c:pt>
                <c:pt idx="59">
                  <c:v>5.8934431953075794E-2</c:v>
                </c:pt>
                <c:pt idx="60">
                  <c:v>7.6491922189252382E-3</c:v>
                </c:pt>
                <c:pt idx="61">
                  <c:v>9.1617040769564895E-4</c:v>
                </c:pt>
                <c:pt idx="62">
                  <c:v>1.6639424648578149E-2</c:v>
                </c:pt>
                <c:pt idx="63">
                  <c:v>-1.2926460657898931E-2</c:v>
                </c:pt>
                <c:pt idx="64">
                  <c:v>1.1988142163729121E-2</c:v>
                </c:pt>
                <c:pt idx="65">
                  <c:v>9.4640270400772053E-3</c:v>
                </c:pt>
                <c:pt idx="66">
                  <c:v>2.9656557925954452E-3</c:v>
                </c:pt>
                <c:pt idx="67">
                  <c:v>-1.1763957776929845E-2</c:v>
                </c:pt>
                <c:pt idx="68">
                  <c:v>-2.2842802908435655E-2</c:v>
                </c:pt>
                <c:pt idx="69">
                  <c:v>3.8686948505202157E-2</c:v>
                </c:pt>
                <c:pt idx="70">
                  <c:v>3.3093479570165174E-2</c:v>
                </c:pt>
                <c:pt idx="71">
                  <c:v>3.5132398514927443E-2</c:v>
                </c:pt>
                <c:pt idx="72">
                  <c:v>1.820014228124256E-2</c:v>
                </c:pt>
                <c:pt idx="73">
                  <c:v>1.8369723435225582E-2</c:v>
                </c:pt>
                <c:pt idx="74">
                  <c:v>-1.4922386438352309E-2</c:v>
                </c:pt>
                <c:pt idx="75">
                  <c:v>4.0657012681737825E-2</c:v>
                </c:pt>
                <c:pt idx="76">
                  <c:v>-4.7936419408811992E-2</c:v>
                </c:pt>
                <c:pt idx="77">
                  <c:v>-3.916112591898302E-2</c:v>
                </c:pt>
                <c:pt idx="78">
                  <c:v>1.1644921351054771E-2</c:v>
                </c:pt>
                <c:pt idx="79">
                  <c:v>2.1424697161453565E-2</c:v>
                </c:pt>
                <c:pt idx="80">
                  <c:v>-8.6674336961973131E-2</c:v>
                </c:pt>
                <c:pt idx="81">
                  <c:v>6.4730772957782845E-2</c:v>
                </c:pt>
                <c:pt idx="82">
                  <c:v>-1.1376391711919398E-2</c:v>
                </c:pt>
                <c:pt idx="83">
                  <c:v>1.6877378176015645E-2</c:v>
                </c:pt>
                <c:pt idx="84">
                  <c:v>3.708733176413781E-2</c:v>
                </c:pt>
                <c:pt idx="85">
                  <c:v>1.4199668286437594E-2</c:v>
                </c:pt>
                <c:pt idx="86">
                  <c:v>3.7412135991966577E-2</c:v>
                </c:pt>
                <c:pt idx="87">
                  <c:v>-3.1721009983683102E-2</c:v>
                </c:pt>
                <c:pt idx="88">
                  <c:v>3.2960127956129348E-2</c:v>
                </c:pt>
                <c:pt idx="89">
                  <c:v>1.3769839075374657E-2</c:v>
                </c:pt>
                <c:pt idx="90">
                  <c:v>-4.691250272747105E-2</c:v>
                </c:pt>
                <c:pt idx="91">
                  <c:v>-4.0493360805860745E-2</c:v>
                </c:pt>
                <c:pt idx="92">
                  <c:v>2.9675803036177673E-2</c:v>
                </c:pt>
                <c:pt idx="93">
                  <c:v>2.9399837793998351E-2</c:v>
                </c:pt>
                <c:pt idx="94">
                  <c:v>-3.0473564253355456E-2</c:v>
                </c:pt>
                <c:pt idx="95">
                  <c:v>3.2214998839099618E-3</c:v>
                </c:pt>
                <c:pt idx="96">
                  <c:v>2.2912025920675649E-2</c:v>
                </c:pt>
                <c:pt idx="97">
                  <c:v>-4.9548912582369375E-2</c:v>
                </c:pt>
                <c:pt idx="98">
                  <c:v>-7.5877049424227794E-3</c:v>
                </c:pt>
                <c:pt idx="99">
                  <c:v>2.4646198129047781E-2</c:v>
                </c:pt>
                <c:pt idx="100">
                  <c:v>1.6152630654883815E-2</c:v>
                </c:pt>
                <c:pt idx="101">
                  <c:v>4.9818579738525326E-3</c:v>
                </c:pt>
                <c:pt idx="102">
                  <c:v>-2.432734462305508E-2</c:v>
                </c:pt>
                <c:pt idx="103">
                  <c:v>-1.104258443465489E-2</c:v>
                </c:pt>
                <c:pt idx="104">
                  <c:v>6.4144443784521776E-3</c:v>
                </c:pt>
                <c:pt idx="105">
                  <c:v>-1.2422543523163077E-2</c:v>
                </c:pt>
                <c:pt idx="106">
                  <c:v>3.6959574531656214E-2</c:v>
                </c:pt>
                <c:pt idx="107">
                  <c:v>-1.7691465452659427E-2</c:v>
                </c:pt>
                <c:pt idx="108">
                  <c:v>-5.1038366772263588E-3</c:v>
                </c:pt>
                <c:pt idx="109">
                  <c:v>1.6038681526033383E-2</c:v>
                </c:pt>
                <c:pt idx="110">
                  <c:v>-1.9093494283558665E-2</c:v>
                </c:pt>
                <c:pt idx="111">
                  <c:v>-1.3874097739912439E-2</c:v>
                </c:pt>
                <c:pt idx="112">
                  <c:v>-1.5899205039748066E-2</c:v>
                </c:pt>
                <c:pt idx="113">
                  <c:v>-6.1880810852005252E-3</c:v>
                </c:pt>
                <c:pt idx="114">
                  <c:v>1.9692043432918194E-2</c:v>
                </c:pt>
                <c:pt idx="115">
                  <c:v>-9.5656359042233241E-3</c:v>
                </c:pt>
                <c:pt idx="116">
                  <c:v>5.0082002065237274E-2</c:v>
                </c:pt>
                <c:pt idx="117">
                  <c:v>4.1070137382501759E-3</c:v>
                </c:pt>
                <c:pt idx="118">
                  <c:v>1.6447273669959905E-2</c:v>
                </c:pt>
                <c:pt idx="119">
                  <c:v>-2.4002493765585942E-2</c:v>
                </c:pt>
                <c:pt idx="120">
                  <c:v>9.4944978368805E-3</c:v>
                </c:pt>
                <c:pt idx="121">
                  <c:v>-6.1378278877128434E-2</c:v>
                </c:pt>
                <c:pt idx="122">
                  <c:v>-6.4656493227920331E-3</c:v>
                </c:pt>
                <c:pt idx="123">
                  <c:v>-1.3323875026986953E-2</c:v>
                </c:pt>
                <c:pt idx="124">
                  <c:v>3.0289768997530553E-2</c:v>
                </c:pt>
                <c:pt idx="125">
                  <c:v>-5.0819174757281593E-2</c:v>
                </c:pt>
                <c:pt idx="126">
                  <c:v>2.1863512865590407E-2</c:v>
                </c:pt>
                <c:pt idx="127">
                  <c:v>-2.5024242234664706E-3</c:v>
                </c:pt>
                <c:pt idx="128">
                  <c:v>-8.6863808836902257E-3</c:v>
                </c:pt>
                <c:pt idx="129">
                  <c:v>-3.2202960900923672E-2</c:v>
                </c:pt>
                <c:pt idx="130">
                  <c:v>-1.7977381185853458E-2</c:v>
                </c:pt>
                <c:pt idx="131">
                  <c:v>-2.0236985754227055E-2</c:v>
                </c:pt>
                <c:pt idx="132">
                  <c:v>1.7869275716809296E-2</c:v>
                </c:pt>
                <c:pt idx="133">
                  <c:v>1.1848341232227444E-2</c:v>
                </c:pt>
                <c:pt idx="134">
                  <c:v>4.15938252465613E-2</c:v>
                </c:pt>
                <c:pt idx="135">
                  <c:v>-2.3972385838241794E-2</c:v>
                </c:pt>
                <c:pt idx="136">
                  <c:v>6.0121345835631557E-2</c:v>
                </c:pt>
                <c:pt idx="137">
                  <c:v>-2.8156944359429503E-2</c:v>
                </c:pt>
                <c:pt idx="138">
                  <c:v>2.3965484663349468E-2</c:v>
                </c:pt>
                <c:pt idx="139">
                  <c:v>9.5955712747961552E-3</c:v>
                </c:pt>
                <c:pt idx="140">
                  <c:v>-7.6766076705150343E-3</c:v>
                </c:pt>
                <c:pt idx="141">
                  <c:v>-8.534151957022118E-3</c:v>
                </c:pt>
                <c:pt idx="142">
                  <c:v>-3.6535901167291662E-3</c:v>
                </c:pt>
                <c:pt idx="143">
                  <c:v>1.5040865160508288E-2</c:v>
                </c:pt>
                <c:pt idx="144">
                  <c:v>2.7492881854085827E-2</c:v>
                </c:pt>
                <c:pt idx="145">
                  <c:v>7.7023926581448521E-2</c:v>
                </c:pt>
                <c:pt idx="146">
                  <c:v>-3.6352570132241468E-2</c:v>
                </c:pt>
                <c:pt idx="147">
                  <c:v>2.7503445107946778E-2</c:v>
                </c:pt>
                <c:pt idx="148">
                  <c:v>-7.8792958927074164E-3</c:v>
                </c:pt>
                <c:pt idx="149">
                  <c:v>2.9204686267883417E-2</c:v>
                </c:pt>
                <c:pt idx="150">
                  <c:v>-9.9055958407443523E-3</c:v>
                </c:pt>
                <c:pt idx="151">
                  <c:v>6.4118508691926035E-3</c:v>
                </c:pt>
                <c:pt idx="152">
                  <c:v>1.8920774406151475E-2</c:v>
                </c:pt>
                <c:pt idx="153">
                  <c:v>2.8460543337645472E-2</c:v>
                </c:pt>
                <c:pt idx="154">
                  <c:v>-1.7112159329140564E-2</c:v>
                </c:pt>
                <c:pt idx="155">
                  <c:v>-1.2317700695870126E-2</c:v>
                </c:pt>
                <c:pt idx="156">
                  <c:v>-5.8307463895261868E-3</c:v>
                </c:pt>
                <c:pt idx="157">
                  <c:v>-2.4708789269326514E-3</c:v>
                </c:pt>
                <c:pt idx="158">
                  <c:v>-1.8291687081495867E-2</c:v>
                </c:pt>
                <c:pt idx="159">
                  <c:v>6.8735096767038151E-2</c:v>
                </c:pt>
                <c:pt idx="160">
                  <c:v>0</c:v>
                </c:pt>
              </c:numCache>
            </c:numRef>
          </c:val>
          <c:extLst>
            <c:ext xmlns:c16="http://schemas.microsoft.com/office/drawing/2014/chart" uri="{C3380CC4-5D6E-409C-BE32-E72D297353CC}">
              <c16:uniqueId val="{00000000-6053-8B4D-B98E-0D9F8810E7FC}"/>
            </c:ext>
          </c:extLst>
        </c:ser>
        <c:dLbls>
          <c:showLegendKey val="0"/>
          <c:showVal val="0"/>
          <c:showCatName val="0"/>
          <c:showSerName val="0"/>
          <c:showPercent val="0"/>
          <c:showBubbleSize val="0"/>
        </c:dLbls>
        <c:gapWidth val="150"/>
        <c:axId val="72118839"/>
        <c:axId val="61789287"/>
      </c:barChart>
      <c:lineChart>
        <c:grouping val="standard"/>
        <c:varyColors val="0"/>
        <c:ser>
          <c:idx val="1"/>
          <c:order val="1"/>
          <c:tx>
            <c:strRef>
              <c:f>'Returns (Calc)'!$AO$2</c:f>
              <c:strCache>
                <c:ptCount val="1"/>
                <c:pt idx="0">
                  <c:v>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60"/>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pt idx="159">
                  <c:v>10/09/2026</c:v>
                </c:pt>
              </c:strCache>
            </c:strRef>
          </c:cat>
          <c:val>
            <c:numRef>
              <c:f>'Returns (Calc)'!$AO$3:$AO$500</c:f>
              <c:numCache>
                <c:formatCode>#,##0.00</c:formatCode>
                <c:ptCount val="498"/>
                <c:pt idx="0">
                  <c:v>235.63</c:v>
                </c:pt>
                <c:pt idx="1">
                  <c:v>236.5722641509434</c:v>
                </c:pt>
                <c:pt idx="2">
                  <c:v>237.5145283018868</c:v>
                </c:pt>
                <c:pt idx="3">
                  <c:v>238.45679245283017</c:v>
                </c:pt>
                <c:pt idx="4">
                  <c:v>239.39905660377357</c:v>
                </c:pt>
                <c:pt idx="5">
                  <c:v>240.34132075471697</c:v>
                </c:pt>
                <c:pt idx="6">
                  <c:v>241.28358490566038</c:v>
                </c:pt>
                <c:pt idx="7">
                  <c:v>242.22584905660378</c:v>
                </c:pt>
                <c:pt idx="8">
                  <c:v>243.16811320754715</c:v>
                </c:pt>
                <c:pt idx="9">
                  <c:v>244.11037735849055</c:v>
                </c:pt>
                <c:pt idx="10">
                  <c:v>245.05264150943395</c:v>
                </c:pt>
                <c:pt idx="11">
                  <c:v>245.99490566037736</c:v>
                </c:pt>
                <c:pt idx="12">
                  <c:v>246.93716981132076</c:v>
                </c:pt>
                <c:pt idx="13">
                  <c:v>247.87943396226416</c:v>
                </c:pt>
                <c:pt idx="14">
                  <c:v>248.82169811320753</c:v>
                </c:pt>
                <c:pt idx="15">
                  <c:v>249.76396226415093</c:v>
                </c:pt>
                <c:pt idx="16">
                  <c:v>250.70622641509433</c:v>
                </c:pt>
                <c:pt idx="17">
                  <c:v>251.64849056603774</c:v>
                </c:pt>
                <c:pt idx="18">
                  <c:v>252.59075471698114</c:v>
                </c:pt>
                <c:pt idx="19">
                  <c:v>253.53301886792451</c:v>
                </c:pt>
                <c:pt idx="20">
                  <c:v>254.47528301886791</c:v>
                </c:pt>
                <c:pt idx="21">
                  <c:v>255.41754716981131</c:v>
                </c:pt>
                <c:pt idx="22">
                  <c:v>256.35981132075472</c:v>
                </c:pt>
                <c:pt idx="23">
                  <c:v>257.30207547169812</c:v>
                </c:pt>
                <c:pt idx="24">
                  <c:v>258.24433962264152</c:v>
                </c:pt>
                <c:pt idx="25">
                  <c:v>259.18660377358492</c:v>
                </c:pt>
                <c:pt idx="26">
                  <c:v>260.12886792452832</c:v>
                </c:pt>
                <c:pt idx="27">
                  <c:v>261.07113207547167</c:v>
                </c:pt>
                <c:pt idx="28">
                  <c:v>262.01339622641507</c:v>
                </c:pt>
                <c:pt idx="29">
                  <c:v>262.95566037735847</c:v>
                </c:pt>
                <c:pt idx="30">
                  <c:v>263.89792452830187</c:v>
                </c:pt>
                <c:pt idx="31">
                  <c:v>264.84018867924527</c:v>
                </c:pt>
                <c:pt idx="32">
                  <c:v>265.78245283018867</c:v>
                </c:pt>
                <c:pt idx="33">
                  <c:v>266.72471698113208</c:v>
                </c:pt>
                <c:pt idx="34">
                  <c:v>267.66698113207548</c:v>
                </c:pt>
                <c:pt idx="35">
                  <c:v>268.60924528301888</c:v>
                </c:pt>
                <c:pt idx="36">
                  <c:v>269.55150943396228</c:v>
                </c:pt>
                <c:pt idx="37">
                  <c:v>270.49377358490563</c:v>
                </c:pt>
                <c:pt idx="38">
                  <c:v>271.43603773584903</c:v>
                </c:pt>
                <c:pt idx="39">
                  <c:v>272.37830188679243</c:v>
                </c:pt>
                <c:pt idx="40">
                  <c:v>273.32056603773583</c:v>
                </c:pt>
                <c:pt idx="41">
                  <c:v>274.26283018867923</c:v>
                </c:pt>
                <c:pt idx="42">
                  <c:v>275.20509433962263</c:v>
                </c:pt>
                <c:pt idx="43">
                  <c:v>276.14735849056603</c:v>
                </c:pt>
                <c:pt idx="44">
                  <c:v>277.08962264150944</c:v>
                </c:pt>
                <c:pt idx="45">
                  <c:v>278.03188679245284</c:v>
                </c:pt>
                <c:pt idx="46">
                  <c:v>278.97415094339624</c:v>
                </c:pt>
                <c:pt idx="47">
                  <c:v>279.91641509433964</c:v>
                </c:pt>
                <c:pt idx="48">
                  <c:v>280.85867924528304</c:v>
                </c:pt>
                <c:pt idx="49">
                  <c:v>281.80094339622639</c:v>
                </c:pt>
                <c:pt idx="50">
                  <c:v>282.74320754716979</c:v>
                </c:pt>
                <c:pt idx="51">
                  <c:v>283.68547169811319</c:v>
                </c:pt>
                <c:pt idx="52">
                  <c:v>284.62773584905659</c:v>
                </c:pt>
                <c:pt idx="53">
                  <c:v>285.57</c:v>
                </c:pt>
                <c:pt idx="54">
                  <c:v>286.51226415094339</c:v>
                </c:pt>
                <c:pt idx="55">
                  <c:v>287.4545283018868</c:v>
                </c:pt>
                <c:pt idx="56">
                  <c:v>288.3967924528302</c:v>
                </c:pt>
                <c:pt idx="57">
                  <c:v>289.3390566037736</c:v>
                </c:pt>
                <c:pt idx="58">
                  <c:v>290.28132075471694</c:v>
                </c:pt>
                <c:pt idx="59">
                  <c:v>291.22358490566035</c:v>
                </c:pt>
                <c:pt idx="60">
                  <c:v>292.16584905660375</c:v>
                </c:pt>
                <c:pt idx="61">
                  <c:v>293.10811320754715</c:v>
                </c:pt>
                <c:pt idx="62">
                  <c:v>294.05037735849055</c:v>
                </c:pt>
                <c:pt idx="63">
                  <c:v>294.99264150943395</c:v>
                </c:pt>
                <c:pt idx="64">
                  <c:v>295.93490566037735</c:v>
                </c:pt>
                <c:pt idx="65">
                  <c:v>296.87716981132075</c:v>
                </c:pt>
                <c:pt idx="66">
                  <c:v>297.81943396226416</c:v>
                </c:pt>
                <c:pt idx="67">
                  <c:v>298.76169811320756</c:v>
                </c:pt>
                <c:pt idx="68">
                  <c:v>299.70396226415096</c:v>
                </c:pt>
                <c:pt idx="69">
                  <c:v>300.64622641509436</c:v>
                </c:pt>
                <c:pt idx="70">
                  <c:v>301.58849056603776</c:v>
                </c:pt>
                <c:pt idx="71">
                  <c:v>302.53075471698111</c:v>
                </c:pt>
                <c:pt idx="72">
                  <c:v>303.47301886792451</c:v>
                </c:pt>
                <c:pt idx="73">
                  <c:v>304.41528301886791</c:v>
                </c:pt>
                <c:pt idx="74">
                  <c:v>305.35754716981131</c:v>
                </c:pt>
                <c:pt idx="75">
                  <c:v>306.29981132075471</c:v>
                </c:pt>
                <c:pt idx="76">
                  <c:v>307.24207547169812</c:v>
                </c:pt>
                <c:pt idx="77">
                  <c:v>308.18433962264152</c:v>
                </c:pt>
                <c:pt idx="78">
                  <c:v>309.12660377358486</c:v>
                </c:pt>
                <c:pt idx="79">
                  <c:v>310.06886792452826</c:v>
                </c:pt>
                <c:pt idx="80">
                  <c:v>311.01113207547166</c:v>
                </c:pt>
                <c:pt idx="81">
                  <c:v>311.95339622641507</c:v>
                </c:pt>
                <c:pt idx="82">
                  <c:v>312.89566037735847</c:v>
                </c:pt>
                <c:pt idx="83">
                  <c:v>313.83792452830187</c:v>
                </c:pt>
                <c:pt idx="84">
                  <c:v>314.78018867924527</c:v>
                </c:pt>
                <c:pt idx="85">
                  <c:v>315.72245283018867</c:v>
                </c:pt>
                <c:pt idx="86">
                  <c:v>316.66471698113207</c:v>
                </c:pt>
                <c:pt idx="87">
                  <c:v>317.60698113207548</c:v>
                </c:pt>
                <c:pt idx="88">
                  <c:v>318.54924528301888</c:v>
                </c:pt>
                <c:pt idx="89">
                  <c:v>319.49150943396228</c:v>
                </c:pt>
                <c:pt idx="90">
                  <c:v>320.43377358490568</c:v>
                </c:pt>
                <c:pt idx="91">
                  <c:v>321.37603773584902</c:v>
                </c:pt>
                <c:pt idx="92">
                  <c:v>322.31830188679243</c:v>
                </c:pt>
                <c:pt idx="93">
                  <c:v>323.26056603773583</c:v>
                </c:pt>
                <c:pt idx="94">
                  <c:v>324.20283018867923</c:v>
                </c:pt>
                <c:pt idx="95">
                  <c:v>325.14509433962263</c:v>
                </c:pt>
                <c:pt idx="96">
                  <c:v>326.08735849056603</c:v>
                </c:pt>
                <c:pt idx="97">
                  <c:v>327.02962264150943</c:v>
                </c:pt>
                <c:pt idx="98">
                  <c:v>327.97188679245284</c:v>
                </c:pt>
                <c:pt idx="99">
                  <c:v>328.91415094339618</c:v>
                </c:pt>
                <c:pt idx="100">
                  <c:v>329.85641509433964</c:v>
                </c:pt>
                <c:pt idx="101">
                  <c:v>330.79867924528298</c:v>
                </c:pt>
                <c:pt idx="102">
                  <c:v>331.74094339622638</c:v>
                </c:pt>
                <c:pt idx="103">
                  <c:v>332.68320754716979</c:v>
                </c:pt>
                <c:pt idx="104">
                  <c:v>333.62547169811319</c:v>
                </c:pt>
                <c:pt idx="105">
                  <c:v>334.56773584905659</c:v>
                </c:pt>
                <c:pt idx="106">
                  <c:v>335.51</c:v>
                </c:pt>
                <c:pt idx="107">
                  <c:v>336.45226415094339</c:v>
                </c:pt>
                <c:pt idx="108">
                  <c:v>337.39452830188679</c:v>
                </c:pt>
                <c:pt idx="109">
                  <c:v>338.3367924528302</c:v>
                </c:pt>
                <c:pt idx="110">
                  <c:v>339.2790566037736</c:v>
                </c:pt>
                <c:pt idx="111">
                  <c:v>340.221320754717</c:v>
                </c:pt>
                <c:pt idx="112">
                  <c:v>341.1635849056604</c:v>
                </c:pt>
                <c:pt idx="113">
                  <c:v>342.1058490566038</c:v>
                </c:pt>
                <c:pt idx="114">
                  <c:v>343.04811320754715</c:v>
                </c:pt>
                <c:pt idx="115">
                  <c:v>343.99037735849055</c:v>
                </c:pt>
                <c:pt idx="116">
                  <c:v>344.93264150943395</c:v>
                </c:pt>
                <c:pt idx="117">
                  <c:v>345.87490566037735</c:v>
                </c:pt>
                <c:pt idx="118">
                  <c:v>346.81716981132075</c:v>
                </c:pt>
                <c:pt idx="119">
                  <c:v>347.75943396226415</c:v>
                </c:pt>
                <c:pt idx="120">
                  <c:v>348.7016981132075</c:v>
                </c:pt>
                <c:pt idx="121">
                  <c:v>349.6439622641509</c:v>
                </c:pt>
                <c:pt idx="122">
                  <c:v>350.58622641509436</c:v>
                </c:pt>
                <c:pt idx="123">
                  <c:v>351.5284905660377</c:v>
                </c:pt>
                <c:pt idx="124">
                  <c:v>352.47075471698111</c:v>
                </c:pt>
                <c:pt idx="125">
                  <c:v>353.41301886792451</c:v>
                </c:pt>
                <c:pt idx="126">
                  <c:v>354.35528301886791</c:v>
                </c:pt>
                <c:pt idx="127">
                  <c:v>355.29754716981131</c:v>
                </c:pt>
                <c:pt idx="128">
                  <c:v>356.23981132075471</c:v>
                </c:pt>
                <c:pt idx="129">
                  <c:v>357.18207547169811</c:v>
                </c:pt>
                <c:pt idx="130">
                  <c:v>358.12433962264151</c:v>
                </c:pt>
                <c:pt idx="131">
                  <c:v>359.06660377358492</c:v>
                </c:pt>
                <c:pt idx="132">
                  <c:v>360.00886792452832</c:v>
                </c:pt>
                <c:pt idx="133">
                  <c:v>360.95113207547166</c:v>
                </c:pt>
                <c:pt idx="134">
                  <c:v>361.89339622641506</c:v>
                </c:pt>
                <c:pt idx="135">
                  <c:v>362.83566037735852</c:v>
                </c:pt>
                <c:pt idx="136">
                  <c:v>363.77792452830192</c:v>
                </c:pt>
                <c:pt idx="137">
                  <c:v>364.72018867924527</c:v>
                </c:pt>
                <c:pt idx="138">
                  <c:v>365.66245283018867</c:v>
                </c:pt>
                <c:pt idx="139">
                  <c:v>366.60471698113207</c:v>
                </c:pt>
                <c:pt idx="140">
                  <c:v>367.54698113207547</c:v>
                </c:pt>
                <c:pt idx="141">
                  <c:v>368.48924528301882</c:v>
                </c:pt>
                <c:pt idx="142">
                  <c:v>369.43150943396222</c:v>
                </c:pt>
                <c:pt idx="143">
                  <c:v>370.37377358490562</c:v>
                </c:pt>
                <c:pt idx="144">
                  <c:v>371.31603773584902</c:v>
                </c:pt>
                <c:pt idx="145">
                  <c:v>372.25830188679242</c:v>
                </c:pt>
                <c:pt idx="146">
                  <c:v>373.20056603773583</c:v>
                </c:pt>
                <c:pt idx="147">
                  <c:v>374.14283018867923</c:v>
                </c:pt>
                <c:pt idx="148">
                  <c:v>375.08509433962263</c:v>
                </c:pt>
                <c:pt idx="149">
                  <c:v>376.02735849056603</c:v>
                </c:pt>
                <c:pt idx="150">
                  <c:v>376.96962264150943</c:v>
                </c:pt>
                <c:pt idx="151">
                  <c:v>377.91188679245283</c:v>
                </c:pt>
                <c:pt idx="152">
                  <c:v>378.85415094339623</c:v>
                </c:pt>
                <c:pt idx="153">
                  <c:v>379.79641509433964</c:v>
                </c:pt>
                <c:pt idx="154">
                  <c:v>380.73867924528304</c:v>
                </c:pt>
                <c:pt idx="155">
                  <c:v>381.68094339622644</c:v>
                </c:pt>
                <c:pt idx="156">
                  <c:v>382.62320754716978</c:v>
                </c:pt>
                <c:pt idx="157">
                  <c:v>383.56547169811319</c:v>
                </c:pt>
                <c:pt idx="158">
                  <c:v>384.50773584905659</c:v>
                </c:pt>
                <c:pt idx="159">
                  <c:v>385.45</c:v>
                </c:pt>
                <c:pt idx="160">
                  <c:v>386.39226415094333</c:v>
                </c:pt>
              </c:numCache>
            </c:numRef>
          </c:val>
          <c:smooth val="0"/>
          <c:extLst>
            <c:ext xmlns:c16="http://schemas.microsoft.com/office/drawing/2014/chart" uri="{C3380CC4-5D6E-409C-BE32-E72D297353CC}">
              <c16:uniqueId val="{00000001-6053-8B4D-B98E-0D9F8810E7FC}"/>
            </c:ext>
          </c:extLst>
        </c:ser>
        <c:dLbls>
          <c:showLegendKey val="0"/>
          <c:showVal val="0"/>
          <c:showCatName val="0"/>
          <c:showSerName val="0"/>
          <c:showPercent val="0"/>
          <c:showBubbleSize val="0"/>
        </c:dLbls>
        <c:hiLowLines>
          <c:spPr>
            <a:ln w="0">
              <a:noFill/>
            </a:ln>
          </c:spPr>
        </c:hiLowLines>
        <c:marker val="1"/>
        <c:smooth val="0"/>
        <c:axId val="67499065"/>
        <c:axId val="70600506"/>
      </c:lineChart>
      <c:dateAx>
        <c:axId val="72118839"/>
        <c:scaling>
          <c:orientation val="minMax"/>
        </c:scaling>
        <c:delete val="1"/>
        <c:axPos val="b"/>
        <c:numFmt formatCode="mm/dd/yyyy" sourceLinked="1"/>
        <c:majorTickMark val="none"/>
        <c:minorTickMark val="none"/>
        <c:tickLblPos val="nextTo"/>
        <c:crossAx val="61789287"/>
        <c:crosses val="autoZero"/>
        <c:auto val="1"/>
        <c:lblOffset val="100"/>
        <c:baseTimeUnit val="days"/>
      </c:dateAx>
      <c:valAx>
        <c:axId val="617892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2118839"/>
        <c:crosses val="autoZero"/>
        <c:crossBetween val="between"/>
      </c:valAx>
      <c:dateAx>
        <c:axId val="67499065"/>
        <c:scaling>
          <c:orientation val="minMax"/>
        </c:scaling>
        <c:delete val="1"/>
        <c:axPos val="b"/>
        <c:numFmt formatCode="mm/dd/yyyy" sourceLinked="1"/>
        <c:majorTickMark val="none"/>
        <c:minorTickMark val="none"/>
        <c:tickLblPos val="nextTo"/>
        <c:crossAx val="70600506"/>
        <c:crosses val="autoZero"/>
        <c:auto val="1"/>
        <c:lblOffset val="100"/>
        <c:baseTimeUnit val="days"/>
      </c:dateAx>
      <c:valAx>
        <c:axId val="706005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749906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164</xdr:row>
      <xdr:rowOff>0</xdr:rowOff>
    </xdr:from>
    <xdr:to>
      <xdr:col>5</xdr:col>
      <xdr:colOff>280440</xdr:colOff>
      <xdr:row>175</xdr:row>
      <xdr:rowOff>103320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164</xdr:row>
      <xdr:rowOff>0</xdr:rowOff>
    </xdr:from>
    <xdr:to>
      <xdr:col>13</xdr:col>
      <xdr:colOff>302040</xdr:colOff>
      <xdr:row>175</xdr:row>
      <xdr:rowOff>103320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164</xdr:row>
      <xdr:rowOff>0</xdr:rowOff>
    </xdr:from>
    <xdr:to>
      <xdr:col>22</xdr:col>
      <xdr:colOff>68040</xdr:colOff>
      <xdr:row>175</xdr:row>
      <xdr:rowOff>103320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164</xdr:row>
      <xdr:rowOff>0</xdr:rowOff>
    </xdr:from>
    <xdr:to>
      <xdr:col>30</xdr:col>
      <xdr:colOff>320400</xdr:colOff>
      <xdr:row>175</xdr:row>
      <xdr:rowOff>103320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180</xdr:row>
      <xdr:rowOff>0</xdr:rowOff>
    </xdr:from>
    <xdr:to>
      <xdr:col>5</xdr:col>
      <xdr:colOff>280440</xdr:colOff>
      <xdr:row>191</xdr:row>
      <xdr:rowOff>103320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180</xdr:row>
      <xdr:rowOff>0</xdr:rowOff>
    </xdr:from>
    <xdr:to>
      <xdr:col>13</xdr:col>
      <xdr:colOff>302040</xdr:colOff>
      <xdr:row>191</xdr:row>
      <xdr:rowOff>103320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180</xdr:row>
      <xdr:rowOff>0</xdr:rowOff>
    </xdr:from>
    <xdr:to>
      <xdr:col>22</xdr:col>
      <xdr:colOff>68040</xdr:colOff>
      <xdr:row>191</xdr:row>
      <xdr:rowOff>103320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180</xdr:row>
      <xdr:rowOff>0</xdr:rowOff>
    </xdr:from>
    <xdr:to>
      <xdr:col>30</xdr:col>
      <xdr:colOff>320400</xdr:colOff>
      <xdr:row>191</xdr:row>
      <xdr:rowOff>103320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196</xdr:row>
      <xdr:rowOff>0</xdr:rowOff>
    </xdr:from>
    <xdr:to>
      <xdr:col>5</xdr:col>
      <xdr:colOff>280440</xdr:colOff>
      <xdr:row>207</xdr:row>
      <xdr:rowOff>102600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196</xdr:row>
      <xdr:rowOff>0</xdr:rowOff>
    </xdr:from>
    <xdr:to>
      <xdr:col>13</xdr:col>
      <xdr:colOff>302040</xdr:colOff>
      <xdr:row>207</xdr:row>
      <xdr:rowOff>102600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196</xdr:row>
      <xdr:rowOff>0</xdr:rowOff>
    </xdr:from>
    <xdr:to>
      <xdr:col>22</xdr:col>
      <xdr:colOff>68040</xdr:colOff>
      <xdr:row>207</xdr:row>
      <xdr:rowOff>102600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196</xdr:row>
      <xdr:rowOff>0</xdr:rowOff>
    </xdr:from>
    <xdr:to>
      <xdr:col>30</xdr:col>
      <xdr:colOff>320400</xdr:colOff>
      <xdr:row>207</xdr:row>
      <xdr:rowOff>102600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212</xdr:row>
      <xdr:rowOff>0</xdr:rowOff>
    </xdr:from>
    <xdr:to>
      <xdr:col>5</xdr:col>
      <xdr:colOff>280440</xdr:colOff>
      <xdr:row>223</xdr:row>
      <xdr:rowOff>103320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212</xdr:row>
      <xdr:rowOff>0</xdr:rowOff>
    </xdr:from>
    <xdr:to>
      <xdr:col>13</xdr:col>
      <xdr:colOff>302040</xdr:colOff>
      <xdr:row>223</xdr:row>
      <xdr:rowOff>103320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212</xdr:row>
      <xdr:rowOff>0</xdr:rowOff>
    </xdr:from>
    <xdr:to>
      <xdr:col>22</xdr:col>
      <xdr:colOff>68040</xdr:colOff>
      <xdr:row>223</xdr:row>
      <xdr:rowOff>103320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212</xdr:row>
      <xdr:rowOff>0</xdr:rowOff>
    </xdr:from>
    <xdr:to>
      <xdr:col>30</xdr:col>
      <xdr:colOff>320400</xdr:colOff>
      <xdr:row>223</xdr:row>
      <xdr:rowOff>103320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228</xdr:row>
      <xdr:rowOff>0</xdr:rowOff>
    </xdr:from>
    <xdr:to>
      <xdr:col>5</xdr:col>
      <xdr:colOff>280440</xdr:colOff>
      <xdr:row>239</xdr:row>
      <xdr:rowOff>103320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228</xdr:row>
      <xdr:rowOff>0</xdr:rowOff>
    </xdr:from>
    <xdr:to>
      <xdr:col>13</xdr:col>
      <xdr:colOff>302040</xdr:colOff>
      <xdr:row>239</xdr:row>
      <xdr:rowOff>103320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242</xdr:row>
      <xdr:rowOff>0</xdr:rowOff>
    </xdr:from>
    <xdr:to>
      <xdr:col>4</xdr:col>
      <xdr:colOff>335880</xdr:colOff>
      <xdr:row>253</xdr:row>
      <xdr:rowOff>103320</xdr:rowOff>
    </xdr:to>
    <xdr:graphicFrame macro="">
      <xdr:nvGraphicFramePr>
        <xdr:cNvPr id="20" name="Chart 19">
          <a:extLst>
            <a:ext uri="{FF2B5EF4-FFF2-40B4-BE49-F238E27FC236}">
              <a16:creationId xmlns:a16="http://schemas.microsoft.com/office/drawing/2014/main" id="{00000000-0008-0000-09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0">
  <a r="1" c="5">
    <v t="i">0</v>
    <v t="i">1</v>
    <v t="i">2</v>
    <v t="i">3</v>
    <v t="i">4</v>
  </a>
  <a r="1" c="5">
    <v>14.27</v>
    <v>14.45</v>
    <v>14.38</v>
    <v>14.53</v>
    <v>15</v>
  </a>
  <a r="1" c="5">
    <v>253.62</v>
    <v>253.14</v>
    <v>246.49</v>
    <v>243.73</v>
    <v>242.78</v>
  </a>
  <a r="1" c="5">
    <v>432.6</v>
    <v>445.09</v>
    <v>431.33</v>
    <v>424.51</v>
    <v>429.65</v>
  </a>
  <a r="1" c="5">
    <v>19.510000000000002</v>
    <v>19</v>
    <v>18.62</v>
    <v>18.989999999999998</v>
    <v>18.97</v>
  </a>
  <a r="1" c="5">
    <v>189.4</v>
    <v>192.07</v>
    <v>194.12</v>
    <v>198.78</v>
    <v>209.05</v>
  </a>
  <a r="1" c="5">
    <v>195.74</v>
    <v>201.25</v>
    <v>198.84</v>
    <v>-99999901</v>
    <v>193.54</v>
  </a>
  <a r="1" c="5">
    <v>1063.96</v>
    <v>1045.56</v>
    <v>1088</v>
    <v>1035.8399999999999</v>
    <v>1029</v>
  </a>
  <a r="1" c="5">
    <v>306.33999999999997</v>
    <v>309.39</v>
    <v>303.62</v>
    <v>305.62</v>
    <v>308.2</v>
  </a>
  <a r="1" c="5">
    <v>100.1</v>
    <v>98.16</v>
    <v>98.73</v>
    <v>98.49</v>
    <v>99.6</v>
  </a>
  <a r="1" c="5">
    <v>103.61</v>
    <v>104.03</v>
    <v>104.75</v>
    <v>107.02</v>
    <v>108.05</v>
  </a>
  <a r="1" c="5">
    <v>20.079999999999998</v>
    <v>19.88</v>
    <v>19.55</v>
    <v>19.420000000000002</v>
    <v>19.190000000000001</v>
  </a>
  <a r="1" c="5">
    <v>67.5</v>
    <v>68.69</v>
    <v>69.7</v>
    <v>71.569999999999993</v>
    <v>70.3</v>
  </a>
  <a r="1" c="5">
    <v>503.5</v>
    <v>502.31</v>
    <v>505.64</v>
    <v>503.25</v>
    <v>510.08</v>
  </a>
  <a r="1" c="5">
    <v>206.85</v>
    <v>197.46</v>
    <v>196.83</v>
    <v>196.72</v>
    <v>195.57</v>
  </a>
  <a r="1" c="5">
    <v>378.73</v>
    <v>380.68</v>
    <v>377.81</v>
    <v>375</v>
    <v>382.7</v>
  </a>
  <a r="1" c="5">
    <v>13.06</v>
    <v>13.65</v>
    <v>13.78</v>
    <v>13.71</v>
    <v>13.71</v>
  </a>
  <a r="1" c="5">
    <v>30.85</v>
    <v>30.9</v>
    <v>30.77</v>
    <v>32.68</v>
    <v>31.59</v>
  </a>
  <a r="1" c="5">
    <v>83.97</v>
    <v>84.78</v>
    <v>84.73</v>
    <v>86.98</v>
    <v>86.73</v>
  </a>
  <a r="1" c="5">
    <v>362.51</v>
    <v>375.81</v>
    <v>376.51</v>
    <v>360.14</v>
    <v>361.54</v>
  </a>
  <a r="1" c="5">
    <v>12.2</v>
    <v>12.25</v>
    <v>12.06</v>
    <v>12.19</v>
    <v>12.98</v>
  </a>
  <a r="1" c="5">
    <v>136.97</v>
    <v>139.84</v>
    <v>140.35</v>
    <v>143</v>
    <v>144.82</v>
  </a>
  <a r="1" c="5">
    <v>238.785</v>
    <v>238.12</v>
    <v>232.77</v>
    <v>241.05</v>
    <v>242.27</v>
  </a>
  <a r="1" c="5">
    <v>283.45</v>
    <v>283.5</v>
    <v>282.5</v>
    <v>284.83999999999997</v>
    <v>296.13</v>
  </a>
  <a r="1" c="5">
    <v>1859.86</v>
    <v>1834.1</v>
    <v>1804.96</v>
    <v>1769.79</v>
    <v>1780.34</v>
  </a>
  <a r="1" c="5">
    <v>7.62</v>
    <v>7.64</v>
    <v>7.55</v>
    <v>7.81</v>
    <v>7.92</v>
  </a>
  <a r="1" c="5">
    <v>369.71</v>
    <v>370.64</v>
    <v>372.1</v>
    <v>375.1</v>
    <v>385.45</v>
  </a>
  <a r="1" c="5">
    <v>64.92</v>
    <v>65.17</v>
    <v>65.260000000000005</v>
    <v>66.010000000000005</v>
    <v>65.14</v>
  </a>
  <a r="1" c="5">
    <v>145.94</v>
    <v>148.41</v>
    <v>147.82</v>
    <v>150.59</v>
    <v>151.22999999999999</v>
  </a>
  <a r="1" c="5">
    <v>272.67</v>
    <v>278.86</v>
    <v>265.44</v>
    <v>263.01</v>
    <v>275.04000000000002</v>
  </a>
  <a r="1" c="5">
    <v>33.96</v>
    <v>34.61</v>
    <v>34.36</v>
    <v>34.74</v>
    <v>34.71</v>
  </a>
  <a r="1" c="5">
    <v>53.56</v>
    <v>55.89</v>
    <v>54.64</v>
    <v>53.57</v>
    <v>53.47</v>
  </a>
  <a r="1" c="5">
    <v>20.72</v>
    <v>20.74</v>
    <v>20.48</v>
    <v>20.62</v>
    <v>20.41</v>
  </a>
  <a r="1" c="5">
    <v>39.65</v>
    <v>41.24</v>
    <v>41.2</v>
    <v>42.4</v>
    <v>42.3</v>
  </a>
  <a r="1" c="5">
    <v>45.53</v>
    <v>44.85</v>
    <v>43.86</v>
    <v>44.81</v>
    <v>45.02</v>
  </a>
  <a r="1" c="5">
    <v>110.8</v>
    <v>109.26</v>
    <v>107</v>
    <v>105.7</v>
    <v>111.37</v>
  </a>
  <a r="1" c="5">
    <v>485.8</v>
    <v>482.3</v>
    <v>472.2</v>
    <v>457.99</v>
    <v>453.31</v>
  </a>
  <a r="1" c="5">
    <v>93.3</v>
    <v>93.36</v>
    <v>94.45</v>
    <v>94.32</v>
    <v>98.05</v>
  </a>
  <a r="1" c="5">
    <v>128.08000000000001</v>
    <v>128.68</v>
    <v>127.3</v>
    <v>129.29</v>
    <v>129.49</v>
  </a>
  <a r="1" c="5">
    <v>975.68</v>
    <v>984.91</v>
    <v>952.79</v>
    <v>946.96</v>
    <v>962.56</v>
  </a>
  <a r="1" c="5">
    <v>297.27</v>
    <v>302.87</v>
    <v>303.10000000000002</v>
    <v>308.64999999999998</v>
    <v>309.36</v>
  </a>
  <a r="1" c="5">
    <v>31.88</v>
    <v>33.130000000000003</v>
    <v>33.22</v>
    <v>34.04</v>
    <v>35.090000000000003</v>
  </a>
  <a r="1" c="5">
    <v>923.52</v>
    <v>935.68</v>
    <v>942.25</v>
    <v>947.92</v>
    <v>946.92</v>
  </a>
  <a r="1" c="5">
    <v>50.28</v>
    <v>50</v>
    <v>47.96</v>
    <v>48.98</v>
    <v>48.95</v>
  </a>
  <a r="1" c="5">
    <v>0.44</v>
    <v>0.44500000000000001</v>
    <v>0.45</v>
    <v>0.46500000000000002</v>
    <v>0.46</v>
  </a>
  <a r="1" c="5">
    <v>19.54</v>
    <v>19.579999999999998</v>
    <v>19.36</v>
    <v>19.46</v>
    <v>19.75</v>
  </a>
  <a r="1" c="5">
    <v>19.59</v>
    <v>20.12</v>
    <v>19.41</v>
    <v>18.850000000000001</v>
    <v>19</v>
  </a>
  <a r="1" c="5">
    <v>76.28</v>
    <v>77.88</v>
    <v>77.06</v>
    <v>77.37</v>
    <v>77.38</v>
  </a>
  <a r="1" c="5">
    <v>206.9</v>
    <v>215.36</v>
    <v>215.83</v>
    <v>210.97</v>
    <v>216.74</v>
  </a>
  <a r="1" c="5">
    <v>70.89</v>
    <v>71.39</v>
    <v>71.489999999999995</v>
    <v>75.14</v>
    <v>76.709999999999994</v>
  </a>
</arrayData>
</file>

<file path=xl/richData/rdrichvalue.xml><?xml version="1.0" encoding="utf-8"?>
<rvData xmlns="http://schemas.microsoft.com/office/spreadsheetml/2017/richdata" count="98">
  <rv s="0">
    <fb>242.27</fb>
    <v>0</v>
  </rv>
  <rv s="0">
    <fb>216.74</fb>
    <v>0</v>
  </rv>
  <rv s="0">
    <fb>1780.34</fb>
    <v>0</v>
  </rv>
  <rv s="0">
    <fb>275.04000000000002</fb>
    <v>0</v>
  </rv>
  <rv s="0">
    <fb>195.57</fb>
    <v>0</v>
  </rv>
  <rv s="0">
    <fb>1029</fb>
    <v>0</v>
  </rv>
  <rv s="0">
    <fb>193.54</fb>
    <v>1</v>
  </rv>
  <rv s="0">
    <fb>209.05</fb>
    <v>0</v>
  </rv>
  <rv s="0">
    <fb>453.31</fb>
    <v>0</v>
  </rv>
  <rv s="0">
    <fb>242.78</fb>
    <v>0</v>
  </rv>
  <rv s="0">
    <fb>385.45</fb>
    <v>0</v>
  </rv>
  <rv s="0">
    <fb>308.2</fb>
    <v>0</v>
  </rv>
  <rv s="0">
    <fb>70.3</fb>
    <v>0</v>
  </rv>
  <rv s="0">
    <fb>296.13</fb>
    <v>0</v>
  </rv>
  <rv s="0">
    <fb>361.54</fb>
    <v>0</v>
  </rv>
  <rv s="0">
    <fb>510.08</fb>
    <v>0</v>
  </rv>
  <rv s="0">
    <fb>129.49</fb>
    <v>0</v>
  </rv>
  <rv s="0">
    <fb>65.14</fb>
    <v>0</v>
  </rv>
  <rv s="0">
    <fb>382.7</fb>
    <v>0</v>
  </rv>
  <rv s="0">
    <fb>35.090000000000003</fb>
    <v>0</v>
  </rv>
  <rv s="0">
    <fb>42.3</fb>
    <v>0</v>
  </rv>
  <rv s="0">
    <fb>111.37</fb>
    <v>0</v>
  </rv>
  <rv s="0">
    <fb>45.02</fb>
    <v>0</v>
  </rv>
  <rv s="0">
    <fb>12.98</fb>
    <v>0</v>
  </rv>
  <rv s="0">
    <fb>31.59</fb>
    <v>0</v>
  </rv>
  <rv s="0">
    <fb>946.92</fb>
    <v>0</v>
  </rv>
  <rv s="0">
    <fb>13.71</fb>
    <v>0</v>
  </rv>
  <rv s="0">
    <fb>86.73</fb>
    <v>0</v>
  </rv>
  <rv s="0">
    <fb>108.05</fb>
    <v>0</v>
  </rv>
  <rv s="0">
    <fb>309.36</fb>
    <v>0</v>
  </rv>
  <rv s="0">
    <fb>98.05</fb>
    <v>0</v>
  </rv>
  <rv s="0">
    <fb>20.41</fb>
    <v>0</v>
  </rv>
  <rv s="0">
    <fb>429.65</fb>
    <v>0</v>
  </rv>
  <rv s="0">
    <fb>76.709999999999994</fb>
    <v>0</v>
  </rv>
  <rv s="0">
    <fb>7.92</fb>
    <v>0</v>
  </rv>
  <rv s="0">
    <fb>19.190000000000001</fb>
    <v>0</v>
  </rv>
  <rv s="0">
    <fb>19</fb>
    <v>0</v>
  </rv>
  <rv s="0">
    <fb>0.46</fb>
    <v>2</v>
  </rv>
  <rv s="0">
    <fb>77.38</fb>
    <v>0</v>
  </rv>
  <rv s="0">
    <fb>34.71</fb>
    <v>0</v>
  </rv>
  <rv s="0">
    <fb>18.97</fb>
    <v>0</v>
  </rv>
  <rv s="0">
    <fb>151.22999999999999</fb>
    <v>0</v>
  </rv>
  <rv s="0">
    <fb>962.56</fb>
    <v>0</v>
  </rv>
  <rv s="0">
    <fb>19.75</fb>
    <v>0</v>
  </rv>
  <rv s="0">
    <fb>15</fb>
    <v>0</v>
  </rv>
  <rv s="0">
    <fb>144.82</fb>
    <v>0</v>
  </rv>
  <rv s="0">
    <fb>53.47</fb>
    <v>0</v>
  </rv>
  <rv s="0">
    <fb>99.6</fb>
    <v>0</v>
  </rv>
  <rv s="0">
    <fb>48.95</fb>
    <v>0</v>
  </rv>
  <rv s="1">
    <v>3</v>
    <v>VFC</v>
    <v>Daily</v>
    <v>46300</v>
    <v>46305</v>
    <v>0</v>
    <v>1</v>
    <v>639271008000000000,639272440269464653,0</v>
    <v>0</v>
    <v>a25afr</v>
    <v>XNYS:VFC</v>
    <v>1</v>
  </rv>
  <rv s="1">
    <v>3</v>
    <v>VRT</v>
    <v>Daily</v>
    <v>46300</v>
    <v>46305</v>
    <v>0</v>
    <v>1</v>
    <v>639271008000000000,639272440269354625,0</v>
    <v>0</v>
    <v>b19hc7</v>
    <v>XNYS:VRT</v>
    <v>2</v>
  </rv>
  <rv s="1">
    <v>3</v>
    <v>ETN</v>
    <v>Daily</v>
    <v>46300</v>
    <v>46305</v>
    <v>0</v>
    <v>1</v>
    <v>639271008000000000,639272440269206128,0</v>
    <v>0</v>
    <v>a1safr</v>
    <v>XNYS:ETN</v>
    <v>3</v>
  </rv>
  <rv s="1">
    <v>3</v>
    <v>NOV</v>
    <v>Daily</v>
    <v>46300</v>
    <v>46305</v>
    <v>0</v>
    <v>1</v>
    <v>639271008000000000,639272440272967049,0</v>
    <v>0</v>
    <v>a1yo1h</v>
    <v>XNYS:NOV</v>
    <v>4</v>
  </rv>
  <rv s="1">
    <v>3</v>
    <v>PLTR</v>
    <v>Daily</v>
    <v>46300</v>
    <v>46305</v>
    <v>0</v>
    <v>1</v>
    <v>639271008000000000,639272440291870506,0</v>
    <v>0</v>
    <v>bvsk7w</v>
    <v>XNAS:PLTR</v>
    <v>5</v>
  </rv>
  <rv s="1">
    <v>4</v>
    <v>NVDA</v>
    <v>Daily</v>
    <v>46300</v>
    <v>46305</v>
    <v>0</v>
    <v>1</v>
    <v>639271008000000000,639272440269893513,0</v>
    <v>0</v>
    <v>an2u4c</v>
    <v>XSWX:NVDA</v>
    <v>6</v>
  </rv>
  <rv s="1">
    <v>3</v>
    <v>MU</v>
    <v>Daily</v>
    <v>46300</v>
    <v>46305</v>
    <v>0</v>
    <v>1</v>
    <v>639271008000000000,639272440272611003,0</v>
    <v>0</v>
    <v>a1y4oc</v>
    <v>XNAS:MU</v>
    <v>7</v>
  </rv>
  <rv s="1">
    <v>3</v>
    <v>GE</v>
    <v>Daily</v>
    <v>46300</v>
    <v>46305</v>
    <v>0</v>
    <v>1</v>
    <v>639271008000000000,639272440272482636,0</v>
    <v>0</v>
    <v>a1tr1h</v>
    <v>XNYS:GE</v>
    <v>8</v>
  </rv>
  <rv s="1">
    <v>3</v>
    <v>ABT</v>
    <v>Daily</v>
    <v>46300</v>
    <v>46305</v>
    <v>0</v>
    <v>1</v>
    <v>639271008000000000,639272440272352814,0</v>
    <v>0</v>
    <v>a1mrar</v>
    <v>XNYS:ABT</v>
    <v>9</v>
  </rv>
  <rv s="1">
    <v>3</v>
    <v>DIS</v>
    <v>Daily</v>
    <v>46300</v>
    <v>46305</v>
    <v>0</v>
    <v>1</v>
    <v>639271008000000000,639272440271993188,0</v>
    <v>0</v>
    <v>a1r2z2</v>
    <v>XNYS:DIS</v>
    <v>10</v>
  </rv>
  <rv s="1">
    <v>3</v>
    <v>HRL</v>
    <v>Daily</v>
    <v>46300</v>
    <v>46305</v>
    <v>0</v>
    <v>1</v>
    <v>639271008000000000,639272440270050365,0</v>
    <v>0</v>
    <v>a1uv7w</v>
    <v>XNYS:HRL</v>
    <v>11</v>
  </rv>
  <rv s="1">
    <v>3</v>
    <v>NFLX</v>
    <v>Daily</v>
    <v>46300</v>
    <v>46305</v>
    <v>0</v>
    <v>1</v>
    <v>639271008000000000,639272440270714653,0</v>
    <v>0</v>
    <v>a1ygoc</v>
    <v>XNAS:NFLX</v>
    <v>12</v>
  </rv>
  <rv s="1">
    <v>3</v>
    <v>VRTX</v>
    <v>Daily</v>
    <v>46300</v>
    <v>46305</v>
    <v>0</v>
    <v>1</v>
    <v>639271008000000000,639272440272241426,0</v>
    <v>0</v>
    <v>a25k5r</v>
    <v>XNAS:VRTX</v>
    <v>13</v>
  </rv>
  <rv s="1">
    <v>3</v>
    <v>KLAC</v>
    <v>Daily</v>
    <v>46300</v>
    <v>46305</v>
    <v>0</v>
    <v>1</v>
    <v>639271008000000000,639272440270037091,0</v>
    <v>0</v>
    <v>a1wjkr</v>
    <v>XNAS:KLAC</v>
    <v>14</v>
  </rv>
  <rv s="1">
    <v>3</v>
    <v>TSLA</v>
    <v>Daily</v>
    <v>46300</v>
    <v>46305</v>
    <v>0</v>
    <v>1</v>
    <v>639271008000000000,639272440270422635,0</v>
    <v>0</v>
    <v>a24kar</v>
    <v>XNAS:TSLA</v>
    <v>15</v>
  </rv>
  <rv s="1">
    <v>3</v>
    <v>CRK</v>
    <v>Daily</v>
    <v>46300</v>
    <v>46305</v>
    <v>0</v>
    <v>1</v>
    <v>639271008000000000,639272440270163154,0</v>
    <v>0</v>
    <v>a1qbur</v>
    <v>XNYS:CRK</v>
    <v>16</v>
  </rv>
  <rv s="1">
    <v>3</v>
    <v>CMG</v>
    <v>Daily</v>
    <v>46300</v>
    <v>46305</v>
    <v>0</v>
    <v>1</v>
    <v>639271008000000000,639272440270696748,0</v>
    <v>0</v>
    <v>a1pxbh</v>
    <v>XNYS:CMG</v>
    <v>17</v>
  </rv>
  <rv s="1">
    <v>3</v>
    <v>DEO</v>
    <v>Daily</v>
    <v>46300</v>
    <v>46305</v>
    <v>0</v>
    <v>1</v>
    <v>639271008000000000,639272440270363160,0</v>
    <v>0</v>
    <v>a1qwoc</v>
    <v>XNYS:DEO</v>
    <v>18</v>
  </rv>
  <rv s="1">
    <v>3</v>
    <v>AVGO</v>
    <v>Daily</v>
    <v>46300</v>
    <v>46305</v>
    <v>0</v>
    <v>1</v>
    <v>639271008000000000,639272440270374994,0</v>
    <v>0</v>
    <v>a1nz8m</v>
    <v>XNAS:AVGO</v>
    <v>19</v>
  </rv>
  <rv s="1">
    <v>3</v>
    <v>CLF</v>
    <v>Daily</v>
    <v>46300</v>
    <v>46305</v>
    <v>0</v>
    <v>1</v>
    <v>639271008000000000,639272440269652633,0</v>
    <v>0</v>
    <v>a1ptbh</v>
    <v>XNYS:CLF</v>
    <v>20</v>
  </rv>
  <rv s="1">
    <v>3</v>
    <v>YUM</v>
    <v>Daily</v>
    <v>46300</v>
    <v>46305</v>
    <v>0</v>
    <v>1</v>
    <v>639271008000000000,639272440270267092,0</v>
    <v>0</v>
    <v>a26em7</v>
    <v>XNYS:YUM</v>
    <v>21</v>
  </rv>
  <rv s="1">
    <v>3</v>
    <v>ADBE</v>
    <v>Daily</v>
    <v>46300</v>
    <v>46305</v>
    <v>0</v>
    <v>1</v>
    <v>639271008000000000,639272440269913129,0</v>
    <v>0</v>
    <v>a1mv7w</v>
    <v>XNAS:ADBE</v>
    <v>22</v>
  </rv>
  <rv s="1">
    <v>3</v>
    <v>VEEV</v>
    <v>Daily</v>
    <v>46300</v>
    <v>46305</v>
    <v>0</v>
    <v>1</v>
    <v>639271008000000000,639272440270689600,0</v>
    <v>0</v>
    <v>a259jc</v>
    <v>XNYS:VEEV</v>
    <v>23</v>
  </rv>
  <rv s="1">
    <v>3</v>
    <v>ASML</v>
    <v>Daily</v>
    <v>46300</v>
    <v>46305</v>
    <v>0</v>
    <v>1</v>
    <v>639271008000000000,639272440270542671,0</v>
    <v>0</v>
    <v>a1ntlh</v>
    <v>XNAS:ASML</v>
    <v>24</v>
  </rv>
  <rv s="1">
    <v>3</v>
    <v>GOOS</v>
    <v>Daily</v>
    <v>46300</v>
    <v>46305</v>
    <v>0</v>
    <v>1</v>
    <v>639271008000000000,639272440271822645,0</v>
    <v>0</v>
    <v>a1u3ur</v>
    <v>XNYS:GOOS</v>
    <v>25</v>
  </rv>
  <rv s="1">
    <v>3</v>
    <v>V</v>
    <v>Daily</v>
    <v>46300</v>
    <v>46305</v>
    <v>0</v>
    <v>1</v>
    <v>639271008000000000,639272440269836969,0</v>
    <v>0</v>
    <v>a256cw</v>
    <v>XNYS:V</v>
    <v>26</v>
  </rv>
  <rv s="1">
    <v>3</v>
    <v>SFM</v>
    <v>Daily</v>
    <v>46300</v>
    <v>46305</v>
    <v>0</v>
    <v>1</v>
    <v>639271008000000000,639272440270807552,0</v>
    <v>0</v>
    <v>a22t2w</v>
    <v>XNAS:SFM</v>
    <v>27</v>
  </rv>
  <rv s="1">
    <v>3</v>
    <v>PG</v>
    <v>Daily</v>
    <v>46300</v>
    <v>46305</v>
    <v>0</v>
    <v>1</v>
    <v>639271008000000000,639272440269711397,0</v>
    <v>0</v>
    <v>a1zsjc</v>
    <v>XNYS:PG</v>
    <v>28</v>
  </rv>
  <rv s="1">
    <v>3</v>
    <v>CRWD</v>
    <v>Daily</v>
    <v>46300</v>
    <v>46305</v>
    <v>0</v>
    <v>1</v>
    <v>639271008000000000,639272440270824994,0</v>
    <v>0</v>
    <v>bq8rqh</v>
    <v>XNAS:CRWD</v>
    <v>29</v>
  </rv>
  <rv s="1">
    <v>3</v>
    <v>NKE</v>
    <v>Daily</v>
    <v>46300</v>
    <v>46305</v>
    <v>0</v>
    <v>1</v>
    <v>639271008000000000,639272440269981777,0</v>
    <v>0</v>
    <v>a1yjxm</v>
    <v>XNYS:NKE</v>
    <v>30</v>
  </rv>
  <rv s="1">
    <v>3</v>
    <v>KGS</v>
    <v>Daily</v>
    <v>46300</v>
    <v>46305</v>
    <v>0</v>
    <v>1</v>
    <v>639271008000000000,639272440269567089,0</v>
    <v>0</v>
    <v>ca71m7</v>
    <v>XNYS:KGS</v>
    <v>31</v>
  </rv>
  <rv s="1">
    <v>3</v>
    <v>ET</v>
    <v>Daily</v>
    <v>46300</v>
    <v>46305</v>
    <v>0</v>
    <v>1</v>
    <v>639271008000000000,639272440269511781,0</v>
    <v>0</v>
    <v>a1s9ur</v>
    <v>XNYS:ET</v>
    <v>32</v>
  </rv>
  <rv s="1">
    <v>3</v>
    <v>AAP</v>
    <v>Daily</v>
    <v>46300</v>
    <v>46305</v>
    <v>0</v>
    <v>1</v>
    <v>639271008000000000,639272440270580235,0</v>
    <v>0</v>
    <v>a1mor7</v>
    <v>XNYS:AAP</v>
    <v>33</v>
  </rv>
  <rv s="1">
    <v>3</v>
    <v>CE</v>
    <v>Daily</v>
    <v>46300</v>
    <v>46305</v>
    <v>0</v>
    <v>1</v>
    <v>639271008000000000,639272440291751521,0</v>
    <v>0</v>
    <v>a1pffr</v>
    <v>XNYS:CE</v>
    <v>34</v>
  </rv>
  <rv s="1">
    <v>3</v>
    <v>BABA</v>
    <v>Daily</v>
    <v>46300</v>
    <v>46305</v>
    <v>0</v>
    <v>1</v>
    <v>639271008000000000,639272440272131417,0</v>
    <v>0</v>
    <v>a1o4mw</v>
    <v>XNYS:BABA</v>
    <v>35</v>
  </rv>
  <rv s="1">
    <v>3</v>
    <v>TSM</v>
    <v>Daily</v>
    <v>46300</v>
    <v>46305</v>
    <v>0</v>
    <v>1</v>
    <v>639271008000000000,639272440269771783,0</v>
    <v>0</v>
    <v>a24kjc</v>
    <v>XNYS:TSM</v>
    <v>36</v>
  </rv>
  <rv s="1">
    <v>3</v>
    <v>EL</v>
    <v>Daily</v>
    <v>46300</v>
    <v>46305</v>
    <v>0</v>
    <v>1</v>
    <v>639271008000000000,639272440291645001,0</v>
    <v>0</v>
    <v>a1ruc7</v>
    <v>XNYS:EL</v>
    <v>37</v>
  </rv>
  <rv s="1">
    <v>3</v>
    <v>PLD</v>
    <v>Daily</v>
    <v>46300</v>
    <v>46305</v>
    <v>0</v>
    <v>1</v>
    <v>639271008000000000,639272440272712700,0</v>
    <v>0</v>
    <v>a1zy3m</v>
    <v>XNYS:PLD</v>
    <v>38</v>
  </rv>
  <rv s="1">
    <v>3</v>
    <v>PH</v>
    <v>Daily</v>
    <v>46300</v>
    <v>46305</v>
    <v>0</v>
    <v>1</v>
    <v>639271008000000000,639272440270962678,0</v>
    <v>0</v>
    <v>a1ztzr</v>
    <v>XNYS:PH</v>
    <v>39</v>
  </rv>
  <rv s="1">
    <v>3</v>
    <v>DPZ</v>
    <v>Daily</v>
    <v>46300</v>
    <v>46305</v>
    <v>0</v>
    <v>1</v>
    <v>639271008000000000,639272440270222404,0</v>
    <v>0</v>
    <v>a1r9lh</v>
    <v>XNAS:DPZ</v>
    <v>40</v>
  </rv>
  <rv s="1">
    <v>3</v>
    <v>ONON</v>
    <v>Daily</v>
    <v>46300</v>
    <v>46305</v>
    <v>0</v>
    <v>1</v>
    <v>639271008000000000,639272440270544654,0</v>
    <v>0</v>
    <v>c38lp2</v>
    <v>XNYS:ONON</v>
    <v>41</v>
  </rv>
  <rv s="1">
    <v>3</v>
    <v>COST</v>
    <v>Daily</v>
    <v>46300</v>
    <v>46305</v>
    <v>0</v>
    <v>1</v>
    <v>639271008000000000,639272440270234618,0</v>
    <v>0</v>
    <v>a1q6k2</v>
    <v>XNAS:COST</v>
    <v>42</v>
  </rv>
  <rv s="1">
    <v>3</v>
    <v>SLB</v>
    <v>Daily</v>
    <v>46300</v>
    <v>46305</v>
    <v>0</v>
    <v>1</v>
    <v>639271008000000000,639272440291203681,0</v>
    <v>0</v>
    <v>a232mw</v>
    <v>XNYS:SLB</v>
    <v>43</v>
  </rv>
  <rv s="1">
    <v>5</v>
    <v>LIN</v>
    <v>Daily</v>
    <v>46300</v>
    <v>46305</v>
    <v>0</v>
    <v>1</v>
    <v>639271008000000000,639272440291504849,0</v>
    <v>0</v>
    <v>aa7f7w</v>
    <v>XASX:LIN</v>
    <v>44</v>
  </rv>
  <rv s="1">
    <v>3</v>
    <v>PZZA</v>
    <v>Daily</v>
    <v>46300</v>
    <v>46305</v>
    <v>0</v>
    <v>1</v>
    <v>639271008000000000,639272440291365000,0</v>
    <v>0</v>
    <v>a21j9c</v>
    <v>XNAS:PZZA</v>
    <v>45</v>
  </rv>
  <rv s="1">
    <v>3</v>
    <v>LBRT</v>
    <v>Daily</v>
    <v>46300</v>
    <v>46305</v>
    <v>0</v>
    <v>1</v>
    <v>639271008000000000,639272440271122653,0</v>
    <v>0</v>
    <v>ayam52</v>
    <v>XNYS:LBRT</v>
    <v>46</v>
  </rv>
  <rv s="1">
    <v>3</v>
    <v>NEE</v>
    <v>Daily</v>
    <v>46300</v>
    <v>46305</v>
    <v>0</v>
    <v>1</v>
    <v>639271008000000000,639272440269394635,0</v>
    <v>0</v>
    <v>a1ye2w</v>
    <v>XNYS:NEE</v>
    <v>47</v>
  </rv>
  <rv s="1">
    <v>3</v>
    <v>ANET</v>
    <v>Daily</v>
    <v>46300</v>
    <v>46305</v>
    <v>0</v>
    <v>1</v>
    <v>639271008000000000,639272440272852703,0</v>
    <v>0</v>
    <v>a1nihw</v>
    <v>XNYS:ANET</v>
    <v>48</v>
  </rv>
  <rv s="1">
    <v>3</v>
    <v>ETSY</v>
    <v>Daily</v>
    <v>46300</v>
    <v>46305</v>
    <v>0</v>
    <v>1</v>
    <v>639271008000000000,639272440270116761,0</v>
    <v>0</v>
    <v>a1sar7</v>
    <v>XNYS:ETSY</v>
    <v>49</v>
  </rv>
</rvData>
</file>

<file path=xl/richData/rdrichvaluestructure.xml><?xml version="1.0" encoding="utf-8"?>
<rvStructures xmlns="http://schemas.microsoft.com/office/spreadsheetml/2017/richdata" count="2">
  <s t="_formattednumber">
    <k n="_Format" t="spb"/>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Data count="6">
    <spb s="0">
      <v>1</v>
    </spb>
    <spb s="0">
      <v>2</v>
    </spb>
    <spb s="0">
      <v>3</v>
    </spb>
    <spb s="1">
      <v>4</v>
      <v>1</v>
    </spb>
    <spb s="1">
      <v>4</v>
      <v>2</v>
    </spb>
    <spb s="1">
      <v>4</v>
      <v>3</v>
    </spb>
  </spbData>
</supportingPropertyBags>
</file>

<file path=xl/richData/rdsupportingpropertybagstructure.xml><?xml version="1.0" encoding="utf-8"?>
<spbStructures xmlns="http://schemas.microsoft.com/office/spreadsheetml/2017/richdata2" count="2">
  <s>
    <k n="_Self"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19" formatCode="m/d/yy"/>
    </x:dxf>
    <x:dxf>
      <x:numFmt numFmtId="0" formatCode="General"/>
    </x:dxf>
  </dxfs>
  <richProperties>
    <rPr n="NumberFormat" t="s"/>
  </richProperties>
  <richStyles>
    <rSty dxfid="1">
      <rpv i="0">_([$$-en-US]* #,##0.00_);_([$$-en-US]* (#,##0.00);_([$$-en-US]* "-"??_);_(@_)</rpv>
    </rSty>
    <rSty dxfid="1">
      <rpv i="0" xml:space="preserve">_ [$CHF-fr-CH] * #,##0.00_ ;_ [$CHF-fr-CH] * -#,##0.00_ ;_ [$CHF-fr-CH] * "-"??_ ;_ @_ </rpv>
    </rSty>
    <rSty dxfid="1">
      <rpv i="0">_([$$-en-AU]* #,##0.00_);_([$$-en-AU]* (#,##0.00);_([$$-en-AU]* "-"??_);_(@_)</rpv>
    </rSty>
    <rSty dxfid="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52" totalsRowShown="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_x000a_($)"/>
    <tableColumn id="7" xr3:uid="{00000000-0010-0000-0000-000007000000}" name="Market Value_x000a_($)"/>
    <tableColumn id="8" xr3:uid="{00000000-0010-0000-0000-000008000000}" name="Cost Basis_x000a_($)"/>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Q51" totalsRowShown="0">
  <autoFilter ref="A2:Q51" xr:uid="{00000000-0009-0000-0100-000006000000}"/>
  <tableColumns count="17">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Analyst Shift_x000a_Note"/>
    <tableColumn id="15" xr3:uid="{00000000-0010-0000-0100-00000F000000}" name="Days Since_x000a_Last Score"/>
    <tableColumn id="16" xr3:uid="{00000000-0010-0000-0100-000010000000}" name="Recheck Status"/>
    <tableColumn id="17" xr3:uid="{00000000-0010-0000-0100-000011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50" totalsRowShown="0">
  <autoFilter ref="A1:J50" xr:uid="{00000000-0009-0000-0100-00000200000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S51" totalsRowShown="0">
  <tableColumns count="19">
    <tableColumn id="1" xr3:uid="{00000000-0010-0000-0300-000001000000}" name="Ticker"/>
    <tableColumn id="2" xr3:uid="{00000000-0010-0000-0300-000002000000}" name="Company"/>
    <tableColumn id="3" xr3:uid="{00000000-0010-0000-0300-000003000000}" name="Rule 6_x000a_Composite_x000a_≥65?"/>
    <tableColumn id="4" xr3:uid="{00000000-0010-0000-0300-000004000000}" name="Rule 7_x000a_Tier1_x000a_≥3.0?"/>
    <tableColumn id="5" xr3:uid="{00000000-0010-0000-0300-000005000000}" name="Rule 8_x000a_No Tier1_x000a_=1?"/>
    <tableColumn id="6" xr3:uid="{00000000-0010-0000-0300-000006000000}" name="Rule 9_x000a_Above / reclaimed_x000a_200-wk MA?_x000a_(Y/N)"/>
    <tableColumn id="7" xr3:uid="{00000000-0010-0000-0300-000007000000}" name="Rule 10_x000a_Monthly MACD_x000a_positive / turning?_x000a_(Y/N)"/>
    <tableColumn id="8" xr3:uid="{00000000-0010-0000-0300-000008000000}" name="Staging_x000a_Result_x000a_(Rules 9-10)"/>
    <tableColumn id="9" xr3:uid="{00000000-0010-0000-0300-000009000000}" name="Rule 11_x000a_Binary event_x000a_risk present?_x000a_(Y/N)"/>
    <tableColumn id="10" xr3:uid="{00000000-0010-0000-0300-00000A000000}" name="Risk included_x000a_in thesis?_x000a_(Y/N)"/>
    <tableColumn id="11" xr3:uid="{00000000-0010-0000-0300-00000B000000}" name="Rule 11_x000a_Result"/>
    <tableColumn id="12" xr3:uid="{00000000-0010-0000-0300-00000C000000}" name="Base Case_x000a_&gt;10%?"/>
    <tableColumn id="13" xr3:uid="{00000000-0010-0000-0300-00000D000000}" name="Rule 12_x000a_Bear Case_x000a_≥0%?"/>
    <tableColumn id="14" xr3:uid="{00000000-0010-0000-0300-00000E000000}" name="Rule 13_x000a_Scenario tags_x000a_OK?"/>
    <tableColumn id="15" xr3:uid="{00000000-0010-0000-0300-00000F000000}" name="P/FCF_x000a_(current)"/>
    <tableColumn id="16" xr3:uid="{00000000-0010-0000-0300-000010000000}" name="Consensus FCF_x000a_growth, 2-yr_x000a_annualized"/>
    <tableColumn id="17" xr3:uid="{00000000-0010-0000-0300-000011000000}" name="Rule 14_x000a_Valuation_x000a_Ceiling"/>
    <tableColumn id="18" xr3:uid="{00000000-0010-0000-0300-000012000000}" name="ENTRY_x000a_AUTHORIZED?"/>
    <tableColumn id="19" xr3:uid="{00000000-0010-0000-0300-000013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WatchListTable" displayName="WatchListTable" ref="A2:M22" totalsRowShown="0">
  <tableColumns count="13">
    <tableColumn id="1" xr3:uid="{00000000-0010-0000-0500-000001000000}" name="Ticker" dataDxfId="11"/>
    <tableColumn id="2" xr3:uid="{00000000-0010-0000-0500-000002000000}" name="Company" dataDxfId="10"/>
    <tableColumn id="3" xr3:uid="{00000000-0010-0000-0500-000003000000}" name="Status_x000a_(Probationary/_x000a_Exit Review)" dataDxfId="9"/>
    <tableColumn id="4" xr3:uid="{00000000-0010-0000-0500-000004000000}" name="Entry Date_x000a_(band entered)" dataDxfId="8"/>
    <tableColumn id="5" xr3:uid="{00000000-0010-0000-0500-000005000000}" name="Entry_x000a_Score" dataDxfId="7"/>
    <tableColumn id="6" xr3:uid="{00000000-0010-0000-0500-000006000000}" name="Current_x000a_Score" dataDxfId="6"/>
    <tableColumn id="7" xr3:uid="{00000000-0010-0000-0500-000007000000}" name="Current Score_x000a_Date" dataDxfId="5"/>
    <tableColumn id="8" xr3:uid="{00000000-0010-0000-0500-000008000000}" name="Credible_x000a_Remediation Plan?_x000a_(Y/N)" dataDxfId="4"/>
    <tableColumn id="9" xr3:uid="{00000000-0010-0000-0500-000009000000}" name="90-Day_x000a_Deadline" dataDxfId="3"/>
    <tableColumn id="10" xr3:uid="{00000000-0010-0000-0500-00000A000000}" name="Days_x000a_Remaining" dataDxfId="2"/>
    <tableColumn id="11" xr3:uid="{00000000-0010-0000-0500-00000B000000}" name="Action Status" dataDxfId="0"/>
    <tableColumn id="12" xr3:uid="{00000000-0010-0000-0500-00000C000000}" name="Remediation Plan Notes" dataDxfId="1"/>
    <tableColumn id="13" xr3:uid="{00000000-0010-0000-0500-00000D000000}" name="Trims Taken_x000a_(0-3, Rule 34)"/>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PerformanceTrackingTable" displayName="PerformanceTrackingTable" ref="A2:AC44" totalsRowShown="0">
  <autoFilter ref="A2:AC44" xr:uid="{00000000-0009-0000-0100-000008000000}"/>
  <tableColumns count="29">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 / 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 /_x000a_Exit Price"/>
    <tableColumn id="14" xr3:uid="{00000000-0010-0000-0600-00000E000000}" name="SPY Price_x000a_(current / exit)"/>
    <tableColumn id="15" xr3:uid="{00000000-0010-0000-0600-00000F000000}" name="Total Return_x000a_Since Entry"/>
    <tableColumn id="16" xr3:uid="{00000000-0010-0000-0600-000010000000}" name="SPY Return_x000a_Same Period"/>
    <tableColumn id="17" xr3:uid="{00000000-0010-0000-0600-000011000000}" name="Excess_x000a_Return"/>
    <tableColumn id="18" xr3:uid="{00000000-0010-0000-0600-000012000000}" name="Type"/>
    <tableColumn id="19" xr3:uid="{00000000-0010-0000-0600-000013000000}" name="Basis"/>
    <tableColumn id="20" xr3:uid="{00000000-0010-0000-0600-000014000000}" name="Lot_x000a_Shares"/>
    <tableColumn id="21" xr3:uid="{00000000-0010-0000-0600-000015000000}" name="Shares"/>
    <tableColumn id="22" xr3:uid="{00000000-0010-0000-0600-000016000000}" name="Entry_x000a_Value"/>
    <tableColumn id="23" xr3:uid="{00000000-0010-0000-0600-000017000000}" name="Current /_x000a_Exit Value"/>
    <tableColumn id="24" xr3:uid="{00000000-0010-0000-0600-000018000000}" name="Gain /_x000a_(Loss)"/>
    <tableColumn id="25" xr3:uid="{00000000-0010-0000-0600-000019000000}" name="YTD Base_x000a_Price"/>
    <tableColumn id="26" xr3:uid="{00000000-0010-0000-0600-00001A000000}" name="YTD Base_x000a_Value"/>
    <tableColumn id="27" xr3:uid="{00000000-0010-0000-0600-00001B000000}" name="YTD Gain /_x000a_(Loss)"/>
    <tableColumn id="28" xr3:uid="{00000000-0010-0000-0600-00001C000000}" name="YTD_x000a_Return"/>
    <tableColumn id="29" xr3:uid="{00000000-0010-0000-0600-00001D000000}" name="SPY Gain_x000a_(same $)"/>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tableColumn id="2" xr3:uid="{00000000-0010-0000-0700-000002000000}" name="Ticker"/>
    <tableColumn id="3" xr3:uid="{00000000-0010-0000-0700-000003000000}" name="Note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ocessChecklistTable" displayName="ProcessChecklistTable" ref="A4:F121" totalsRowShown="0">
  <tableColumns count="6">
    <tableColumn id="1" xr3:uid="{00000000-0010-0000-0800-000001000000}" name="Event"/>
    <tableColumn id="2" xr3:uid="{00000000-0010-0000-0800-000002000000}" name="Step"/>
    <tableColumn id="3" xr3:uid="{00000000-0010-0000-0800-000003000000}" name="Done (Y/N)"/>
    <tableColumn id="4" xr3:uid="{00000000-0010-0000-0800-000004000000}" name="Date Done"/>
    <tableColumn id="5" xr3:uid="{00000000-0010-0000-0800-000005000000}" name="Event Due Date"/>
    <tableColumn id="6" xr3:uid="{00000000-0010-0000-0800-000006000000}" name="Statu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9000000}" name="OpenItemsTable" displayName="OpenItemsTable" ref="A4:F49" totalsRowShown="0">
  <tableColumns count="6">
    <tableColumn id="1" xr3:uid="{00000000-0010-0000-0900-000001000000}" name="#"/>
    <tableColumn id="2" xr3:uid="{00000000-0010-0000-0900-000002000000}" name="Item"/>
    <tableColumn id="3" xr3:uid="{00000000-0010-0000-0900-000003000000}" name="Done (Y/N)"/>
    <tableColumn id="4" xr3:uid="{00000000-0010-0000-0900-000004000000}" name="Date Raised"/>
    <tableColumn id="5" xr3:uid="{00000000-0010-0000-0900-000005000000}" name="Date Resolved"/>
    <tableColumn id="6" xr3:uid="{00000000-0010-0000-0900-000006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10.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61"/>
  <sheetViews>
    <sheetView showGridLines="0" zoomScaleNormal="100" workbookViewId="0">
      <selection activeCell="A2" sqref="A2"/>
    </sheetView>
  </sheetViews>
  <sheetFormatPr baseColWidth="10" defaultColWidth="8.6640625" defaultRowHeight="15" x14ac:dyDescent="0.2"/>
  <cols>
    <col min="1" max="1" width="100" customWidth="1"/>
  </cols>
  <sheetData>
    <row r="1" spans="1:1" ht="29.25" customHeight="1" x14ac:dyDescent="0.2">
      <c r="A1" s="15" t="s">
        <v>0</v>
      </c>
    </row>
    <row r="2" spans="1:1" ht="14.25" customHeight="1" x14ac:dyDescent="0.2">
      <c r="A2" s="16"/>
    </row>
    <row r="3" spans="1:1" ht="14.25" customHeight="1" x14ac:dyDescent="0.2">
      <c r="A3" s="17" t="s">
        <v>1</v>
      </c>
    </row>
    <row r="4" spans="1:1" ht="14.25" customHeight="1" x14ac:dyDescent="0.2">
      <c r="A4" s="16" t="s">
        <v>2</v>
      </c>
    </row>
    <row r="5" spans="1:1" ht="14.25" customHeight="1" x14ac:dyDescent="0.2">
      <c r="A5" s="16" t="s">
        <v>3</v>
      </c>
    </row>
    <row r="6" spans="1:1" ht="14.25" customHeight="1" x14ac:dyDescent="0.2">
      <c r="A6" s="16"/>
    </row>
    <row r="7" spans="1:1" ht="14.25" customHeight="1" x14ac:dyDescent="0.2">
      <c r="A7" s="18" t="s">
        <v>4</v>
      </c>
    </row>
    <row r="8" spans="1:1" ht="14.25" customHeight="1" x14ac:dyDescent="0.2">
      <c r="A8" s="16" t="s">
        <v>5</v>
      </c>
    </row>
    <row r="9" spans="1:1" ht="14.25" customHeight="1" x14ac:dyDescent="0.2">
      <c r="A9" s="16" t="s">
        <v>6</v>
      </c>
    </row>
    <row r="10" spans="1:1" ht="14.25" customHeight="1" x14ac:dyDescent="0.2">
      <c r="A10" s="16" t="s">
        <v>7</v>
      </c>
    </row>
    <row r="11" spans="1:1" ht="14.25" customHeight="1" x14ac:dyDescent="0.2">
      <c r="A11" s="16" t="s">
        <v>8</v>
      </c>
    </row>
    <row r="12" spans="1:1" ht="14.25" customHeight="1" x14ac:dyDescent="0.2">
      <c r="A12" s="16" t="s">
        <v>9</v>
      </c>
    </row>
    <row r="13" spans="1:1" ht="14.25" customHeight="1" x14ac:dyDescent="0.2">
      <c r="A13" s="16" t="s">
        <v>10</v>
      </c>
    </row>
    <row r="14" spans="1:1" ht="14.25" customHeight="1" x14ac:dyDescent="0.2">
      <c r="A14" s="16" t="s">
        <v>11</v>
      </c>
    </row>
    <row r="15" spans="1:1" ht="14.25" customHeight="1" x14ac:dyDescent="0.2">
      <c r="A15" s="16" t="s">
        <v>12</v>
      </c>
    </row>
    <row r="16" spans="1:1" ht="14.25" customHeight="1" x14ac:dyDescent="0.2">
      <c r="A16" s="16" t="s">
        <v>13</v>
      </c>
    </row>
    <row r="17" spans="1:1" ht="14.25" customHeight="1" x14ac:dyDescent="0.2">
      <c r="A17" s="16" t="s">
        <v>14</v>
      </c>
    </row>
    <row r="18" spans="1:1" ht="14.25" customHeight="1" x14ac:dyDescent="0.2">
      <c r="A18" s="16"/>
    </row>
    <row r="19" spans="1:1" ht="14.25" customHeight="1" x14ac:dyDescent="0.2">
      <c r="A19" s="18" t="s">
        <v>15</v>
      </c>
    </row>
    <row r="20" spans="1:1" ht="14.25" customHeight="1" x14ac:dyDescent="0.2">
      <c r="A20" s="16" t="s">
        <v>16</v>
      </c>
    </row>
    <row r="21" spans="1:1" ht="14.25" customHeight="1" x14ac:dyDescent="0.2">
      <c r="A21" s="16" t="s">
        <v>17</v>
      </c>
    </row>
    <row r="22" spans="1:1" ht="14.25" customHeight="1" x14ac:dyDescent="0.2">
      <c r="A22" s="16" t="s">
        <v>18</v>
      </c>
    </row>
    <row r="23" spans="1:1" ht="14.25" customHeight="1" x14ac:dyDescent="0.2">
      <c r="A23" s="16" t="s">
        <v>19</v>
      </c>
    </row>
    <row r="24" spans="1:1" ht="14.25" customHeight="1" x14ac:dyDescent="0.2">
      <c r="A24" s="16" t="s">
        <v>20</v>
      </c>
    </row>
    <row r="25" spans="1:1" ht="14.25" customHeight="1" x14ac:dyDescent="0.2">
      <c r="A25" s="16" t="s">
        <v>21</v>
      </c>
    </row>
    <row r="26" spans="1:1" ht="14.25" customHeight="1" x14ac:dyDescent="0.2">
      <c r="A26" s="16" t="s">
        <v>22</v>
      </c>
    </row>
    <row r="27" spans="1:1" ht="14.25" customHeight="1" x14ac:dyDescent="0.2">
      <c r="A27" s="19" t="s">
        <v>23</v>
      </c>
    </row>
    <row r="28" spans="1:1" ht="14.25" customHeight="1" x14ac:dyDescent="0.2">
      <c r="A28" s="19" t="s">
        <v>24</v>
      </c>
    </row>
    <row r="29" spans="1:1" ht="14.25" customHeight="1" x14ac:dyDescent="0.2">
      <c r="A29" s="16" t="s">
        <v>25</v>
      </c>
    </row>
    <row r="30" spans="1:1" ht="14.25" customHeight="1" x14ac:dyDescent="0.2">
      <c r="A30" s="16" t="s">
        <v>26</v>
      </c>
    </row>
    <row r="31" spans="1:1" ht="32.25" customHeight="1" x14ac:dyDescent="0.2">
      <c r="A31" s="16"/>
    </row>
    <row r="32" spans="1:1" ht="14.25" customHeight="1" x14ac:dyDescent="0.2">
      <c r="A32" s="18" t="s">
        <v>27</v>
      </c>
    </row>
    <row r="33" spans="1:1" ht="32.25" customHeight="1" x14ac:dyDescent="0.2">
      <c r="A33" s="16" t="s">
        <v>28</v>
      </c>
    </row>
    <row r="34" spans="1:1" ht="14.25" customHeight="1" x14ac:dyDescent="0.2">
      <c r="A34" s="16" t="s">
        <v>29</v>
      </c>
    </row>
    <row r="35" spans="1:1" ht="21.75" customHeight="1" x14ac:dyDescent="0.2"/>
    <row r="36" spans="1:1" ht="14.25" customHeight="1" x14ac:dyDescent="0.2">
      <c r="A36" s="20" t="s">
        <v>30</v>
      </c>
    </row>
    <row r="37" spans="1:1" ht="14.25" customHeight="1" x14ac:dyDescent="0.2">
      <c r="A37" s="21" t="s">
        <v>31</v>
      </c>
    </row>
    <row r="38" spans="1:1" ht="14.25" customHeight="1" x14ac:dyDescent="0.2">
      <c r="A38" s="16"/>
    </row>
    <row r="39" spans="1:1" ht="14.25" customHeight="1" x14ac:dyDescent="0.2">
      <c r="A39" s="18" t="s">
        <v>32</v>
      </c>
    </row>
    <row r="40" spans="1:1" ht="14.25" customHeight="1" x14ac:dyDescent="0.2">
      <c r="A40" s="16" t="s">
        <v>33</v>
      </c>
    </row>
    <row r="41" spans="1:1" ht="14.25" customHeight="1" x14ac:dyDescent="0.2">
      <c r="A41" s="16" t="s">
        <v>34</v>
      </c>
    </row>
    <row r="42" spans="1:1" ht="14.25" customHeight="1" x14ac:dyDescent="0.2">
      <c r="A42" s="16" t="s">
        <v>35</v>
      </c>
    </row>
    <row r="43" spans="1:1" ht="14.25" customHeight="1" x14ac:dyDescent="0.2">
      <c r="A43" s="16" t="s">
        <v>36</v>
      </c>
    </row>
    <row r="44" spans="1:1" ht="14.25" customHeight="1" x14ac:dyDescent="0.2">
      <c r="A44" s="16" t="s">
        <v>37</v>
      </c>
    </row>
    <row r="45" spans="1:1" ht="14.25" customHeight="1" x14ac:dyDescent="0.2">
      <c r="A45" s="16" t="s">
        <v>38</v>
      </c>
    </row>
    <row r="46" spans="1:1" ht="21.75" customHeight="1" x14ac:dyDescent="0.2">
      <c r="A46" s="16" t="s">
        <v>39</v>
      </c>
    </row>
    <row r="47" spans="1:1" ht="28.5" customHeight="1" x14ac:dyDescent="0.2">
      <c r="A47" s="16" t="s">
        <v>40</v>
      </c>
    </row>
    <row r="48" spans="1:1" ht="42.75" customHeight="1" x14ac:dyDescent="0.2">
      <c r="A48" s="16" t="s">
        <v>41</v>
      </c>
    </row>
    <row r="49" spans="1:1" ht="14.25" customHeight="1" x14ac:dyDescent="0.2">
      <c r="A49" s="16"/>
    </row>
    <row r="50" spans="1:1" ht="45.75" customHeight="1" x14ac:dyDescent="0.2">
      <c r="A50" s="16" t="s">
        <v>42</v>
      </c>
    </row>
    <row r="51" spans="1:1" ht="34.5" customHeight="1" x14ac:dyDescent="0.2">
      <c r="A51" s="16"/>
    </row>
    <row r="52" spans="1:1" ht="14.25" customHeight="1" x14ac:dyDescent="0.2">
      <c r="A52" s="22" t="s">
        <v>43</v>
      </c>
    </row>
    <row r="53" spans="1:1" ht="75" customHeight="1" x14ac:dyDescent="0.2">
      <c r="A53" s="22" t="s">
        <v>44</v>
      </c>
    </row>
    <row r="54" spans="1:1" ht="14.25" customHeight="1" x14ac:dyDescent="0.2">
      <c r="A54" t="s">
        <v>45</v>
      </c>
    </row>
    <row r="55" spans="1:1" ht="14.25" customHeight="1" x14ac:dyDescent="0.2">
      <c r="A55" t="s">
        <v>46</v>
      </c>
    </row>
    <row r="56" spans="1:1" ht="14.25" customHeight="1" x14ac:dyDescent="0.2">
      <c r="A56" t="s">
        <v>47</v>
      </c>
    </row>
    <row r="57" spans="1:1" ht="14.25" customHeight="1" x14ac:dyDescent="0.2">
      <c r="A57" t="s">
        <v>48</v>
      </c>
    </row>
    <row r="58" spans="1:1" ht="14.25" customHeight="1" x14ac:dyDescent="0.2">
      <c r="A58" t="s">
        <v>49</v>
      </c>
    </row>
    <row r="59" spans="1:1" ht="14.25" customHeight="1" x14ac:dyDescent="0.2">
      <c r="A59" t="s">
        <v>50</v>
      </c>
    </row>
    <row r="61" spans="1:1" ht="79.5" customHeight="1" x14ac:dyDescent="0.2">
      <c r="A61" s="16" t="s">
        <v>51</v>
      </c>
    </row>
  </sheetData>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3"/>
  <sheetViews>
    <sheetView showGridLines="0" zoomScaleNormal="100" workbookViewId="0">
      <selection activeCell="E5" sqref="E5:F5"/>
    </sheetView>
  </sheetViews>
  <sheetFormatPr baseColWidth="10" defaultColWidth="8.6640625" defaultRowHeight="15" x14ac:dyDescent="0.2"/>
  <cols>
    <col min="1" max="1" width="22" customWidth="1"/>
    <col min="2" max="4" width="12" customWidth="1"/>
    <col min="5" max="5" width="11.83203125" customWidth="1"/>
    <col min="6" max="6" width="8" customWidth="1"/>
  </cols>
  <sheetData>
    <row r="1" spans="1:6" s="23" customFormat="1" ht="54" customHeight="1" x14ac:dyDescent="0.25">
      <c r="A1" s="14" t="s">
        <v>52</v>
      </c>
      <c r="B1" s="14"/>
      <c r="C1" s="14"/>
      <c r="D1" s="14"/>
      <c r="E1" s="14"/>
      <c r="F1" s="14"/>
    </row>
    <row r="2" spans="1:6" ht="15" customHeight="1" x14ac:dyDescent="0.2">
      <c r="A2" s="13" t="s">
        <v>53</v>
      </c>
      <c r="B2" s="13"/>
      <c r="C2" s="13"/>
      <c r="D2" s="13"/>
      <c r="E2" s="13"/>
      <c r="F2" s="13"/>
    </row>
    <row r="4" spans="1:6" ht="15" customHeight="1" x14ac:dyDescent="0.2">
      <c r="A4" s="12" t="s">
        <v>54</v>
      </c>
      <c r="B4" s="12"/>
      <c r="C4" s="12"/>
      <c r="D4" s="12"/>
      <c r="E4" s="12"/>
      <c r="F4" s="12"/>
    </row>
    <row r="5" spans="1:6" ht="15" customHeight="1" x14ac:dyDescent="0.2">
      <c r="A5" s="11" t="s">
        <v>55</v>
      </c>
      <c r="B5" s="11"/>
      <c r="C5" s="11"/>
      <c r="D5" s="11"/>
      <c r="E5" s="10">
        <f>COUNTIF('Watch List Tracker'!K3:K22,"*SELL WITHIN 30 DAYS*")</f>
        <v>1</v>
      </c>
      <c r="F5" s="10"/>
    </row>
    <row r="6" spans="1:6" ht="15" customHeight="1" x14ac:dyDescent="0.2">
      <c r="A6" s="11" t="s">
        <v>56</v>
      </c>
      <c r="B6" s="11"/>
      <c r="C6" s="11"/>
      <c r="D6" s="11"/>
      <c r="E6" s="10">
        <f>COUNTIF('Watch List Tracker'!K3:K22,"DEADLINE APPROACHING")</f>
        <v>0</v>
      </c>
      <c r="F6" s="10"/>
    </row>
    <row r="7" spans="1:6" ht="15" customHeight="1" x14ac:dyDescent="0.2">
      <c r="A7" s="11" t="s">
        <v>57</v>
      </c>
      <c r="B7" s="11"/>
      <c r="C7" s="11"/>
      <c r="D7" s="11"/>
      <c r="E7" s="10">
        <f>COUNTIF('Watch List Tracker'!K3:K22,"*RECOVERED*")</f>
        <v>0</v>
      </c>
      <c r="F7" s="10"/>
    </row>
    <row r="8" spans="1:6" ht="15" customHeight="1" x14ac:dyDescent="0.2">
      <c r="A8" s="25"/>
      <c r="B8" s="25"/>
      <c r="C8" s="25"/>
      <c r="D8" s="25"/>
    </row>
    <row r="9" spans="1:6" ht="15" customHeight="1" x14ac:dyDescent="0.2">
      <c r="A9" s="12" t="s">
        <v>58</v>
      </c>
      <c r="B9" s="12"/>
      <c r="C9" s="12"/>
      <c r="D9" s="12"/>
      <c r="E9" s="12"/>
      <c r="F9" s="12"/>
    </row>
    <row r="10" spans="1:6" ht="15" customHeight="1" x14ac:dyDescent="0.2">
      <c r="A10" s="11" t="s">
        <v>59</v>
      </c>
      <c r="B10" s="11"/>
      <c r="C10" s="11"/>
      <c r="D10" s="11"/>
      <c r="E10" s="10">
        <f>COUNTIF('Holding Monitor'!AB4:AB23,"*ACTION REQUIRED*")</f>
        <v>0</v>
      </c>
      <c r="F10" s="10"/>
    </row>
    <row r="11" spans="1:6" ht="15" customHeight="1" x14ac:dyDescent="0.2">
      <c r="A11" s="11" t="s">
        <v>60</v>
      </c>
      <c r="B11" s="11"/>
      <c r="C11" s="11"/>
      <c r="D11" s="11"/>
      <c r="E11" s="10">
        <f>COUNTIF('Holding Monitor'!AB4:AB23,"*Hold Through*")</f>
        <v>0</v>
      </c>
      <c r="F11" s="10"/>
    </row>
    <row r="12" spans="1:6" ht="15" customHeight="1" x14ac:dyDescent="0.2">
      <c r="A12" s="25"/>
      <c r="B12" s="25"/>
      <c r="C12" s="25"/>
      <c r="D12" s="25"/>
    </row>
    <row r="13" spans="1:6" ht="15" customHeight="1" x14ac:dyDescent="0.2">
      <c r="A13" s="12" t="s">
        <v>61</v>
      </c>
      <c r="B13" s="12"/>
      <c r="C13" s="12"/>
      <c r="D13" s="12"/>
      <c r="E13" s="12"/>
      <c r="F13" s="12"/>
    </row>
    <row r="14" spans="1:6" ht="15" customHeight="1" x14ac:dyDescent="0.2">
      <c r="A14" s="11" t="s">
        <v>62</v>
      </c>
      <c r="B14" s="11"/>
      <c r="C14" s="11"/>
      <c r="D14" s="11"/>
      <c r="E14" s="9" t="str">
        <f>'Correlation Matrix'!J3</f>
        <v>REVIEW REQUIRED</v>
      </c>
      <c r="F14" s="9"/>
    </row>
    <row r="15" spans="1:6" ht="15" customHeight="1" x14ac:dyDescent="0.2">
      <c r="A15" s="11" t="s">
        <v>63</v>
      </c>
      <c r="B15" s="11"/>
      <c r="C15" s="11"/>
      <c r="D15" s="11"/>
      <c r="E15" s="8">
        <f>'Correlation Matrix'!J2</f>
        <v>11</v>
      </c>
      <c r="F15" s="8"/>
    </row>
    <row r="16" spans="1:6" ht="15" customHeight="1" x14ac:dyDescent="0.2">
      <c r="A16" s="25"/>
      <c r="B16" s="25"/>
      <c r="C16" s="25"/>
      <c r="D16" s="25"/>
    </row>
    <row r="17" spans="1:6" ht="15" customHeight="1" x14ac:dyDescent="0.2">
      <c r="A17" s="12" t="s">
        <v>64</v>
      </c>
      <c r="B17" s="12"/>
      <c r="C17" s="12"/>
      <c r="D17" s="12"/>
      <c r="E17" s="12"/>
      <c r="F17" s="12"/>
    </row>
    <row r="18" spans="1:6" ht="15" customHeight="1" x14ac:dyDescent="0.2">
      <c r="A18" s="11" t="s">
        <v>65</v>
      </c>
      <c r="B18" s="11"/>
      <c r="C18" s="11"/>
      <c r="D18" s="11"/>
      <c r="E18" s="10" t="str">
        <f>IFERROR(INDEX('Portfolio Drawdown Log'!E3:E42,COUNT('Portfolio Drawdown Log'!D3:D42)),"No entries yet")</f>
        <v>Normal</v>
      </c>
      <c r="F18" s="10"/>
    </row>
    <row r="19" spans="1:6" ht="15" customHeight="1" x14ac:dyDescent="0.2">
      <c r="A19" s="11" t="s">
        <v>66</v>
      </c>
      <c r="B19" s="11"/>
      <c r="C19" s="11"/>
      <c r="D19" s="11"/>
      <c r="E19" s="7">
        <f>IFERROR(INDEX('Portfolio Drawdown Log'!D3:D42,COUNT('Portfolio Drawdown Log'!D3:D42)),"")</f>
        <v>0</v>
      </c>
      <c r="F19" s="7"/>
    </row>
    <row r="20" spans="1:6" ht="15" customHeight="1" x14ac:dyDescent="0.2">
      <c r="A20" s="11" t="s">
        <v>67</v>
      </c>
      <c r="B20" s="11"/>
      <c r="C20" s="11"/>
      <c r="D20" s="11"/>
      <c r="E20" s="10" t="str">
        <f>IFERROR(INDEX('Portfolio Drawdown Log'!F3:F42,COUNT('Portfolio Drawdown Log'!D3:D42)),"")</f>
        <v>5-15%</v>
      </c>
      <c r="F20" s="10"/>
    </row>
    <row r="21" spans="1:6" ht="15" customHeight="1" x14ac:dyDescent="0.2">
      <c r="A21" s="25"/>
      <c r="B21" s="25"/>
      <c r="C21" s="25"/>
      <c r="D21" s="25"/>
    </row>
    <row r="22" spans="1:6" ht="15" customHeight="1" x14ac:dyDescent="0.2">
      <c r="A22" s="12" t="s">
        <v>68</v>
      </c>
      <c r="B22" s="12"/>
      <c r="C22" s="12"/>
      <c r="D22" s="12"/>
      <c r="E22" s="12"/>
      <c r="F22" s="12"/>
    </row>
    <row r="23" spans="1:6" ht="15" customHeight="1" x14ac:dyDescent="0.2">
      <c r="A23" s="11" t="s">
        <v>69</v>
      </c>
      <c r="B23" s="11"/>
      <c r="C23" s="11"/>
      <c r="D23" s="11"/>
      <c r="E23" s="10">
        <f>COUNTIF(Scoring!AH3:AH60,"FAIL")</f>
        <v>19</v>
      </c>
      <c r="F23" s="10"/>
    </row>
    <row r="24" spans="1:6" ht="15" customHeight="1" x14ac:dyDescent="0.2">
      <c r="A24" s="11" t="s">
        <v>70</v>
      </c>
      <c r="B24" s="11"/>
      <c r="C24" s="11"/>
      <c r="D24" s="11"/>
      <c r="E24" s="10">
        <f>COUNTIF(Scoring!AJ3:AJ60,"AVOID")</f>
        <v>21</v>
      </c>
      <c r="F24" s="10"/>
    </row>
    <row r="25" spans="1:6" ht="15" customHeight="1" x14ac:dyDescent="0.2">
      <c r="A25" s="11" t="s">
        <v>71</v>
      </c>
      <c r="B25" s="11"/>
      <c r="C25" s="11"/>
      <c r="D25" s="11"/>
      <c r="E25" s="10">
        <f>COUNTIF(Scoring!AI3:AI60,"REVIEW")</f>
        <v>14</v>
      </c>
      <c r="F25" s="10"/>
    </row>
    <row r="26" spans="1:6" ht="15" customHeight="1" x14ac:dyDescent="0.2">
      <c r="A26" s="11" t="s">
        <v>72</v>
      </c>
      <c r="B26" s="11"/>
      <c r="C26" s="11"/>
      <c r="D26" s="11"/>
      <c r="E26" s="10">
        <f>COUNTIF(Scoring!AK3:AK60,"CAP AT BUY")</f>
        <v>0</v>
      </c>
      <c r="F26" s="10"/>
    </row>
    <row r="27" spans="1:6" ht="15" customHeight="1" x14ac:dyDescent="0.2">
      <c r="A27" s="12" t="s">
        <v>73</v>
      </c>
      <c r="B27" s="12"/>
      <c r="C27" s="12"/>
      <c r="D27" s="12"/>
      <c r="E27" s="12"/>
      <c r="F27" s="12"/>
    </row>
    <row r="28" spans="1:6" ht="15" customHeight="1" x14ac:dyDescent="0.2">
      <c r="A28" s="6" t="s">
        <v>74</v>
      </c>
      <c r="B28" s="6"/>
      <c r="C28" s="6"/>
      <c r="D28" s="6"/>
      <c r="E28" s="10">
        <f>COUNTIF('Entry Checklist'!R3:R51,"NO*")</f>
        <v>2</v>
      </c>
      <c r="F28" s="10"/>
    </row>
    <row r="29" spans="1:6" ht="15" customHeight="1" x14ac:dyDescent="0.2">
      <c r="A29" s="6" t="s">
        <v>75</v>
      </c>
      <c r="B29" s="6"/>
      <c r="C29" s="6"/>
      <c r="D29" s="6"/>
      <c r="E29" s="10">
        <f>COUNTIF('Entry Checklist'!H3:H51,"*50%*")</f>
        <v>1</v>
      </c>
      <c r="F29" s="10"/>
    </row>
    <row r="30" spans="1:6" ht="15" customHeight="1" x14ac:dyDescent="0.2">
      <c r="A30" s="25"/>
      <c r="B30" s="25"/>
      <c r="C30" s="25"/>
      <c r="D30" s="25"/>
    </row>
    <row r="31" spans="1:6" ht="55.5" customHeight="1" x14ac:dyDescent="0.2">
      <c r="A31" s="5" t="s">
        <v>76</v>
      </c>
      <c r="B31" s="5"/>
      <c r="C31" s="5"/>
      <c r="D31" s="5"/>
      <c r="E31" s="5"/>
      <c r="F31" s="5"/>
    </row>
    <row r="32" spans="1:6" ht="29.25" customHeight="1" x14ac:dyDescent="0.2">
      <c r="A32" s="4" t="s">
        <v>77</v>
      </c>
      <c r="B32" s="4"/>
      <c r="C32" s="4"/>
      <c r="D32" s="4"/>
      <c r="E32" s="10">
        <f>COUNTIF(Scoring!AP3:AP60,"LOW CONF")</f>
        <v>2</v>
      </c>
      <c r="F32" s="10"/>
    </row>
    <row r="33" spans="1:6" ht="15" customHeight="1" x14ac:dyDescent="0.2">
      <c r="A33" s="11" t="s">
        <v>78</v>
      </c>
      <c r="B33" s="11"/>
      <c r="C33" s="11"/>
      <c r="D33" s="11"/>
      <c r="E33" s="10">
        <f>COUNTIF(Scoring!AS3:AS60,"Increased")</f>
        <v>5</v>
      </c>
      <c r="F33" s="10"/>
    </row>
    <row r="34" spans="1:6" ht="15" customHeight="1" x14ac:dyDescent="0.2">
      <c r="A34" s="25"/>
      <c r="B34" s="25"/>
      <c r="C34" s="25"/>
      <c r="D34" s="25"/>
    </row>
    <row r="35" spans="1:6" ht="15" customHeight="1" x14ac:dyDescent="0.2">
      <c r="A35" s="25"/>
      <c r="B35" s="25"/>
      <c r="C35" s="25"/>
      <c r="D35" s="25"/>
    </row>
    <row r="36" spans="1:6" ht="15" customHeight="1" x14ac:dyDescent="0.2">
      <c r="A36" s="25"/>
      <c r="B36" s="25"/>
      <c r="C36" s="25"/>
      <c r="D36" s="25"/>
    </row>
    <row r="37" spans="1:6" ht="15" customHeight="1" x14ac:dyDescent="0.2">
      <c r="A37" s="25"/>
      <c r="B37" s="25"/>
      <c r="C37" s="25"/>
      <c r="D37" s="25"/>
    </row>
    <row r="38" spans="1:6" ht="15" customHeight="1" x14ac:dyDescent="0.2">
      <c r="A38" s="25"/>
      <c r="B38" s="25"/>
      <c r="C38" s="25"/>
      <c r="D38" s="25"/>
    </row>
    <row r="39" spans="1:6" ht="15" customHeight="1" x14ac:dyDescent="0.2">
      <c r="A39" s="25"/>
      <c r="B39" s="25"/>
      <c r="C39" s="25"/>
      <c r="D39" s="25"/>
    </row>
    <row r="40" spans="1:6" ht="15" customHeight="1" x14ac:dyDescent="0.2">
      <c r="A40" s="25"/>
      <c r="B40" s="25"/>
      <c r="C40" s="25"/>
      <c r="D40" s="25"/>
    </row>
    <row r="41" spans="1:6" ht="15" customHeight="1" x14ac:dyDescent="0.2">
      <c r="A41" s="25"/>
      <c r="B41" s="25"/>
      <c r="C41" s="25"/>
      <c r="D41" s="25"/>
    </row>
    <row r="42" spans="1:6" ht="15" customHeight="1" x14ac:dyDescent="0.2">
      <c r="A42" s="25"/>
      <c r="B42" s="25"/>
      <c r="C42" s="25"/>
      <c r="D42" s="25"/>
    </row>
    <row r="43" spans="1:6" ht="15" customHeight="1" x14ac:dyDescent="0.2">
      <c r="A43" s="25"/>
      <c r="B43" s="25"/>
      <c r="C43" s="25"/>
      <c r="D43" s="25"/>
    </row>
  </sheetData>
  <mergeCells count="45">
    <mergeCell ref="A32:D32"/>
    <mergeCell ref="E32:F32"/>
    <mergeCell ref="A33:D33"/>
    <mergeCell ref="E33:F33"/>
    <mergeCell ref="A28:D28"/>
    <mergeCell ref="E28:F28"/>
    <mergeCell ref="A29:D29"/>
    <mergeCell ref="E29:F29"/>
    <mergeCell ref="A31:F31"/>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107" priority="2" operator="greaterThan">
      <formula>0</formula>
    </cfRule>
  </conditionalFormatting>
  <conditionalFormatting sqref="E10">
    <cfRule type="cellIs" dxfId="106" priority="3" operator="greaterThan">
      <formula>0</formula>
    </cfRule>
  </conditionalFormatting>
  <conditionalFormatting sqref="E23:E24">
    <cfRule type="cellIs" dxfId="105" priority="4" operator="greaterThan">
      <formula>0</formula>
    </cfRule>
  </conditionalFormatting>
  <conditionalFormatting sqref="E28">
    <cfRule type="cellIs" dxfId="104" priority="5" operator="greaterThan">
      <formula>0</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53"/>
  <sheetViews>
    <sheetView showGridLines="0" zoomScaleNormal="100" workbookViewId="0">
      <pane xSplit="2" ySplit="2" topLeftCell="C3" activePane="bottomRight" state="frozen"/>
      <selection pane="topRight" activeCell="C1" sqref="C1"/>
      <selection pane="bottomLeft" activeCell="A3" sqref="A3"/>
      <selection pane="bottomRight" activeCell="D22" sqref="D22"/>
    </sheetView>
  </sheetViews>
  <sheetFormatPr baseColWidth="10" defaultColWidth="8.6640625" defaultRowHeight="15" outlineLevelRow="2" x14ac:dyDescent="0.2"/>
  <cols>
    <col min="1" max="1" width="11" customWidth="1"/>
    <col min="2" max="2" width="9" style="27" customWidth="1"/>
    <col min="3" max="3" width="30" customWidth="1"/>
    <col min="4" max="4" width="11.1640625" style="27" customWidth="1"/>
    <col min="5" max="5" width="11.83203125" customWidth="1"/>
    <col min="6" max="6" width="10" style="28" customWidth="1"/>
    <col min="7" max="7" width="13.6640625" customWidth="1"/>
    <col min="8" max="8" width="13" customWidth="1"/>
    <col min="9" max="9" width="9.83203125" customWidth="1"/>
    <col min="10" max="10" width="11" style="27" customWidth="1"/>
    <col min="11" max="11" width="8.6640625" style="27"/>
    <col min="12" max="12" width="13" style="27" customWidth="1"/>
    <col min="13" max="13" width="34" customWidth="1"/>
    <col min="15" max="15" width="26" customWidth="1"/>
    <col min="16" max="16" width="13" customWidth="1"/>
  </cols>
  <sheetData>
    <row r="1" spans="1:16" ht="52.5" customHeight="1" x14ac:dyDescent="0.2">
      <c r="A1" s="3" t="s">
        <v>79</v>
      </c>
      <c r="B1" s="3"/>
      <c r="C1" s="3"/>
      <c r="D1" s="3"/>
      <c r="E1" s="3"/>
      <c r="F1" s="3"/>
      <c r="G1" s="3"/>
      <c r="H1" s="3"/>
      <c r="I1" s="3"/>
      <c r="J1" s="3"/>
      <c r="K1" s="3"/>
      <c r="L1" s="3"/>
      <c r="M1" s="3"/>
      <c r="O1" s="2" t="s">
        <v>80</v>
      </c>
      <c r="P1" s="2"/>
    </row>
    <row r="2" spans="1:16" ht="26.25" customHeight="1" x14ac:dyDescent="0.2">
      <c r="A2" s="29" t="s">
        <v>81</v>
      </c>
      <c r="B2" s="29" t="s">
        <v>82</v>
      </c>
      <c r="C2" s="29" t="s">
        <v>83</v>
      </c>
      <c r="D2" s="29" t="s">
        <v>84</v>
      </c>
      <c r="E2" s="29" t="s">
        <v>85</v>
      </c>
      <c r="F2" s="29" t="s">
        <v>86</v>
      </c>
      <c r="G2" s="29" t="s">
        <v>87</v>
      </c>
      <c r="H2" s="29" t="s">
        <v>88</v>
      </c>
      <c r="I2" s="29" t="s">
        <v>89</v>
      </c>
      <c r="J2" s="29" t="s">
        <v>90</v>
      </c>
      <c r="K2" s="29" t="s">
        <v>91</v>
      </c>
      <c r="L2" s="29" t="s">
        <v>92</v>
      </c>
      <c r="M2" s="29" t="s">
        <v>93</v>
      </c>
      <c r="O2" t="s">
        <v>94</v>
      </c>
    </row>
    <row r="3" spans="1:16" ht="15" customHeight="1" x14ac:dyDescent="0.2">
      <c r="A3" s="30" t="s">
        <v>95</v>
      </c>
      <c r="B3" s="31" t="s">
        <v>96</v>
      </c>
      <c r="C3" s="32" t="s">
        <v>97</v>
      </c>
      <c r="D3" s="33" t="s">
        <v>98</v>
      </c>
      <c r="E3" s="34">
        <v>65</v>
      </c>
      <c r="F3" s="35" vm="1">
        <f ca="1">IF(IFERROR(INDEX('Monitor &amp; Recheck Triggers'!$H$3:$H$51,MATCH($B3,'Monitor &amp; Recheck Triggers'!$A$3:$A$51,0)),"")="",242.27,INDEX('Monitor &amp; Recheck Triggers'!$H$3:$H$51,MATCH($B3,'Monitor &amp; Recheck Triggers'!$A$3:$A$51,0)))</f>
        <v>242.27</v>
      </c>
      <c r="G3" s="36">
        <f t="shared" ref="G3:G24" ca="1" si="0">E3*F3</f>
        <v>15747.550000000001</v>
      </c>
      <c r="H3" s="37">
        <v>19163.84</v>
      </c>
      <c r="I3" s="38">
        <f t="shared" ref="I3:I24" ca="1" si="1">G3-H3</f>
        <v>-3416.2899999999991</v>
      </c>
      <c r="J3" s="39">
        <f t="shared" ref="J3:J24" ca="1" si="2">IF(H3=0,"",G3/H3-1)</f>
        <v>-0.17826750797334978</v>
      </c>
      <c r="K3" s="39">
        <f ca="1">IFERROR(G3/SUM(G3:G24),"")</f>
        <v>3.8427600216797753E-2</v>
      </c>
      <c r="L3" s="39">
        <f ca="1">IFERROR(G3/(SUM(G3:G24,G28:G47)),"")</f>
        <v>2.2295961570231494E-2</v>
      </c>
      <c r="M3" s="30" t="s">
        <v>99</v>
      </c>
      <c r="O3" t="s">
        <v>100</v>
      </c>
    </row>
    <row r="4" spans="1:16" ht="15" customHeight="1" x14ac:dyDescent="0.2">
      <c r="A4" s="30" t="s">
        <v>95</v>
      </c>
      <c r="B4" s="31" t="s">
        <v>101</v>
      </c>
      <c r="C4" s="32" t="s">
        <v>102</v>
      </c>
      <c r="D4" s="33" t="s">
        <v>98</v>
      </c>
      <c r="E4" s="34">
        <v>70</v>
      </c>
      <c r="F4" s="35" vm="2">
        <f ca="1">IF(IFERROR(INDEX('Monitor &amp; Recheck Triggers'!$H$3:$H$51,MATCH($B4,'Monitor &amp; Recheck Triggers'!$A$3:$A$51,0)),"")="",216.74,INDEX('Monitor &amp; Recheck Triggers'!$H$3:$H$51,MATCH($B4,'Monitor &amp; Recheck Triggers'!$A$3:$A$51,0)))</f>
        <v>216.74</v>
      </c>
      <c r="G4" s="36">
        <f t="shared" ca="1" si="0"/>
        <v>15171.800000000001</v>
      </c>
      <c r="H4" s="37">
        <v>10182.200000000001</v>
      </c>
      <c r="I4" s="38">
        <f t="shared" ca="1" si="1"/>
        <v>4989.6000000000004</v>
      </c>
      <c r="J4" s="39">
        <f t="shared" ca="1" si="2"/>
        <v>0.49003162381410692</v>
      </c>
      <c r="K4" s="39">
        <f ca="1">IFERROR(G4/SUM(G3:G24),"")</f>
        <v>3.7022639392744409E-2</v>
      </c>
      <c r="L4" s="39">
        <f ca="1">IFERROR(G4/(SUM(G3:G24,G28:G47)),"")</f>
        <v>2.1480793504465023E-2</v>
      </c>
      <c r="M4" s="30"/>
    </row>
    <row r="5" spans="1:16" ht="15" customHeight="1" x14ac:dyDescent="0.2">
      <c r="A5" s="30" t="s">
        <v>95</v>
      </c>
      <c r="B5" s="31" t="s">
        <v>103</v>
      </c>
      <c r="C5" s="32" t="s">
        <v>104</v>
      </c>
      <c r="D5" s="33" t="s">
        <v>98</v>
      </c>
      <c r="E5" s="34">
        <v>7</v>
      </c>
      <c r="F5" s="35" vm="3">
        <f ca="1">IF(IFERROR(INDEX('Monitor &amp; Recheck Triggers'!$H$3:$H$51,MATCH($B5,'Monitor &amp; Recheck Triggers'!$A$3:$A$51,0)),"")="",1780.34,INDEX('Monitor &amp; Recheck Triggers'!$H$3:$H$51,MATCH($B5,'Monitor &amp; Recheck Triggers'!$A$3:$A$51,0)))</f>
        <v>1780.34</v>
      </c>
      <c r="G5" s="36">
        <f t="shared" ca="1" si="0"/>
        <v>12462.38</v>
      </c>
      <c r="H5" s="37">
        <v>9989.8799999999992</v>
      </c>
      <c r="I5" s="38">
        <f t="shared" ca="1" si="1"/>
        <v>2472.5</v>
      </c>
      <c r="J5" s="39">
        <f t="shared" ca="1" si="2"/>
        <v>0.24750047047612189</v>
      </c>
      <c r="K5" s="39">
        <f ca="1">IFERROR(G5/SUM(G3:G24),"")</f>
        <v>3.0411038948269156E-2</v>
      </c>
      <c r="L5" s="39">
        <f ca="1">IFERROR(G5/(SUM(G3:G24,G28:G47)),"")</f>
        <v>1.7644696829260523E-2</v>
      </c>
      <c r="M5" s="30"/>
    </row>
    <row r="6" spans="1:16" ht="15" customHeight="1" x14ac:dyDescent="0.2">
      <c r="A6" s="30" t="s">
        <v>95</v>
      </c>
      <c r="B6" s="31" t="s">
        <v>105</v>
      </c>
      <c r="C6" s="32" t="s">
        <v>106</v>
      </c>
      <c r="D6" s="33" t="s">
        <v>98</v>
      </c>
      <c r="E6" s="34">
        <v>40</v>
      </c>
      <c r="F6" s="35" vm="4">
        <f ca="1">IF(IFERROR(INDEX('Monitor &amp; Recheck Triggers'!$H$3:$H$51,MATCH($B6,'Monitor &amp; Recheck Triggers'!$A$3:$A$51,0)),"")="",275.04,INDEX('Monitor &amp; Recheck Triggers'!$H$3:$H$51,MATCH($B6,'Monitor &amp; Recheck Triggers'!$A$3:$A$51,0)))</f>
        <v>275.04000000000002</v>
      </c>
      <c r="G6" s="36">
        <f t="shared" ca="1" si="0"/>
        <v>11001.6</v>
      </c>
      <c r="H6" s="37">
        <v>4991.3500000000004</v>
      </c>
      <c r="I6" s="38">
        <f t="shared" ca="1" si="1"/>
        <v>6010.25</v>
      </c>
      <c r="J6" s="39">
        <f t="shared" ca="1" si="2"/>
        <v>1.2041331503501054</v>
      </c>
      <c r="K6" s="39">
        <f ca="1">IFERROR(G6/SUM(G3:G24),"")</f>
        <v>2.6846403824412189E-2</v>
      </c>
      <c r="L6" s="39">
        <f ca="1">IFERROR(G6/(SUM(G3:G24,G28:G47)),"")</f>
        <v>1.5576470677093186E-2</v>
      </c>
      <c r="M6" s="30"/>
    </row>
    <row r="7" spans="1:16" ht="15" customHeight="1" x14ac:dyDescent="0.2">
      <c r="A7" s="30" t="s">
        <v>95</v>
      </c>
      <c r="B7" s="31" t="s">
        <v>107</v>
      </c>
      <c r="C7" s="32" t="s">
        <v>108</v>
      </c>
      <c r="D7" s="33" t="s">
        <v>98</v>
      </c>
      <c r="E7" s="34">
        <v>100</v>
      </c>
      <c r="F7" s="35" vm="5">
        <f ca="1">IF(IFERROR(INDEX('Monitor &amp; Recheck Triggers'!$H$3:$H$51,MATCH($B7,'Monitor &amp; Recheck Triggers'!$A$3:$A$51,0)),"")="",195.57,INDEX('Monitor &amp; Recheck Triggers'!$H$3:$H$51,MATCH($B7,'Monitor &amp; Recheck Triggers'!$A$3:$A$51,0)))</f>
        <v>195.57</v>
      </c>
      <c r="G7" s="36">
        <f t="shared" ca="1" si="0"/>
        <v>19557</v>
      </c>
      <c r="H7" s="37">
        <v>15412.54</v>
      </c>
      <c r="I7" s="38">
        <f t="shared" ca="1" si="1"/>
        <v>4144.4599999999991</v>
      </c>
      <c r="J7" s="39">
        <f t="shared" ca="1" si="2"/>
        <v>0.26890181631320975</v>
      </c>
      <c r="K7" s="39">
        <f ca="1">IFERROR(G7/SUM(G3:G24),"")</f>
        <v>4.7723523814175134E-2</v>
      </c>
      <c r="L7" s="39">
        <f ca="1">IFERROR(G7/(SUM(G3:G24,G28:G47)),"")</f>
        <v>2.7689521254354952E-2</v>
      </c>
      <c r="M7" s="30"/>
    </row>
    <row r="8" spans="1:16" ht="15" customHeight="1" x14ac:dyDescent="0.2">
      <c r="A8" s="30" t="s">
        <v>95</v>
      </c>
      <c r="B8" s="31" t="s">
        <v>109</v>
      </c>
      <c r="C8" s="32" t="s">
        <v>110</v>
      </c>
      <c r="D8" s="33" t="s">
        <v>98</v>
      </c>
      <c r="E8" s="34">
        <v>7</v>
      </c>
      <c r="F8" s="35" vm="6">
        <f ca="1">IF(IFERROR(INDEX('Monitor &amp; Recheck Triggers'!$H$3:$H$51,MATCH($B8,'Monitor &amp; Recheck Triggers'!$A$3:$A$51,0)),"")="",1029,INDEX('Monitor &amp; Recheck Triggers'!$H$3:$H$51,MATCH($B8,'Monitor &amp; Recheck Triggers'!$A$3:$A$51,0)))</f>
        <v>1029</v>
      </c>
      <c r="G8" s="36">
        <f t="shared" ca="1" si="0"/>
        <v>7203</v>
      </c>
      <c r="H8" s="37">
        <v>5836.11</v>
      </c>
      <c r="I8" s="38">
        <f t="shared" ca="1" si="1"/>
        <v>1366.8900000000003</v>
      </c>
      <c r="J8" s="39">
        <f t="shared" ca="1" si="2"/>
        <v>0.23421251484293482</v>
      </c>
      <c r="K8" s="39">
        <f ca="1">IFERROR(G8/SUM(G3:G24),"")</f>
        <v>1.7576956692412101E-2</v>
      </c>
      <c r="L8" s="39">
        <f ca="1">IFERROR(G8/(SUM(G3:G24,G28:G47)),"")</f>
        <v>1.0198272822780524E-2</v>
      </c>
      <c r="M8" s="30"/>
    </row>
    <row r="9" spans="1:16" ht="15" customHeight="1" x14ac:dyDescent="0.2">
      <c r="A9" s="30" t="s">
        <v>95</v>
      </c>
      <c r="B9" s="31" t="s">
        <v>111</v>
      </c>
      <c r="C9" s="32" t="s">
        <v>112</v>
      </c>
      <c r="D9" s="33" t="s">
        <v>98</v>
      </c>
      <c r="E9" s="34">
        <v>155</v>
      </c>
      <c r="F9" s="35" vm="7">
        <f ca="1">IF(IFERROR(INDEX('Monitor &amp; Recheck Triggers'!$H$3:$H$51,MATCH($B9,'Monitor &amp; Recheck Triggers'!$A$3:$A$51,0)),"")="",229.28,INDEX('Monitor &amp; Recheck Triggers'!$H$3:$H$51,MATCH($B9,'Monitor &amp; Recheck Triggers'!$A$3:$A$51,0)))</f>
        <v>193.54</v>
      </c>
      <c r="G9" s="36">
        <f t="shared" ca="1" si="0"/>
        <v>29998.699999999997</v>
      </c>
      <c r="H9" s="37">
        <v>26639.79</v>
      </c>
      <c r="I9" s="38">
        <f t="shared" ca="1" si="1"/>
        <v>3358.9099999999962</v>
      </c>
      <c r="J9" s="39">
        <f t="shared" ca="1" si="2"/>
        <v>0.12608620413299043</v>
      </c>
      <c r="K9" s="39">
        <f ca="1">IFERROR(G9/SUM(G3:G24),"")</f>
        <v>7.3203644416029834E-2</v>
      </c>
      <c r="L9" s="39">
        <f ca="1">IFERROR(G9/(SUM(G3:G24,G28:G47)),"")</f>
        <v>4.2473264879737065E-2</v>
      </c>
      <c r="M9" s="30"/>
    </row>
    <row r="10" spans="1:16" ht="15" customHeight="1" x14ac:dyDescent="0.2">
      <c r="A10" s="30" t="s">
        <v>95</v>
      </c>
      <c r="B10" s="31" t="s">
        <v>113</v>
      </c>
      <c r="C10" s="32" t="s">
        <v>114</v>
      </c>
      <c r="D10" s="33" t="s">
        <v>98</v>
      </c>
      <c r="E10" s="34">
        <v>70</v>
      </c>
      <c r="F10" s="35" vm="8">
        <f ca="1">IF(IFERROR(INDEX('Monitor &amp; Recheck Triggers'!$H$3:$H$51,MATCH($B10,'Monitor &amp; Recheck Triggers'!$A$3:$A$51,0)),"")="",209.05,INDEX('Monitor &amp; Recheck Triggers'!$H$3:$H$51,MATCH($B10,'Monitor &amp; Recheck Triggers'!$A$3:$A$51,0)))</f>
        <v>209.05</v>
      </c>
      <c r="G10" s="36">
        <f t="shared" ca="1" si="0"/>
        <v>14633.5</v>
      </c>
      <c r="H10" s="37">
        <v>11612.3</v>
      </c>
      <c r="I10" s="38">
        <f t="shared" ca="1" si="1"/>
        <v>3021.2000000000007</v>
      </c>
      <c r="J10" s="39">
        <f t="shared" ca="1" si="2"/>
        <v>0.26017240339984338</v>
      </c>
      <c r="K10" s="39">
        <f ca="1">IFERROR(G10/SUM(G3:G24),"")</f>
        <v>3.5709065078219145E-2</v>
      </c>
      <c r="L10" s="39">
        <f ca="1">IFERROR(G10/(SUM(G3:G24,G28:G47)),"")</f>
        <v>2.0718648528690656E-2</v>
      </c>
      <c r="M10" s="30"/>
    </row>
    <row r="11" spans="1:16" ht="15" customHeight="1" x14ac:dyDescent="0.2">
      <c r="A11" s="30" t="s">
        <v>95</v>
      </c>
      <c r="B11" s="31" t="s">
        <v>115</v>
      </c>
      <c r="C11" s="32" t="s">
        <v>116</v>
      </c>
      <c r="D11" s="33" t="s">
        <v>98</v>
      </c>
      <c r="E11" s="34">
        <v>25</v>
      </c>
      <c r="F11" s="35" vm="9">
        <f ca="1">IF(IFERROR(INDEX('Monitor &amp; Recheck Triggers'!$H$3:$H$51,MATCH($B11,'Monitor &amp; Recheck Triggers'!$A$3:$A$51,0)),"")="",453.31,INDEX('Monitor &amp; Recheck Triggers'!$H$3:$H$51,MATCH($B11,'Monitor &amp; Recheck Triggers'!$A$3:$A$51,0)))</f>
        <v>453.31</v>
      </c>
      <c r="G11" s="36">
        <f t="shared" ca="1" si="0"/>
        <v>11332.75</v>
      </c>
      <c r="H11" s="37">
        <v>6069.64</v>
      </c>
      <c r="I11" s="38">
        <f t="shared" ca="1" si="1"/>
        <v>5263.11</v>
      </c>
      <c r="J11" s="39">
        <f t="shared" ca="1" si="2"/>
        <v>0.86712062000382217</v>
      </c>
      <c r="K11" s="39">
        <f ca="1">IFERROR(G11/SUM(G3:G24),"")</f>
        <v>2.7654485069545084E-2</v>
      </c>
      <c r="L11" s="39">
        <f ca="1">IFERROR(G11/(SUM(G3:G24,G28:G47)),"")</f>
        <v>1.6045325049613493E-2</v>
      </c>
      <c r="M11" s="30"/>
    </row>
    <row r="12" spans="1:16" ht="15" customHeight="1" x14ac:dyDescent="0.2">
      <c r="A12" s="30" t="s">
        <v>95</v>
      </c>
      <c r="B12" s="31" t="s">
        <v>117</v>
      </c>
      <c r="C12" s="32" t="s">
        <v>118</v>
      </c>
      <c r="D12" s="33" t="s">
        <v>98</v>
      </c>
      <c r="E12" s="34">
        <v>30</v>
      </c>
      <c r="F12" s="35" vm="10">
        <f ca="1">IF(IFERROR(INDEX('Monitor &amp; Recheck Triggers'!$H$3:$H$51,MATCH($B12,'Monitor &amp; Recheck Triggers'!$A$3:$A$51,0)),"")="",242.78,INDEX('Monitor &amp; Recheck Triggers'!$H$3:$H$51,MATCH($B12,'Monitor &amp; Recheck Triggers'!$A$3:$A$51,0)))</f>
        <v>242.78</v>
      </c>
      <c r="G12" s="36">
        <f t="shared" ca="1" si="0"/>
        <v>7283.4</v>
      </c>
      <c r="H12" s="37">
        <v>7876.8</v>
      </c>
      <c r="I12" s="38">
        <f t="shared" ca="1" si="1"/>
        <v>-593.40000000000055</v>
      </c>
      <c r="J12" s="39">
        <f t="shared" ca="1" si="2"/>
        <v>-7.5335161486898339E-2</v>
      </c>
      <c r="K12" s="39">
        <f ca="1">IFERROR(G12/SUM(G3:G24),"")</f>
        <v>1.7773150961198709E-2</v>
      </c>
      <c r="L12" s="39">
        <f ca="1">IFERROR(G12/(SUM(G3:G24,G28:G47)),"")</f>
        <v>1.03121061054338E-2</v>
      </c>
      <c r="M12" s="30"/>
    </row>
    <row r="13" spans="1:16" ht="15" customHeight="1" x14ac:dyDescent="0.2">
      <c r="A13" s="30" t="s">
        <v>95</v>
      </c>
      <c r="B13" s="31" t="s">
        <v>119</v>
      </c>
      <c r="C13" s="32" t="s">
        <v>120</v>
      </c>
      <c r="D13" s="33" t="s">
        <v>98</v>
      </c>
      <c r="E13" s="34">
        <v>50</v>
      </c>
      <c r="F13" s="35" vm="11">
        <f ca="1">IF(IFERROR(INDEX('Monitor &amp; Recheck Triggers'!$H$3:$H$51,MATCH($B13,'Monitor &amp; Recheck Triggers'!$A$3:$A$51,0)),"")="",385.45,INDEX('Monitor &amp; Recheck Triggers'!$H$3:$H$51,MATCH($B13,'Monitor &amp; Recheck Triggers'!$A$3:$A$51,0)))</f>
        <v>385.45</v>
      </c>
      <c r="G13" s="36">
        <f t="shared" ca="1" si="0"/>
        <v>19272.5</v>
      </c>
      <c r="H13" s="37">
        <v>18448.63</v>
      </c>
      <c r="I13" s="38">
        <f t="shared" ca="1" si="1"/>
        <v>823.86999999999898</v>
      </c>
      <c r="J13" s="39">
        <f t="shared" ca="1" si="2"/>
        <v>4.4657516574401424E-2</v>
      </c>
      <c r="K13" s="39">
        <f ca="1">IFERROR(G13/SUM(G3:G24),"")</f>
        <v>4.7029279169028493E-2</v>
      </c>
      <c r="L13" s="39">
        <f ca="1">IFERROR(G13/(SUM(G3:G24,G28:G47)),"")</f>
        <v>2.7286715670836827E-2</v>
      </c>
      <c r="M13" s="30" t="s">
        <v>121</v>
      </c>
    </row>
    <row r="14" spans="1:16" ht="15" customHeight="1" x14ac:dyDescent="0.2">
      <c r="A14" s="30" t="s">
        <v>95</v>
      </c>
      <c r="B14" s="40" t="s">
        <v>122</v>
      </c>
      <c r="C14" s="32" t="s">
        <v>123</v>
      </c>
      <c r="D14" s="33" t="s">
        <v>124</v>
      </c>
      <c r="E14" s="34">
        <v>15713.12</v>
      </c>
      <c r="F14" s="35">
        <v>1</v>
      </c>
      <c r="G14" s="36">
        <f t="shared" si="0"/>
        <v>15713.12</v>
      </c>
      <c r="H14" s="37">
        <v>15713.12</v>
      </c>
      <c r="I14" s="38">
        <f t="shared" si="1"/>
        <v>0</v>
      </c>
      <c r="J14" s="39">
        <f t="shared" si="2"/>
        <v>0</v>
      </c>
      <c r="K14" s="39">
        <f ca="1">IFERROR(G14/SUM(G3:G24),"")</f>
        <v>3.8343583193485277E-2</v>
      </c>
      <c r="L14" s="39">
        <f ca="1">IFERROR(G14/(SUM(G3:G24,G28:G47)),"")</f>
        <v>2.2247214307523133E-2</v>
      </c>
      <c r="M14" s="30" t="s">
        <v>125</v>
      </c>
    </row>
    <row r="15" spans="1:16" ht="15" customHeight="1" x14ac:dyDescent="0.2">
      <c r="A15" s="30" t="s">
        <v>95</v>
      </c>
      <c r="B15" s="40" t="s">
        <v>126</v>
      </c>
      <c r="C15" s="32" t="s">
        <v>127</v>
      </c>
      <c r="D15" s="33" t="s">
        <v>124</v>
      </c>
      <c r="E15" s="34">
        <v>0</v>
      </c>
      <c r="F15" s="35">
        <v>1</v>
      </c>
      <c r="G15" s="36">
        <f t="shared" si="0"/>
        <v>0</v>
      </c>
      <c r="H15" s="37">
        <v>0</v>
      </c>
      <c r="I15" s="38">
        <f t="shared" si="1"/>
        <v>0</v>
      </c>
      <c r="J15" s="39" t="str">
        <f t="shared" si="2"/>
        <v/>
      </c>
      <c r="K15" s="39">
        <f ca="1">IFERROR(G15/SUM(G3:G24),"")</f>
        <v>0</v>
      </c>
      <c r="L15" s="39">
        <f ca="1">IFERROR(G15/(SUM(G3:G24,G28:G47)),"")</f>
        <v>0</v>
      </c>
      <c r="M15" s="30"/>
    </row>
    <row r="16" spans="1:16" ht="15" customHeight="1" x14ac:dyDescent="0.2">
      <c r="A16" s="30" t="s">
        <v>95</v>
      </c>
      <c r="B16" s="40" t="s">
        <v>128</v>
      </c>
      <c r="C16" s="32" t="s">
        <v>129</v>
      </c>
      <c r="D16" s="33" t="s">
        <v>98</v>
      </c>
      <c r="E16" s="34">
        <v>150</v>
      </c>
      <c r="F16" s="35">
        <f>IF(IFERROR(INDEX('Monitor &amp; Recheck Triggers'!$H$3:$H$51,MATCH($B16,'Monitor &amp; Recheck Triggers'!$A$3:$A$51,0)),"")="",154.36,INDEX('Monitor &amp; Recheck Triggers'!$H$3:$H$51,MATCH($B16,'Monitor &amp; Recheck Triggers'!$A$3:$A$51,0)))</f>
        <v>154.36000000000001</v>
      </c>
      <c r="G16" s="36">
        <f t="shared" si="0"/>
        <v>23154.000000000004</v>
      </c>
      <c r="H16" s="37">
        <v>24518.25</v>
      </c>
      <c r="I16" s="38">
        <f t="shared" si="1"/>
        <v>-1364.2499999999964</v>
      </c>
      <c r="J16" s="39">
        <f t="shared" si="2"/>
        <v>-5.5642225689027436E-2</v>
      </c>
      <c r="K16" s="39">
        <f ca="1">IFERROR(G16/SUM(G3:G24),"")</f>
        <v>5.6501021137874481E-2</v>
      </c>
      <c r="L16" s="39">
        <f ca="1">IFERROR(G16/(SUM(G3:G24,G28:G47)),"")</f>
        <v>3.2782286399925073E-2</v>
      </c>
      <c r="M16" s="30" t="s">
        <v>130</v>
      </c>
    </row>
    <row r="17" spans="1:15" ht="15" customHeight="1" x14ac:dyDescent="0.2">
      <c r="A17" s="30" t="s">
        <v>95</v>
      </c>
      <c r="B17" s="40" t="s">
        <v>131</v>
      </c>
      <c r="C17" s="32" t="s">
        <v>132</v>
      </c>
      <c r="D17" s="33" t="s">
        <v>98</v>
      </c>
      <c r="E17" s="34">
        <v>451.30399999999997</v>
      </c>
      <c r="F17" s="35">
        <f>IF(IFERROR(INDEX('Monitor &amp; Recheck Triggers'!$H$3:$H$51,MATCH($B17,'Monitor &amp; Recheck Triggers'!$A$3:$A$51,0)),"")="",52.84,INDEX('Monitor &amp; Recheck Triggers'!$H$3:$H$51,MATCH($B17,'Monitor &amp; Recheck Triggers'!$A$3:$A$51,0)))</f>
        <v>52.84</v>
      </c>
      <c r="G17" s="36">
        <f t="shared" si="0"/>
        <v>23846.90336</v>
      </c>
      <c r="H17" s="37">
        <v>24999.99</v>
      </c>
      <c r="I17" s="38">
        <f t="shared" si="1"/>
        <v>-1153.0866400000014</v>
      </c>
      <c r="J17" s="39">
        <f t="shared" si="2"/>
        <v>-4.6123484049393704E-2</v>
      </c>
      <c r="K17" s="39">
        <f ca="1">IFERROR(G17/SUM(G3:G24),"")</f>
        <v>5.8191862780349393E-2</v>
      </c>
      <c r="L17" s="39">
        <f ca="1">IFERROR(G17/(SUM(G3:G24,G28:G47)),"")</f>
        <v>3.3763324509754486E-2</v>
      </c>
      <c r="M17" s="30" t="s">
        <v>133</v>
      </c>
    </row>
    <row r="18" spans="1:15" ht="15" customHeight="1" x14ac:dyDescent="0.2">
      <c r="A18" s="30" t="s">
        <v>95</v>
      </c>
      <c r="B18" s="40" t="s">
        <v>134</v>
      </c>
      <c r="C18" s="32" t="s">
        <v>135</v>
      </c>
      <c r="D18" s="33" t="s">
        <v>98</v>
      </c>
      <c r="E18" s="34">
        <v>700</v>
      </c>
      <c r="F18" s="35">
        <f>IF(IFERROR(INDEX('Monitor &amp; Recheck Triggers'!$H$3:$H$51,MATCH($B18,'Monitor &amp; Recheck Triggers'!$A$3:$A$51,0)),"")="",33.04,INDEX('Monitor &amp; Recheck Triggers'!$H$3:$H$51,MATCH($B18,'Monitor &amp; Recheck Triggers'!$A$3:$A$51,0)))</f>
        <v>33.04</v>
      </c>
      <c r="G18" s="36">
        <f t="shared" si="0"/>
        <v>23128</v>
      </c>
      <c r="H18" s="37">
        <v>24377.5</v>
      </c>
      <c r="I18" s="38">
        <f t="shared" si="1"/>
        <v>-1249.5</v>
      </c>
      <c r="J18" s="39">
        <f t="shared" si="2"/>
        <v>-5.1256281407035198E-2</v>
      </c>
      <c r="K18" s="39">
        <f ca="1">IFERROR(G18/SUM(G3:G24),"")</f>
        <v>5.6437575230057907E-2</v>
      </c>
      <c r="L18" s="39">
        <f ca="1">IFERROR(G18/(SUM(G3:G24,G28:G47)),"")</f>
        <v>3.2745474641853109E-2</v>
      </c>
      <c r="M18" s="30" t="s">
        <v>130</v>
      </c>
    </row>
    <row r="19" spans="1:15" ht="15" customHeight="1" x14ac:dyDescent="0.2">
      <c r="A19" s="30" t="s">
        <v>95</v>
      </c>
      <c r="B19" s="40" t="s">
        <v>136</v>
      </c>
      <c r="C19" s="32" t="s">
        <v>137</v>
      </c>
      <c r="D19" s="33" t="s">
        <v>98</v>
      </c>
      <c r="E19" s="34">
        <v>150</v>
      </c>
      <c r="F19" s="35">
        <f>IF(IFERROR(INDEX('Monitor &amp; Recheck Triggers'!$H$3:$H$51,MATCH($B19,'Monitor &amp; Recheck Triggers'!$A$3:$A$51,0)),"")="",158.75,INDEX('Monitor &amp; Recheck Triggers'!$H$3:$H$51,MATCH($B19,'Monitor &amp; Recheck Triggers'!$A$3:$A$51,0)))</f>
        <v>158.75</v>
      </c>
      <c r="G19" s="36">
        <f t="shared" si="0"/>
        <v>23812.5</v>
      </c>
      <c r="H19" s="37">
        <v>24598.5</v>
      </c>
      <c r="I19" s="38">
        <f t="shared" si="1"/>
        <v>-786</v>
      </c>
      <c r="J19" s="39">
        <f t="shared" si="2"/>
        <v>-3.1953167876090038E-2</v>
      </c>
      <c r="K19" s="39">
        <f ca="1">IFERROR(G19/SUM(G3:G24),"")</f>
        <v>5.8107910764690157E-2</v>
      </c>
      <c r="L19" s="39">
        <f ca="1">IFERROR(G19/(SUM(G3:G24,G28:G47)),"")</f>
        <v>3.3714614964939778E-2</v>
      </c>
      <c r="M19" s="30" t="s">
        <v>130</v>
      </c>
    </row>
    <row r="20" spans="1:15" ht="15" customHeight="1" x14ac:dyDescent="0.2">
      <c r="A20" s="30" t="s">
        <v>95</v>
      </c>
      <c r="B20" s="40" t="s">
        <v>138</v>
      </c>
      <c r="C20" s="32" t="s">
        <v>139</v>
      </c>
      <c r="D20" s="33" t="s">
        <v>98</v>
      </c>
      <c r="E20" s="34">
        <v>1000</v>
      </c>
      <c r="F20" s="35">
        <f>IF(IFERROR(INDEX('Monitor &amp; Recheck Triggers'!$H$3:$H$51,MATCH($B20,'Monitor &amp; Recheck Triggers'!$A$3:$A$51,0)),"")="",52.08,INDEX('Monitor &amp; Recheck Triggers'!$H$3:$H$51,MATCH($B20,'Monitor &amp; Recheck Triggers'!$A$3:$A$51,0)))</f>
        <v>52.08</v>
      </c>
      <c r="G20" s="36">
        <f t="shared" si="0"/>
        <v>52080</v>
      </c>
      <c r="H20" s="37">
        <v>53709</v>
      </c>
      <c r="I20" s="38">
        <f t="shared" si="1"/>
        <v>-1629</v>
      </c>
      <c r="J20" s="39">
        <f t="shared" si="2"/>
        <v>-3.033011227168636E-2</v>
      </c>
      <c r="K20" s="39">
        <f ca="1">IFERROR(G20/SUM(G3:G24),"")</f>
        <v>0.12708703381102629</v>
      </c>
      <c r="L20" s="39">
        <f ca="1">IFERROR(G20/(SUM(G3:G24,G28:G47)),"")</f>
        <v>7.3736783091824201E-2</v>
      </c>
      <c r="M20" s="30" t="s">
        <v>130</v>
      </c>
    </row>
    <row r="21" spans="1:15" ht="15" customHeight="1" x14ac:dyDescent="0.2">
      <c r="A21" s="30" t="s">
        <v>95</v>
      </c>
      <c r="B21" s="40" t="s">
        <v>140</v>
      </c>
      <c r="C21" s="32" t="s">
        <v>141</v>
      </c>
      <c r="D21" s="33" t="s">
        <v>98</v>
      </c>
      <c r="E21" s="34">
        <v>70</v>
      </c>
      <c r="F21" s="35">
        <f>IF(IFERROR(INDEX('Monitor &amp; Recheck Triggers'!$H$3:$H$51,MATCH($B21,'Monitor &amp; Recheck Triggers'!$A$3:$A$51,0)),"")="",151.16,INDEX('Monitor &amp; Recheck Triggers'!$H$3:$H$51,MATCH($B21,'Monitor &amp; Recheck Triggers'!$A$3:$A$51,0)))</f>
        <v>151.16</v>
      </c>
      <c r="G21" s="36">
        <f t="shared" si="0"/>
        <v>10581.199999999999</v>
      </c>
      <c r="H21" s="37">
        <v>10287.89</v>
      </c>
      <c r="I21" s="38">
        <f t="shared" si="1"/>
        <v>293.30999999999949</v>
      </c>
      <c r="J21" s="39">
        <f t="shared" si="2"/>
        <v>2.8510219296668193E-2</v>
      </c>
      <c r="K21" s="39">
        <f ca="1">IFERROR(G21/SUM(G3:G24),"")</f>
        <v>2.5820532299562809E-2</v>
      </c>
      <c r="L21" s="39">
        <f ca="1">IFERROR(G21/(SUM(G3:G24,G28:G47)),"")</f>
        <v>1.4981252865806646E-2</v>
      </c>
      <c r="M21" s="30" t="s">
        <v>142</v>
      </c>
    </row>
    <row r="22" spans="1:15" ht="15" customHeight="1" x14ac:dyDescent="0.2">
      <c r="A22" s="30" t="s">
        <v>95</v>
      </c>
      <c r="B22" s="31" t="s">
        <v>143</v>
      </c>
      <c r="C22" s="32" t="s">
        <v>144</v>
      </c>
      <c r="D22" s="33" t="s">
        <v>98</v>
      </c>
      <c r="E22" s="34">
        <v>75</v>
      </c>
      <c r="F22" s="35" vm="12">
        <f ca="1">IF(IFERROR(INDEX('Monitor &amp; Recheck Triggers'!$H$3:$H$51,MATCH($B22,'Monitor &amp; Recheck Triggers'!$A$3:$A$51,0)),"")="",308.2,INDEX('Monitor &amp; Recheck Triggers'!$H$3:$H$51,MATCH($B22,'Monitor &amp; Recheck Triggers'!$A$3:$A$51,0)))</f>
        <v>308.2</v>
      </c>
      <c r="G22" s="36">
        <f t="shared" ca="1" si="0"/>
        <v>23115</v>
      </c>
      <c r="H22" s="37">
        <v>23603.25</v>
      </c>
      <c r="I22" s="38">
        <f t="shared" ca="1" si="1"/>
        <v>-488.25</v>
      </c>
      <c r="J22" s="39">
        <f t="shared" ca="1" si="2"/>
        <v>-2.0685710654253175E-2</v>
      </c>
      <c r="K22" s="39">
        <f ca="1">IFERROR(G22/SUM(G3:G24),"")</f>
        <v>5.6405852276149623E-2</v>
      </c>
      <c r="L22" s="39">
        <f ca="1">IFERROR(G22/(SUM(G3:G24,G28:G47)),"")</f>
        <v>3.2727068762817134E-2</v>
      </c>
      <c r="M22" s="30" t="s">
        <v>145</v>
      </c>
    </row>
    <row r="23" spans="1:15" ht="13.5" customHeight="1" x14ac:dyDescent="0.2">
      <c r="A23" s="30" t="s">
        <v>95</v>
      </c>
      <c r="B23" s="31" t="s">
        <v>146</v>
      </c>
      <c r="C23" s="32" t="s">
        <v>147</v>
      </c>
      <c r="D23" s="33" t="s">
        <v>98</v>
      </c>
      <c r="E23" s="34">
        <v>300</v>
      </c>
      <c r="F23" s="35" vm="13">
        <f ca="1">IF(IFERROR(INDEX('Monitor &amp; Recheck Triggers'!$H$3:$H$51,MATCH($B23,'Monitor &amp; Recheck Triggers'!$A$3:$A$51,0)),"")="",70.3,INDEX('Monitor &amp; Recheck Triggers'!$H$3:$H$51,MATCH($B23,'Monitor &amp; Recheck Triggers'!$A$3:$A$51,0)))</f>
        <v>70.3</v>
      </c>
      <c r="G23" s="36">
        <f t="shared" ca="1" si="0"/>
        <v>21090</v>
      </c>
      <c r="H23" s="37">
        <v>20938.5</v>
      </c>
      <c r="I23" s="38">
        <f t="shared" ca="1" si="1"/>
        <v>151.5</v>
      </c>
      <c r="J23" s="39">
        <f t="shared" ca="1" si="2"/>
        <v>7.2354753205816635E-3</v>
      </c>
      <c r="K23" s="39">
        <f ca="1">IFERROR(G23/SUM(G3:G24),"")</f>
        <v>5.1464392148128729E-2</v>
      </c>
      <c r="L23" s="39">
        <f ca="1">IFERROR(G23/(SUM(G3:G24,G28:G47)),"")</f>
        <v>2.9859999143751387E-2</v>
      </c>
      <c r="M23" s="30" t="s">
        <v>148</v>
      </c>
    </row>
    <row r="24" spans="1:15" ht="15" customHeight="1" x14ac:dyDescent="0.2">
      <c r="A24" s="30" t="s">
        <v>95</v>
      </c>
      <c r="B24" s="31" t="s">
        <v>149</v>
      </c>
      <c r="C24" s="32" t="s">
        <v>150</v>
      </c>
      <c r="D24" s="33" t="s">
        <v>98</v>
      </c>
      <c r="E24" s="34">
        <v>100</v>
      </c>
      <c r="F24" s="35" vm="14">
        <f ca="1">IF(IFERROR(INDEX('Monitor &amp; Recheck Triggers'!$H$3:$H$51,MATCH($B24,'Monitor &amp; Recheck Triggers'!$A$3:$A$51,0)),"")="",296.13,INDEX('Monitor &amp; Recheck Triggers'!$H$3:$H$51,MATCH($B24,'Monitor &amp; Recheck Triggers'!$A$3:$A$51,0)))</f>
        <v>296.13</v>
      </c>
      <c r="G24" s="36">
        <f t="shared" ca="1" si="0"/>
        <v>29613</v>
      </c>
      <c r="H24" s="37">
        <v>28325</v>
      </c>
      <c r="I24" s="38">
        <f t="shared" ca="1" si="1"/>
        <v>1288</v>
      </c>
      <c r="J24" s="39">
        <f t="shared" ca="1" si="2"/>
        <v>4.5472197705207495E-2</v>
      </c>
      <c r="K24" s="39">
        <f ca="1">IFERROR(G24/SUM(G3:G24),"")</f>
        <v>7.2262448775843341E-2</v>
      </c>
      <c r="L24" s="39">
        <f ca="1">IFERROR(G24/(SUM(G3:G24,G28:G47)),"")</f>
        <v>4.1927176607108103E-2</v>
      </c>
      <c r="M24" s="30" t="s">
        <v>151</v>
      </c>
    </row>
    <row r="25" spans="1:15" ht="15" customHeight="1" x14ac:dyDescent="0.2">
      <c r="A25" s="41" t="s">
        <v>152</v>
      </c>
      <c r="B25" s="42">
        <f>SUBTOTAL(103,B3:B24)</f>
        <v>22</v>
      </c>
      <c r="C25" s="43" t="s">
        <v>153</v>
      </c>
      <c r="D25" s="44"/>
      <c r="E25" s="45"/>
      <c r="F25" s="46"/>
      <c r="G25" s="47">
        <f ca="1">SUM(G3:G24)</f>
        <v>409797.90336</v>
      </c>
      <c r="H25" s="48">
        <f>SUM(H3:H24)</f>
        <v>387294.07999999996</v>
      </c>
      <c r="I25" s="49">
        <f ca="1">SUM(I3:I24)</f>
        <v>22503.823359999995</v>
      </c>
      <c r="J25" s="50">
        <f ca="1">CurrentPositionsTable[[#This Row],[Unrealized G/L ($)]]/CurrentPositionsTable[[#This Row],[Cost Basis
($)]]</f>
        <v>5.8105260374751916E-2</v>
      </c>
      <c r="K25" s="50">
        <f ca="1">SUM(K3:K24)</f>
        <v>0.99999999999999989</v>
      </c>
      <c r="L25" s="50">
        <f ca="1">SUM(L3:L24)</f>
        <v>0.5802069721878006</v>
      </c>
      <c r="M25" s="51"/>
      <c r="N25" s="52"/>
      <c r="O25" s="52"/>
    </row>
    <row r="26" spans="1:15" ht="15" customHeight="1" x14ac:dyDescent="0.2">
      <c r="E26" s="53"/>
      <c r="F26" s="35"/>
      <c r="I26" s="54" t="s">
        <v>154</v>
      </c>
      <c r="J26" s="55">
        <f ca="1">I25/(H25-H14-H15)</f>
        <v>6.056236939589154E-2</v>
      </c>
    </row>
    <row r="27" spans="1:15" ht="15" customHeight="1" outlineLevel="1" x14ac:dyDescent="0.2">
      <c r="E27" s="53"/>
      <c r="F27" s="35"/>
    </row>
    <row r="28" spans="1:15" ht="15" customHeight="1" outlineLevel="1" x14ac:dyDescent="0.2">
      <c r="A28" s="30" t="s">
        <v>155</v>
      </c>
      <c r="B28" s="40" t="s">
        <v>156</v>
      </c>
      <c r="C28" s="32" t="s">
        <v>157</v>
      </c>
      <c r="D28" s="33" t="s">
        <v>124</v>
      </c>
      <c r="E28" s="34">
        <v>27966.400000000001</v>
      </c>
      <c r="F28" s="35">
        <v>1</v>
      </c>
      <c r="G28" s="36">
        <f t="shared" ref="G28:G47" si="3">E28*F28</f>
        <v>27966.400000000001</v>
      </c>
      <c r="H28" s="37">
        <v>27966.400000000001</v>
      </c>
      <c r="I28" s="38">
        <f t="shared" ref="I28:I47" si="4">G28-H28</f>
        <v>0</v>
      </c>
      <c r="J28" s="39">
        <f t="shared" ref="J28:J47" si="5">IF(H28=0,"",G28/H28-1)</f>
        <v>0</v>
      </c>
      <c r="K28" s="39">
        <f ca="1">IFERROR(G28/SUM(G28:G47),"")</f>
        <v>9.4322337505300377E-2</v>
      </c>
      <c r="L28" s="39">
        <f ca="1">IFERROR(G28/(SUM(G3:G24,G28:G47)),"")</f>
        <v>3.9595859651674198E-2</v>
      </c>
      <c r="M28" s="30" t="s">
        <v>158</v>
      </c>
    </row>
    <row r="29" spans="1:15" ht="15" customHeight="1" x14ac:dyDescent="0.2">
      <c r="A29" s="30" t="s">
        <v>155</v>
      </c>
      <c r="B29" s="40" t="s">
        <v>159</v>
      </c>
      <c r="C29" s="32" t="s">
        <v>160</v>
      </c>
      <c r="D29" s="33" t="s">
        <v>161</v>
      </c>
      <c r="E29" s="34">
        <v>850.35693000000003</v>
      </c>
      <c r="F29" s="35">
        <f>IF(IFERROR(INDEX('Monitor &amp; Recheck Triggers'!$H$3:$H$51,MATCH($B29,'Monitor &amp; Recheck Triggers'!$A$3:$A$51,0)),"")="",61.09,INDEX('Monitor &amp; Recheck Triggers'!$H$3:$H$51,MATCH($B29,'Monitor &amp; Recheck Triggers'!$A$3:$A$51,0)))</f>
        <v>61.09</v>
      </c>
      <c r="G29" s="36">
        <f t="shared" si="3"/>
        <v>51948.304853700007</v>
      </c>
      <c r="H29" s="37">
        <v>43005.36</v>
      </c>
      <c r="I29" s="38">
        <f t="shared" si="4"/>
        <v>8942.9448537000062</v>
      </c>
      <c r="J29" s="39">
        <f t="shared" si="5"/>
        <v>0.20794954056192072</v>
      </c>
      <c r="K29" s="39">
        <f ca="1">IFERROR(G29/SUM(G28:G47),"")</f>
        <v>0.17520615965011321</v>
      </c>
      <c r="L29" s="39">
        <f ca="1">IFERROR(G29/(SUM(G3:G24,G28:G47)),"")</f>
        <v>7.3550324250868576E-2</v>
      </c>
      <c r="M29" s="30" t="s">
        <v>162</v>
      </c>
    </row>
    <row r="30" spans="1:15" ht="15" hidden="1" customHeight="1" outlineLevel="2" x14ac:dyDescent="0.2">
      <c r="A30" s="30" t="s">
        <v>155</v>
      </c>
      <c r="B30" s="31" t="s">
        <v>163</v>
      </c>
      <c r="C30" s="32" t="s">
        <v>164</v>
      </c>
      <c r="D30" s="33" t="s">
        <v>98</v>
      </c>
      <c r="E30" s="34">
        <v>400.00000999999997</v>
      </c>
      <c r="F30" s="35">
        <f>IF(IFERROR(INDEX('Monitor &amp; Recheck Triggers'!$H$3:$H$51,MATCH($B30,'Monitor &amp; Recheck Triggers'!$A$3:$A$51,0)),"")="",119.64,INDEX('Monitor &amp; Recheck Triggers'!$H$3:$H$51,MATCH($B30,'Monitor &amp; Recheck Triggers'!$A$3:$A$51,0)))</f>
        <v>119.64</v>
      </c>
      <c r="G30" s="36">
        <f t="shared" si="3"/>
        <v>47856.0011964</v>
      </c>
      <c r="H30" s="37">
        <v>45116.29</v>
      </c>
      <c r="I30" s="38">
        <f t="shared" si="4"/>
        <v>2739.7111963999996</v>
      </c>
      <c r="J30" s="39">
        <f t="shared" si="5"/>
        <v>6.0725542734121118E-2</v>
      </c>
      <c r="K30" s="39">
        <f ca="1">IFERROR(G30/SUM(G28:G47),"")</f>
        <v>0.16140403829241159</v>
      </c>
      <c r="L30" s="39">
        <f ca="1">IFERROR(G30/(SUM(G3:G24,G28:G47)),"")</f>
        <v>6.7756289935887601E-2</v>
      </c>
      <c r="M30" s="30" t="s">
        <v>165</v>
      </c>
    </row>
    <row r="31" spans="1:15" ht="15" customHeight="1" collapsed="1" x14ac:dyDescent="0.2">
      <c r="A31" s="30" t="s">
        <v>155</v>
      </c>
      <c r="B31" s="31" t="s">
        <v>166</v>
      </c>
      <c r="C31" s="32" t="s">
        <v>167</v>
      </c>
      <c r="D31" s="33" t="s">
        <v>98</v>
      </c>
      <c r="E31" s="34">
        <v>0</v>
      </c>
      <c r="F31" s="35">
        <f>IF(IFERROR(INDEX('Monitor &amp; Recheck Triggers'!$H$3:$H$51,MATCH($B31,'Monitor &amp; Recheck Triggers'!$A$3:$A$51,0)),"")="",56.12,INDEX('Monitor &amp; Recheck Triggers'!$H$3:$H$51,MATCH($B31,'Monitor &amp; Recheck Triggers'!$A$3:$A$51,0)))</f>
        <v>56.12</v>
      </c>
      <c r="G31" s="36">
        <f t="shared" si="3"/>
        <v>0</v>
      </c>
      <c r="H31" s="37">
        <v>0</v>
      </c>
      <c r="I31" s="38">
        <f t="shared" si="4"/>
        <v>0</v>
      </c>
      <c r="J31" s="39" t="str">
        <f t="shared" si="5"/>
        <v/>
      </c>
      <c r="K31" s="39">
        <f ca="1">IFERROR(G31/SUM(G28:G47),"")</f>
        <v>0</v>
      </c>
      <c r="L31" s="39">
        <f ca="1">IFERROR(G31/(SUM(G3:G24,G28:G47)),"")</f>
        <v>0</v>
      </c>
      <c r="M31" s="30" t="s">
        <v>168</v>
      </c>
    </row>
    <row r="32" spans="1:15" ht="15" customHeight="1" x14ac:dyDescent="0.2">
      <c r="A32" s="30" t="s">
        <v>155</v>
      </c>
      <c r="B32" s="40" t="s">
        <v>169</v>
      </c>
      <c r="C32" s="32" t="s">
        <v>170</v>
      </c>
      <c r="D32" s="33" t="s">
        <v>161</v>
      </c>
      <c r="E32" s="34">
        <v>500</v>
      </c>
      <c r="F32" s="35">
        <f>IF(IFERROR(INDEX('Monitor &amp; Recheck Triggers'!$H$3:$H$51,MATCH($B32,'Monitor &amp; Recheck Triggers'!$A$3:$A$51,0)),"")="",69.97,INDEX('Monitor &amp; Recheck Triggers'!$H$3:$H$51,MATCH($B32,'Monitor &amp; Recheck Triggers'!$A$3:$A$51,0)))</f>
        <v>69.97</v>
      </c>
      <c r="G32" s="36">
        <f t="shared" si="3"/>
        <v>34985</v>
      </c>
      <c r="H32" s="37">
        <v>30666</v>
      </c>
      <c r="I32" s="38">
        <f t="shared" si="4"/>
        <v>4319</v>
      </c>
      <c r="J32" s="39">
        <f t="shared" si="5"/>
        <v>0.14084001826126658</v>
      </c>
      <c r="K32" s="39">
        <f ca="1">IFERROR(G32/SUM(G28:G47),"")</f>
        <v>0.11799398483976964</v>
      </c>
      <c r="L32" s="39">
        <f ca="1">IFERROR(G32/(SUM(G3:G24,G28:G47)),"")</f>
        <v>4.9533052159513626E-2</v>
      </c>
      <c r="M32" s="30" t="s">
        <v>171</v>
      </c>
    </row>
    <row r="33" spans="1:15" ht="15" customHeight="1" x14ac:dyDescent="0.2">
      <c r="A33" s="30" t="s">
        <v>155</v>
      </c>
      <c r="B33" s="31" t="s">
        <v>172</v>
      </c>
      <c r="C33" s="32" t="s">
        <v>173</v>
      </c>
      <c r="D33" s="33" t="s">
        <v>98</v>
      </c>
      <c r="E33" s="34">
        <v>35.075870000000002</v>
      </c>
      <c r="F33" s="35" vm="15">
        <f ca="1">IF(IFERROR(INDEX('Monitor &amp; Recheck Triggers'!$H$3:$H$51,MATCH($B33,'Monitor &amp; Recheck Triggers'!$A$3:$A$51,0)),"")="",361.54,INDEX('Monitor &amp; Recheck Triggers'!$H$3:$H$51,MATCH($B33,'Monitor &amp; Recheck Triggers'!$A$3:$A$51,0)))</f>
        <v>361.54</v>
      </c>
      <c r="G33" s="36">
        <f t="shared" ca="1" si="3"/>
        <v>12681.330039800001</v>
      </c>
      <c r="H33" s="37">
        <v>12653.43</v>
      </c>
      <c r="I33" s="38">
        <f t="shared" ca="1" si="4"/>
        <v>27.900039800000741</v>
      </c>
      <c r="J33" s="39">
        <f t="shared" ca="1" si="5"/>
        <v>2.2049388821845373E-3</v>
      </c>
      <c r="K33" s="39">
        <f ca="1">IFERROR(G33/SUM(G28:G47),"")</f>
        <v>4.2770349134322615E-2</v>
      </c>
      <c r="L33" s="39">
        <f ca="1">IFERROR(G33/(SUM(G3:G24,G28:G47)),"")</f>
        <v>1.7954694363682161E-2</v>
      </c>
      <c r="M33" s="30"/>
    </row>
    <row r="34" spans="1:15" ht="15" customHeight="1" x14ac:dyDescent="0.2">
      <c r="A34" s="30" t="s">
        <v>155</v>
      </c>
      <c r="B34" s="31" t="s">
        <v>111</v>
      </c>
      <c r="C34" s="32" t="s">
        <v>112</v>
      </c>
      <c r="D34" s="33" t="s">
        <v>98</v>
      </c>
      <c r="E34" s="34">
        <v>59.021880000000003</v>
      </c>
      <c r="F34" s="35" vm="7">
        <f ca="1">IF(IFERROR(INDEX('Monitor &amp; Recheck Triggers'!$H$3:$H$51,MATCH($B34,'Monitor &amp; Recheck Triggers'!$A$3:$A$51,0)),"")="",229.28,INDEX('Monitor &amp; Recheck Triggers'!$H$3:$H$51,MATCH($B34,'Monitor &amp; Recheck Triggers'!$A$3:$A$51,0)))</f>
        <v>193.54</v>
      </c>
      <c r="G34" s="36">
        <f t="shared" ca="1" si="3"/>
        <v>11423.0946552</v>
      </c>
      <c r="H34" s="37">
        <v>11377.73</v>
      </c>
      <c r="I34" s="38">
        <f t="shared" ca="1" si="4"/>
        <v>45.364655200000925</v>
      </c>
      <c r="J34" s="39">
        <f t="shared" ca="1" si="5"/>
        <v>3.9871446413302092E-3</v>
      </c>
      <c r="K34" s="39">
        <f ca="1">IFERROR(G34/SUM(G28:G47),"")</f>
        <v>3.8526695943087677E-2</v>
      </c>
      <c r="L34" s="39">
        <f ca="1">IFERROR(G34/(SUM(G3:G24,G28:G47)),"")</f>
        <v>1.6173238341548747E-2</v>
      </c>
      <c r="M34" s="30"/>
    </row>
    <row r="35" spans="1:15" ht="15" customHeight="1" outlineLevel="1" x14ac:dyDescent="0.2">
      <c r="A35" s="30" t="s">
        <v>155</v>
      </c>
      <c r="B35" s="31" t="s">
        <v>174</v>
      </c>
      <c r="C35" s="32" t="s">
        <v>175</v>
      </c>
      <c r="D35" s="33" t="s">
        <v>98</v>
      </c>
      <c r="E35" s="34">
        <v>65</v>
      </c>
      <c r="F35" s="35" vm="16">
        <f ca="1">IF(IFERROR(INDEX('Monitor &amp; Recheck Triggers'!$H$3:$H$51,MATCH($B35,'Monitor &amp; Recheck Triggers'!$A$3:$A$51,0)),"")="",510.08,INDEX('Monitor &amp; Recheck Triggers'!$H$3:$H$51,MATCH($B35,'Monitor &amp; Recheck Triggers'!$A$3:$A$51,0)))</f>
        <v>510.08</v>
      </c>
      <c r="G35" s="36">
        <f t="shared" ca="1" si="3"/>
        <v>33155.199999999997</v>
      </c>
      <c r="H35" s="37">
        <v>31479.64</v>
      </c>
      <c r="I35" s="38">
        <f t="shared" ca="1" si="4"/>
        <v>1675.5599999999977</v>
      </c>
      <c r="J35" s="39">
        <f t="shared" ca="1" si="5"/>
        <v>5.3226784042002873E-2</v>
      </c>
      <c r="K35" s="39">
        <f ca="1">IFERROR(G35/SUM(G28:G47),"")</f>
        <v>0.11182261443931771</v>
      </c>
      <c r="L35" s="39">
        <f ca="1">IFERROR(G35/(SUM(G3:G24,G28:G47)),"")</f>
        <v>4.6942353893357325E-2</v>
      </c>
      <c r="M35" s="30" t="s">
        <v>176</v>
      </c>
    </row>
    <row r="36" spans="1:15" ht="15" customHeight="1" outlineLevel="1" x14ac:dyDescent="0.2">
      <c r="A36" s="30" t="s">
        <v>155</v>
      </c>
      <c r="B36" s="40" t="s">
        <v>140</v>
      </c>
      <c r="C36" s="32" t="s">
        <v>141</v>
      </c>
      <c r="D36" s="33" t="s">
        <v>98</v>
      </c>
      <c r="E36" s="34">
        <v>76.937449999999998</v>
      </c>
      <c r="F36" s="35">
        <f>IF(IFERROR(INDEX('Monitor &amp; Recheck Triggers'!$H$3:$H$51,MATCH($B36,'Monitor &amp; Recheck Triggers'!$A$3:$A$51,0)),"")="",151.16,INDEX('Monitor &amp; Recheck Triggers'!$H$3:$H$51,MATCH($B36,'Monitor &amp; Recheck Triggers'!$A$3:$A$51,0)))</f>
        <v>151.16</v>
      </c>
      <c r="G36" s="36">
        <f t="shared" si="3"/>
        <v>11629.864942</v>
      </c>
      <c r="H36" s="37">
        <v>9318.7900000000009</v>
      </c>
      <c r="I36" s="38">
        <f t="shared" si="4"/>
        <v>2311.0749419999993</v>
      </c>
      <c r="J36" s="39">
        <f t="shared" si="5"/>
        <v>0.24800161201185977</v>
      </c>
      <c r="K36" s="39">
        <f ca="1">IFERROR(G36/SUM(G28:G47),"")</f>
        <v>3.922407053465532E-2</v>
      </c>
      <c r="L36" s="39">
        <f ca="1">IFERROR(G36/(SUM(G3:G24,G28:G47)),"")</f>
        <v>1.6465991332862223E-2</v>
      </c>
      <c r="M36" s="30"/>
    </row>
    <row r="37" spans="1:15" ht="15" customHeight="1" x14ac:dyDescent="0.2">
      <c r="A37" s="30" t="s">
        <v>155</v>
      </c>
      <c r="B37" s="40" t="s">
        <v>131</v>
      </c>
      <c r="C37" s="32" t="s">
        <v>132</v>
      </c>
      <c r="D37" s="33" t="s">
        <v>98</v>
      </c>
      <c r="E37" s="34">
        <v>200</v>
      </c>
      <c r="F37" s="35">
        <f>IF(IFERROR(INDEX('Monitor &amp; Recheck Triggers'!$H$3:$H$51,MATCH($B37,'Monitor &amp; Recheck Triggers'!$A$3:$A$51,0)),"")="",52.84,INDEX('Monitor &amp; Recheck Triggers'!$H$3:$H$51,MATCH($B37,'Monitor &amp; Recheck Triggers'!$A$3:$A$51,0)))</f>
        <v>52.84</v>
      </c>
      <c r="G37" s="36">
        <f t="shared" si="3"/>
        <v>10568</v>
      </c>
      <c r="H37" s="37">
        <v>9257</v>
      </c>
      <c r="I37" s="38">
        <f t="shared" si="4"/>
        <v>1311</v>
      </c>
      <c r="J37" s="39">
        <f t="shared" si="5"/>
        <v>0.14162255590364059</v>
      </c>
      <c r="K37" s="39">
        <f ca="1">IFERROR(G37/SUM(G28:G47),"")</f>
        <v>3.5642716358058754E-2</v>
      </c>
      <c r="L37" s="39">
        <f ca="1">IFERROR(G37/(SUM(G3:G24,G28:G47)),"")</f>
        <v>1.4962563819400886E-2</v>
      </c>
      <c r="M37" s="30"/>
    </row>
    <row r="38" spans="1:15" ht="15" customHeight="1" x14ac:dyDescent="0.2">
      <c r="A38" s="30" t="s">
        <v>155</v>
      </c>
      <c r="B38" s="31" t="s">
        <v>101</v>
      </c>
      <c r="C38" s="32" t="s">
        <v>102</v>
      </c>
      <c r="D38" s="33" t="s">
        <v>98</v>
      </c>
      <c r="E38" s="34">
        <v>50</v>
      </c>
      <c r="F38" s="35" vm="2">
        <f ca="1">IF(IFERROR(INDEX('Monitor &amp; Recheck Triggers'!$H$3:$H$51,MATCH($B38,'Monitor &amp; Recheck Triggers'!$A$3:$A$51,0)),"")="",216.74,INDEX('Monitor &amp; Recheck Triggers'!$H$3:$H$51,MATCH($B38,'Monitor &amp; Recheck Triggers'!$A$3:$A$51,0)))</f>
        <v>216.74</v>
      </c>
      <c r="G38" s="36">
        <f t="shared" ca="1" si="3"/>
        <v>10837</v>
      </c>
      <c r="H38" s="37">
        <v>7394.5</v>
      </c>
      <c r="I38" s="38">
        <f t="shared" ca="1" si="4"/>
        <v>3442.5</v>
      </c>
      <c r="J38" s="39">
        <f t="shared" ca="1" si="5"/>
        <v>0.46554871864223402</v>
      </c>
      <c r="K38" s="39">
        <f ca="1">IFERROR(G38/SUM(G28:G47),"")</f>
        <v>3.6549973237346968E-2</v>
      </c>
      <c r="L38" s="39">
        <f ca="1">IFERROR(G38/(SUM(G3:G24,G28:G47)),"")</f>
        <v>1.5343423931760729E-2</v>
      </c>
      <c r="M38" s="30"/>
    </row>
    <row r="39" spans="1:15" ht="15" customHeight="1" x14ac:dyDescent="0.2">
      <c r="A39" s="30" t="s">
        <v>155</v>
      </c>
      <c r="B39" s="31" t="s">
        <v>105</v>
      </c>
      <c r="C39" s="32" t="s">
        <v>106</v>
      </c>
      <c r="D39" s="33" t="s">
        <v>98</v>
      </c>
      <c r="E39" s="34">
        <v>45</v>
      </c>
      <c r="F39" s="35" vm="4">
        <f ca="1">IF(IFERROR(INDEX('Monitor &amp; Recheck Triggers'!$H$3:$H$51,MATCH($B39,'Monitor &amp; Recheck Triggers'!$A$3:$A$51,0)),"")="",275.04,INDEX('Monitor &amp; Recheck Triggers'!$H$3:$H$51,MATCH($B39,'Monitor &amp; Recheck Triggers'!$A$3:$A$51,0)))</f>
        <v>275.04000000000002</v>
      </c>
      <c r="G39" s="36">
        <f t="shared" ca="1" si="3"/>
        <v>12376.800000000001</v>
      </c>
      <c r="H39" s="37">
        <v>7099.31</v>
      </c>
      <c r="I39" s="38">
        <f t="shared" ca="1" si="4"/>
        <v>5277.4900000000007</v>
      </c>
      <c r="J39" s="39">
        <f t="shared" ca="1" si="5"/>
        <v>0.74338069474357371</v>
      </c>
      <c r="K39" s="39">
        <f ca="1">IFERROR(G39/SUM(G28:G47),"")</f>
        <v>4.1743260013287438E-2</v>
      </c>
      <c r="L39" s="39">
        <f ca="1">IFERROR(G39/(SUM(G3:G24,G28:G47)),"")</f>
        <v>1.7523529511729835E-2</v>
      </c>
      <c r="M39" s="30"/>
    </row>
    <row r="40" spans="1:15" ht="15" hidden="1" customHeight="1" outlineLevel="2" x14ac:dyDescent="0.2">
      <c r="A40" s="30" t="s">
        <v>155</v>
      </c>
      <c r="B40" s="31" t="s">
        <v>177</v>
      </c>
      <c r="C40" s="32" t="s">
        <v>178</v>
      </c>
      <c r="D40" s="33" t="s">
        <v>98</v>
      </c>
      <c r="E40" s="34">
        <v>125.44837</v>
      </c>
      <c r="F40" s="35" vm="17">
        <f ca="1">IF(IFERROR(INDEX('Monitor &amp; Recheck Triggers'!$H$3:$H$51,MATCH($B40,'Monitor &amp; Recheck Triggers'!$A$3:$A$51,0)),"")="",129.49,INDEX('Monitor &amp; Recheck Triggers'!$H$3:$H$51,MATCH($B40,'Monitor &amp; Recheck Triggers'!$A$3:$A$51,0)))</f>
        <v>129.49</v>
      </c>
      <c r="G40" s="36">
        <f t="shared" ca="1" si="3"/>
        <v>16244.3094313</v>
      </c>
      <c r="H40" s="37">
        <v>16585.43</v>
      </c>
      <c r="I40" s="38">
        <f t="shared" ca="1" si="4"/>
        <v>-341.12056870000015</v>
      </c>
      <c r="J40" s="39">
        <f t="shared" ca="1" si="5"/>
        <v>-2.0567484153259818E-2</v>
      </c>
      <c r="K40" s="39">
        <f ca="1">IFERROR(G40/SUM(G28:G47),"")</f>
        <v>5.4787217400867207E-2</v>
      </c>
      <c r="L40" s="39">
        <f ca="1">IFERROR(G40/(SUM(G3:G24,G28:G47)),"")</f>
        <v>2.2999291878115249E-2</v>
      </c>
      <c r="M40" s="30" t="s">
        <v>179</v>
      </c>
    </row>
    <row r="41" spans="1:15" ht="15" hidden="1" customHeight="1" outlineLevel="2" x14ac:dyDescent="0.2">
      <c r="A41" s="30" t="s">
        <v>155</v>
      </c>
      <c r="B41" s="31" t="s">
        <v>180</v>
      </c>
      <c r="C41" s="32" t="s">
        <v>181</v>
      </c>
      <c r="D41" s="33" t="s">
        <v>98</v>
      </c>
      <c r="E41" s="34">
        <v>0</v>
      </c>
      <c r="F41" s="35" vm="18">
        <f ca="1">IF(IFERROR(INDEX('Monitor &amp; Recheck Triggers'!$H$3:$H$51,MATCH($B41,'Monitor &amp; Recheck Triggers'!$A$3:$A$51,0)),"")="",86.07,INDEX('Monitor &amp; Recheck Triggers'!$H$3:$H$51,MATCH($B41,'Monitor &amp; Recheck Triggers'!$A$3:$A$51,0)))</f>
        <v>65.14</v>
      </c>
      <c r="G41" s="36">
        <f t="shared" ca="1" si="3"/>
        <v>0</v>
      </c>
      <c r="H41" s="37">
        <v>0</v>
      </c>
      <c r="I41" s="38">
        <f t="shared" ca="1" si="4"/>
        <v>0</v>
      </c>
      <c r="J41" s="39" t="str">
        <f t="shared" si="5"/>
        <v/>
      </c>
      <c r="K41" s="39">
        <f ca="1">IFERROR(G41/SUM(G28:G47),"")</f>
        <v>0</v>
      </c>
      <c r="L41" s="39">
        <f ca="1">IFERROR(G41/(SUM(G3:G24,G28:G47)),"")</f>
        <v>0</v>
      </c>
      <c r="M41" s="30" t="s">
        <v>182</v>
      </c>
    </row>
    <row r="42" spans="1:15" ht="15" hidden="1" customHeight="1" outlineLevel="2" x14ac:dyDescent="0.2">
      <c r="A42" s="30" t="s">
        <v>155</v>
      </c>
      <c r="B42" s="31" t="s">
        <v>183</v>
      </c>
      <c r="C42" s="32" t="s">
        <v>184</v>
      </c>
      <c r="D42" s="33" t="s">
        <v>98</v>
      </c>
      <c r="E42" s="34">
        <v>0</v>
      </c>
      <c r="F42" s="35" vm="19">
        <f ca="1">IF(IFERROR(INDEX('Monitor &amp; Recheck Triggers'!$H$3:$H$51,MATCH($B42,'Monitor &amp; Recheck Triggers'!$A$3:$A$51,0)),"")="",327.35,INDEX('Monitor &amp; Recheck Triggers'!$H$3:$H$51,MATCH($B42,'Monitor &amp; Recheck Triggers'!$A$3:$A$51,0)))</f>
        <v>382.7</v>
      </c>
      <c r="G42" s="36">
        <f t="shared" ca="1" si="3"/>
        <v>0</v>
      </c>
      <c r="H42" s="37">
        <v>0</v>
      </c>
      <c r="I42" s="38">
        <f t="shared" ca="1" si="4"/>
        <v>0</v>
      </c>
      <c r="J42" s="39" t="str">
        <f t="shared" si="5"/>
        <v/>
      </c>
      <c r="K42" s="39">
        <f ca="1">IFERROR(G42/SUM(G28:G47),"")</f>
        <v>0</v>
      </c>
      <c r="L42" s="39">
        <f ca="1">IFERROR(G42/(SUM(G3:G24,G28:G47)),"")</f>
        <v>0</v>
      </c>
      <c r="M42" s="30" t="s">
        <v>185</v>
      </c>
    </row>
    <row r="43" spans="1:15" ht="15" customHeight="1" outlineLevel="1" collapsed="1" x14ac:dyDescent="0.2">
      <c r="A43" s="30" t="s">
        <v>155</v>
      </c>
      <c r="B43" s="31" t="s">
        <v>186</v>
      </c>
      <c r="C43" s="32" t="s">
        <v>187</v>
      </c>
      <c r="D43" s="33" t="s">
        <v>98</v>
      </c>
      <c r="E43" s="34">
        <v>0</v>
      </c>
      <c r="F43" s="35">
        <f>IF(IFERROR(INDEX('Monitor &amp; Recheck Triggers'!$H$3:$H$51,MATCH($B43,'Monitor &amp; Recheck Triggers'!$A$3:$A$51,0)),"")="",120.16,INDEX('Monitor &amp; Recheck Triggers'!$H$3:$H$51,MATCH($B43,'Monitor &amp; Recheck Triggers'!$A$3:$A$51,0)))</f>
        <v>120.16</v>
      </c>
      <c r="G43" s="36">
        <f t="shared" si="3"/>
        <v>0</v>
      </c>
      <c r="H43" s="37">
        <v>0</v>
      </c>
      <c r="I43" s="38">
        <f t="shared" si="4"/>
        <v>0</v>
      </c>
      <c r="J43" s="39" t="str">
        <f t="shared" si="5"/>
        <v/>
      </c>
      <c r="K43" s="39">
        <f ca="1">IFERROR(G43/SUM(G28:G47),"")</f>
        <v>0</v>
      </c>
      <c r="L43" s="39">
        <f ca="1">IFERROR(G43/(SUM(G3:G24,G28:G47)),"")</f>
        <v>0</v>
      </c>
      <c r="M43" s="30" t="s">
        <v>188</v>
      </c>
    </row>
    <row r="44" spans="1:15" ht="15" hidden="1" customHeight="1" outlineLevel="2" x14ac:dyDescent="0.2">
      <c r="A44" s="30" t="s">
        <v>155</v>
      </c>
      <c r="B44" s="40" t="s">
        <v>189</v>
      </c>
      <c r="C44" s="32" t="s">
        <v>190</v>
      </c>
      <c r="D44" s="33" t="s">
        <v>124</v>
      </c>
      <c r="E44" s="34">
        <v>427.26</v>
      </c>
      <c r="F44" s="35">
        <v>1</v>
      </c>
      <c r="G44" s="36">
        <f t="shared" si="3"/>
        <v>427.26</v>
      </c>
      <c r="H44" s="37">
        <v>427.26</v>
      </c>
      <c r="I44" s="38">
        <f t="shared" si="4"/>
        <v>0</v>
      </c>
      <c r="J44" s="39">
        <f t="shared" si="5"/>
        <v>0</v>
      </c>
      <c r="K44" s="39">
        <f ca="1">IFERROR(G44/SUM(G28:G47),"")</f>
        <v>1.4410207220991846E-3</v>
      </c>
      <c r="L44" s="39">
        <f ca="1">IFERROR(G44/(SUM(G3:G24,G28:G47)),"")</f>
        <v>6.0493045207013832E-4</v>
      </c>
      <c r="M44" s="30" t="s">
        <v>191</v>
      </c>
    </row>
    <row r="45" spans="1:15" ht="15" customHeight="1" x14ac:dyDescent="0.2">
      <c r="A45" s="30" t="s">
        <v>155</v>
      </c>
      <c r="B45" s="31" t="s">
        <v>192</v>
      </c>
      <c r="C45" s="32" t="s">
        <v>193</v>
      </c>
      <c r="D45" s="33" t="s">
        <v>98</v>
      </c>
      <c r="E45" s="34">
        <v>0</v>
      </c>
      <c r="F45" s="35" vm="20">
        <f ca="1">IF(IFERROR(INDEX('Monitor &amp; Recheck Triggers'!$H$3:$H$51,MATCH($B45,'Monitor &amp; Recheck Triggers'!$A$3:$A$51,0)),"")="",37.61,INDEX('Monitor &amp; Recheck Triggers'!$H$3:$H$51,MATCH($B45,'Monitor &amp; Recheck Triggers'!$A$3:$A$51,0)))</f>
        <v>35.090000000000003</v>
      </c>
      <c r="G45" s="36">
        <f t="shared" ca="1" si="3"/>
        <v>0</v>
      </c>
      <c r="H45" s="37">
        <v>0</v>
      </c>
      <c r="I45" s="38">
        <f t="shared" ca="1" si="4"/>
        <v>0</v>
      </c>
      <c r="J45" s="39" t="str">
        <f t="shared" si="5"/>
        <v/>
      </c>
      <c r="K45" s="39">
        <f ca="1">IFERROR(G45/SUM(G28:G47),"")</f>
        <v>0</v>
      </c>
      <c r="L45" s="39">
        <f ca="1">IFERROR(G45/(SUM(G3:G24,G28:G47)),"")</f>
        <v>0</v>
      </c>
      <c r="M45" s="30" t="s">
        <v>194</v>
      </c>
    </row>
    <row r="46" spans="1:15" ht="15" customHeight="1" outlineLevel="1" x14ac:dyDescent="0.2">
      <c r="A46" s="30" t="s">
        <v>155</v>
      </c>
      <c r="B46" s="31" t="s">
        <v>113</v>
      </c>
      <c r="C46" s="32" t="s">
        <v>114</v>
      </c>
      <c r="D46" s="33" t="s">
        <v>98</v>
      </c>
      <c r="E46" s="34">
        <v>20</v>
      </c>
      <c r="F46" s="35" vm="8">
        <f ca="1">IF(IFERROR(INDEX('Monitor &amp; Recheck Triggers'!$H$3:$H$51,MATCH($B46,'Monitor &amp; Recheck Triggers'!$A$3:$A$51,0)),"")="",209.05,INDEX('Monitor &amp; Recheck Triggers'!$H$3:$H$51,MATCH($B46,'Monitor &amp; Recheck Triggers'!$A$3:$A$51,0)))</f>
        <v>209.05</v>
      </c>
      <c r="G46" s="36">
        <f t="shared" ca="1" si="3"/>
        <v>4181</v>
      </c>
      <c r="H46" s="37">
        <v>3178</v>
      </c>
      <c r="I46" s="38">
        <f t="shared" ca="1" si="4"/>
        <v>1003</v>
      </c>
      <c r="J46" s="39">
        <f t="shared" ca="1" si="5"/>
        <v>0.31560730018879801</v>
      </c>
      <c r="K46" s="39">
        <f ca="1">IFERROR(G46/SUM(G28:G47),"")</f>
        <v>1.4101267703732368E-2</v>
      </c>
      <c r="L46" s="39">
        <f ca="1">IFERROR(G46/(SUM(G3:G24,G28:G47)),"")</f>
        <v>5.9196138653401873E-3</v>
      </c>
      <c r="M46" s="30"/>
    </row>
    <row r="47" spans="1:15" ht="13.5" customHeight="1" x14ac:dyDescent="0.2">
      <c r="A47" s="30" t="s">
        <v>155</v>
      </c>
      <c r="B47" s="40" t="s">
        <v>195</v>
      </c>
      <c r="C47" s="32" t="s">
        <v>196</v>
      </c>
      <c r="D47" s="33" t="s">
        <v>161</v>
      </c>
      <c r="E47" s="34">
        <v>180</v>
      </c>
      <c r="F47" s="35">
        <f>IF(IFERROR(INDEX('Monitor &amp; Recheck Triggers'!$H$3:$H$51,MATCH($B47,'Monitor &amp; Recheck Triggers'!$A$3:$A$51,0)),"")="",56.77,INDEX('Monitor &amp; Recheck Triggers'!$H$3:$H$51,MATCH($B47,'Monitor &amp; Recheck Triggers'!$A$3:$A$51,0)))</f>
        <v>56.77</v>
      </c>
      <c r="G47" s="36">
        <f t="shared" si="3"/>
        <v>10218.6</v>
      </c>
      <c r="H47" s="37">
        <v>10500.57</v>
      </c>
      <c r="I47" s="38">
        <f t="shared" si="4"/>
        <v>-281.96999999999935</v>
      </c>
      <c r="J47" s="39">
        <f t="shared" si="5"/>
        <v>-2.6852827989337635E-2</v>
      </c>
      <c r="K47" s="39">
        <f ca="1">IFERROR(G47/SUM(G28:G47),"")</f>
        <v>3.4464294225630132E-2</v>
      </c>
      <c r="L47" s="39">
        <f ca="1">IFERROR(G47/(SUM(G3:G24,G28:G47)),"")</f>
        <v>1.4467870424387765E-2</v>
      </c>
      <c r="M47" s="30" t="s">
        <v>130</v>
      </c>
    </row>
    <row r="48" spans="1:15" ht="15" customHeight="1" x14ac:dyDescent="0.2">
      <c r="A48" s="41" t="s">
        <v>152</v>
      </c>
      <c r="B48" s="42">
        <f>SUBTOTAL(103,B28:B47)</f>
        <v>15</v>
      </c>
      <c r="C48" s="43" t="s">
        <v>197</v>
      </c>
      <c r="D48" s="44"/>
      <c r="E48" s="45"/>
      <c r="F48" s="46"/>
      <c r="G48" s="47">
        <f ca="1">SUM(G28:G47)</f>
        <v>296498.16511839995</v>
      </c>
      <c r="H48" s="48">
        <f>SUM(H28:H47)</f>
        <v>266025.71000000002</v>
      </c>
      <c r="I48" s="49">
        <f ca="1">SUM(I28:I47)</f>
        <v>30472.455118400008</v>
      </c>
      <c r="J48" s="50">
        <f ca="1">CurrentPositionsTable[[#This Row],[Unrealized G/L ($)]]/CurrentPositionsTable[[#This Row],[Cost Basis
($)]]</f>
        <v>0.11454703050468319</v>
      </c>
      <c r="K48" s="50">
        <f ca="1">SUM(K28:K47)</f>
        <v>1</v>
      </c>
      <c r="L48" s="50">
        <f ca="1">SUM(L28:L47)</f>
        <v>0.41979302781219924</v>
      </c>
      <c r="M48" s="51"/>
      <c r="N48" s="52"/>
      <c r="O48" s="52"/>
    </row>
    <row r="49" spans="1:13" ht="15" customHeight="1" x14ac:dyDescent="0.2">
      <c r="E49" s="53"/>
      <c r="I49" s="54" t="s">
        <v>154</v>
      </c>
      <c r="J49" s="55">
        <f ca="1">I48/(H48-H44-H28)</f>
        <v>0.12823377620316789</v>
      </c>
    </row>
    <row r="50" spans="1:13" ht="15" customHeight="1" x14ac:dyDescent="0.2">
      <c r="E50" s="53"/>
    </row>
    <row r="51" spans="1:13" ht="15" customHeight="1" x14ac:dyDescent="0.2">
      <c r="A51" s="30"/>
      <c r="B51" s="31"/>
      <c r="C51" s="32" t="s">
        <v>198</v>
      </c>
      <c r="D51" s="33"/>
      <c r="E51" s="34"/>
      <c r="F51" s="32"/>
      <c r="G51" s="36">
        <f ca="1">SUM(G3:G24)+SUM(G28:G47)</f>
        <v>706296.06847839989</v>
      </c>
      <c r="H51" s="37">
        <f>SUM(H3:H24)+SUM(H28:H47)</f>
        <v>653319.79</v>
      </c>
      <c r="I51" s="38">
        <f ca="1">SUM(I3:I24)+SUM(I28:I47)</f>
        <v>52976.278478400003</v>
      </c>
    </row>
    <row r="52" spans="1:13" ht="14.25" customHeight="1" x14ac:dyDescent="0.2">
      <c r="A52" s="30"/>
      <c r="B52" s="31"/>
      <c r="C52" s="32" t="s">
        <v>199</v>
      </c>
      <c r="D52" s="33"/>
      <c r="E52" s="34"/>
      <c r="F52" s="32"/>
      <c r="G52" s="36">
        <f>SUM(G14:G21)+G28+G29+G30+G32+G36+G37+G44+G47</f>
        <v>367915.15435209998</v>
      </c>
      <c r="H52" s="37">
        <f>SUM(H14:H21)+H28+H29+H30+H32+H36+H37+H44+H47</f>
        <v>354461.92</v>
      </c>
      <c r="I52" s="38">
        <f>G52-H52</f>
        <v>13453.2343521</v>
      </c>
      <c r="L52" s="39">
        <f ca="1">IFERROR(G52/G51,"")</f>
        <v>0.52090783280829156</v>
      </c>
      <c r="M52" s="30" t="s">
        <v>200</v>
      </c>
    </row>
    <row r="53" spans="1:13" ht="142.5" customHeight="1" x14ac:dyDescent="0.2">
      <c r="A53" s="1" t="s">
        <v>201</v>
      </c>
      <c r="B53" s="1"/>
      <c r="C53" s="1"/>
      <c r="D53" s="1"/>
      <c r="E53" s="1"/>
      <c r="F53" s="1"/>
      <c r="G53" s="1"/>
      <c r="H53" s="1"/>
      <c r="I53" s="1"/>
      <c r="J53" s="1"/>
      <c r="K53" s="1"/>
      <c r="L53" s="1"/>
      <c r="M53" s="1"/>
    </row>
  </sheetData>
  <mergeCells count="3">
    <mergeCell ref="A1:M1"/>
    <mergeCell ref="O1:P1"/>
    <mergeCell ref="A53:M53"/>
  </mergeCells>
  <conditionalFormatting sqref="I1:K1048576">
    <cfRule type="cellIs" dxfId="103" priority="2" operator="lessThan">
      <formula>0</formula>
    </cfRule>
  </conditionalFormatting>
  <pageMargins left="0.75" right="0.75" top="1" bottom="1" header="0.511811023622047" footer="0.51180555555555596"/>
  <pageSetup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1"/>
  <sheetViews>
    <sheetView showGridLines="0" zoomScale="90" zoomScaleNormal="90" workbookViewId="0">
      <pane ySplit="2" topLeftCell="A44" activePane="bottomLeft" state="frozen"/>
      <selection pane="bottomLeft" activeCell="I61" sqref="I61"/>
    </sheetView>
  </sheetViews>
  <sheetFormatPr baseColWidth="10" defaultColWidth="8.6640625" defaultRowHeight="15" outlineLevelRow="1" x14ac:dyDescent="0.2"/>
  <cols>
    <col min="1" max="1" width="8" style="56" customWidth="1"/>
    <col min="2" max="2" width="10.6640625" customWidth="1"/>
    <col min="3" max="3" width="11" customWidth="1"/>
    <col min="4" max="5" width="7.83203125" customWidth="1"/>
    <col min="6" max="6" width="14" customWidth="1"/>
    <col min="7" max="7" width="8.1640625" style="57" customWidth="1"/>
    <col min="8" max="9" width="8.33203125" customWidth="1"/>
    <col min="10" max="10" width="12" customWidth="1"/>
    <col min="11" max="11" width="8.5" customWidth="1"/>
    <col min="12" max="12" width="22" customWidth="1"/>
    <col min="13" max="13" width="7.33203125" customWidth="1"/>
    <col min="14" max="14" width="17.1640625" customWidth="1"/>
    <col min="15" max="15" width="10" customWidth="1"/>
    <col min="16" max="16" width="24" customWidth="1"/>
    <col min="17" max="17" width="28" customWidth="1"/>
  </cols>
  <sheetData>
    <row r="1" spans="1:17" ht="60" customHeight="1" x14ac:dyDescent="0.2">
      <c r="A1" s="232" t="s">
        <v>202</v>
      </c>
      <c r="B1" s="232"/>
      <c r="C1" s="232"/>
      <c r="D1" s="232"/>
      <c r="E1" s="232"/>
      <c r="F1" s="232"/>
      <c r="G1" s="232"/>
      <c r="H1" s="232"/>
      <c r="I1" s="232"/>
      <c r="J1" s="232"/>
      <c r="K1" s="232"/>
      <c r="L1" s="232"/>
      <c r="M1" s="232"/>
      <c r="N1" s="232"/>
      <c r="O1" s="232"/>
      <c r="P1" s="59" t="s">
        <v>203</v>
      </c>
      <c r="Q1" s="60">
        <v>46300</v>
      </c>
    </row>
    <row r="2" spans="1:17" s="63" customFormat="1" ht="42" customHeight="1" x14ac:dyDescent="0.2">
      <c r="A2" s="61" t="s">
        <v>82</v>
      </c>
      <c r="B2" s="61" t="s">
        <v>204</v>
      </c>
      <c r="C2" s="61" t="s">
        <v>205</v>
      </c>
      <c r="D2" s="61" t="s">
        <v>206</v>
      </c>
      <c r="E2" s="61" t="s">
        <v>207</v>
      </c>
      <c r="F2" s="61" t="s">
        <v>208</v>
      </c>
      <c r="G2" s="62" t="s">
        <v>209</v>
      </c>
      <c r="H2" s="61" t="s">
        <v>210</v>
      </c>
      <c r="I2" s="61" t="s">
        <v>211</v>
      </c>
      <c r="J2" s="61" t="s">
        <v>212</v>
      </c>
      <c r="K2" s="61" t="s">
        <v>213</v>
      </c>
      <c r="L2" s="61" t="s">
        <v>214</v>
      </c>
      <c r="M2" s="61" t="s">
        <v>215</v>
      </c>
      <c r="N2" s="61" t="s">
        <v>216</v>
      </c>
      <c r="O2" s="61" t="s">
        <v>217</v>
      </c>
      <c r="P2" s="61" t="s">
        <v>218</v>
      </c>
      <c r="Q2" s="61" t="s">
        <v>219</v>
      </c>
    </row>
    <row r="3" spans="1:17" ht="15" customHeight="1" x14ac:dyDescent="0.2">
      <c r="A3" s="64" t="s">
        <v>96</v>
      </c>
      <c r="B3" s="65" t="s">
        <v>220</v>
      </c>
      <c r="C3" s="66">
        <v>46295</v>
      </c>
      <c r="D3" s="65">
        <v>85.8</v>
      </c>
      <c r="E3" s="65">
        <v>4.57</v>
      </c>
      <c r="F3" s="67" t="s">
        <v>221</v>
      </c>
      <c r="G3" s="68">
        <v>239.94</v>
      </c>
      <c r="H3" s="69" vm="1">
        <f t="array" aca="1" ref="H3" ca="1">IFERROR(INDEX(_xlfn.STOCKHISTORY(A3,TODAY()-5,TODAY(),0,0,1),ROWS(_xlfn.STOCKHISTORY(A3,TODAY()-5,TODAY(),0,0,1)),1),"")</f>
        <v>242.27</v>
      </c>
      <c r="I3" s="70">
        <f t="shared" ref="I3:I34" ca="1" si="0">IF(OR(G3="",H3=""),"",H3/G3-1)</f>
        <v>9.7107610235893649E-3</v>
      </c>
      <c r="J3" s="71">
        <v>46365</v>
      </c>
      <c r="K3" s="65" t="s">
        <v>222</v>
      </c>
      <c r="L3" s="72" t="s">
        <v>223</v>
      </c>
      <c r="M3" s="65" t="s">
        <v>224</v>
      </c>
      <c r="N3" s="72"/>
      <c r="O3" s="73">
        <f t="shared" ref="O3:O34" ca="1" si="1">IF(C3="","",TODAY()-C3)</f>
        <v>10</v>
      </c>
      <c r="P3" s="74" t="str">
        <f t="shared" ref="P3:P34" ca="1" si="2">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2"/>
    </row>
    <row r="4" spans="1:17" ht="15" customHeight="1" x14ac:dyDescent="0.2">
      <c r="A4" s="64" t="s">
        <v>101</v>
      </c>
      <c r="B4" s="65" t="s">
        <v>220</v>
      </c>
      <c r="C4" s="66">
        <v>46278</v>
      </c>
      <c r="D4" s="65">
        <v>81</v>
      </c>
      <c r="E4" s="65">
        <v>4.29</v>
      </c>
      <c r="F4" s="67" t="s">
        <v>221</v>
      </c>
      <c r="G4" s="68">
        <v>199.59</v>
      </c>
      <c r="H4" s="69" vm="2">
        <f t="array" aca="1" ref="H4" ca="1">IFERROR(INDEX(_xlfn.STOCKHISTORY(A4,TODAY()-5,TODAY(),0,0,1),ROWS(_xlfn.STOCKHISTORY(A4,TODAY()-5,TODAY(),0,0,1)),1),"")</f>
        <v>216.74</v>
      </c>
      <c r="I4" s="70">
        <f t="shared" ca="1" si="0"/>
        <v>8.592614860463943E-2</v>
      </c>
      <c r="J4" s="71">
        <v>46329</v>
      </c>
      <c r="K4" s="65" t="s">
        <v>222</v>
      </c>
      <c r="L4" s="72" t="s">
        <v>225</v>
      </c>
      <c r="M4" s="65" t="s">
        <v>224</v>
      </c>
      <c r="N4" s="72"/>
      <c r="O4" s="73">
        <f t="shared" ca="1" si="1"/>
        <v>27</v>
      </c>
      <c r="P4" s="74" t="str">
        <f t="shared" ca="1" si="2"/>
        <v>DUE — INSIDER ACTIVITY</v>
      </c>
      <c r="Q4" s="72"/>
    </row>
    <row r="5" spans="1:17" ht="15" customHeight="1" x14ac:dyDescent="0.2">
      <c r="A5" s="64" t="s">
        <v>103</v>
      </c>
      <c r="B5" s="65" t="s">
        <v>220</v>
      </c>
      <c r="C5" s="66">
        <v>46278</v>
      </c>
      <c r="D5" s="65">
        <v>77.2</v>
      </c>
      <c r="E5" s="65">
        <v>3.86</v>
      </c>
      <c r="F5" s="67" t="s">
        <v>226</v>
      </c>
      <c r="G5" s="68">
        <v>1698.3</v>
      </c>
      <c r="H5" s="69" vm="3">
        <f t="array" aca="1" ref="H5" ca="1">IFERROR(INDEX(_xlfn.STOCKHISTORY(A5,TODAY()-5,TODAY(),0,0,1),ROWS(_xlfn.STOCKHISTORY(A5,TODAY()-5,TODAY(),0,0,1)),1),"")</f>
        <v>1780.34</v>
      </c>
      <c r="I5" s="70">
        <f t="shared" ca="1" si="0"/>
        <v>4.8307130660071751E-2</v>
      </c>
      <c r="J5" s="71">
        <v>46309</v>
      </c>
      <c r="K5" s="65" t="s">
        <v>224</v>
      </c>
      <c r="L5" s="72"/>
      <c r="M5" s="65" t="s">
        <v>224</v>
      </c>
      <c r="N5" s="72"/>
      <c r="O5" s="73">
        <f t="shared" ca="1" si="1"/>
        <v>27</v>
      </c>
      <c r="P5" s="74" t="str">
        <f t="shared" ca="1" si="2"/>
        <v>DUE — EARNINGS WINDOW</v>
      </c>
      <c r="Q5" s="72"/>
    </row>
    <row r="6" spans="1:17" ht="15" customHeight="1" x14ac:dyDescent="0.2">
      <c r="A6" s="64" t="s">
        <v>105</v>
      </c>
      <c r="B6" s="65" t="s">
        <v>220</v>
      </c>
      <c r="C6" s="66">
        <v>46278</v>
      </c>
      <c r="D6" s="65">
        <v>63.4</v>
      </c>
      <c r="E6" s="65">
        <v>3.5</v>
      </c>
      <c r="F6" s="67" t="s">
        <v>227</v>
      </c>
      <c r="G6" s="68">
        <v>206.74</v>
      </c>
      <c r="H6" s="69" vm="4">
        <f t="array" aca="1" ref="H6" ca="1">IFERROR(INDEX(_xlfn.STOCKHISTORY(A6,TODAY()-5,TODAY(),0,0,1),ROWS(_xlfn.STOCKHISTORY(A6,TODAY()-5,TODAY(),0,0,1)),1),"")</f>
        <v>275.04000000000002</v>
      </c>
      <c r="I6" s="70">
        <f t="shared" ca="1" si="0"/>
        <v>0.33036664409403116</v>
      </c>
      <c r="J6" s="71">
        <v>46357</v>
      </c>
      <c r="K6" s="65" t="s">
        <v>222</v>
      </c>
      <c r="L6" s="72" t="s">
        <v>228</v>
      </c>
      <c r="M6" s="65" t="s">
        <v>224</v>
      </c>
      <c r="N6" s="72"/>
      <c r="O6" s="73">
        <f t="shared" ca="1" si="1"/>
        <v>27</v>
      </c>
      <c r="P6" s="74" t="str">
        <f t="shared" ca="1" si="2"/>
        <v>DUE — PRICE MOVE ±20%</v>
      </c>
      <c r="Q6" s="72"/>
    </row>
    <row r="7" spans="1:17" ht="15" customHeight="1" x14ac:dyDescent="0.2">
      <c r="A7" s="64" t="s">
        <v>107</v>
      </c>
      <c r="B7" s="65" t="s">
        <v>220</v>
      </c>
      <c r="C7" s="66">
        <v>46278</v>
      </c>
      <c r="D7" s="65">
        <v>72.599999999999994</v>
      </c>
      <c r="E7" s="65">
        <v>3.71</v>
      </c>
      <c r="F7" s="67" t="s">
        <v>226</v>
      </c>
      <c r="G7" s="68">
        <v>180.64</v>
      </c>
      <c r="H7" s="69" vm="5">
        <f t="array" aca="1" ref="H7" ca="1">IFERROR(INDEX(_xlfn.STOCKHISTORY(A7,TODAY()-5,TODAY(),0,0,1),ROWS(_xlfn.STOCKHISTORY(A7,TODAY()-5,TODAY(),0,0,1)),1),"")</f>
        <v>195.57</v>
      </c>
      <c r="I7" s="70">
        <f t="shared" ca="1" si="0"/>
        <v>8.2650575730735198E-2</v>
      </c>
      <c r="J7" s="71">
        <v>46323</v>
      </c>
      <c r="K7" s="65" t="s">
        <v>222</v>
      </c>
      <c r="L7" s="72" t="s">
        <v>229</v>
      </c>
      <c r="M7" s="65" t="s">
        <v>224</v>
      </c>
      <c r="N7" s="72"/>
      <c r="O7" s="73">
        <f t="shared" ca="1" si="1"/>
        <v>27</v>
      </c>
      <c r="P7" s="74" t="str">
        <f t="shared" ca="1" si="2"/>
        <v>DUE — INSIDER ACTIVITY</v>
      </c>
      <c r="Q7" s="72"/>
    </row>
    <row r="8" spans="1:17" ht="15" customHeight="1" x14ac:dyDescent="0.2">
      <c r="A8" s="64" t="s">
        <v>109</v>
      </c>
      <c r="B8" s="65" t="s">
        <v>220</v>
      </c>
      <c r="C8" s="66">
        <v>46278</v>
      </c>
      <c r="D8" s="65">
        <v>67.8</v>
      </c>
      <c r="E8" s="65">
        <v>3.36</v>
      </c>
      <c r="F8" s="67" t="s">
        <v>226</v>
      </c>
      <c r="G8" s="68">
        <v>975.26</v>
      </c>
      <c r="H8" s="69" vm="6">
        <f t="array" aca="1" ref="H8" ca="1">IFERROR(INDEX(_xlfn.STOCKHISTORY(A8,TODAY()-5,TODAY(),0,0,1),ROWS(_xlfn.STOCKHISTORY(A8,TODAY()-5,TODAY(),0,0,1)),1),"")</f>
        <v>1029</v>
      </c>
      <c r="I8" s="70">
        <f t="shared" ca="1" si="0"/>
        <v>5.5103254516744249E-2</v>
      </c>
      <c r="J8" s="71">
        <v>46379</v>
      </c>
      <c r="K8" s="65" t="s">
        <v>224</v>
      </c>
      <c r="L8" s="72"/>
      <c r="M8" s="65" t="s">
        <v>224</v>
      </c>
      <c r="N8" s="72"/>
      <c r="O8" s="73">
        <f t="shared" ca="1" si="1"/>
        <v>27</v>
      </c>
      <c r="P8" s="74" t="str">
        <f t="shared" ca="1" si="2"/>
        <v>Monitor Only</v>
      </c>
      <c r="Q8" s="72"/>
    </row>
    <row r="9" spans="1:17" ht="15" customHeight="1" x14ac:dyDescent="0.2">
      <c r="A9" s="64" t="s">
        <v>111</v>
      </c>
      <c r="B9" s="65" t="s">
        <v>220</v>
      </c>
      <c r="C9" s="66">
        <v>46278</v>
      </c>
      <c r="D9" s="65">
        <v>89.2</v>
      </c>
      <c r="E9" s="65">
        <v>4.29</v>
      </c>
      <c r="F9" s="67" t="s">
        <v>221</v>
      </c>
      <c r="G9" s="68">
        <v>218.29</v>
      </c>
      <c r="H9" s="69" vm="7">
        <f t="array" aca="1" ref="H9" ca="1">IFERROR(INDEX(_xlfn.STOCKHISTORY(A9,TODAY()-5,TODAY(),0,0,1),ROWS(_xlfn.STOCKHISTORY(A9,TODAY()-5,TODAY(),0,0,1)),1),"")</f>
        <v>193.54</v>
      </c>
      <c r="I9" s="70">
        <f t="shared" ca="1" si="0"/>
        <v>-0.11338128178111684</v>
      </c>
      <c r="J9" s="71">
        <v>46343</v>
      </c>
      <c r="K9" s="65" t="s">
        <v>222</v>
      </c>
      <c r="L9" s="72" t="s">
        <v>230</v>
      </c>
      <c r="M9" s="65" t="s">
        <v>224</v>
      </c>
      <c r="N9" s="72"/>
      <c r="O9" s="73">
        <f t="shared" ca="1" si="1"/>
        <v>27</v>
      </c>
      <c r="P9" s="74" t="str">
        <f t="shared" ca="1" si="2"/>
        <v>DUE — INSIDER ACTIVITY</v>
      </c>
      <c r="Q9" s="72"/>
    </row>
    <row r="10" spans="1:17" ht="15" customHeight="1" x14ac:dyDescent="0.2">
      <c r="A10" s="64" t="s">
        <v>113</v>
      </c>
      <c r="B10" s="65" t="s">
        <v>220</v>
      </c>
      <c r="C10" s="66">
        <v>46278</v>
      </c>
      <c r="D10" s="65">
        <v>76.2</v>
      </c>
      <c r="E10" s="65">
        <v>4.07</v>
      </c>
      <c r="F10" s="67" t="s">
        <v>226</v>
      </c>
      <c r="G10" s="68">
        <v>167.23</v>
      </c>
      <c r="H10" s="69" vm="8">
        <f t="array" aca="1" ref="H10" ca="1">IFERROR(INDEX(_xlfn.STOCKHISTORY(A10,TODAY()-5,TODAY(),0,0,1),ROWS(_xlfn.STOCKHISTORY(A10,TODAY()-5,TODAY(),0,0,1)),1),"")</f>
        <v>209.05</v>
      </c>
      <c r="I10" s="70">
        <f t="shared" ca="1" si="0"/>
        <v>0.25007474735394375</v>
      </c>
      <c r="J10" s="71">
        <v>46328</v>
      </c>
      <c r="K10" s="65" t="s">
        <v>222</v>
      </c>
      <c r="L10" s="72" t="s">
        <v>231</v>
      </c>
      <c r="M10" s="65" t="s">
        <v>224</v>
      </c>
      <c r="N10" s="72"/>
      <c r="O10" s="73">
        <f t="shared" ca="1" si="1"/>
        <v>27</v>
      </c>
      <c r="P10" s="74" t="str">
        <f t="shared" ca="1" si="2"/>
        <v>DUE — PRICE MOVE ±20%</v>
      </c>
      <c r="Q10" s="72"/>
    </row>
    <row r="11" spans="1:17" ht="15" customHeight="1" x14ac:dyDescent="0.2">
      <c r="A11" s="64" t="s">
        <v>115</v>
      </c>
      <c r="B11" s="65" t="s">
        <v>220</v>
      </c>
      <c r="C11" s="66">
        <v>46278</v>
      </c>
      <c r="D11" s="65">
        <v>84</v>
      </c>
      <c r="E11" s="65">
        <v>4.21</v>
      </c>
      <c r="F11" s="67" t="s">
        <v>221</v>
      </c>
      <c r="G11" s="68">
        <v>433.24</v>
      </c>
      <c r="H11" s="69" vm="9">
        <f t="array" aca="1" ref="H11" ca="1">IFERROR(INDEX(_xlfn.STOCKHISTORY(A11,TODAY()-5,TODAY(),0,0,1),ROWS(_xlfn.STOCKHISTORY(A11,TODAY()-5,TODAY(),0,0,1)),1),"")</f>
        <v>453.31</v>
      </c>
      <c r="I11" s="70">
        <f t="shared" ca="1" si="0"/>
        <v>4.6325362385744695E-2</v>
      </c>
      <c r="J11" s="71">
        <v>46310</v>
      </c>
      <c r="K11" s="65" t="s">
        <v>222</v>
      </c>
      <c r="L11" s="72" t="s">
        <v>232</v>
      </c>
      <c r="M11" s="65" t="s">
        <v>224</v>
      </c>
      <c r="N11" s="72"/>
      <c r="O11" s="73">
        <f t="shared" ca="1" si="1"/>
        <v>27</v>
      </c>
      <c r="P11" s="74" t="str">
        <f t="shared" ca="1" si="2"/>
        <v>DUE — EARNINGS WINDOW</v>
      </c>
      <c r="Q11" s="72"/>
    </row>
    <row r="12" spans="1:17" ht="15" customHeight="1" x14ac:dyDescent="0.2">
      <c r="A12" s="64" t="s">
        <v>117</v>
      </c>
      <c r="B12" s="65" t="s">
        <v>220</v>
      </c>
      <c r="C12" s="66">
        <v>46278</v>
      </c>
      <c r="D12" s="65">
        <v>76.8</v>
      </c>
      <c r="E12" s="65">
        <v>3.93</v>
      </c>
      <c r="F12" s="67" t="s">
        <v>226</v>
      </c>
      <c r="G12" s="68">
        <v>257.06</v>
      </c>
      <c r="H12" s="69" vm="10">
        <f t="array" aca="1" ref="H12" ca="1">IFERROR(INDEX(_xlfn.STOCKHISTORY(A12,TODAY()-5,TODAY(),0,0,1),ROWS(_xlfn.STOCKHISTORY(A12,TODAY()-5,TODAY(),0,0,1)),1),"")</f>
        <v>242.78</v>
      </c>
      <c r="I12" s="70">
        <f t="shared" ca="1" si="0"/>
        <v>-5.5551233175134218E-2</v>
      </c>
      <c r="J12" s="71">
        <v>46316</v>
      </c>
      <c r="K12" s="65" t="s">
        <v>224</v>
      </c>
      <c r="L12" s="72"/>
      <c r="M12" s="65" t="s">
        <v>224</v>
      </c>
      <c r="N12" s="72"/>
      <c r="O12" s="73">
        <f t="shared" ca="1" si="1"/>
        <v>27</v>
      </c>
      <c r="P12" s="74" t="str">
        <f t="shared" ca="1" si="2"/>
        <v>Monitor Only</v>
      </c>
      <c r="Q12" s="72"/>
    </row>
    <row r="13" spans="1:17" ht="15" customHeight="1" x14ac:dyDescent="0.2">
      <c r="A13" s="64" t="s">
        <v>172</v>
      </c>
      <c r="B13" s="65" t="s">
        <v>220</v>
      </c>
      <c r="C13" s="66">
        <v>46300</v>
      </c>
      <c r="D13" s="65">
        <v>74.8</v>
      </c>
      <c r="E13" s="65">
        <v>3.64</v>
      </c>
      <c r="F13" s="67" t="s">
        <v>226</v>
      </c>
      <c r="G13" s="68">
        <v>355.14</v>
      </c>
      <c r="H13" s="69" vm="15">
        <f t="array" aca="1" ref="H13" ca="1">IFERROR(INDEX(_xlfn.STOCKHISTORY(A13,TODAY()-5,TODAY(),0,0,1),ROWS(_xlfn.STOCKHISTORY(A13,TODAY()-5,TODAY(),0,0,1)),1),"")</f>
        <v>361.54</v>
      </c>
      <c r="I13" s="70">
        <f t="shared" ca="1" si="0"/>
        <v>1.8021062116348574E-2</v>
      </c>
      <c r="J13" s="71">
        <v>46365</v>
      </c>
      <c r="K13" s="65" t="s">
        <v>222</v>
      </c>
      <c r="L13" s="72" t="s">
        <v>233</v>
      </c>
      <c r="M13" s="65" t="s">
        <v>224</v>
      </c>
      <c r="N13" s="72"/>
      <c r="O13" s="73">
        <f t="shared" ca="1" si="1"/>
        <v>5</v>
      </c>
      <c r="P13" s="74" t="str">
        <f t="shared" ca="1" si="2"/>
        <v>DUE — INSIDER ACTIVITY</v>
      </c>
      <c r="Q13" s="72" t="s">
        <v>234</v>
      </c>
    </row>
    <row r="14" spans="1:17" ht="15" customHeight="1" x14ac:dyDescent="0.2">
      <c r="A14" s="64" t="s">
        <v>177</v>
      </c>
      <c r="B14" s="65" t="s">
        <v>220</v>
      </c>
      <c r="C14" s="66">
        <v>46295</v>
      </c>
      <c r="D14" s="65">
        <v>76</v>
      </c>
      <c r="E14" s="65">
        <v>3.93</v>
      </c>
      <c r="F14" s="67" t="s">
        <v>226</v>
      </c>
      <c r="G14" s="68">
        <v>129.84</v>
      </c>
      <c r="H14" s="69" vm="17">
        <f t="array" aca="1" ref="H14" ca="1">IFERROR(INDEX(_xlfn.STOCKHISTORY(A14,TODAY()-5,TODAY(),0,0,1),ROWS(_xlfn.STOCKHISTORY(A14,TODAY()-5,TODAY(),0,0,1)),1),"")</f>
        <v>129.49</v>
      </c>
      <c r="I14" s="70">
        <f t="shared" ca="1" si="0"/>
        <v>-2.6956253850892731E-3</v>
      </c>
      <c r="J14" s="71">
        <v>46310</v>
      </c>
      <c r="K14" s="65" t="s">
        <v>224</v>
      </c>
      <c r="L14" s="72"/>
      <c r="M14" s="65" t="s">
        <v>224</v>
      </c>
      <c r="N14" s="72"/>
      <c r="O14" s="73">
        <f t="shared" ca="1" si="1"/>
        <v>10</v>
      </c>
      <c r="P14" s="74" t="str">
        <f t="shared" ca="1" si="2"/>
        <v>DUE — EARNINGS WINDOW</v>
      </c>
      <c r="Q14" s="72"/>
    </row>
    <row r="15" spans="1:17" ht="15" customHeight="1" x14ac:dyDescent="0.2">
      <c r="A15" s="64" t="s">
        <v>174</v>
      </c>
      <c r="B15" s="65" t="s">
        <v>220</v>
      </c>
      <c r="C15" s="66">
        <v>46300</v>
      </c>
      <c r="D15" s="65">
        <v>70.599999999999994</v>
      </c>
      <c r="E15" s="65">
        <v>3.43</v>
      </c>
      <c r="F15" s="67" t="s">
        <v>226</v>
      </c>
      <c r="G15" s="68">
        <v>504.73</v>
      </c>
      <c r="H15" s="69" vm="16">
        <f t="array" aca="1" ref="H15" ca="1">IFERROR(INDEX(_xlfn.STOCKHISTORY(A15,TODAY()-5,TODAY(),0,0,1),ROWS(_xlfn.STOCKHISTORY(A15,TODAY()-5,TODAY(),0,0,1)),1),"")</f>
        <v>510.08</v>
      </c>
      <c r="I15" s="70">
        <f t="shared" ca="1" si="0"/>
        <v>1.0599726586491665E-2</v>
      </c>
      <c r="J15" s="71">
        <v>46328</v>
      </c>
      <c r="K15" s="65" t="s">
        <v>224</v>
      </c>
      <c r="L15" s="72"/>
      <c r="M15" s="65" t="s">
        <v>224</v>
      </c>
      <c r="N15" s="72"/>
      <c r="O15" s="73">
        <f t="shared" ca="1" si="1"/>
        <v>5</v>
      </c>
      <c r="P15" s="74" t="str">
        <f t="shared" ca="1" si="2"/>
        <v>Monitor Only</v>
      </c>
      <c r="Q15" s="72" t="s">
        <v>235</v>
      </c>
    </row>
    <row r="16" spans="1:17" ht="15" customHeight="1" outlineLevel="1" x14ac:dyDescent="0.2">
      <c r="A16" s="64" t="s">
        <v>236</v>
      </c>
      <c r="B16" s="72" t="s">
        <v>237</v>
      </c>
      <c r="C16" s="66">
        <v>46246</v>
      </c>
      <c r="D16" s="65"/>
      <c r="E16" s="65">
        <v>1.36</v>
      </c>
      <c r="F16" s="67"/>
      <c r="G16" s="68">
        <v>53.52</v>
      </c>
      <c r="H16" s="69" vm="21">
        <f t="array" aca="1" ref="H16" ca="1">IFERROR(INDEX(_xlfn.STOCKHISTORY(A16,TODAY()-5,TODAY(),0,0,1),ROWS(_xlfn.STOCKHISTORY(A16,TODAY()-5,TODAY(),0,0,1)),1),"")</f>
        <v>42.3</v>
      </c>
      <c r="I16" s="70">
        <f t="shared" ca="1" si="0"/>
        <v>-0.20964125560538127</v>
      </c>
      <c r="J16" s="71">
        <v>46331</v>
      </c>
      <c r="K16" s="65" t="s">
        <v>224</v>
      </c>
      <c r="L16" s="72"/>
      <c r="M16" s="65" t="s">
        <v>224</v>
      </c>
      <c r="N16" s="72"/>
      <c r="O16" s="73">
        <f t="shared" ca="1" si="1"/>
        <v>59</v>
      </c>
      <c r="P16" s="74" t="str">
        <f t="shared" ca="1" si="2"/>
        <v>DUE — PRICE MOVE ±20%</v>
      </c>
      <c r="Q16" s="72"/>
    </row>
    <row r="17" spans="1:17" ht="15" customHeight="1" outlineLevel="1" x14ac:dyDescent="0.2">
      <c r="A17" s="64" t="s">
        <v>238</v>
      </c>
      <c r="B17" s="72" t="s">
        <v>237</v>
      </c>
      <c r="C17" s="66">
        <v>46246</v>
      </c>
      <c r="D17" s="65"/>
      <c r="E17" s="65">
        <v>2.79</v>
      </c>
      <c r="F17" s="67"/>
      <c r="G17" s="68">
        <v>125.22</v>
      </c>
      <c r="H17" s="69" vm="22">
        <f t="array" aca="1" ref="H17" ca="1">IFERROR(INDEX(_xlfn.STOCKHISTORY(A17,TODAY()-5,TODAY(),0,0,1),ROWS(_xlfn.STOCKHISTORY(A17,TODAY()-5,TODAY(),0,0,1)),1),"")</f>
        <v>111.37</v>
      </c>
      <c r="I17" s="70">
        <f t="shared" ca="1" si="0"/>
        <v>-0.11060533461108446</v>
      </c>
      <c r="J17" s="71">
        <v>46350</v>
      </c>
      <c r="K17" s="65" t="s">
        <v>222</v>
      </c>
      <c r="L17" s="72" t="s">
        <v>239</v>
      </c>
      <c r="M17" s="65" t="s">
        <v>224</v>
      </c>
      <c r="N17" s="72"/>
      <c r="O17" s="73">
        <f t="shared" ca="1" si="1"/>
        <v>59</v>
      </c>
      <c r="P17" s="74" t="str">
        <f t="shared" ca="1" si="2"/>
        <v>DUE — INSIDER ACTIVITY</v>
      </c>
      <c r="Q17" s="72"/>
    </row>
    <row r="18" spans="1:17" ht="15" customHeight="1" outlineLevel="1" x14ac:dyDescent="0.2">
      <c r="A18" s="64" t="s">
        <v>240</v>
      </c>
      <c r="B18" s="72" t="s">
        <v>237</v>
      </c>
      <c r="C18" s="66">
        <v>46245</v>
      </c>
      <c r="D18" s="65"/>
      <c r="E18" s="65">
        <v>1.79</v>
      </c>
      <c r="F18" s="67"/>
      <c r="G18" s="68">
        <v>44.84</v>
      </c>
      <c r="H18" s="69" vm="23">
        <f t="array" aca="1" ref="H18" ca="1">IFERROR(INDEX(_xlfn.STOCKHISTORY(A18,TODAY()-5,TODAY(),0,0,1),ROWS(_xlfn.STOCKHISTORY(A18,TODAY()-5,TODAY(),0,0,1)),1),"")</f>
        <v>45.02</v>
      </c>
      <c r="I18" s="70">
        <f t="shared" ca="1" si="0"/>
        <v>4.014272970561894E-3</v>
      </c>
      <c r="J18" s="71">
        <v>46328</v>
      </c>
      <c r="K18" s="65" t="s">
        <v>224</v>
      </c>
      <c r="L18" s="72"/>
      <c r="M18" s="65" t="s">
        <v>224</v>
      </c>
      <c r="N18" s="72"/>
      <c r="O18" s="73">
        <f t="shared" ca="1" si="1"/>
        <v>60</v>
      </c>
      <c r="P18" s="74" t="str">
        <f t="shared" ca="1" si="2"/>
        <v>Monitor Only</v>
      </c>
      <c r="Q18" s="72"/>
    </row>
    <row r="19" spans="1:17" ht="15" customHeight="1" outlineLevel="1" x14ac:dyDescent="0.2">
      <c r="A19" s="64" t="s">
        <v>241</v>
      </c>
      <c r="B19" s="72" t="s">
        <v>237</v>
      </c>
      <c r="C19" s="66">
        <v>46245</v>
      </c>
      <c r="D19" s="65"/>
      <c r="E19" s="65">
        <v>1.86</v>
      </c>
      <c r="F19" s="67"/>
      <c r="G19" s="68">
        <v>12.41</v>
      </c>
      <c r="H19" s="69" vm="24">
        <f t="array" aca="1" ref="H19" ca="1">IFERROR(INDEX(_xlfn.STOCKHISTORY(A19,TODAY()-5,TODAY(),0,0,1),ROWS(_xlfn.STOCKHISTORY(A19,TODAY()-5,TODAY(),0,0,1)),1),"")</f>
        <v>12.98</v>
      </c>
      <c r="I19" s="70">
        <f t="shared" ca="1" si="0"/>
        <v>4.5930701047542266E-2</v>
      </c>
      <c r="J19" s="71">
        <v>46314</v>
      </c>
      <c r="K19" s="65" t="s">
        <v>224</v>
      </c>
      <c r="L19" s="72"/>
      <c r="M19" s="65" t="s">
        <v>224</v>
      </c>
      <c r="N19" s="72"/>
      <c r="O19" s="73">
        <f t="shared" ca="1" si="1"/>
        <v>60</v>
      </c>
      <c r="P19" s="74" t="str">
        <f t="shared" ca="1" si="2"/>
        <v>Monitor Only</v>
      </c>
      <c r="Q19" s="72"/>
    </row>
    <row r="20" spans="1:17" ht="15" customHeight="1" x14ac:dyDescent="0.2">
      <c r="A20" s="64" t="s">
        <v>242</v>
      </c>
      <c r="B20" s="75" t="s">
        <v>243</v>
      </c>
      <c r="C20" s="66">
        <v>46245</v>
      </c>
      <c r="D20" s="65"/>
      <c r="E20" s="65">
        <v>3.71</v>
      </c>
      <c r="F20" s="67"/>
      <c r="G20" s="68">
        <v>32</v>
      </c>
      <c r="H20" s="69" vm="25">
        <f t="array" aca="1" ref="H20" ca="1">IFERROR(INDEX(_xlfn.STOCKHISTORY(A20,TODAY()-5,TODAY(),0,0,1),ROWS(_xlfn.STOCKHISTORY(A20,TODAY()-5,TODAY(),0,0,1)),1),"")</f>
        <v>31.59</v>
      </c>
      <c r="I20" s="70">
        <f t="shared" ca="1" si="0"/>
        <v>-1.2812500000000004E-2</v>
      </c>
      <c r="J20" s="71">
        <v>46323</v>
      </c>
      <c r="K20" s="65" t="s">
        <v>224</v>
      </c>
      <c r="L20" s="72"/>
      <c r="M20" s="65" t="s">
        <v>224</v>
      </c>
      <c r="N20" s="72"/>
      <c r="O20" s="73">
        <f t="shared" ca="1" si="1"/>
        <v>60</v>
      </c>
      <c r="P20" s="74" t="str">
        <f t="shared" ca="1" si="2"/>
        <v>Monitor Only</v>
      </c>
      <c r="Q20" s="72"/>
    </row>
    <row r="21" spans="1:17" ht="15" customHeight="1" x14ac:dyDescent="0.2">
      <c r="A21" s="64" t="s">
        <v>244</v>
      </c>
      <c r="B21" s="75" t="s">
        <v>243</v>
      </c>
      <c r="C21" s="66">
        <v>46245</v>
      </c>
      <c r="D21" s="65">
        <v>77.400000000000006</v>
      </c>
      <c r="E21" s="65">
        <v>4.1399999999999997</v>
      </c>
      <c r="F21" s="67" t="s">
        <v>226</v>
      </c>
      <c r="G21" s="68">
        <v>944.32</v>
      </c>
      <c r="H21" s="69" vm="26">
        <f t="array" aca="1" ref="H21" ca="1">IFERROR(INDEX(_xlfn.STOCKHISTORY(A21,TODAY()-5,TODAY(),0,0,1),ROWS(_xlfn.STOCKHISTORY(A21,TODAY()-5,TODAY(),0,0,1)),1),"")</f>
        <v>946.92</v>
      </c>
      <c r="I21" s="70">
        <f t="shared" ca="1" si="0"/>
        <v>2.7533039647575919E-3</v>
      </c>
      <c r="J21" s="71">
        <v>46366</v>
      </c>
      <c r="K21" s="65" t="s">
        <v>224</v>
      </c>
      <c r="L21" s="72"/>
      <c r="M21" s="65" t="s">
        <v>224</v>
      </c>
      <c r="N21" s="72"/>
      <c r="O21" s="73">
        <f t="shared" ca="1" si="1"/>
        <v>60</v>
      </c>
      <c r="P21" s="74" t="str">
        <f t="shared" ca="1" si="2"/>
        <v>Monitor Only</v>
      </c>
      <c r="Q21" s="72"/>
    </row>
    <row r="22" spans="1:17" ht="15" customHeight="1" outlineLevel="1" x14ac:dyDescent="0.2">
      <c r="A22" s="64" t="s">
        <v>245</v>
      </c>
      <c r="B22" s="76" t="s">
        <v>237</v>
      </c>
      <c r="C22" s="66">
        <v>46245</v>
      </c>
      <c r="D22" s="65"/>
      <c r="E22" s="65">
        <v>1.21</v>
      </c>
      <c r="F22" s="67"/>
      <c r="G22" s="68">
        <v>14.39</v>
      </c>
      <c r="H22" s="69" vm="27">
        <f t="array" aca="1" ref="H22" ca="1">IFERROR(INDEX(_xlfn.STOCKHISTORY(A22,TODAY()-5,TODAY(),0,0,1),ROWS(_xlfn.STOCKHISTORY(A22,TODAY()-5,TODAY(),0,0,1)),1),"")</f>
        <v>13.71</v>
      </c>
      <c r="I22" s="70">
        <f t="shared" ca="1" si="0"/>
        <v>-4.7255038220986756E-2</v>
      </c>
      <c r="J22" s="71">
        <v>46330</v>
      </c>
      <c r="K22" s="65" t="s">
        <v>224</v>
      </c>
      <c r="L22" s="72"/>
      <c r="M22" s="65" t="s">
        <v>224</v>
      </c>
      <c r="N22" s="72"/>
      <c r="O22" s="73">
        <f t="shared" ca="1" si="1"/>
        <v>60</v>
      </c>
      <c r="P22" s="74" t="str">
        <f t="shared" ca="1" si="2"/>
        <v>Monitor Only</v>
      </c>
      <c r="Q22" s="72"/>
    </row>
    <row r="23" spans="1:17" ht="15" customHeight="1" outlineLevel="1" x14ac:dyDescent="0.2">
      <c r="A23" s="64" t="s">
        <v>246</v>
      </c>
      <c r="B23" s="76" t="s">
        <v>237</v>
      </c>
      <c r="C23" s="66">
        <v>46245</v>
      </c>
      <c r="D23" s="65"/>
      <c r="E23" s="65">
        <v>2.36</v>
      </c>
      <c r="F23" s="67"/>
      <c r="G23" s="68">
        <v>94.94</v>
      </c>
      <c r="H23" s="69" vm="28">
        <f t="array" aca="1" ref="H23" ca="1">IFERROR(INDEX(_xlfn.STOCKHISTORY(A23,TODAY()-5,TODAY(),0,0,1),ROWS(_xlfn.STOCKHISTORY(A23,TODAY()-5,TODAY(),0,0,1)),1),"")</f>
        <v>86.73</v>
      </c>
      <c r="I23" s="70">
        <f t="shared" ca="1" si="0"/>
        <v>-8.6475668843480014E-2</v>
      </c>
      <c r="J23" s="71">
        <v>46240</v>
      </c>
      <c r="K23" s="65" t="s">
        <v>224</v>
      </c>
      <c r="L23" s="72"/>
      <c r="M23" s="65" t="s">
        <v>224</v>
      </c>
      <c r="N23" s="72"/>
      <c r="O23" s="73">
        <f t="shared" ca="1" si="1"/>
        <v>60</v>
      </c>
      <c r="P23" s="74" t="str">
        <f t="shared" ca="1" si="2"/>
        <v>Monitor Only</v>
      </c>
      <c r="Q23" s="72"/>
    </row>
    <row r="24" spans="1:17" ht="15" customHeight="1" outlineLevel="1" x14ac:dyDescent="0.2">
      <c r="A24" s="64" t="s">
        <v>247</v>
      </c>
      <c r="B24" s="76" t="s">
        <v>237</v>
      </c>
      <c r="C24" s="66">
        <v>46258</v>
      </c>
      <c r="D24" s="65"/>
      <c r="E24" s="65">
        <v>2.93</v>
      </c>
      <c r="F24" s="67"/>
      <c r="G24" s="68">
        <v>110.61</v>
      </c>
      <c r="H24" s="69" vm="29">
        <f t="array" aca="1" ref="H24" ca="1">IFERROR(INDEX(_xlfn.STOCKHISTORY(A24,TODAY()-5,TODAY(),0,0,1),ROWS(_xlfn.STOCKHISTORY(A24,TODAY()-5,TODAY(),0,0,1)),1),"")</f>
        <v>108.05</v>
      </c>
      <c r="I24" s="70">
        <f t="shared" ca="1" si="0"/>
        <v>-2.3144381159027283E-2</v>
      </c>
      <c r="J24" s="71">
        <v>46338</v>
      </c>
      <c r="K24" s="65" t="s">
        <v>222</v>
      </c>
      <c r="L24" s="72" t="s">
        <v>248</v>
      </c>
      <c r="M24" s="65" t="s">
        <v>224</v>
      </c>
      <c r="N24" s="72"/>
      <c r="O24" s="73">
        <f t="shared" ca="1" si="1"/>
        <v>47</v>
      </c>
      <c r="P24" s="74" t="str">
        <f t="shared" ca="1" si="2"/>
        <v>DUE — INSIDER ACTIVITY</v>
      </c>
      <c r="Q24" s="72"/>
    </row>
    <row r="25" spans="1:17" ht="15" customHeight="1" x14ac:dyDescent="0.2">
      <c r="A25" s="64" t="s">
        <v>249</v>
      </c>
      <c r="B25" s="75" t="s">
        <v>243</v>
      </c>
      <c r="C25" s="66">
        <v>46245</v>
      </c>
      <c r="D25" s="65"/>
      <c r="E25" s="65">
        <v>4.8600000000000003</v>
      </c>
      <c r="F25" s="67"/>
      <c r="G25" s="68">
        <v>357.34</v>
      </c>
      <c r="H25" s="69" vm="30">
        <f t="array" aca="1" ref="H25" ca="1">IFERROR(INDEX(_xlfn.STOCKHISTORY(A25,TODAY()-5,TODAY(),0,0,1),ROWS(_xlfn.STOCKHISTORY(A25,TODAY()-5,TODAY(),0,0,1)),1),"")</f>
        <v>309.36</v>
      </c>
      <c r="I25" s="70">
        <f t="shared" ca="1" si="0"/>
        <v>-0.13426988302457032</v>
      </c>
      <c r="J25" s="71">
        <v>46308</v>
      </c>
      <c r="K25" s="65" t="s">
        <v>224</v>
      </c>
      <c r="L25" s="72"/>
      <c r="M25" s="65" t="s">
        <v>224</v>
      </c>
      <c r="N25" s="72"/>
      <c r="O25" s="73">
        <f t="shared" ca="1" si="1"/>
        <v>60</v>
      </c>
      <c r="P25" s="74" t="str">
        <f t="shared" ca="1" si="2"/>
        <v>DUE — EARNINGS WINDOW</v>
      </c>
      <c r="Q25" s="72"/>
    </row>
    <row r="26" spans="1:17" ht="15" customHeight="1" outlineLevel="1" x14ac:dyDescent="0.2">
      <c r="A26" s="64" t="s">
        <v>250</v>
      </c>
      <c r="B26" s="76" t="s">
        <v>237</v>
      </c>
      <c r="C26" s="66">
        <v>46245</v>
      </c>
      <c r="D26" s="65"/>
      <c r="E26" s="65">
        <v>2.14</v>
      </c>
      <c r="F26" s="67"/>
      <c r="G26" s="68">
        <v>87.78</v>
      </c>
      <c r="H26" s="69" vm="31">
        <f t="array" aca="1" ref="H26" ca="1">IFERROR(INDEX(_xlfn.STOCKHISTORY(A26,TODAY()-5,TODAY(),0,0,1),ROWS(_xlfn.STOCKHISTORY(A26,TODAY()-5,TODAY(),0,0,1)),1),"")</f>
        <v>98.05</v>
      </c>
      <c r="I26" s="70">
        <f t="shared" ca="1" si="0"/>
        <v>0.11699703804966965</v>
      </c>
      <c r="J26" s="71">
        <v>46328</v>
      </c>
      <c r="K26" s="65" t="s">
        <v>222</v>
      </c>
      <c r="L26" s="72" t="s">
        <v>251</v>
      </c>
      <c r="M26" s="65" t="s">
        <v>224</v>
      </c>
      <c r="N26" s="72"/>
      <c r="O26" s="73">
        <f t="shared" ca="1" si="1"/>
        <v>60</v>
      </c>
      <c r="P26" s="74" t="str">
        <f t="shared" ca="1" si="2"/>
        <v>DUE — INSIDER ACTIVITY</v>
      </c>
      <c r="Q26" s="72"/>
    </row>
    <row r="27" spans="1:17" ht="15" customHeight="1" x14ac:dyDescent="0.2">
      <c r="A27" s="64" t="s">
        <v>252</v>
      </c>
      <c r="B27" s="75" t="s">
        <v>243</v>
      </c>
      <c r="C27" s="66">
        <v>46276</v>
      </c>
      <c r="D27" s="65"/>
      <c r="E27" s="65">
        <v>3.07</v>
      </c>
      <c r="F27" s="67"/>
      <c r="G27" s="68">
        <v>20.78</v>
      </c>
      <c r="H27" s="69" vm="32">
        <f t="array" aca="1" ref="H27" ca="1">IFERROR(INDEX(_xlfn.STOCKHISTORY(A27,TODAY()-5,TODAY(),0,0,1),ROWS(_xlfn.STOCKHISTORY(A27,TODAY()-5,TODAY(),0,0,1)),1),"")</f>
        <v>20.41</v>
      </c>
      <c r="I27" s="70">
        <f t="shared" ca="1" si="0"/>
        <v>-1.7805582290664201E-2</v>
      </c>
      <c r="J27" s="71">
        <v>46329</v>
      </c>
      <c r="K27" s="65" t="s">
        <v>222</v>
      </c>
      <c r="L27" s="72" t="s">
        <v>253</v>
      </c>
      <c r="M27" s="65" t="s">
        <v>224</v>
      </c>
      <c r="N27" s="72"/>
      <c r="O27" s="73">
        <f t="shared" ca="1" si="1"/>
        <v>29</v>
      </c>
      <c r="P27" s="74" t="str">
        <f t="shared" ca="1" si="2"/>
        <v>DUE — INSIDER ACTIVITY</v>
      </c>
      <c r="Q27" s="72"/>
    </row>
    <row r="28" spans="1:17" ht="15" customHeight="1" x14ac:dyDescent="0.2">
      <c r="A28" s="64" t="s">
        <v>254</v>
      </c>
      <c r="B28" s="75" t="s">
        <v>243</v>
      </c>
      <c r="C28" s="66">
        <v>46247</v>
      </c>
      <c r="D28" s="65"/>
      <c r="E28" s="65">
        <v>3.5</v>
      </c>
      <c r="F28" s="67"/>
      <c r="G28" s="68">
        <v>453.33</v>
      </c>
      <c r="H28" s="69" vm="33">
        <f t="array" aca="1" ref="H28" ca="1">IFERROR(INDEX(_xlfn.STOCKHISTORY(A28,TODAY()-5,TODAY(),0,0,1),ROWS(_xlfn.STOCKHISTORY(A28,TODAY()-5,TODAY(),0,0,1)),1),"")</f>
        <v>429.65</v>
      </c>
      <c r="I28" s="70">
        <f t="shared" ca="1" si="0"/>
        <v>-5.2235678203516267E-2</v>
      </c>
      <c r="J28" s="71">
        <v>46329</v>
      </c>
      <c r="K28" s="65" t="s">
        <v>222</v>
      </c>
      <c r="L28" s="72" t="s">
        <v>255</v>
      </c>
      <c r="M28" s="65" t="s">
        <v>224</v>
      </c>
      <c r="N28" s="72"/>
      <c r="O28" s="73">
        <f t="shared" ca="1" si="1"/>
        <v>58</v>
      </c>
      <c r="P28" s="74" t="str">
        <f t="shared" ca="1" si="2"/>
        <v>DUE — INSIDER ACTIVITY</v>
      </c>
      <c r="Q28" s="72"/>
    </row>
    <row r="29" spans="1:17" ht="15" customHeight="1" x14ac:dyDescent="0.2">
      <c r="A29" s="64" t="s">
        <v>256</v>
      </c>
      <c r="B29" s="75" t="s">
        <v>243</v>
      </c>
      <c r="C29" s="66">
        <v>46246</v>
      </c>
      <c r="D29" s="65"/>
      <c r="E29" s="65">
        <v>3.43</v>
      </c>
      <c r="F29" s="67"/>
      <c r="G29" s="68">
        <v>79.63</v>
      </c>
      <c r="H29" s="69" vm="34">
        <f t="array" aca="1" ref="H29" ca="1">IFERROR(INDEX(_xlfn.STOCKHISTORY(A29,TODAY()-5,TODAY(),0,0,1),ROWS(_xlfn.STOCKHISTORY(A29,TODAY()-5,TODAY(),0,0,1)),1),"")</f>
        <v>76.709999999999994</v>
      </c>
      <c r="I29" s="70">
        <f t="shared" ca="1" si="0"/>
        <v>-3.6669596885595901E-2</v>
      </c>
      <c r="J29" s="71">
        <v>46330</v>
      </c>
      <c r="K29" s="65" t="s">
        <v>222</v>
      </c>
      <c r="L29" s="72" t="s">
        <v>257</v>
      </c>
      <c r="M29" s="65" t="s">
        <v>224</v>
      </c>
      <c r="N29" s="72"/>
      <c r="O29" s="73">
        <f t="shared" ca="1" si="1"/>
        <v>59</v>
      </c>
      <c r="P29" s="74" t="str">
        <f t="shared" ca="1" si="2"/>
        <v>DUE — INSIDER ACTIVITY</v>
      </c>
      <c r="Q29" s="72"/>
    </row>
    <row r="30" spans="1:17" ht="15" customHeight="1" x14ac:dyDescent="0.2">
      <c r="A30" s="64" t="s">
        <v>143</v>
      </c>
      <c r="B30" s="75" t="s">
        <v>220</v>
      </c>
      <c r="C30" s="66">
        <v>46278</v>
      </c>
      <c r="D30" s="65">
        <v>84.2</v>
      </c>
      <c r="E30" s="65">
        <v>4.1399999999999997</v>
      </c>
      <c r="F30" s="67" t="s">
        <v>221</v>
      </c>
      <c r="G30" s="68">
        <v>323.66000000000003</v>
      </c>
      <c r="H30" s="69" vm="12">
        <f t="array" aca="1" ref="H30" ca="1">IFERROR(INDEX(_xlfn.STOCKHISTORY(A30,TODAY()-5,TODAY(),0,0,1),ROWS(_xlfn.STOCKHISTORY(A30,TODAY()-5,TODAY(),0,0,1)),1),"")</f>
        <v>308.2</v>
      </c>
      <c r="I30" s="70">
        <f t="shared" ca="1" si="0"/>
        <v>-4.7766174380522886E-2</v>
      </c>
      <c r="J30" s="71">
        <v>46315</v>
      </c>
      <c r="K30" s="65" t="s">
        <v>224</v>
      </c>
      <c r="L30" s="72"/>
      <c r="M30" s="65" t="s">
        <v>224</v>
      </c>
      <c r="N30" s="72"/>
      <c r="O30" s="73">
        <f t="shared" ca="1" si="1"/>
        <v>27</v>
      </c>
      <c r="P30" s="74" t="str">
        <f t="shared" ca="1" si="2"/>
        <v>Monitor Only</v>
      </c>
      <c r="Q30" s="72"/>
    </row>
    <row r="31" spans="1:17" ht="15" customHeight="1" outlineLevel="1" x14ac:dyDescent="0.2">
      <c r="A31" s="64" t="s">
        <v>258</v>
      </c>
      <c r="B31" s="76" t="s">
        <v>237</v>
      </c>
      <c r="C31" s="66">
        <v>46246</v>
      </c>
      <c r="D31" s="65"/>
      <c r="E31" s="65">
        <v>2.5</v>
      </c>
      <c r="F31" s="67"/>
      <c r="G31" s="68">
        <v>8.64</v>
      </c>
      <c r="H31" s="69" vm="35">
        <f t="array" aca="1" ref="H31" ca="1">IFERROR(INDEX(_xlfn.STOCKHISTORY(A31,TODAY()-5,TODAY(),0,0,1),ROWS(_xlfn.STOCKHISTORY(A31,TODAY()-5,TODAY(),0,0,1)),1),"")</f>
        <v>7.92</v>
      </c>
      <c r="I31" s="70">
        <f t="shared" ca="1" si="0"/>
        <v>-8.333333333333337E-2</v>
      </c>
      <c r="J31" s="71">
        <v>46331</v>
      </c>
      <c r="K31" s="65" t="s">
        <v>224</v>
      </c>
      <c r="L31" s="72"/>
      <c r="M31" s="65"/>
      <c r="N31" s="72"/>
      <c r="O31" s="73">
        <f t="shared" ca="1" si="1"/>
        <v>59</v>
      </c>
      <c r="P31" s="74" t="str">
        <f t="shared" ca="1" si="2"/>
        <v>Monitor Only</v>
      </c>
      <c r="Q31" s="72"/>
    </row>
    <row r="32" spans="1:17" ht="15" customHeight="1" outlineLevel="1" x14ac:dyDescent="0.2">
      <c r="A32" s="64" t="s">
        <v>259</v>
      </c>
      <c r="B32" s="76" t="s">
        <v>237</v>
      </c>
      <c r="C32" s="66">
        <v>46245</v>
      </c>
      <c r="D32" s="65"/>
      <c r="E32" s="65">
        <v>1.93</v>
      </c>
      <c r="F32" s="67"/>
      <c r="G32" s="68">
        <v>24.3</v>
      </c>
      <c r="H32" s="69" vm="36">
        <f t="array" aca="1" ref="H32" ca="1">IFERROR(INDEX(_xlfn.STOCKHISTORY(A32,TODAY()-5,TODAY(),0,0,1),ROWS(_xlfn.STOCKHISTORY(A32,TODAY()-5,TODAY(),0,0,1)),1),"")</f>
        <v>19.190000000000001</v>
      </c>
      <c r="I32" s="70">
        <f t="shared" ca="1" si="0"/>
        <v>-0.21028806584362136</v>
      </c>
      <c r="J32" s="71">
        <v>46261</v>
      </c>
      <c r="K32" s="65" t="s">
        <v>224</v>
      </c>
      <c r="L32" s="72"/>
      <c r="M32" s="65" t="s">
        <v>224</v>
      </c>
      <c r="N32" s="72"/>
      <c r="O32" s="73">
        <f t="shared" ca="1" si="1"/>
        <v>60</v>
      </c>
      <c r="P32" s="74" t="str">
        <f t="shared" ca="1" si="2"/>
        <v>DUE — PRICE MOVE ±20%</v>
      </c>
      <c r="Q32" s="72"/>
    </row>
    <row r="33" spans="1:17" ht="15" customHeight="1" outlineLevel="1" x14ac:dyDescent="0.2">
      <c r="A33" s="64" t="s">
        <v>260</v>
      </c>
      <c r="B33" s="76" t="s">
        <v>237</v>
      </c>
      <c r="C33" s="66">
        <v>46245</v>
      </c>
      <c r="D33" s="65"/>
      <c r="E33" s="65">
        <v>2.0699999999999998</v>
      </c>
      <c r="F33" s="67"/>
      <c r="G33" s="68">
        <v>21.48</v>
      </c>
      <c r="H33" s="69" vm="37">
        <f t="array" aca="1" ref="H33" ca="1">IFERROR(INDEX(_xlfn.STOCKHISTORY(A33,TODAY()-5,TODAY(),0,0,1),ROWS(_xlfn.STOCKHISTORY(A33,TODAY()-5,TODAY(),0,0,1)),1),"")</f>
        <v>19</v>
      </c>
      <c r="I33" s="70">
        <f t="shared" ca="1" si="0"/>
        <v>-0.11545623836126628</v>
      </c>
      <c r="J33" s="71">
        <v>46316</v>
      </c>
      <c r="K33" s="65" t="s">
        <v>222</v>
      </c>
      <c r="L33" s="72" t="s">
        <v>261</v>
      </c>
      <c r="M33" s="65" t="s">
        <v>224</v>
      </c>
      <c r="N33" s="72"/>
      <c r="O33" s="73">
        <f t="shared" ca="1" si="1"/>
        <v>60</v>
      </c>
      <c r="P33" s="74" t="str">
        <f t="shared" ca="1" si="2"/>
        <v>DUE — INSIDER ACTIVITY</v>
      </c>
      <c r="Q33" s="72"/>
    </row>
    <row r="34" spans="1:17" ht="15" customHeight="1" x14ac:dyDescent="0.2">
      <c r="A34" s="64" t="s">
        <v>262</v>
      </c>
      <c r="B34" s="75" t="s">
        <v>243</v>
      </c>
      <c r="C34" s="66">
        <v>46245</v>
      </c>
      <c r="D34" s="65"/>
      <c r="E34" s="65">
        <v>4.5</v>
      </c>
      <c r="F34" s="67"/>
      <c r="G34" s="68">
        <v>490.53</v>
      </c>
      <c r="H34" s="69" vm="38">
        <f t="array" aca="1" ref="H34" ca="1">IFERROR(INDEX(_xlfn.STOCKHISTORY(A34,TODAY()-5,TODAY(),0,0,1),ROWS(_xlfn.STOCKHISTORY(A34,TODAY()-5,TODAY(),0,0,1)),1),"")</f>
        <v>0.46</v>
      </c>
      <c r="I34" s="70">
        <f t="shared" ca="1" si="0"/>
        <v>-0.99906223880292744</v>
      </c>
      <c r="J34" s="71">
        <v>46324</v>
      </c>
      <c r="K34" s="65" t="s">
        <v>222</v>
      </c>
      <c r="L34" s="72" t="s">
        <v>263</v>
      </c>
      <c r="M34" s="65" t="s">
        <v>224</v>
      </c>
      <c r="N34" s="72"/>
      <c r="O34" s="73">
        <f t="shared" ca="1" si="1"/>
        <v>60</v>
      </c>
      <c r="P34" s="74" t="str">
        <f t="shared" ca="1" si="2"/>
        <v>DUE — PRICE MOVE ±20%</v>
      </c>
      <c r="Q34" s="72"/>
    </row>
    <row r="35" spans="1:17" ht="15" customHeight="1" outlineLevel="1" x14ac:dyDescent="0.2">
      <c r="A35" s="64" t="s">
        <v>264</v>
      </c>
      <c r="B35" s="76" t="s">
        <v>237</v>
      </c>
      <c r="C35" s="66">
        <v>46245</v>
      </c>
      <c r="D35" s="65"/>
      <c r="E35" s="65">
        <v>2.5</v>
      </c>
      <c r="F35" s="67"/>
      <c r="G35" s="68">
        <v>85.74</v>
      </c>
      <c r="H35" s="69" vm="39">
        <f t="array" aca="1" ref="H35" ca="1">IFERROR(INDEX(_xlfn.STOCKHISTORY(A35,TODAY()-5,TODAY(),0,0,1),ROWS(_xlfn.STOCKHISTORY(A35,TODAY()-5,TODAY(),0,0,1)),1),"")</f>
        <v>77.38</v>
      </c>
      <c r="I35" s="70">
        <f t="shared" ref="I35:I66" ca="1" si="3">IF(OR(G35="",H35=""),"",H35/G35-1)</f>
        <v>-9.7504082108700763E-2</v>
      </c>
      <c r="J35" s="71">
        <v>46316</v>
      </c>
      <c r="K35" s="65" t="s">
        <v>224</v>
      </c>
      <c r="L35" s="72"/>
      <c r="M35" s="65" t="s">
        <v>224</v>
      </c>
      <c r="N35" s="72"/>
      <c r="O35" s="73">
        <f t="shared" ref="O35:O51" ca="1" si="4">IF(C35="","",TODAY()-C35)</f>
        <v>60</v>
      </c>
      <c r="P35" s="74" t="str">
        <f t="shared" ref="P35:P66" ca="1" si="5">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2"/>
    </row>
    <row r="36" spans="1:17" ht="15" customHeight="1" x14ac:dyDescent="0.2">
      <c r="A36" s="64" t="s">
        <v>146</v>
      </c>
      <c r="B36" s="75" t="s">
        <v>220</v>
      </c>
      <c r="C36" s="66">
        <v>46278</v>
      </c>
      <c r="D36" s="65">
        <v>83.8</v>
      </c>
      <c r="E36" s="65">
        <v>4.21</v>
      </c>
      <c r="F36" s="67" t="s">
        <v>221</v>
      </c>
      <c r="G36" s="68">
        <v>77.400000000000006</v>
      </c>
      <c r="H36" s="69" vm="13">
        <f t="array" aca="1" ref="H36" ca="1">IFERROR(INDEX(_xlfn.STOCKHISTORY(A36,TODAY()-5,TODAY(),0,0,1),ROWS(_xlfn.STOCKHISTORY(A36,TODAY()-5,TODAY(),0,0,1)),1),"")</f>
        <v>70.3</v>
      </c>
      <c r="I36" s="70">
        <f t="shared" ca="1" si="3"/>
        <v>-9.1731266149870927E-2</v>
      </c>
      <c r="J36" s="71">
        <v>46315</v>
      </c>
      <c r="K36" s="65" t="s">
        <v>222</v>
      </c>
      <c r="L36" s="72" t="s">
        <v>265</v>
      </c>
      <c r="M36" s="65" t="s">
        <v>224</v>
      </c>
      <c r="N36" s="72"/>
      <c r="O36" s="73">
        <f t="shared" ca="1" si="4"/>
        <v>27</v>
      </c>
      <c r="P36" s="74" t="str">
        <f t="shared" ca="1" si="5"/>
        <v>DUE — INSIDER ACTIVITY</v>
      </c>
      <c r="Q36" s="72"/>
    </row>
    <row r="37" spans="1:17" ht="15" customHeight="1" outlineLevel="1" x14ac:dyDescent="0.2">
      <c r="A37" s="64" t="s">
        <v>266</v>
      </c>
      <c r="B37" s="76" t="s">
        <v>237</v>
      </c>
      <c r="C37" s="66">
        <v>46246</v>
      </c>
      <c r="D37" s="65"/>
      <c r="E37" s="65">
        <v>1.57</v>
      </c>
      <c r="F37" s="67"/>
      <c r="G37" s="68">
        <v>40.51</v>
      </c>
      <c r="H37" s="69" vm="40">
        <f t="array" aca="1" ref="H37" ca="1">IFERROR(INDEX(_xlfn.STOCKHISTORY(A37,TODAY()-5,TODAY(),0,0,1),ROWS(_xlfn.STOCKHISTORY(A37,TODAY()-5,TODAY(),0,0,1)),1),"")</f>
        <v>34.71</v>
      </c>
      <c r="I37" s="70">
        <f t="shared" ca="1" si="3"/>
        <v>-0.1431745248086892</v>
      </c>
      <c r="J37" s="71">
        <v>46373</v>
      </c>
      <c r="K37" s="65" t="s">
        <v>222</v>
      </c>
      <c r="L37" s="72" t="s">
        <v>267</v>
      </c>
      <c r="M37" s="65" t="s">
        <v>222</v>
      </c>
      <c r="N37" s="72" t="s">
        <v>268</v>
      </c>
      <c r="O37" s="73">
        <f t="shared" ca="1" si="4"/>
        <v>59</v>
      </c>
      <c r="P37" s="74" t="str">
        <f t="shared" ca="1" si="5"/>
        <v>DUE — INSIDER ACTIVITY</v>
      </c>
      <c r="Q37" s="72"/>
    </row>
    <row r="38" spans="1:17" ht="15" customHeight="1" outlineLevel="1" x14ac:dyDescent="0.2">
      <c r="A38" s="64" t="s">
        <v>269</v>
      </c>
      <c r="B38" s="76" t="s">
        <v>237</v>
      </c>
      <c r="C38" s="66">
        <v>46245</v>
      </c>
      <c r="D38" s="65"/>
      <c r="E38" s="65">
        <v>2.64</v>
      </c>
      <c r="F38" s="67"/>
      <c r="G38" s="68">
        <v>21.02</v>
      </c>
      <c r="H38" s="69" vm="41">
        <f t="array" aca="1" ref="H38" ca="1">IFERROR(INDEX(_xlfn.STOCKHISTORY(A38,TODAY()-5,TODAY(),0,0,1),ROWS(_xlfn.STOCKHISTORY(A38,TODAY()-5,TODAY(),0,0,1)),1),"")</f>
        <v>18.97</v>
      </c>
      <c r="I38" s="70">
        <f t="shared" ca="1" si="3"/>
        <v>-9.7526165556612754E-2</v>
      </c>
      <c r="J38" s="71">
        <v>46322</v>
      </c>
      <c r="K38" s="65" t="s">
        <v>222</v>
      </c>
      <c r="L38" s="72" t="s">
        <v>270</v>
      </c>
      <c r="M38" s="65" t="s">
        <v>222</v>
      </c>
      <c r="N38" s="72" t="s">
        <v>271</v>
      </c>
      <c r="O38" s="73">
        <f t="shared" ca="1" si="4"/>
        <v>60</v>
      </c>
      <c r="P38" s="74" t="str">
        <f t="shared" ca="1" si="5"/>
        <v>DUE — INSIDER ACTIVITY</v>
      </c>
      <c r="Q38" s="72"/>
    </row>
    <row r="39" spans="1:17" ht="15" customHeight="1" outlineLevel="1" x14ac:dyDescent="0.2">
      <c r="A39" s="64" t="s">
        <v>192</v>
      </c>
      <c r="B39" s="76" t="s">
        <v>237</v>
      </c>
      <c r="C39" s="66">
        <v>46240</v>
      </c>
      <c r="D39" s="65"/>
      <c r="E39" s="65">
        <v>2.64</v>
      </c>
      <c r="F39" s="67"/>
      <c r="G39" s="68">
        <v>37.340000000000003</v>
      </c>
      <c r="H39" s="69" vm="20">
        <f t="array" aca="1" ref="H39" ca="1">IFERROR(INDEX(_xlfn.STOCKHISTORY(A39,TODAY()-5,TODAY(),0,0,1),ROWS(_xlfn.STOCKHISTORY(A39,TODAY()-5,TODAY(),0,0,1)),1),"")</f>
        <v>35.090000000000003</v>
      </c>
      <c r="I39" s="70">
        <f t="shared" ca="1" si="3"/>
        <v>-6.0257096946973787E-2</v>
      </c>
      <c r="J39" s="71">
        <v>46337</v>
      </c>
      <c r="K39" s="65" t="s">
        <v>222</v>
      </c>
      <c r="L39" s="72" t="s">
        <v>272</v>
      </c>
      <c r="M39" s="65" t="s">
        <v>224</v>
      </c>
      <c r="N39" s="72"/>
      <c r="O39" s="73">
        <f t="shared" ca="1" si="4"/>
        <v>65</v>
      </c>
      <c r="P39" s="74" t="str">
        <f t="shared" ca="1" si="5"/>
        <v>DUE — INSIDER ACTIVITY</v>
      </c>
      <c r="Q39" s="72"/>
    </row>
    <row r="40" spans="1:17" ht="15" customHeight="1" x14ac:dyDescent="0.2">
      <c r="A40" s="64" t="s">
        <v>273</v>
      </c>
      <c r="B40" s="75" t="s">
        <v>243</v>
      </c>
      <c r="C40" s="66">
        <v>46245</v>
      </c>
      <c r="D40" s="65"/>
      <c r="E40" s="65">
        <v>4.21</v>
      </c>
      <c r="F40" s="67"/>
      <c r="G40" s="68">
        <v>145.21</v>
      </c>
      <c r="H40" s="69" vm="42">
        <f t="array" aca="1" ref="H40" ca="1">IFERROR(INDEX(_xlfn.STOCKHISTORY(A40,TODAY()-5,TODAY(),0,0,1),ROWS(_xlfn.STOCKHISTORY(A40,TODAY()-5,TODAY(),0,0,1)),1),"")</f>
        <v>151.22999999999999</v>
      </c>
      <c r="I40" s="70">
        <f t="shared" ca="1" si="3"/>
        <v>4.1457199917360965E-2</v>
      </c>
      <c r="J40" s="71">
        <v>46317</v>
      </c>
      <c r="K40" s="65" t="s">
        <v>222</v>
      </c>
      <c r="L40" s="72" t="s">
        <v>274</v>
      </c>
      <c r="M40" s="65" t="s">
        <v>224</v>
      </c>
      <c r="N40" s="72"/>
      <c r="O40" s="73">
        <f t="shared" ca="1" si="4"/>
        <v>60</v>
      </c>
      <c r="P40" s="74" t="str">
        <f t="shared" ca="1" si="5"/>
        <v>DUE — INSIDER ACTIVITY</v>
      </c>
      <c r="Q40" s="72"/>
    </row>
    <row r="41" spans="1:17" ht="15" customHeight="1" x14ac:dyDescent="0.2">
      <c r="A41" s="64" t="s">
        <v>275</v>
      </c>
      <c r="B41" s="75" t="s">
        <v>243</v>
      </c>
      <c r="C41" s="66">
        <v>46247</v>
      </c>
      <c r="D41" s="65"/>
      <c r="E41" s="65">
        <v>3.29</v>
      </c>
      <c r="F41" s="67"/>
      <c r="G41" s="68">
        <v>1058.8699999999999</v>
      </c>
      <c r="H41" s="69" vm="43">
        <f t="array" aca="1" ref="H41" ca="1">IFERROR(INDEX(_xlfn.STOCKHISTORY(A41,TODAY()-5,TODAY(),0,0,1),ROWS(_xlfn.STOCKHISTORY(A41,TODAY()-5,TODAY(),0,0,1)),1),"")</f>
        <v>962.56</v>
      </c>
      <c r="I41" s="70">
        <f t="shared" ca="1" si="3"/>
        <v>-9.0955452510695367E-2</v>
      </c>
      <c r="J41" s="71">
        <v>46331</v>
      </c>
      <c r="K41" s="65" t="s">
        <v>222</v>
      </c>
      <c r="L41" s="72" t="s">
        <v>276</v>
      </c>
      <c r="M41" s="65" t="s">
        <v>224</v>
      </c>
      <c r="N41" s="72"/>
      <c r="O41" s="73">
        <f t="shared" ca="1" si="4"/>
        <v>58</v>
      </c>
      <c r="P41" s="74" t="str">
        <f t="shared" ca="1" si="5"/>
        <v>DUE — INSIDER ACTIVITY</v>
      </c>
      <c r="Q41" s="72"/>
    </row>
    <row r="42" spans="1:17" ht="15" customHeight="1" outlineLevel="1" x14ac:dyDescent="0.2">
      <c r="A42" s="64" t="s">
        <v>277</v>
      </c>
      <c r="B42" s="72" t="s">
        <v>237</v>
      </c>
      <c r="C42" s="66">
        <v>46245</v>
      </c>
      <c r="D42" s="65"/>
      <c r="E42" s="65">
        <v>1.36</v>
      </c>
      <c r="F42" s="67"/>
      <c r="G42" s="68">
        <v>24.32</v>
      </c>
      <c r="H42" s="69" vm="44">
        <f t="array" aca="1" ref="H42" ca="1">IFERROR(INDEX(_xlfn.STOCKHISTORY(A42,TODAY()-5,TODAY(),0,0,1),ROWS(_xlfn.STOCKHISTORY(A42,TODAY()-5,TODAY(),0,0,1)),1),"")</f>
        <v>19.75</v>
      </c>
      <c r="I42" s="70">
        <f t="shared" ca="1" si="3"/>
        <v>-0.18791118421052633</v>
      </c>
      <c r="J42" s="71">
        <v>46331</v>
      </c>
      <c r="K42" s="65" t="s">
        <v>224</v>
      </c>
      <c r="L42" s="72"/>
      <c r="M42" s="65" t="s">
        <v>222</v>
      </c>
      <c r="N42" s="72" t="s">
        <v>278</v>
      </c>
      <c r="O42" s="73">
        <f t="shared" ca="1" si="4"/>
        <v>60</v>
      </c>
      <c r="P42" s="74" t="str">
        <f t="shared" ca="1" si="5"/>
        <v>WATCH — PRICE MOVE ±15%</v>
      </c>
      <c r="Q42" s="72"/>
    </row>
    <row r="43" spans="1:17" ht="15" customHeight="1" outlineLevel="1" x14ac:dyDescent="0.2">
      <c r="A43" s="77" t="s">
        <v>180</v>
      </c>
      <c r="B43" s="78" t="s">
        <v>237</v>
      </c>
      <c r="C43" s="79">
        <v>46240</v>
      </c>
      <c r="D43" s="80"/>
      <c r="E43" s="80">
        <v>1.86</v>
      </c>
      <c r="F43" s="67"/>
      <c r="G43" s="81">
        <v>87.2</v>
      </c>
      <c r="H43" s="82" vm="18">
        <f t="array" aca="1" ref="H43" ca="1">IFERROR(INDEX(_xlfn.STOCKHISTORY(A43,TODAY()-5,TODAY(),0,0,1),ROWS(_xlfn.STOCKHISTORY(A43,TODAY()-5,TODAY(),0,0,1)),1),"")</f>
        <v>65.14</v>
      </c>
      <c r="I43" s="26">
        <f t="shared" ca="1" si="3"/>
        <v>-0.25298165137614681</v>
      </c>
      <c r="J43" s="83">
        <v>46323</v>
      </c>
      <c r="K43" s="80" t="s">
        <v>222</v>
      </c>
      <c r="L43" s="78" t="s">
        <v>279</v>
      </c>
      <c r="M43" s="80" t="s">
        <v>224</v>
      </c>
      <c r="N43" s="78"/>
      <c r="O43" s="84">
        <f t="shared" ca="1" si="4"/>
        <v>65</v>
      </c>
      <c r="P43" s="24" t="str">
        <f t="shared" ca="1" si="5"/>
        <v>DUE — PRICE MOVE ±20%</v>
      </c>
      <c r="Q43" s="78"/>
    </row>
    <row r="44" spans="1:17" ht="15" customHeight="1" outlineLevel="1" x14ac:dyDescent="0.2">
      <c r="A44" s="77" t="s">
        <v>183</v>
      </c>
      <c r="B44" s="78" t="s">
        <v>237</v>
      </c>
      <c r="C44" s="79">
        <v>46240</v>
      </c>
      <c r="D44" s="80"/>
      <c r="E44" s="80">
        <v>1.93</v>
      </c>
      <c r="F44" s="67"/>
      <c r="G44" s="81">
        <v>319.52999999999997</v>
      </c>
      <c r="H44" s="82" vm="19">
        <f t="array" aca="1" ref="H44" ca="1">IFERROR(INDEX(_xlfn.STOCKHISTORY(A44,TODAY()-5,TODAY(),0,0,1),ROWS(_xlfn.STOCKHISTORY(A44,TODAY()-5,TODAY(),0,0,1)),1),"")</f>
        <v>382.7</v>
      </c>
      <c r="I44" s="26">
        <f t="shared" ca="1" si="3"/>
        <v>0.19769661690608098</v>
      </c>
      <c r="J44" s="83">
        <v>46316</v>
      </c>
      <c r="K44" s="80" t="s">
        <v>224</v>
      </c>
      <c r="L44" s="78"/>
      <c r="M44" s="80" t="s">
        <v>224</v>
      </c>
      <c r="N44" s="78"/>
      <c r="O44" s="84">
        <f t="shared" ca="1" si="4"/>
        <v>65</v>
      </c>
      <c r="P44" s="24" t="str">
        <f t="shared" ca="1" si="5"/>
        <v>WATCH — PRICE MOVE ±15%</v>
      </c>
      <c r="Q44" s="78"/>
    </row>
    <row r="45" spans="1:17" ht="15" customHeight="1" x14ac:dyDescent="0.2">
      <c r="A45" s="77" t="s">
        <v>119</v>
      </c>
      <c r="B45" s="80" t="s">
        <v>220</v>
      </c>
      <c r="C45" s="79">
        <v>46278</v>
      </c>
      <c r="D45" s="80">
        <v>73.400000000000006</v>
      </c>
      <c r="E45" s="80">
        <v>3.64</v>
      </c>
      <c r="F45" s="67" t="s">
        <v>226</v>
      </c>
      <c r="G45" s="81">
        <v>370.45</v>
      </c>
      <c r="H45" s="82" vm="11">
        <f t="array" aca="1" ref="H45" ca="1">IFERROR(INDEX(_xlfn.STOCKHISTORY(A45,TODAY()-5,TODAY(),0,0,1),ROWS(_xlfn.STOCKHISTORY(A45,TODAY()-5,TODAY(),0,0,1)),1),"")</f>
        <v>385.45</v>
      </c>
      <c r="I45" s="26">
        <f t="shared" ca="1" si="3"/>
        <v>4.0491294371710174E-2</v>
      </c>
      <c r="J45" s="83">
        <v>46322</v>
      </c>
      <c r="K45" s="80" t="s">
        <v>222</v>
      </c>
      <c r="L45" s="78" t="s">
        <v>280</v>
      </c>
      <c r="M45" s="80" t="s">
        <v>224</v>
      </c>
      <c r="N45" s="78"/>
      <c r="O45" s="84">
        <f t="shared" ca="1" si="4"/>
        <v>27</v>
      </c>
      <c r="P45" s="24" t="str">
        <f t="shared" ca="1" si="5"/>
        <v>DUE — INSIDER ACTIVITY</v>
      </c>
      <c r="Q45" s="78"/>
    </row>
    <row r="46" spans="1:17" ht="15" customHeight="1" outlineLevel="1" x14ac:dyDescent="0.2">
      <c r="A46" s="77" t="s">
        <v>281</v>
      </c>
      <c r="B46" s="78" t="s">
        <v>237</v>
      </c>
      <c r="C46" s="79">
        <v>46246</v>
      </c>
      <c r="D46" s="80"/>
      <c r="E46" s="80">
        <v>2.86</v>
      </c>
      <c r="F46" s="67"/>
      <c r="G46" s="81">
        <v>14.57</v>
      </c>
      <c r="H46" s="82" vm="45">
        <f t="array" aca="1" ref="H46" ca="1">IFERROR(INDEX(_xlfn.STOCKHISTORY(A46,TODAY()-5,TODAY(),0,0,1),ROWS(_xlfn.STOCKHISTORY(A46,TODAY()-5,TODAY(),0,0,1)),1),"")</f>
        <v>15</v>
      </c>
      <c r="I46" s="26">
        <f t="shared" ca="1" si="3"/>
        <v>2.951269732326689E-2</v>
      </c>
      <c r="J46" s="83">
        <v>46323</v>
      </c>
      <c r="K46" s="80" t="s">
        <v>222</v>
      </c>
      <c r="L46" s="78" t="s">
        <v>282</v>
      </c>
      <c r="M46" s="80" t="s">
        <v>224</v>
      </c>
      <c r="N46" s="78"/>
      <c r="O46" s="84">
        <f t="shared" ca="1" si="4"/>
        <v>59</v>
      </c>
      <c r="P46" s="24" t="str">
        <f t="shared" ca="1" si="5"/>
        <v>DUE — INSIDER ACTIVITY</v>
      </c>
      <c r="Q46" s="78"/>
    </row>
    <row r="47" spans="1:17" ht="15" customHeight="1" x14ac:dyDescent="0.2">
      <c r="A47" s="77" t="s">
        <v>283</v>
      </c>
      <c r="B47" s="75" t="s">
        <v>243</v>
      </c>
      <c r="C47" s="79">
        <v>46245</v>
      </c>
      <c r="D47" s="80"/>
      <c r="E47" s="80">
        <v>4.29</v>
      </c>
      <c r="F47" s="67"/>
      <c r="G47" s="81">
        <v>144.75</v>
      </c>
      <c r="H47" s="82" vm="46">
        <f t="array" aca="1" ref="H47" ca="1">IFERROR(INDEX(_xlfn.STOCKHISTORY(A47,TODAY()-5,TODAY(),0,0,1),ROWS(_xlfn.STOCKHISTORY(A47,TODAY()-5,TODAY(),0,0,1)),1),"")</f>
        <v>144.82</v>
      </c>
      <c r="I47" s="26">
        <f t="shared" ca="1" si="3"/>
        <v>4.835924006907355E-4</v>
      </c>
      <c r="J47" s="83">
        <v>46329</v>
      </c>
      <c r="K47" s="80" t="s">
        <v>222</v>
      </c>
      <c r="L47" s="78" t="s">
        <v>284</v>
      </c>
      <c r="M47" s="80" t="s">
        <v>224</v>
      </c>
      <c r="N47" s="78"/>
      <c r="O47" s="84">
        <f t="shared" ca="1" si="4"/>
        <v>60</v>
      </c>
      <c r="P47" s="24" t="str">
        <f t="shared" ca="1" si="5"/>
        <v>DUE — INSIDER ACTIVITY</v>
      </c>
      <c r="Q47" s="78"/>
    </row>
    <row r="48" spans="1:17" ht="15" customHeight="1" x14ac:dyDescent="0.2">
      <c r="A48" s="64" t="s">
        <v>285</v>
      </c>
      <c r="B48" s="75" t="s">
        <v>243</v>
      </c>
      <c r="C48" s="66">
        <v>46276</v>
      </c>
      <c r="D48" s="65"/>
      <c r="E48" s="65">
        <v>4</v>
      </c>
      <c r="F48" s="67"/>
      <c r="G48" s="68">
        <v>63.85</v>
      </c>
      <c r="H48" s="69" vm="47">
        <f t="array" aca="1" ref="H48" ca="1">IFERROR(INDEX(_xlfn.STOCKHISTORY(A48,TODAY()-5,TODAY(),0,0,1),ROWS(_xlfn.STOCKHISTORY(A48,TODAY()-5,TODAY(),0,0,1)),1),"")</f>
        <v>53.47</v>
      </c>
      <c r="I48" s="70">
        <f t="shared" ca="1" si="3"/>
        <v>-0.16256851996867661</v>
      </c>
      <c r="J48" s="71">
        <v>46329</v>
      </c>
      <c r="K48" s="65" t="s">
        <v>224</v>
      </c>
      <c r="L48" s="72"/>
      <c r="M48" s="65" t="s">
        <v>224</v>
      </c>
      <c r="N48" s="72"/>
      <c r="O48" s="73">
        <f t="shared" ca="1" si="4"/>
        <v>29</v>
      </c>
      <c r="P48" s="74" t="str">
        <f t="shared" ca="1" si="5"/>
        <v>WATCH — PRICE MOVE ±15%</v>
      </c>
      <c r="Q48" s="72" t="s">
        <v>286</v>
      </c>
    </row>
    <row r="49" spans="1:17" ht="15" customHeight="1" x14ac:dyDescent="0.2">
      <c r="A49" s="64" t="s">
        <v>287</v>
      </c>
      <c r="B49" s="75" t="s">
        <v>243</v>
      </c>
      <c r="C49" s="66">
        <v>46278</v>
      </c>
      <c r="D49" s="65">
        <v>70.8</v>
      </c>
      <c r="E49" s="65">
        <v>3.5</v>
      </c>
      <c r="F49" s="67" t="s">
        <v>226</v>
      </c>
      <c r="G49" s="68">
        <v>101.95</v>
      </c>
      <c r="H49" s="69" vm="48">
        <f t="array" aca="1" ref="H49" ca="1">IFERROR(INDEX(_xlfn.STOCKHISTORY(A49,TODAY()-5,TODAY(),0,0,1),ROWS(_xlfn.STOCKHISTORY(A49,TODAY()-5,TODAY(),0,0,1)),1),"")</f>
        <v>99.6</v>
      </c>
      <c r="I49" s="70">
        <f t="shared" ca="1" si="3"/>
        <v>-2.3050514958313006E-2</v>
      </c>
      <c r="J49" s="71">
        <v>46316</v>
      </c>
      <c r="K49" s="65" t="s">
        <v>224</v>
      </c>
      <c r="L49" s="72"/>
      <c r="M49" s="65" t="s">
        <v>224</v>
      </c>
      <c r="N49" s="72"/>
      <c r="O49" s="73">
        <f t="shared" ca="1" si="4"/>
        <v>27</v>
      </c>
      <c r="P49" s="74" t="str">
        <f t="shared" ca="1" si="5"/>
        <v>Monitor Only</v>
      </c>
      <c r="Q49" s="72" t="s">
        <v>288</v>
      </c>
    </row>
    <row r="50" spans="1:17" ht="15" customHeight="1" x14ac:dyDescent="0.2">
      <c r="A50" s="64" t="s">
        <v>289</v>
      </c>
      <c r="B50" s="75" t="s">
        <v>243</v>
      </c>
      <c r="C50" s="66">
        <v>46278</v>
      </c>
      <c r="D50" s="65">
        <v>72.400000000000006</v>
      </c>
      <c r="E50" s="65">
        <v>3.5</v>
      </c>
      <c r="F50" s="67" t="s">
        <v>226</v>
      </c>
      <c r="G50" s="68">
        <v>56.06</v>
      </c>
      <c r="H50" s="69" vm="49">
        <f t="array" aca="1" ref="H50" ca="1">IFERROR(INDEX(_xlfn.STOCKHISTORY(A50,TODAY()-5,TODAY(),0,0,1),ROWS(_xlfn.STOCKHISTORY(A50,TODAY()-5,TODAY(),0,0,1)),1),"")</f>
        <v>48.95</v>
      </c>
      <c r="I50" s="70">
        <f t="shared" ca="1" si="3"/>
        <v>-0.12682839814484481</v>
      </c>
      <c r="J50" s="71">
        <v>46318</v>
      </c>
      <c r="K50" s="65" t="s">
        <v>224</v>
      </c>
      <c r="L50" s="72"/>
      <c r="M50" s="65" t="s">
        <v>224</v>
      </c>
      <c r="N50" s="72"/>
      <c r="O50" s="73">
        <f t="shared" ca="1" si="4"/>
        <v>27</v>
      </c>
      <c r="P50" s="74" t="str">
        <f t="shared" ca="1" si="5"/>
        <v>Monitor Only</v>
      </c>
      <c r="Q50" s="72" t="s">
        <v>290</v>
      </c>
    </row>
    <row r="51" spans="1:17" ht="15" customHeight="1" x14ac:dyDescent="0.2">
      <c r="A51" s="64" t="s">
        <v>149</v>
      </c>
      <c r="B51" s="75" t="s">
        <v>220</v>
      </c>
      <c r="C51" s="66">
        <v>46297</v>
      </c>
      <c r="D51" s="65">
        <v>81.599999999999994</v>
      </c>
      <c r="E51" s="65">
        <v>4.29</v>
      </c>
      <c r="F51" s="67" t="s">
        <v>221</v>
      </c>
      <c r="G51" s="68">
        <v>273.33</v>
      </c>
      <c r="H51" s="69" vm="14">
        <f t="array" aca="1" ref="H51" ca="1">IFERROR(INDEX(_xlfn.STOCKHISTORY(A51,TODAY()-5,TODAY(),0,0,1),ROWS(_xlfn.STOCKHISTORY(A51,TODAY()-5,TODAY(),0,0,1)),1),"")</f>
        <v>296.13</v>
      </c>
      <c r="I51" s="70">
        <f t="shared" ca="1" si="3"/>
        <v>8.3415651410383207E-2</v>
      </c>
      <c r="J51" s="71">
        <v>46351</v>
      </c>
      <c r="K51" s="65" t="s">
        <v>222</v>
      </c>
      <c r="L51" s="72" t="s">
        <v>291</v>
      </c>
      <c r="M51" s="65" t="s">
        <v>224</v>
      </c>
      <c r="N51" s="72"/>
      <c r="O51" s="73">
        <f t="shared" ca="1" si="4"/>
        <v>8</v>
      </c>
      <c r="P51" s="74" t="str">
        <f t="shared" ca="1" si="5"/>
        <v>DUE — INSIDER ACTIVITY</v>
      </c>
      <c r="Q51" s="72" t="s">
        <v>292</v>
      </c>
    </row>
  </sheetData>
  <mergeCells count="1">
    <mergeCell ref="A1:O1"/>
  </mergeCells>
  <conditionalFormatting sqref="B3:B51">
    <cfRule type="expression" dxfId="102" priority="10">
      <formula>ISNUMBER(SEARCH("AVOID",B3))</formula>
    </cfRule>
  </conditionalFormatting>
  <conditionalFormatting sqref="F3:F51">
    <cfRule type="cellIs" dxfId="101" priority="2" operator="equal">
      <formula>"STRONG BUY"</formula>
    </cfRule>
    <cfRule type="cellIs" dxfId="100" priority="3" operator="equal">
      <formula>"BUY"</formula>
    </cfRule>
    <cfRule type="cellIs" dxfId="99" priority="4" operator="equal">
      <formula>"WATCH LIST"</formula>
    </cfRule>
    <cfRule type="cellIs" dxfId="98" priority="5" operator="equal">
      <formula>"AVOID"</formula>
    </cfRule>
    <cfRule type="cellIs" dxfId="97" priority="6" operator="equal">
      <formula>"PASS"</formula>
    </cfRule>
  </conditionalFormatting>
  <conditionalFormatting sqref="P3:P51">
    <cfRule type="expression" dxfId="96" priority="7">
      <formula>ISNUMBER(SEARCH("DUE",O3))</formula>
    </cfRule>
    <cfRule type="expression" dxfId="95" priority="8">
      <formula>ISNUMBER(SEARCH("WATCH",O3))</formula>
    </cfRule>
    <cfRule type="expression" dxfId="94" priority="9">
      <formula>O3="Monitor Only"</formula>
    </cfRule>
  </conditionalFormatting>
  <dataValidations count="2">
    <dataValidation type="list" allowBlank="1" sqref="B19:B51" xr:uid="{00000000-0002-0000-0300-000000000000}">
      <formula1>"Owned,Owned - Tier1 AVOID,Closed,Watch List,Tier-1 Avoid (external),Near-Miss"</formula1>
      <formula2>0</formula2>
    </dataValidation>
    <dataValidation type="list" allowBlank="1" sqref="K3:K51 M3:M51" xr:uid="{00000000-0002-0000-0300-000001000000}">
      <formula1>"Y,N"</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166"/>
  <sheetViews>
    <sheetView showGridLines="0" zoomScaleNormal="100" workbookViewId="0">
      <pane xSplit="1" ySplit="2" topLeftCell="B3" activePane="bottomRight" state="frozen"/>
      <selection pane="topRight" activeCell="B1" sqref="B1"/>
      <selection pane="bottomLeft" activeCell="A3" sqref="A3"/>
      <selection pane="bottomRight" activeCell="Q128" sqref="Q128"/>
    </sheetView>
  </sheetViews>
  <sheetFormatPr baseColWidth="10" defaultColWidth="13" defaultRowHeight="13" x14ac:dyDescent="0.15"/>
  <cols>
    <col min="1" max="1" width="12" style="85" customWidth="1"/>
    <col min="2" max="2" width="6.6640625" style="85" customWidth="1"/>
    <col min="3" max="3" width="6.5" style="85" customWidth="1"/>
    <col min="4" max="5" width="7" style="85" customWidth="1"/>
    <col min="6" max="6" width="7.1640625" style="85" customWidth="1"/>
    <col min="7" max="7" width="6.5" style="85" customWidth="1"/>
    <col min="8" max="8" width="7" style="85" customWidth="1"/>
    <col min="9" max="9" width="6.83203125" style="85" customWidth="1"/>
    <col min="10" max="10" width="5.6640625" style="85" customWidth="1"/>
    <col min="11" max="11" width="6.1640625" style="85" customWidth="1"/>
    <col min="12" max="13" width="5.6640625" style="85" customWidth="1"/>
    <col min="14" max="14" width="6.5" style="85" customWidth="1"/>
    <col min="15" max="16" width="6.83203125" style="85" customWidth="1"/>
    <col min="17" max="17" width="6.5" style="85" customWidth="1"/>
    <col min="18" max="18" width="6.33203125" style="85" customWidth="1"/>
    <col min="19" max="19" width="6.83203125" style="85" customWidth="1"/>
    <col min="20" max="27" width="6.5" style="85" customWidth="1"/>
    <col min="28" max="16384" width="13" style="85"/>
  </cols>
  <sheetData>
    <row r="1" spans="1:28" ht="25.5" customHeight="1" x14ac:dyDescent="0.15">
      <c r="A1" s="86" t="s">
        <v>293</v>
      </c>
      <c r="B1" s="87"/>
      <c r="C1" s="87"/>
      <c r="D1" s="87"/>
      <c r="E1" s="87"/>
      <c r="F1" s="87"/>
      <c r="G1" s="87"/>
      <c r="H1" s="87"/>
      <c r="I1" s="87"/>
      <c r="J1" s="87"/>
      <c r="K1" s="87"/>
      <c r="L1" s="87"/>
      <c r="M1" s="87"/>
      <c r="N1" s="87"/>
      <c r="O1" s="87"/>
      <c r="P1" s="87"/>
      <c r="Q1" s="87"/>
    </row>
    <row r="2" spans="1:28" ht="15" customHeight="1" x14ac:dyDescent="0.15">
      <c r="A2" s="88" t="s">
        <v>294</v>
      </c>
      <c r="B2" s="88" t="s">
        <v>96</v>
      </c>
      <c r="C2" s="88" t="s">
        <v>101</v>
      </c>
      <c r="D2" s="88" t="s">
        <v>103</v>
      </c>
      <c r="E2" s="88" t="s">
        <v>172</v>
      </c>
      <c r="F2" s="88" t="s">
        <v>105</v>
      </c>
      <c r="G2" s="88" t="s">
        <v>107</v>
      </c>
      <c r="H2" s="88" t="s">
        <v>109</v>
      </c>
      <c r="I2" s="88" t="s">
        <v>111</v>
      </c>
      <c r="J2" s="88" t="s">
        <v>177</v>
      </c>
      <c r="K2" s="88" t="s">
        <v>113</v>
      </c>
      <c r="L2" s="88" t="s">
        <v>115</v>
      </c>
      <c r="M2" s="88" t="s">
        <v>117</v>
      </c>
      <c r="N2" s="88" t="s">
        <v>174</v>
      </c>
      <c r="O2" s="88" t="s">
        <v>163</v>
      </c>
      <c r="P2" s="88" t="s">
        <v>128</v>
      </c>
      <c r="Q2" s="88" t="s">
        <v>169</v>
      </c>
      <c r="R2" s="88" t="s">
        <v>159</v>
      </c>
      <c r="S2" s="88" t="s">
        <v>140</v>
      </c>
      <c r="T2" s="88" t="s">
        <v>131</v>
      </c>
      <c r="U2" s="88" t="s">
        <v>134</v>
      </c>
      <c r="V2" s="88" t="s">
        <v>119</v>
      </c>
      <c r="W2" s="88" t="s">
        <v>136</v>
      </c>
      <c r="X2" s="88" t="s">
        <v>138</v>
      </c>
      <c r="Y2" s="88" t="s">
        <v>195</v>
      </c>
      <c r="Z2" s="88" t="s">
        <v>143</v>
      </c>
      <c r="AA2" s="88" t="s">
        <v>146</v>
      </c>
      <c r="AB2" s="88" t="s">
        <v>149</v>
      </c>
    </row>
    <row r="3" spans="1:28" ht="15" customHeight="1" x14ac:dyDescent="0.15">
      <c r="A3" s="89">
        <v>45184</v>
      </c>
      <c r="B3" s="90">
        <v>528.89</v>
      </c>
      <c r="C3" s="90">
        <v>46.18</v>
      </c>
      <c r="D3" s="90">
        <v>582.01</v>
      </c>
      <c r="E3" s="90">
        <v>82</v>
      </c>
      <c r="F3" s="90">
        <v>41.36</v>
      </c>
      <c r="G3" s="90">
        <v>44.35</v>
      </c>
      <c r="H3" s="90">
        <v>69.11</v>
      </c>
      <c r="I3" s="90">
        <v>43.77</v>
      </c>
      <c r="J3" s="90">
        <v>111.84</v>
      </c>
      <c r="K3" s="90">
        <v>15.33</v>
      </c>
      <c r="L3" s="90">
        <v>85.75</v>
      </c>
      <c r="M3" s="90">
        <v>38.020000000000003</v>
      </c>
      <c r="N3" s="90">
        <v>348.9</v>
      </c>
      <c r="O3" s="90">
        <v>75.31</v>
      </c>
      <c r="P3" s="90">
        <v>100.59</v>
      </c>
      <c r="Q3" s="90"/>
      <c r="R3" s="90">
        <v>34.479999999999997</v>
      </c>
      <c r="S3" s="90">
        <v>57.63</v>
      </c>
      <c r="T3" s="90">
        <v>25.24</v>
      </c>
      <c r="U3" s="90">
        <v>21.8</v>
      </c>
      <c r="V3" s="90">
        <v>235.63</v>
      </c>
      <c r="W3" s="90">
        <v>98.59</v>
      </c>
      <c r="X3" s="90"/>
      <c r="Y3" s="90">
        <v>43.23</v>
      </c>
      <c r="Z3" s="90">
        <v>90.68</v>
      </c>
      <c r="AA3" s="90">
        <v>39.69</v>
      </c>
      <c r="AB3" s="90">
        <v>209.01</v>
      </c>
    </row>
    <row r="4" spans="1:28" ht="15" customHeight="1" x14ac:dyDescent="0.15">
      <c r="A4" s="71">
        <v>45191</v>
      </c>
      <c r="B4" s="68">
        <v>512.9</v>
      </c>
      <c r="C4" s="68">
        <v>45.08</v>
      </c>
      <c r="D4" s="68">
        <v>572.69000000000005</v>
      </c>
      <c r="E4" s="68">
        <v>80.260000000000005</v>
      </c>
      <c r="F4" s="68">
        <v>40.64</v>
      </c>
      <c r="G4" s="68">
        <v>44.12</v>
      </c>
      <c r="H4" s="68">
        <v>68.12</v>
      </c>
      <c r="I4" s="68">
        <v>41.49</v>
      </c>
      <c r="J4" s="68">
        <v>103.57</v>
      </c>
      <c r="K4" s="68">
        <v>14.13</v>
      </c>
      <c r="L4" s="68">
        <v>82.28</v>
      </c>
      <c r="M4" s="68">
        <v>36.31</v>
      </c>
      <c r="N4" s="68">
        <v>349.53</v>
      </c>
      <c r="O4" s="68">
        <v>73.11</v>
      </c>
      <c r="P4" s="68">
        <v>98.44</v>
      </c>
      <c r="Q4" s="68"/>
      <c r="R4" s="68">
        <v>33.549999999999997</v>
      </c>
      <c r="S4" s="68">
        <v>56.23</v>
      </c>
      <c r="T4" s="68">
        <v>24.87</v>
      </c>
      <c r="U4" s="68">
        <v>21.3</v>
      </c>
      <c r="V4" s="68">
        <v>229.78</v>
      </c>
      <c r="W4" s="68">
        <v>96.44</v>
      </c>
      <c r="X4" s="68"/>
      <c r="Y4" s="68">
        <v>42.42</v>
      </c>
      <c r="Z4" s="68">
        <v>87.35</v>
      </c>
      <c r="AA4" s="68">
        <v>37.979999999999997</v>
      </c>
      <c r="AB4" s="68">
        <v>203.14</v>
      </c>
    </row>
    <row r="5" spans="1:28" ht="15" customHeight="1" x14ac:dyDescent="0.15">
      <c r="A5" s="71">
        <v>45198</v>
      </c>
      <c r="B5" s="68">
        <v>509.9</v>
      </c>
      <c r="C5" s="68">
        <v>45.98</v>
      </c>
      <c r="D5" s="68">
        <v>574.21</v>
      </c>
      <c r="E5" s="68">
        <v>80.41</v>
      </c>
      <c r="F5" s="68">
        <v>41.85</v>
      </c>
      <c r="G5" s="68">
        <v>44.79</v>
      </c>
      <c r="H5" s="68">
        <v>67.28</v>
      </c>
      <c r="I5" s="68">
        <v>43.37</v>
      </c>
      <c r="J5" s="68">
        <v>101.88</v>
      </c>
      <c r="K5" s="68">
        <v>16</v>
      </c>
      <c r="L5" s="68">
        <v>83.49</v>
      </c>
      <c r="M5" s="68">
        <v>37.06</v>
      </c>
      <c r="N5" s="68">
        <v>347.74</v>
      </c>
      <c r="O5" s="68">
        <v>74.31</v>
      </c>
      <c r="P5" s="68">
        <v>96.59</v>
      </c>
      <c r="Q5" s="68">
        <v>48.9</v>
      </c>
      <c r="R5" s="68">
        <v>33.57</v>
      </c>
      <c r="S5" s="68">
        <v>56.06</v>
      </c>
      <c r="T5" s="68">
        <v>24.94</v>
      </c>
      <c r="U5" s="68">
        <v>21.14</v>
      </c>
      <c r="V5" s="68">
        <v>224.82</v>
      </c>
      <c r="W5" s="68">
        <v>95.21</v>
      </c>
      <c r="X5" s="68"/>
      <c r="Y5" s="68">
        <v>41.95</v>
      </c>
      <c r="Z5" s="68">
        <v>86.86</v>
      </c>
      <c r="AA5" s="68">
        <v>37.76</v>
      </c>
      <c r="AB5" s="68">
        <v>203.45</v>
      </c>
    </row>
    <row r="6" spans="1:28" ht="15" customHeight="1" x14ac:dyDescent="0.15">
      <c r="A6" s="71">
        <v>45205</v>
      </c>
      <c r="B6" s="68">
        <v>526.67999999999995</v>
      </c>
      <c r="C6" s="68">
        <v>48.51</v>
      </c>
      <c r="D6" s="68">
        <v>582.69000000000005</v>
      </c>
      <c r="E6" s="68">
        <v>81.83</v>
      </c>
      <c r="F6" s="68">
        <v>44.17</v>
      </c>
      <c r="G6" s="68">
        <v>45.7</v>
      </c>
      <c r="H6" s="68">
        <v>69.3</v>
      </c>
      <c r="I6" s="68">
        <v>45.63</v>
      </c>
      <c r="J6" s="68">
        <v>98.88</v>
      </c>
      <c r="K6" s="68">
        <v>16.61</v>
      </c>
      <c r="L6" s="68">
        <v>85.79</v>
      </c>
      <c r="M6" s="68">
        <v>39.619999999999997</v>
      </c>
      <c r="N6" s="68">
        <v>360.62</v>
      </c>
      <c r="O6" s="68">
        <v>72.069999999999993</v>
      </c>
      <c r="P6" s="68">
        <v>94.44</v>
      </c>
      <c r="Q6" s="68">
        <v>49.06</v>
      </c>
      <c r="R6" s="68">
        <v>34.01</v>
      </c>
      <c r="S6" s="68">
        <v>56.68</v>
      </c>
      <c r="T6" s="68">
        <v>24.47</v>
      </c>
      <c r="U6" s="68">
        <v>20.8</v>
      </c>
      <c r="V6" s="68">
        <v>229.74</v>
      </c>
      <c r="W6" s="68">
        <v>93.36</v>
      </c>
      <c r="X6" s="68"/>
      <c r="Y6" s="68">
        <v>41.8</v>
      </c>
      <c r="Z6" s="68">
        <v>87.59</v>
      </c>
      <c r="AA6" s="68">
        <v>38.15</v>
      </c>
      <c r="AB6" s="68">
        <v>209.6</v>
      </c>
    </row>
    <row r="7" spans="1:28" ht="15" customHeight="1" x14ac:dyDescent="0.15">
      <c r="A7" s="71">
        <v>45212</v>
      </c>
      <c r="B7" s="68">
        <v>548.76</v>
      </c>
      <c r="C7" s="68">
        <v>47.46</v>
      </c>
      <c r="D7" s="68">
        <v>585.03</v>
      </c>
      <c r="E7" s="68">
        <v>85.5</v>
      </c>
      <c r="F7" s="68">
        <v>46.43</v>
      </c>
      <c r="G7" s="68">
        <v>47.54</v>
      </c>
      <c r="H7" s="68">
        <v>68.56</v>
      </c>
      <c r="I7" s="68">
        <v>45.33</v>
      </c>
      <c r="J7" s="68">
        <v>99.56</v>
      </c>
      <c r="K7" s="68">
        <v>17.36</v>
      </c>
      <c r="L7" s="68">
        <v>86.92</v>
      </c>
      <c r="M7" s="68">
        <v>38.950000000000003</v>
      </c>
      <c r="N7" s="68">
        <v>371</v>
      </c>
      <c r="O7" s="68">
        <v>72.260000000000005</v>
      </c>
      <c r="P7" s="68">
        <v>95.73</v>
      </c>
      <c r="Q7" s="68">
        <v>49.23</v>
      </c>
      <c r="R7" s="68">
        <v>34.1</v>
      </c>
      <c r="S7" s="68">
        <v>57</v>
      </c>
      <c r="T7" s="68">
        <v>24.82</v>
      </c>
      <c r="U7" s="68">
        <v>21.01</v>
      </c>
      <c r="V7" s="68">
        <v>232.31</v>
      </c>
      <c r="W7" s="68">
        <v>94.42</v>
      </c>
      <c r="X7" s="68"/>
      <c r="Y7" s="68">
        <v>42.16</v>
      </c>
      <c r="Z7" s="68">
        <v>85.94</v>
      </c>
      <c r="AA7" s="68">
        <v>35.57</v>
      </c>
      <c r="AB7" s="68">
        <v>216.11</v>
      </c>
    </row>
    <row r="8" spans="1:28" ht="15" customHeight="1" x14ac:dyDescent="0.15">
      <c r="A8" s="71">
        <v>45219</v>
      </c>
      <c r="B8" s="68">
        <v>540.96</v>
      </c>
      <c r="C8" s="68">
        <v>46.53</v>
      </c>
      <c r="D8" s="68">
        <v>565.86</v>
      </c>
      <c r="E8" s="68">
        <v>82.64</v>
      </c>
      <c r="F8" s="68">
        <v>44.69</v>
      </c>
      <c r="G8" s="68">
        <v>45.16</v>
      </c>
      <c r="H8" s="68">
        <v>66.59</v>
      </c>
      <c r="I8" s="68">
        <v>41.26</v>
      </c>
      <c r="J8" s="68">
        <v>93</v>
      </c>
      <c r="K8" s="68">
        <v>16.11</v>
      </c>
      <c r="L8" s="68">
        <v>87.73</v>
      </c>
      <c r="M8" s="68">
        <v>36.6</v>
      </c>
      <c r="N8" s="68">
        <v>361.86</v>
      </c>
      <c r="O8" s="68">
        <v>71.05</v>
      </c>
      <c r="P8" s="68">
        <v>93.91</v>
      </c>
      <c r="Q8" s="68">
        <v>48.67</v>
      </c>
      <c r="R8" s="68">
        <v>33.43</v>
      </c>
      <c r="S8" s="68">
        <v>55.35</v>
      </c>
      <c r="T8" s="68">
        <v>24.51</v>
      </c>
      <c r="U8" s="68">
        <v>20.7</v>
      </c>
      <c r="V8" s="68">
        <v>228.12</v>
      </c>
      <c r="W8" s="68">
        <v>93.27</v>
      </c>
      <c r="X8" s="68"/>
      <c r="Y8" s="68">
        <v>41.54</v>
      </c>
      <c r="Z8" s="68">
        <v>83.35</v>
      </c>
      <c r="AA8" s="68">
        <v>40.1</v>
      </c>
      <c r="AB8" s="68">
        <v>200.39</v>
      </c>
    </row>
    <row r="9" spans="1:28" ht="15" customHeight="1" x14ac:dyDescent="0.15">
      <c r="A9" s="71">
        <v>45226</v>
      </c>
      <c r="B9" s="68">
        <v>508.12</v>
      </c>
      <c r="C9" s="68">
        <v>44.05</v>
      </c>
      <c r="D9" s="68">
        <v>575.52</v>
      </c>
      <c r="E9" s="68">
        <v>81.16</v>
      </c>
      <c r="F9" s="68">
        <v>43.21</v>
      </c>
      <c r="G9" s="68">
        <v>44.72</v>
      </c>
      <c r="H9" s="68">
        <v>65.03</v>
      </c>
      <c r="I9" s="68">
        <v>40.380000000000003</v>
      </c>
      <c r="J9" s="68">
        <v>88.36</v>
      </c>
      <c r="K9" s="68">
        <v>15.07</v>
      </c>
      <c r="L9" s="68">
        <v>82.62</v>
      </c>
      <c r="M9" s="68">
        <v>36.28</v>
      </c>
      <c r="N9" s="68">
        <v>355.28</v>
      </c>
      <c r="O9" s="68">
        <v>69.95</v>
      </c>
      <c r="P9" s="68">
        <v>92.4</v>
      </c>
      <c r="Q9" s="68">
        <v>47.83</v>
      </c>
      <c r="R9" s="68">
        <v>32.729999999999997</v>
      </c>
      <c r="S9" s="68">
        <v>54.23</v>
      </c>
      <c r="T9" s="68">
        <v>23.7</v>
      </c>
      <c r="U9" s="68">
        <v>19.989999999999998</v>
      </c>
      <c r="V9" s="68">
        <v>224.1</v>
      </c>
      <c r="W9" s="68">
        <v>90.96</v>
      </c>
      <c r="X9" s="68"/>
      <c r="Y9" s="68">
        <v>40.619999999999997</v>
      </c>
      <c r="Z9" s="68">
        <v>83.56</v>
      </c>
      <c r="AA9" s="68">
        <v>39.79</v>
      </c>
      <c r="AB9" s="68">
        <v>189.52</v>
      </c>
    </row>
    <row r="10" spans="1:28" ht="15" customHeight="1" x14ac:dyDescent="0.15">
      <c r="A10" s="71">
        <v>45233</v>
      </c>
      <c r="B10" s="68">
        <v>563.66</v>
      </c>
      <c r="C10" s="68">
        <v>53.12</v>
      </c>
      <c r="D10" s="68">
        <v>628.24</v>
      </c>
      <c r="E10" s="68">
        <v>85.45</v>
      </c>
      <c r="F10" s="68">
        <v>47.06</v>
      </c>
      <c r="G10" s="68">
        <v>48.79</v>
      </c>
      <c r="H10" s="68">
        <v>71.900000000000006</v>
      </c>
      <c r="I10" s="68">
        <v>44.87</v>
      </c>
      <c r="J10" s="68">
        <v>96.74</v>
      </c>
      <c r="K10" s="68">
        <v>18.89</v>
      </c>
      <c r="L10" s="68">
        <v>88.19</v>
      </c>
      <c r="M10" s="68">
        <v>40.28</v>
      </c>
      <c r="N10" s="68">
        <v>376.2</v>
      </c>
      <c r="O10" s="68">
        <v>74.959999999999994</v>
      </c>
      <c r="P10" s="68">
        <v>97.82</v>
      </c>
      <c r="Q10" s="68">
        <v>49.76</v>
      </c>
      <c r="R10" s="68">
        <v>34.61</v>
      </c>
      <c r="S10" s="68">
        <v>57.4</v>
      </c>
      <c r="T10" s="68">
        <v>25.09</v>
      </c>
      <c r="U10" s="68">
        <v>20.99</v>
      </c>
      <c r="V10" s="68">
        <v>238.11</v>
      </c>
      <c r="W10" s="68">
        <v>95.67</v>
      </c>
      <c r="X10" s="68"/>
      <c r="Y10" s="68">
        <v>42.55</v>
      </c>
      <c r="Z10" s="68">
        <v>85.58</v>
      </c>
      <c r="AA10" s="68">
        <v>43.24</v>
      </c>
      <c r="AB10" s="68">
        <v>194.59</v>
      </c>
    </row>
    <row r="11" spans="1:28" ht="15" customHeight="1" x14ac:dyDescent="0.15">
      <c r="A11" s="71">
        <v>45240</v>
      </c>
      <c r="B11" s="68">
        <v>597.22</v>
      </c>
      <c r="C11" s="68">
        <v>51.71</v>
      </c>
      <c r="D11" s="68">
        <v>646.70000000000005</v>
      </c>
      <c r="E11" s="68">
        <v>92.69</v>
      </c>
      <c r="F11" s="68">
        <v>49.08</v>
      </c>
      <c r="G11" s="68">
        <v>52.17</v>
      </c>
      <c r="H11" s="68">
        <v>74.650000000000006</v>
      </c>
      <c r="I11" s="68">
        <v>48.19</v>
      </c>
      <c r="J11" s="68">
        <v>94.93</v>
      </c>
      <c r="K11" s="68">
        <v>19.670000000000002</v>
      </c>
      <c r="L11" s="68">
        <v>93.62</v>
      </c>
      <c r="M11" s="68">
        <v>41.67</v>
      </c>
      <c r="N11" s="68">
        <v>373.65</v>
      </c>
      <c r="O11" s="68">
        <v>72.400000000000006</v>
      </c>
      <c r="P11" s="68">
        <v>95.61</v>
      </c>
      <c r="Q11" s="68">
        <v>50.26</v>
      </c>
      <c r="R11" s="68">
        <v>35.33</v>
      </c>
      <c r="S11" s="68">
        <v>59.09</v>
      </c>
      <c r="T11" s="68">
        <v>24.93</v>
      </c>
      <c r="U11" s="68">
        <v>20.75</v>
      </c>
      <c r="V11" s="68">
        <v>240.23</v>
      </c>
      <c r="W11" s="68">
        <v>94.59</v>
      </c>
      <c r="X11" s="68"/>
      <c r="Y11" s="68">
        <v>42.72</v>
      </c>
      <c r="Z11" s="68">
        <v>90.57</v>
      </c>
      <c r="AA11" s="68">
        <v>44.72</v>
      </c>
      <c r="AB11" s="68">
        <v>165.08</v>
      </c>
    </row>
    <row r="12" spans="1:28" ht="15" customHeight="1" x14ac:dyDescent="0.15">
      <c r="A12" s="71">
        <v>45247</v>
      </c>
      <c r="B12" s="68">
        <v>602.66</v>
      </c>
      <c r="C12" s="68">
        <v>53.66</v>
      </c>
      <c r="D12" s="68">
        <v>670.96</v>
      </c>
      <c r="E12" s="68">
        <v>94.65</v>
      </c>
      <c r="F12" s="68">
        <v>51.77</v>
      </c>
      <c r="G12" s="68">
        <v>53.32</v>
      </c>
      <c r="H12" s="68">
        <v>76.83</v>
      </c>
      <c r="I12" s="68">
        <v>49.15</v>
      </c>
      <c r="J12" s="68">
        <v>99.94</v>
      </c>
      <c r="K12" s="68">
        <v>20.49</v>
      </c>
      <c r="L12" s="68">
        <v>95.68</v>
      </c>
      <c r="M12" s="68">
        <v>43.12</v>
      </c>
      <c r="N12" s="68">
        <v>350.5</v>
      </c>
      <c r="O12" s="68">
        <v>76.42</v>
      </c>
      <c r="P12" s="68">
        <v>99</v>
      </c>
      <c r="Q12" s="68">
        <v>50.91</v>
      </c>
      <c r="R12" s="68">
        <v>35.659999999999997</v>
      </c>
      <c r="S12" s="68">
        <v>60.37</v>
      </c>
      <c r="T12" s="68">
        <v>25.57</v>
      </c>
      <c r="U12" s="68">
        <v>21.25</v>
      </c>
      <c r="V12" s="68">
        <v>244.45</v>
      </c>
      <c r="W12" s="68">
        <v>97.01</v>
      </c>
      <c r="X12" s="68"/>
      <c r="Y12" s="68">
        <v>43.09</v>
      </c>
      <c r="Z12" s="68">
        <v>94.23</v>
      </c>
      <c r="AA12" s="68">
        <v>46.59</v>
      </c>
      <c r="AB12" s="68">
        <v>176.54</v>
      </c>
    </row>
    <row r="13" spans="1:28" ht="15" customHeight="1" x14ac:dyDescent="0.15">
      <c r="A13" s="71">
        <v>45254</v>
      </c>
      <c r="B13" s="68">
        <v>619.42999999999995</v>
      </c>
      <c r="C13" s="68">
        <v>54.6</v>
      </c>
      <c r="D13" s="68">
        <v>675.94</v>
      </c>
      <c r="E13" s="68">
        <v>94.76</v>
      </c>
      <c r="F13" s="68">
        <v>52.67</v>
      </c>
      <c r="G13" s="68">
        <v>54.41</v>
      </c>
      <c r="H13" s="68">
        <v>76.150000000000006</v>
      </c>
      <c r="I13" s="68">
        <v>47.63</v>
      </c>
      <c r="J13" s="68">
        <v>101.69</v>
      </c>
      <c r="K13" s="68">
        <v>19.2</v>
      </c>
      <c r="L13" s="68">
        <v>94</v>
      </c>
      <c r="M13" s="68">
        <v>42.52</v>
      </c>
      <c r="N13" s="68">
        <v>353.04</v>
      </c>
      <c r="O13" s="68">
        <v>76.430000000000007</v>
      </c>
      <c r="P13" s="68">
        <v>99.35</v>
      </c>
      <c r="Q13" s="68">
        <v>51.13</v>
      </c>
      <c r="R13" s="68">
        <v>35.85</v>
      </c>
      <c r="S13" s="68">
        <v>60.7</v>
      </c>
      <c r="T13" s="68">
        <v>25.75</v>
      </c>
      <c r="U13" s="68">
        <v>21.45</v>
      </c>
      <c r="V13" s="68">
        <v>249.1</v>
      </c>
      <c r="W13" s="68">
        <v>97.69</v>
      </c>
      <c r="X13" s="68"/>
      <c r="Y13" s="68">
        <v>43.42</v>
      </c>
      <c r="Z13" s="68">
        <v>94.27</v>
      </c>
      <c r="AA13" s="68">
        <v>47.96</v>
      </c>
      <c r="AB13" s="68">
        <v>176.57</v>
      </c>
    </row>
    <row r="14" spans="1:28" ht="15" customHeight="1" x14ac:dyDescent="0.15">
      <c r="A14" s="71">
        <v>45261</v>
      </c>
      <c r="B14" s="68">
        <v>612.47</v>
      </c>
      <c r="C14" s="68">
        <v>54.16</v>
      </c>
      <c r="D14" s="68">
        <v>676.94</v>
      </c>
      <c r="E14" s="68">
        <v>90.03</v>
      </c>
      <c r="F14" s="68">
        <v>58.76</v>
      </c>
      <c r="G14" s="68">
        <v>53.76</v>
      </c>
      <c r="H14" s="68">
        <v>75.22</v>
      </c>
      <c r="I14" s="68">
        <v>46.63</v>
      </c>
      <c r="J14" s="68">
        <v>107.37</v>
      </c>
      <c r="K14" s="68">
        <v>20.27</v>
      </c>
      <c r="L14" s="68">
        <v>94.69</v>
      </c>
      <c r="M14" s="68">
        <v>44.97</v>
      </c>
      <c r="N14" s="68">
        <v>351.16</v>
      </c>
      <c r="O14" s="68">
        <v>78.989999999999995</v>
      </c>
      <c r="P14" s="68">
        <v>102.26</v>
      </c>
      <c r="Q14" s="68">
        <v>51.18</v>
      </c>
      <c r="R14" s="68">
        <v>35.92</v>
      </c>
      <c r="S14" s="68">
        <v>60.57</v>
      </c>
      <c r="T14" s="68">
        <v>26.1</v>
      </c>
      <c r="U14" s="68">
        <v>21.85</v>
      </c>
      <c r="V14" s="68">
        <v>251.2</v>
      </c>
      <c r="W14" s="68">
        <v>99.38</v>
      </c>
      <c r="X14" s="68"/>
      <c r="Y14" s="68">
        <v>43.62</v>
      </c>
      <c r="Z14" s="68">
        <v>96.25</v>
      </c>
      <c r="AA14" s="68">
        <v>46.57</v>
      </c>
      <c r="AB14" s="68">
        <v>178.84</v>
      </c>
    </row>
    <row r="15" spans="1:28" ht="15" customHeight="1" x14ac:dyDescent="0.15">
      <c r="A15" s="71">
        <v>45268</v>
      </c>
      <c r="B15" s="68">
        <v>610.01</v>
      </c>
      <c r="C15" s="68">
        <v>56.01</v>
      </c>
      <c r="D15" s="68">
        <v>681.07</v>
      </c>
      <c r="E15" s="68">
        <v>91.41</v>
      </c>
      <c r="F15" s="68">
        <v>60.64</v>
      </c>
      <c r="G15" s="68">
        <v>52.33</v>
      </c>
      <c r="H15" s="68">
        <v>74.260000000000005</v>
      </c>
      <c r="I15" s="68">
        <v>47.37</v>
      </c>
      <c r="J15" s="68">
        <v>108.82</v>
      </c>
      <c r="K15" s="68">
        <v>17.77</v>
      </c>
      <c r="L15" s="68">
        <v>96.42</v>
      </c>
      <c r="M15" s="68">
        <v>46.98</v>
      </c>
      <c r="N15" s="68">
        <v>350.15</v>
      </c>
      <c r="O15" s="68">
        <v>79.650000000000006</v>
      </c>
      <c r="P15" s="68">
        <v>102.48</v>
      </c>
      <c r="Q15" s="68">
        <v>51.37</v>
      </c>
      <c r="R15" s="68">
        <v>36.18</v>
      </c>
      <c r="S15" s="68">
        <v>60.79</v>
      </c>
      <c r="T15" s="68">
        <v>26.33</v>
      </c>
      <c r="U15" s="68">
        <v>21.89</v>
      </c>
      <c r="V15" s="68">
        <v>250.51</v>
      </c>
      <c r="W15" s="68">
        <v>99.15</v>
      </c>
      <c r="X15" s="68"/>
      <c r="Y15" s="68">
        <v>43.49</v>
      </c>
      <c r="Z15" s="68">
        <v>94.75</v>
      </c>
      <c r="AA15" s="68">
        <v>45.38</v>
      </c>
      <c r="AB15" s="68">
        <v>172.71</v>
      </c>
    </row>
    <row r="16" spans="1:28" ht="15" customHeight="1" x14ac:dyDescent="0.15">
      <c r="A16" s="71">
        <v>45275</v>
      </c>
      <c r="B16" s="68">
        <v>584.67999999999995</v>
      </c>
      <c r="C16" s="68">
        <v>58.9</v>
      </c>
      <c r="D16" s="68">
        <v>736.36</v>
      </c>
      <c r="E16" s="68">
        <v>109.37</v>
      </c>
      <c r="F16" s="68">
        <v>65.02</v>
      </c>
      <c r="G16" s="68">
        <v>57.29</v>
      </c>
      <c r="H16" s="68">
        <v>80.64</v>
      </c>
      <c r="I16" s="68">
        <v>48.75</v>
      </c>
      <c r="J16" s="68">
        <v>122.68</v>
      </c>
      <c r="K16" s="68">
        <v>18.2</v>
      </c>
      <c r="L16" s="68">
        <v>98.99</v>
      </c>
      <c r="M16" s="68">
        <v>47.57</v>
      </c>
      <c r="N16" s="68">
        <v>410.68</v>
      </c>
      <c r="O16" s="68">
        <v>84.02</v>
      </c>
      <c r="P16" s="68">
        <v>105.54</v>
      </c>
      <c r="Q16" s="68">
        <v>51.84</v>
      </c>
      <c r="R16" s="68">
        <v>36.729999999999997</v>
      </c>
      <c r="S16" s="68">
        <v>62.87</v>
      </c>
      <c r="T16" s="68">
        <v>27.06</v>
      </c>
      <c r="U16" s="68">
        <v>22.77</v>
      </c>
      <c r="V16" s="68">
        <v>252.75</v>
      </c>
      <c r="W16" s="68">
        <v>102.56</v>
      </c>
      <c r="X16" s="68"/>
      <c r="Y16" s="68">
        <v>44.02</v>
      </c>
      <c r="Z16" s="68">
        <v>96.83</v>
      </c>
      <c r="AA16" s="68">
        <v>47.21</v>
      </c>
      <c r="AB16" s="68">
        <v>180.67</v>
      </c>
    </row>
    <row r="17" spans="1:28" ht="15" customHeight="1" x14ac:dyDescent="0.15">
      <c r="A17" s="71">
        <v>45282</v>
      </c>
      <c r="B17" s="68">
        <v>598.75</v>
      </c>
      <c r="C17" s="68">
        <v>59.56</v>
      </c>
      <c r="D17" s="68">
        <v>735.94</v>
      </c>
      <c r="E17" s="68">
        <v>109.11</v>
      </c>
      <c r="F17" s="68">
        <v>63.91</v>
      </c>
      <c r="G17" s="68">
        <v>57.05</v>
      </c>
      <c r="H17" s="68">
        <v>85.68</v>
      </c>
      <c r="I17" s="68">
        <v>48.69</v>
      </c>
      <c r="J17" s="68">
        <v>120.98</v>
      </c>
      <c r="K17" s="68">
        <v>17.41</v>
      </c>
      <c r="L17" s="68">
        <v>99.57</v>
      </c>
      <c r="M17" s="68">
        <v>48.62</v>
      </c>
      <c r="N17" s="68">
        <v>405.25</v>
      </c>
      <c r="O17" s="68">
        <v>86.35</v>
      </c>
      <c r="P17" s="68">
        <v>105.82</v>
      </c>
      <c r="Q17" s="68">
        <v>51.9</v>
      </c>
      <c r="R17" s="68">
        <v>36.840000000000003</v>
      </c>
      <c r="S17" s="68">
        <v>63.81</v>
      </c>
      <c r="T17" s="68">
        <v>27.39</v>
      </c>
      <c r="U17" s="68">
        <v>22.89</v>
      </c>
      <c r="V17" s="68">
        <v>253.14</v>
      </c>
      <c r="W17" s="68">
        <v>103.26</v>
      </c>
      <c r="X17" s="68"/>
      <c r="Y17" s="68">
        <v>44.08</v>
      </c>
      <c r="Z17" s="68">
        <v>99.55</v>
      </c>
      <c r="AA17" s="68">
        <v>48.68</v>
      </c>
      <c r="AB17" s="68">
        <v>190.85</v>
      </c>
    </row>
    <row r="18" spans="1:28" ht="15" customHeight="1" x14ac:dyDescent="0.15">
      <c r="A18" s="71">
        <v>45289</v>
      </c>
      <c r="B18" s="68">
        <v>596.6</v>
      </c>
      <c r="C18" s="68">
        <v>58.88</v>
      </c>
      <c r="D18" s="68">
        <v>740.23</v>
      </c>
      <c r="E18" s="68">
        <v>108.56</v>
      </c>
      <c r="F18" s="68">
        <v>63.83</v>
      </c>
      <c r="G18" s="68">
        <v>56.92</v>
      </c>
      <c r="H18" s="68">
        <v>84.65</v>
      </c>
      <c r="I18" s="68">
        <v>49.38</v>
      </c>
      <c r="J18" s="68">
        <v>121.8</v>
      </c>
      <c r="K18" s="68">
        <v>17.170000000000002</v>
      </c>
      <c r="L18" s="68">
        <v>100.4</v>
      </c>
      <c r="M18" s="68">
        <v>47.87</v>
      </c>
      <c r="N18" s="68">
        <v>406.89</v>
      </c>
      <c r="O18" s="68">
        <v>86.03</v>
      </c>
      <c r="P18" s="68">
        <v>106.25</v>
      </c>
      <c r="Q18" s="68">
        <v>51.99</v>
      </c>
      <c r="R18" s="68">
        <v>36.96</v>
      </c>
      <c r="S18" s="68">
        <v>64.260000000000005</v>
      </c>
      <c r="T18" s="68">
        <v>27.33</v>
      </c>
      <c r="U18" s="68">
        <v>22.98</v>
      </c>
      <c r="V18" s="68">
        <v>255.02</v>
      </c>
      <c r="W18" s="68">
        <v>103.89</v>
      </c>
      <c r="X18" s="68"/>
      <c r="Y18" s="68">
        <v>44.31</v>
      </c>
      <c r="Z18" s="68">
        <v>100.35</v>
      </c>
      <c r="AA18" s="68">
        <v>48.69</v>
      </c>
      <c r="AB18" s="68">
        <v>192.52</v>
      </c>
    </row>
    <row r="19" spans="1:28" ht="15" customHeight="1" x14ac:dyDescent="0.15">
      <c r="A19" s="71">
        <v>45296</v>
      </c>
      <c r="B19" s="68">
        <v>564.6</v>
      </c>
      <c r="C19" s="68">
        <v>57.73</v>
      </c>
      <c r="D19" s="68">
        <v>687.83</v>
      </c>
      <c r="E19" s="68">
        <v>102.04</v>
      </c>
      <c r="F19" s="68">
        <v>61.87</v>
      </c>
      <c r="G19" s="68">
        <v>53.3</v>
      </c>
      <c r="H19" s="68">
        <v>82.78</v>
      </c>
      <c r="I19" s="68">
        <v>48.96</v>
      </c>
      <c r="J19" s="68">
        <v>119.3</v>
      </c>
      <c r="K19" s="68">
        <v>15.98</v>
      </c>
      <c r="L19" s="68">
        <v>96.16</v>
      </c>
      <c r="M19" s="68">
        <v>46.16</v>
      </c>
      <c r="N19" s="68">
        <v>416.5</v>
      </c>
      <c r="O19" s="68">
        <v>83.8</v>
      </c>
      <c r="P19" s="68">
        <v>107</v>
      </c>
      <c r="Q19" s="68">
        <v>51.76</v>
      </c>
      <c r="R19" s="68">
        <v>36.380000000000003</v>
      </c>
      <c r="S19" s="68">
        <v>63.6</v>
      </c>
      <c r="T19" s="68">
        <v>27.35</v>
      </c>
      <c r="U19" s="68">
        <v>23.05</v>
      </c>
      <c r="V19" s="68">
        <v>254.38</v>
      </c>
      <c r="W19" s="68">
        <v>104.12</v>
      </c>
      <c r="X19" s="68"/>
      <c r="Y19" s="68">
        <v>44.12</v>
      </c>
      <c r="Z19" s="68">
        <v>99.29</v>
      </c>
      <c r="AA19" s="68">
        <v>47.41</v>
      </c>
      <c r="AB19" s="68">
        <v>185.69</v>
      </c>
    </row>
    <row r="20" spans="1:28" ht="15" customHeight="1" x14ac:dyDescent="0.15">
      <c r="A20" s="71">
        <v>45303</v>
      </c>
      <c r="B20" s="68">
        <v>596.54</v>
      </c>
      <c r="C20" s="68">
        <v>63.01</v>
      </c>
      <c r="D20" s="68">
        <v>697.49</v>
      </c>
      <c r="E20" s="68">
        <v>107.72</v>
      </c>
      <c r="F20" s="68">
        <v>70.84</v>
      </c>
      <c r="G20" s="68">
        <v>54.89</v>
      </c>
      <c r="H20" s="68">
        <v>81.72</v>
      </c>
      <c r="I20" s="68">
        <v>54.55</v>
      </c>
      <c r="J20" s="68">
        <v>120.2</v>
      </c>
      <c r="K20" s="68">
        <v>16.760000000000002</v>
      </c>
      <c r="L20" s="68">
        <v>97.73</v>
      </c>
      <c r="M20" s="68">
        <v>49.36</v>
      </c>
      <c r="N20" s="68">
        <v>433.4</v>
      </c>
      <c r="O20" s="68">
        <v>82.85</v>
      </c>
      <c r="P20" s="68">
        <v>105.52</v>
      </c>
      <c r="Q20" s="68">
        <v>52.27</v>
      </c>
      <c r="R20" s="68">
        <v>37.380000000000003</v>
      </c>
      <c r="S20" s="68">
        <v>65.569999999999993</v>
      </c>
      <c r="T20" s="68">
        <v>27.29</v>
      </c>
      <c r="U20" s="68">
        <v>23.02</v>
      </c>
      <c r="V20" s="68">
        <v>258.76</v>
      </c>
      <c r="W20" s="68">
        <v>103.76</v>
      </c>
      <c r="X20" s="68"/>
      <c r="Y20" s="68">
        <v>44.57</v>
      </c>
      <c r="Z20" s="68">
        <v>102.05</v>
      </c>
      <c r="AA20" s="68">
        <v>49.22</v>
      </c>
      <c r="AB20" s="68">
        <v>208.69</v>
      </c>
    </row>
    <row r="21" spans="1:28" ht="15" customHeight="1" x14ac:dyDescent="0.15">
      <c r="A21" s="71">
        <v>45310</v>
      </c>
      <c r="B21" s="68">
        <v>611.54999999999995</v>
      </c>
      <c r="C21" s="68">
        <v>65.88</v>
      </c>
      <c r="D21" s="68">
        <v>741.12</v>
      </c>
      <c r="E21" s="68">
        <v>117.79</v>
      </c>
      <c r="F21" s="68">
        <v>72.64</v>
      </c>
      <c r="G21" s="68">
        <v>60.02</v>
      </c>
      <c r="H21" s="68">
        <v>86.8</v>
      </c>
      <c r="I21" s="68">
        <v>59.32</v>
      </c>
      <c r="J21" s="68">
        <v>117.36</v>
      </c>
      <c r="K21" s="68">
        <v>16.78</v>
      </c>
      <c r="L21" s="68">
        <v>110.24</v>
      </c>
      <c r="M21" s="68">
        <v>53.49</v>
      </c>
      <c r="N21" s="68">
        <v>435.02</v>
      </c>
      <c r="O21" s="68">
        <v>83.1</v>
      </c>
      <c r="P21" s="68">
        <v>104.13</v>
      </c>
      <c r="Q21" s="68">
        <v>52.58</v>
      </c>
      <c r="R21" s="68">
        <v>38.04</v>
      </c>
      <c r="S21" s="68">
        <v>66.959999999999994</v>
      </c>
      <c r="T21" s="68">
        <v>27.03</v>
      </c>
      <c r="U21" s="68">
        <v>23.12</v>
      </c>
      <c r="V21" s="68">
        <v>265.36</v>
      </c>
      <c r="W21" s="68">
        <v>103.89</v>
      </c>
      <c r="X21" s="68"/>
      <c r="Y21" s="68">
        <v>44.7</v>
      </c>
      <c r="Z21" s="68">
        <v>102.06</v>
      </c>
      <c r="AA21" s="68">
        <v>48.29</v>
      </c>
      <c r="AB21" s="68">
        <v>207.15</v>
      </c>
    </row>
    <row r="22" spans="1:28" ht="15" customHeight="1" x14ac:dyDescent="0.15">
      <c r="A22" s="71">
        <v>45317</v>
      </c>
      <c r="B22" s="68">
        <v>613.92999999999995</v>
      </c>
      <c r="C22" s="68">
        <v>66.099999999999994</v>
      </c>
      <c r="D22" s="68">
        <v>848.61</v>
      </c>
      <c r="E22" s="68">
        <v>117.18</v>
      </c>
      <c r="F22" s="68">
        <v>72.58</v>
      </c>
      <c r="G22" s="68">
        <v>58.69</v>
      </c>
      <c r="H22" s="68">
        <v>87.34</v>
      </c>
      <c r="I22" s="68">
        <v>60.85</v>
      </c>
      <c r="J22" s="68">
        <v>115.93</v>
      </c>
      <c r="K22" s="68">
        <v>16.350000000000001</v>
      </c>
      <c r="L22" s="68">
        <v>113.2</v>
      </c>
      <c r="M22" s="68">
        <v>53.28</v>
      </c>
      <c r="N22" s="68">
        <v>430.17</v>
      </c>
      <c r="O22" s="68">
        <v>85.06</v>
      </c>
      <c r="P22" s="68">
        <v>105.77</v>
      </c>
      <c r="Q22" s="68">
        <v>52.91</v>
      </c>
      <c r="R22" s="68">
        <v>38.340000000000003</v>
      </c>
      <c r="S22" s="68">
        <v>68.040000000000006</v>
      </c>
      <c r="T22" s="68">
        <v>27.25</v>
      </c>
      <c r="U22" s="68">
        <v>23.25</v>
      </c>
      <c r="V22" s="68">
        <v>262.45999999999998</v>
      </c>
      <c r="W22" s="68">
        <v>105.16</v>
      </c>
      <c r="X22" s="68"/>
      <c r="Y22" s="68">
        <v>45.08</v>
      </c>
      <c r="Z22" s="68">
        <v>103.15</v>
      </c>
      <c r="AA22" s="68">
        <v>57.04</v>
      </c>
      <c r="AB22" s="68">
        <v>208.73</v>
      </c>
    </row>
    <row r="23" spans="1:28" ht="15" customHeight="1" x14ac:dyDescent="0.15">
      <c r="A23" s="71">
        <v>45324</v>
      </c>
      <c r="B23" s="68">
        <v>634.76</v>
      </c>
      <c r="C23" s="68">
        <v>68.28</v>
      </c>
      <c r="D23" s="68">
        <v>871.02</v>
      </c>
      <c r="E23" s="68">
        <v>119.07</v>
      </c>
      <c r="F23" s="68">
        <v>75.89</v>
      </c>
      <c r="G23" s="68">
        <v>59.17</v>
      </c>
      <c r="H23" s="68">
        <v>85.78</v>
      </c>
      <c r="I23" s="68">
        <v>65.97</v>
      </c>
      <c r="J23" s="68">
        <v>118.1</v>
      </c>
      <c r="K23" s="68">
        <v>17.02</v>
      </c>
      <c r="L23" s="68">
        <v>111.74</v>
      </c>
      <c r="M23" s="68">
        <v>61.27</v>
      </c>
      <c r="N23" s="68">
        <v>424.68</v>
      </c>
      <c r="O23" s="68">
        <v>83.47</v>
      </c>
      <c r="P23" s="68">
        <v>104.41</v>
      </c>
      <c r="Q23" s="68">
        <v>53.66</v>
      </c>
      <c r="R23" s="68">
        <v>38.71</v>
      </c>
      <c r="S23" s="68">
        <v>71.150000000000006</v>
      </c>
      <c r="T23" s="68">
        <v>27.51</v>
      </c>
      <c r="U23" s="68">
        <v>23.24</v>
      </c>
      <c r="V23" s="68">
        <v>271.51</v>
      </c>
      <c r="W23" s="68">
        <v>105.29</v>
      </c>
      <c r="X23" s="68"/>
      <c r="Y23" s="68">
        <v>45.53</v>
      </c>
      <c r="Z23" s="68">
        <v>107.35</v>
      </c>
      <c r="AA23" s="68">
        <v>56.46</v>
      </c>
      <c r="AB23" s="68">
        <v>206.8</v>
      </c>
    </row>
    <row r="24" spans="1:28" ht="15" customHeight="1" x14ac:dyDescent="0.15">
      <c r="A24" s="71">
        <v>45331</v>
      </c>
      <c r="B24" s="68">
        <v>627.21</v>
      </c>
      <c r="C24" s="68">
        <v>70.61</v>
      </c>
      <c r="D24" s="68">
        <v>930.29</v>
      </c>
      <c r="E24" s="68">
        <v>124.82</v>
      </c>
      <c r="F24" s="68">
        <v>82.33</v>
      </c>
      <c r="G24" s="68">
        <v>63.63</v>
      </c>
      <c r="H24" s="68">
        <v>84.87</v>
      </c>
      <c r="I24" s="68">
        <v>71.92</v>
      </c>
      <c r="J24" s="68">
        <v>121.05</v>
      </c>
      <c r="K24" s="68">
        <v>24.38</v>
      </c>
      <c r="L24" s="68">
        <v>128.5</v>
      </c>
      <c r="M24" s="68">
        <v>63.31</v>
      </c>
      <c r="N24" s="68">
        <v>422.91</v>
      </c>
      <c r="O24" s="68">
        <v>84.22</v>
      </c>
      <c r="P24" s="68">
        <v>103.48</v>
      </c>
      <c r="Q24" s="68">
        <v>53.89</v>
      </c>
      <c r="R24" s="68">
        <v>39.119999999999997</v>
      </c>
      <c r="S24" s="68">
        <v>72.849999999999994</v>
      </c>
      <c r="T24" s="68">
        <v>27.65</v>
      </c>
      <c r="U24" s="68">
        <v>23.18</v>
      </c>
      <c r="V24" s="68">
        <v>271.27999999999997</v>
      </c>
      <c r="W24" s="68">
        <v>105.06</v>
      </c>
      <c r="X24" s="68"/>
      <c r="Y24" s="68">
        <v>45.5</v>
      </c>
      <c r="Z24" s="68">
        <v>109.51</v>
      </c>
      <c r="AA24" s="68">
        <v>56.13</v>
      </c>
      <c r="AB24" s="68">
        <v>216.76</v>
      </c>
    </row>
    <row r="25" spans="1:28" ht="15" customHeight="1" x14ac:dyDescent="0.15">
      <c r="A25" s="71">
        <v>45338</v>
      </c>
      <c r="B25" s="68">
        <v>546.66</v>
      </c>
      <c r="C25" s="68">
        <v>65.44</v>
      </c>
      <c r="D25" s="68">
        <v>910.05</v>
      </c>
      <c r="E25" s="68">
        <v>121.12</v>
      </c>
      <c r="F25" s="68">
        <v>82.31</v>
      </c>
      <c r="G25" s="68">
        <v>64.900000000000006</v>
      </c>
      <c r="H25" s="68">
        <v>78.86</v>
      </c>
      <c r="I25" s="68">
        <v>72.400000000000006</v>
      </c>
      <c r="J25" s="68">
        <v>121.88</v>
      </c>
      <c r="K25" s="68">
        <v>24.44</v>
      </c>
      <c r="L25" s="68">
        <v>122.3</v>
      </c>
      <c r="M25" s="68">
        <v>62.76</v>
      </c>
      <c r="N25" s="68">
        <v>422.2</v>
      </c>
      <c r="O25" s="68">
        <v>84.82</v>
      </c>
      <c r="P25" s="68">
        <v>104.69</v>
      </c>
      <c r="Q25" s="68">
        <v>53.59</v>
      </c>
      <c r="R25" s="68">
        <v>38.99</v>
      </c>
      <c r="S25" s="68">
        <v>73.459999999999994</v>
      </c>
      <c r="T25" s="68">
        <v>27.88</v>
      </c>
      <c r="U25" s="68">
        <v>23.24</v>
      </c>
      <c r="V25" s="68">
        <v>273.37</v>
      </c>
      <c r="W25" s="68">
        <v>106.04</v>
      </c>
      <c r="X25" s="68"/>
      <c r="Y25" s="68">
        <v>45.56</v>
      </c>
      <c r="Z25" s="68">
        <v>117.27</v>
      </c>
      <c r="AA25" s="68">
        <v>58.4</v>
      </c>
      <c r="AB25" s="68">
        <v>219.35</v>
      </c>
    </row>
    <row r="26" spans="1:28" ht="15" customHeight="1" x14ac:dyDescent="0.15">
      <c r="A26" s="71">
        <v>45345</v>
      </c>
      <c r="B26" s="68">
        <v>553.44000000000005</v>
      </c>
      <c r="C26" s="68">
        <v>66.92</v>
      </c>
      <c r="D26" s="68">
        <v>914.27</v>
      </c>
      <c r="E26" s="68">
        <v>126.07</v>
      </c>
      <c r="F26" s="68">
        <v>77.87</v>
      </c>
      <c r="G26" s="68">
        <v>65.63</v>
      </c>
      <c r="H26" s="68">
        <v>85.31</v>
      </c>
      <c r="I26" s="68">
        <v>78.59</v>
      </c>
      <c r="J26" s="68">
        <v>121.72</v>
      </c>
      <c r="K26" s="68">
        <v>22.97</v>
      </c>
      <c r="L26" s="68">
        <v>125.04</v>
      </c>
      <c r="M26" s="68">
        <v>62.49</v>
      </c>
      <c r="N26" s="68">
        <v>430.11</v>
      </c>
      <c r="O26" s="68">
        <v>84.54</v>
      </c>
      <c r="P26" s="68">
        <v>105.57</v>
      </c>
      <c r="Q26" s="68">
        <v>54</v>
      </c>
      <c r="R26" s="68">
        <v>39.479999999999997</v>
      </c>
      <c r="S26" s="68">
        <v>75.099999999999994</v>
      </c>
      <c r="T26" s="68">
        <v>28.49</v>
      </c>
      <c r="U26" s="68">
        <v>23.51</v>
      </c>
      <c r="V26" s="68">
        <v>278.31</v>
      </c>
      <c r="W26" s="68">
        <v>107.55</v>
      </c>
      <c r="X26" s="68"/>
      <c r="Y26" s="68">
        <v>46.09</v>
      </c>
      <c r="Z26" s="68">
        <v>120.55</v>
      </c>
      <c r="AA26" s="68">
        <v>58.36</v>
      </c>
      <c r="AB26" s="68">
        <v>221.64</v>
      </c>
    </row>
    <row r="27" spans="1:28" ht="15" customHeight="1" x14ac:dyDescent="0.15">
      <c r="A27" s="71">
        <v>45352</v>
      </c>
      <c r="B27" s="68">
        <v>570.92999999999995</v>
      </c>
      <c r="C27" s="68">
        <v>71.930000000000007</v>
      </c>
      <c r="D27" s="68">
        <v>970.78</v>
      </c>
      <c r="E27" s="68">
        <v>136.07</v>
      </c>
      <c r="F27" s="68">
        <v>78.650000000000006</v>
      </c>
      <c r="G27" s="68">
        <v>70.42</v>
      </c>
      <c r="H27" s="68">
        <v>94.38</v>
      </c>
      <c r="I27" s="68">
        <v>82.04</v>
      </c>
      <c r="J27" s="68">
        <v>122.99</v>
      </c>
      <c r="K27" s="68">
        <v>24.93</v>
      </c>
      <c r="L27" s="68">
        <v>129.26</v>
      </c>
      <c r="M27" s="68">
        <v>70.34</v>
      </c>
      <c r="N27" s="68">
        <v>432.76</v>
      </c>
      <c r="O27" s="68">
        <v>85.87</v>
      </c>
      <c r="P27" s="68">
        <v>105.59</v>
      </c>
      <c r="Q27" s="68">
        <v>54.34</v>
      </c>
      <c r="R27" s="68">
        <v>39.979999999999997</v>
      </c>
      <c r="S27" s="68">
        <v>77.209999999999994</v>
      </c>
      <c r="T27" s="68">
        <v>29.11</v>
      </c>
      <c r="U27" s="68">
        <v>23.59</v>
      </c>
      <c r="V27" s="68">
        <v>277.88</v>
      </c>
      <c r="W27" s="68">
        <v>108.11</v>
      </c>
      <c r="X27" s="68"/>
      <c r="Y27" s="68">
        <v>46.28</v>
      </c>
      <c r="Z27" s="68">
        <v>124.74</v>
      </c>
      <c r="AA27" s="68">
        <v>61.93</v>
      </c>
      <c r="AB27" s="68">
        <v>222.01</v>
      </c>
    </row>
    <row r="28" spans="1:28" ht="15" customHeight="1" x14ac:dyDescent="0.15">
      <c r="A28" s="71">
        <v>45359</v>
      </c>
      <c r="B28" s="68">
        <v>551.69000000000005</v>
      </c>
      <c r="C28" s="68">
        <v>68.28</v>
      </c>
      <c r="D28" s="68">
        <v>974.11</v>
      </c>
      <c r="E28" s="68">
        <v>127.27</v>
      </c>
      <c r="F28" s="68">
        <v>80.709999999999994</v>
      </c>
      <c r="G28" s="68">
        <v>68.62</v>
      </c>
      <c r="H28" s="68">
        <v>96.83</v>
      </c>
      <c r="I28" s="68">
        <v>87.28</v>
      </c>
      <c r="J28" s="68">
        <v>123.42</v>
      </c>
      <c r="K28" s="68">
        <v>26.04</v>
      </c>
      <c r="L28" s="68">
        <v>141.30000000000001</v>
      </c>
      <c r="M28" s="68">
        <v>69.14</v>
      </c>
      <c r="N28" s="68">
        <v>413.59</v>
      </c>
      <c r="O28" s="68">
        <v>85.97</v>
      </c>
      <c r="P28" s="68">
        <v>108.41</v>
      </c>
      <c r="Q28" s="68">
        <v>54.37</v>
      </c>
      <c r="R28" s="68">
        <v>39.92</v>
      </c>
      <c r="S28" s="68">
        <v>77.510000000000005</v>
      </c>
      <c r="T28" s="68">
        <v>29.69</v>
      </c>
      <c r="U28" s="68">
        <v>23.67</v>
      </c>
      <c r="V28" s="68">
        <v>274.82</v>
      </c>
      <c r="W28" s="68">
        <v>109.2</v>
      </c>
      <c r="X28" s="68"/>
      <c r="Y28" s="68">
        <v>46.51</v>
      </c>
      <c r="Z28" s="68">
        <v>132.06</v>
      </c>
      <c r="AA28" s="68">
        <v>60.48</v>
      </c>
      <c r="AB28" s="68">
        <v>227.79</v>
      </c>
    </row>
    <row r="29" spans="1:28" ht="15" customHeight="1" x14ac:dyDescent="0.15">
      <c r="A29" s="71">
        <v>45366</v>
      </c>
      <c r="B29" s="68">
        <v>492.46</v>
      </c>
      <c r="C29" s="68">
        <v>69.430000000000007</v>
      </c>
      <c r="D29" s="68">
        <v>921.09</v>
      </c>
      <c r="E29" s="68">
        <v>120.15</v>
      </c>
      <c r="F29" s="68">
        <v>78.91</v>
      </c>
      <c r="G29" s="68">
        <v>67.11</v>
      </c>
      <c r="H29" s="68">
        <v>92.5</v>
      </c>
      <c r="I29" s="68">
        <v>87.59</v>
      </c>
      <c r="J29" s="68">
        <v>118.76</v>
      </c>
      <c r="K29" s="68">
        <v>23.49</v>
      </c>
      <c r="L29" s="68">
        <v>132.22999999999999</v>
      </c>
      <c r="M29" s="68">
        <v>73.91</v>
      </c>
      <c r="N29" s="68">
        <v>407.69</v>
      </c>
      <c r="O29" s="68">
        <v>85.24</v>
      </c>
      <c r="P29" s="68">
        <v>108.06</v>
      </c>
      <c r="Q29" s="68">
        <v>54.38</v>
      </c>
      <c r="R29" s="68">
        <v>39.71</v>
      </c>
      <c r="S29" s="68">
        <v>77.11</v>
      </c>
      <c r="T29" s="68">
        <v>30.15</v>
      </c>
      <c r="U29" s="68">
        <v>23.71</v>
      </c>
      <c r="V29" s="68">
        <v>277.76</v>
      </c>
      <c r="W29" s="68">
        <v>109.43</v>
      </c>
      <c r="X29" s="68"/>
      <c r="Y29" s="68">
        <v>46.41</v>
      </c>
      <c r="Z29" s="68">
        <v>132.79</v>
      </c>
      <c r="AA29" s="68">
        <v>60.59</v>
      </c>
      <c r="AB29" s="68">
        <v>226.98</v>
      </c>
    </row>
    <row r="30" spans="1:28" ht="15" customHeight="1" x14ac:dyDescent="0.15">
      <c r="A30" s="71">
        <v>45373</v>
      </c>
      <c r="B30" s="68">
        <v>499.52</v>
      </c>
      <c r="C30" s="68">
        <v>76.61</v>
      </c>
      <c r="D30" s="68">
        <v>960.03</v>
      </c>
      <c r="E30" s="68">
        <v>132.19</v>
      </c>
      <c r="F30" s="68">
        <v>81.89</v>
      </c>
      <c r="G30" s="68">
        <v>69.73</v>
      </c>
      <c r="H30" s="68">
        <v>109.32</v>
      </c>
      <c r="I30" s="68">
        <v>94.02</v>
      </c>
      <c r="J30" s="68">
        <v>118.4</v>
      </c>
      <c r="K30" s="68">
        <v>24.18</v>
      </c>
      <c r="L30" s="68">
        <v>136.22</v>
      </c>
      <c r="M30" s="68">
        <v>82.25</v>
      </c>
      <c r="N30" s="68">
        <v>415.66</v>
      </c>
      <c r="O30" s="68">
        <v>87.57</v>
      </c>
      <c r="P30" s="68">
        <v>109.81</v>
      </c>
      <c r="Q30" s="68">
        <v>55.04</v>
      </c>
      <c r="R30" s="68">
        <v>40.729999999999997</v>
      </c>
      <c r="S30" s="68">
        <v>79.430000000000007</v>
      </c>
      <c r="T30" s="68">
        <v>30.88</v>
      </c>
      <c r="U30" s="68">
        <v>24.15</v>
      </c>
      <c r="V30" s="68">
        <v>277.98</v>
      </c>
      <c r="W30" s="68">
        <v>111.45</v>
      </c>
      <c r="X30" s="68"/>
      <c r="Y30" s="68">
        <v>46.81</v>
      </c>
      <c r="Z30" s="68">
        <v>137.71</v>
      </c>
      <c r="AA30" s="68">
        <v>62.8</v>
      </c>
      <c r="AB30" s="68">
        <v>230.42</v>
      </c>
    </row>
    <row r="31" spans="1:28" ht="15" customHeight="1" x14ac:dyDescent="0.15">
      <c r="A31" s="71">
        <v>45380</v>
      </c>
      <c r="B31" s="68">
        <v>504.6</v>
      </c>
      <c r="C31" s="68">
        <v>72.5</v>
      </c>
      <c r="D31" s="68">
        <v>950.73</v>
      </c>
      <c r="E31" s="68">
        <v>129.44999999999999</v>
      </c>
      <c r="F31" s="68">
        <v>80.150000000000006</v>
      </c>
      <c r="G31" s="68">
        <v>68.55</v>
      </c>
      <c r="H31" s="68">
        <v>117.05</v>
      </c>
      <c r="I31" s="68">
        <v>90.1</v>
      </c>
      <c r="J31" s="68">
        <v>119.87</v>
      </c>
      <c r="K31" s="68">
        <v>23.01</v>
      </c>
      <c r="L31" s="68">
        <v>131.87</v>
      </c>
      <c r="M31" s="68">
        <v>81.430000000000007</v>
      </c>
      <c r="N31" s="68">
        <v>418.01</v>
      </c>
      <c r="O31" s="68">
        <v>90.08</v>
      </c>
      <c r="P31" s="68">
        <v>112.58</v>
      </c>
      <c r="Q31" s="68">
        <v>55.08</v>
      </c>
      <c r="R31" s="68">
        <v>40.71</v>
      </c>
      <c r="S31" s="68">
        <v>78.83</v>
      </c>
      <c r="T31" s="68">
        <v>31.36</v>
      </c>
      <c r="U31" s="68">
        <v>24.53</v>
      </c>
      <c r="V31" s="68">
        <v>273.88</v>
      </c>
      <c r="W31" s="68">
        <v>113.24</v>
      </c>
      <c r="X31" s="68"/>
      <c r="Y31" s="68">
        <v>47.13</v>
      </c>
      <c r="Z31" s="68">
        <v>138.01</v>
      </c>
      <c r="AA31" s="68">
        <v>60.73</v>
      </c>
      <c r="AB31" s="68">
        <v>231.69</v>
      </c>
    </row>
    <row r="32" spans="1:28" ht="15" customHeight="1" x14ac:dyDescent="0.15">
      <c r="A32" s="71">
        <v>45387</v>
      </c>
      <c r="B32" s="68">
        <v>485.12</v>
      </c>
      <c r="C32" s="68">
        <v>74.400000000000006</v>
      </c>
      <c r="D32" s="68">
        <v>959.63</v>
      </c>
      <c r="E32" s="68">
        <v>130.82</v>
      </c>
      <c r="F32" s="68">
        <v>78.88</v>
      </c>
      <c r="G32" s="68">
        <v>67.010000000000005</v>
      </c>
      <c r="H32" s="68">
        <v>122.7</v>
      </c>
      <c r="I32" s="68">
        <v>87.76</v>
      </c>
      <c r="J32" s="68">
        <v>114.82</v>
      </c>
      <c r="K32" s="68">
        <v>22.96</v>
      </c>
      <c r="L32" s="68">
        <v>137.01</v>
      </c>
      <c r="M32" s="68">
        <v>85.09</v>
      </c>
      <c r="N32" s="68">
        <v>406.67</v>
      </c>
      <c r="O32" s="68">
        <v>88.14</v>
      </c>
      <c r="P32" s="68">
        <v>110.58</v>
      </c>
      <c r="Q32" s="68">
        <v>54.87</v>
      </c>
      <c r="R32" s="68">
        <v>40.54</v>
      </c>
      <c r="S32" s="68">
        <v>79.06</v>
      </c>
      <c r="T32" s="68">
        <v>31.28</v>
      </c>
      <c r="U32" s="68">
        <v>24.03</v>
      </c>
      <c r="V32" s="68">
        <v>271.97000000000003</v>
      </c>
      <c r="W32" s="68">
        <v>111.62</v>
      </c>
      <c r="X32" s="68"/>
      <c r="Y32" s="68">
        <v>46.77</v>
      </c>
      <c r="Z32" s="68">
        <v>153.97999999999999</v>
      </c>
      <c r="AA32" s="68">
        <v>63.62</v>
      </c>
      <c r="AB32" s="68">
        <v>214.73</v>
      </c>
    </row>
    <row r="33" spans="1:28" ht="15" customHeight="1" x14ac:dyDescent="0.15">
      <c r="A33" s="71">
        <v>45394</v>
      </c>
      <c r="B33" s="68">
        <v>474.09</v>
      </c>
      <c r="C33" s="68">
        <v>67.81</v>
      </c>
      <c r="D33" s="68">
        <v>942.28</v>
      </c>
      <c r="E33" s="68">
        <v>131.27000000000001</v>
      </c>
      <c r="F33" s="68">
        <v>77.260000000000005</v>
      </c>
      <c r="G33" s="68">
        <v>66.81</v>
      </c>
      <c r="H33" s="68">
        <v>121.65</v>
      </c>
      <c r="I33" s="68">
        <v>87.94</v>
      </c>
      <c r="J33" s="68">
        <v>109.54</v>
      </c>
      <c r="K33" s="68">
        <v>22.67</v>
      </c>
      <c r="L33" s="68">
        <v>138.13999999999999</v>
      </c>
      <c r="M33" s="68">
        <v>83.64</v>
      </c>
      <c r="N33" s="68">
        <v>396.55</v>
      </c>
      <c r="O33" s="68">
        <v>85.42</v>
      </c>
      <c r="P33" s="68">
        <v>107.42</v>
      </c>
      <c r="Q33" s="68">
        <v>54.52</v>
      </c>
      <c r="R33" s="68">
        <v>40.4</v>
      </c>
      <c r="S33" s="68">
        <v>77.95</v>
      </c>
      <c r="T33" s="68">
        <v>30.48</v>
      </c>
      <c r="U33" s="68">
        <v>23.36</v>
      </c>
      <c r="V33" s="68">
        <v>270.82</v>
      </c>
      <c r="W33" s="68">
        <v>108.66</v>
      </c>
      <c r="X33" s="68"/>
      <c r="Y33" s="68">
        <v>46.05</v>
      </c>
      <c r="Z33" s="68">
        <v>152.6</v>
      </c>
      <c r="AA33" s="68">
        <v>62.28</v>
      </c>
      <c r="AB33" s="68">
        <v>206.74</v>
      </c>
    </row>
    <row r="34" spans="1:28" ht="15" customHeight="1" x14ac:dyDescent="0.15">
      <c r="A34" s="71">
        <v>45401</v>
      </c>
      <c r="B34" s="68">
        <v>465.02</v>
      </c>
      <c r="C34" s="68">
        <v>61.52</v>
      </c>
      <c r="D34" s="68">
        <v>842.06</v>
      </c>
      <c r="E34" s="68">
        <v>117.66</v>
      </c>
      <c r="F34" s="68">
        <v>70.66</v>
      </c>
      <c r="G34" s="68">
        <v>61.64</v>
      </c>
      <c r="H34" s="68">
        <v>106.01</v>
      </c>
      <c r="I34" s="68">
        <v>75.98</v>
      </c>
      <c r="J34" s="68">
        <v>95.26</v>
      </c>
      <c r="K34" s="68">
        <v>20.47</v>
      </c>
      <c r="L34" s="68">
        <v>123.77</v>
      </c>
      <c r="M34" s="68">
        <v>74.790000000000006</v>
      </c>
      <c r="N34" s="68">
        <v>394.28</v>
      </c>
      <c r="O34" s="68">
        <v>84.65</v>
      </c>
      <c r="P34" s="68">
        <v>108.48</v>
      </c>
      <c r="Q34" s="68">
        <v>53.46</v>
      </c>
      <c r="R34" s="68">
        <v>38.46</v>
      </c>
      <c r="S34" s="68">
        <v>73.52</v>
      </c>
      <c r="T34" s="68">
        <v>29.94</v>
      </c>
      <c r="U34" s="68">
        <v>23.32</v>
      </c>
      <c r="V34" s="68">
        <v>264.75</v>
      </c>
      <c r="W34" s="68">
        <v>108.51</v>
      </c>
      <c r="X34" s="68"/>
      <c r="Y34" s="68">
        <v>45.44</v>
      </c>
      <c r="Z34" s="68">
        <v>146.12</v>
      </c>
      <c r="AA34" s="68">
        <v>55.5</v>
      </c>
      <c r="AB34" s="68">
        <v>198.38</v>
      </c>
    </row>
    <row r="35" spans="1:28" ht="15" customHeight="1" x14ac:dyDescent="0.15">
      <c r="A35" s="71">
        <v>45408</v>
      </c>
      <c r="B35" s="68">
        <v>477.56</v>
      </c>
      <c r="C35" s="68">
        <v>66.180000000000007</v>
      </c>
      <c r="D35" s="68">
        <v>902.15</v>
      </c>
      <c r="E35" s="68">
        <v>131.27000000000001</v>
      </c>
      <c r="F35" s="68">
        <v>76.02</v>
      </c>
      <c r="G35" s="68">
        <v>69.31</v>
      </c>
      <c r="H35" s="68">
        <v>114.02</v>
      </c>
      <c r="I35" s="68">
        <v>87.49</v>
      </c>
      <c r="J35" s="68">
        <v>95.79</v>
      </c>
      <c r="K35" s="68">
        <v>22.52</v>
      </c>
      <c r="L35" s="68">
        <v>134.05000000000001</v>
      </c>
      <c r="M35" s="68">
        <v>93.21</v>
      </c>
      <c r="N35" s="68">
        <v>397.48</v>
      </c>
      <c r="O35" s="68">
        <v>86.75</v>
      </c>
      <c r="P35" s="68">
        <v>109.47</v>
      </c>
      <c r="Q35" s="68">
        <v>54.56</v>
      </c>
      <c r="R35" s="68">
        <v>39.840000000000003</v>
      </c>
      <c r="S35" s="68">
        <v>75.73</v>
      </c>
      <c r="T35" s="68">
        <v>30.31</v>
      </c>
      <c r="U35" s="68">
        <v>23.57</v>
      </c>
      <c r="V35" s="68">
        <v>269.39999999999998</v>
      </c>
      <c r="W35" s="68">
        <v>109.85</v>
      </c>
      <c r="X35" s="68"/>
      <c r="Y35" s="68">
        <v>46.12</v>
      </c>
      <c r="Z35" s="68">
        <v>160.22</v>
      </c>
      <c r="AA35" s="68">
        <v>56.12</v>
      </c>
      <c r="AB35" s="68">
        <v>200.91</v>
      </c>
    </row>
    <row r="36" spans="1:28" ht="15" customHeight="1" x14ac:dyDescent="0.15">
      <c r="A36" s="71">
        <v>45415</v>
      </c>
      <c r="B36" s="68">
        <v>486.18</v>
      </c>
      <c r="C36" s="68">
        <v>68.599999999999994</v>
      </c>
      <c r="D36" s="68">
        <v>885.13</v>
      </c>
      <c r="E36" s="68">
        <v>124.83</v>
      </c>
      <c r="F36" s="68">
        <v>77.55</v>
      </c>
      <c r="G36" s="68">
        <v>68.36</v>
      </c>
      <c r="H36" s="68">
        <v>113.88</v>
      </c>
      <c r="I36" s="68">
        <v>88.54</v>
      </c>
      <c r="J36" s="68">
        <v>97.47</v>
      </c>
      <c r="K36" s="68">
        <v>23.33</v>
      </c>
      <c r="L36" s="68">
        <v>137.21</v>
      </c>
      <c r="M36" s="68">
        <v>92.73</v>
      </c>
      <c r="N36" s="68">
        <v>401.08</v>
      </c>
      <c r="O36" s="68">
        <v>87.34</v>
      </c>
      <c r="P36" s="68">
        <v>110.81</v>
      </c>
      <c r="Q36" s="68">
        <v>54.79</v>
      </c>
      <c r="R36" s="68">
        <v>40.24</v>
      </c>
      <c r="S36" s="68">
        <v>76.47</v>
      </c>
      <c r="T36" s="68">
        <v>29.84</v>
      </c>
      <c r="U36" s="68">
        <v>23.72</v>
      </c>
      <c r="V36" s="68">
        <v>263.49</v>
      </c>
      <c r="W36" s="68">
        <v>109.62</v>
      </c>
      <c r="X36" s="68"/>
      <c r="Y36" s="68">
        <v>46.21</v>
      </c>
      <c r="Z36" s="68">
        <v>161.96</v>
      </c>
      <c r="AA36" s="68">
        <v>57.93</v>
      </c>
      <c r="AB36" s="68">
        <v>203.45</v>
      </c>
    </row>
    <row r="37" spans="1:28" ht="15" customHeight="1" x14ac:dyDescent="0.15">
      <c r="A37" s="71">
        <v>45422</v>
      </c>
      <c r="B37" s="68">
        <v>482.29</v>
      </c>
      <c r="C37" s="68">
        <v>78.510000000000005</v>
      </c>
      <c r="D37" s="68">
        <v>913.26</v>
      </c>
      <c r="E37" s="68">
        <v>130.16999999999999</v>
      </c>
      <c r="F37" s="68">
        <v>80.19</v>
      </c>
      <c r="G37" s="68">
        <v>70.489999999999995</v>
      </c>
      <c r="H37" s="68">
        <v>120.38</v>
      </c>
      <c r="I37" s="68">
        <v>89.62</v>
      </c>
      <c r="J37" s="68">
        <v>98.95</v>
      </c>
      <c r="K37" s="68">
        <v>20.6</v>
      </c>
      <c r="L37" s="68">
        <v>144.66999999999999</v>
      </c>
      <c r="M37" s="68">
        <v>95.12</v>
      </c>
      <c r="N37" s="68">
        <v>422.78</v>
      </c>
      <c r="O37" s="68">
        <v>88.85</v>
      </c>
      <c r="P37" s="68">
        <v>113.55</v>
      </c>
      <c r="Q37" s="68">
        <v>55.64</v>
      </c>
      <c r="R37" s="68">
        <v>40.799999999999997</v>
      </c>
      <c r="S37" s="68">
        <v>78.17</v>
      </c>
      <c r="T37" s="68">
        <v>30.51</v>
      </c>
      <c r="U37" s="68">
        <v>24.12</v>
      </c>
      <c r="V37" s="68">
        <v>275.51</v>
      </c>
      <c r="W37" s="68">
        <v>112.19</v>
      </c>
      <c r="X37" s="68"/>
      <c r="Y37" s="68">
        <v>47.07</v>
      </c>
      <c r="Z37" s="68">
        <v>161.24</v>
      </c>
      <c r="AA37" s="68">
        <v>61.09</v>
      </c>
      <c r="AB37" s="68">
        <v>203.78</v>
      </c>
    </row>
    <row r="38" spans="1:28" ht="15" customHeight="1" x14ac:dyDescent="0.15">
      <c r="A38" s="71">
        <v>45429</v>
      </c>
      <c r="B38" s="68">
        <v>483.43</v>
      </c>
      <c r="C38" s="68">
        <v>79.97</v>
      </c>
      <c r="D38" s="68">
        <v>908.04</v>
      </c>
      <c r="E38" s="68">
        <v>136.27000000000001</v>
      </c>
      <c r="F38" s="68">
        <v>86.48</v>
      </c>
      <c r="G38" s="68">
        <v>73.52</v>
      </c>
      <c r="H38" s="68">
        <v>124.4</v>
      </c>
      <c r="I38" s="68">
        <v>92.22</v>
      </c>
      <c r="J38" s="68">
        <v>102.64</v>
      </c>
      <c r="K38" s="68">
        <v>21.76</v>
      </c>
      <c r="L38" s="68">
        <v>147.02000000000001</v>
      </c>
      <c r="M38" s="68">
        <v>96.52</v>
      </c>
      <c r="N38" s="68">
        <v>445.21</v>
      </c>
      <c r="O38" s="68">
        <v>89.83</v>
      </c>
      <c r="P38" s="68">
        <v>114.93</v>
      </c>
      <c r="Q38" s="68">
        <v>56.24</v>
      </c>
      <c r="R38" s="68">
        <v>41.29</v>
      </c>
      <c r="S38" s="68">
        <v>79.349999999999994</v>
      </c>
      <c r="T38" s="68">
        <v>30.8</v>
      </c>
      <c r="U38" s="68">
        <v>24.36</v>
      </c>
      <c r="V38" s="68">
        <v>275.39</v>
      </c>
      <c r="W38" s="68">
        <v>113.72</v>
      </c>
      <c r="X38" s="68"/>
      <c r="Y38" s="68">
        <v>47.3</v>
      </c>
      <c r="Z38" s="68">
        <v>157.80000000000001</v>
      </c>
      <c r="AA38" s="68">
        <v>62.11</v>
      </c>
      <c r="AB38" s="68">
        <v>210.27</v>
      </c>
    </row>
    <row r="39" spans="1:28" ht="15" customHeight="1" x14ac:dyDescent="0.15">
      <c r="A39" s="71">
        <v>45436</v>
      </c>
      <c r="B39" s="68">
        <v>475.43</v>
      </c>
      <c r="C39" s="68">
        <v>76.64</v>
      </c>
      <c r="D39" s="68">
        <v>938.72</v>
      </c>
      <c r="E39" s="68">
        <v>137.5</v>
      </c>
      <c r="F39" s="68">
        <v>87.87</v>
      </c>
      <c r="G39" s="68">
        <v>76.61</v>
      </c>
      <c r="H39" s="68">
        <v>128.57</v>
      </c>
      <c r="I39" s="68">
        <v>106.17</v>
      </c>
      <c r="J39" s="68">
        <v>96.42</v>
      </c>
      <c r="K39" s="68">
        <v>21.01</v>
      </c>
      <c r="L39" s="68">
        <v>155.08000000000001</v>
      </c>
      <c r="M39" s="68">
        <v>105.85</v>
      </c>
      <c r="N39" s="68">
        <v>456.95</v>
      </c>
      <c r="O39" s="68">
        <v>88.5</v>
      </c>
      <c r="P39" s="68">
        <v>112.58</v>
      </c>
      <c r="Q39" s="68">
        <v>56.3</v>
      </c>
      <c r="R39" s="68">
        <v>41.48</v>
      </c>
      <c r="S39" s="68">
        <v>80.900000000000006</v>
      </c>
      <c r="T39" s="68">
        <v>30.27</v>
      </c>
      <c r="U39" s="68">
        <v>23.76</v>
      </c>
      <c r="V39" s="68">
        <v>269.87</v>
      </c>
      <c r="W39" s="68">
        <v>111.73</v>
      </c>
      <c r="X39" s="68"/>
      <c r="Y39" s="68">
        <v>46.92</v>
      </c>
      <c r="Z39" s="68">
        <v>165.14</v>
      </c>
      <c r="AA39" s="68">
        <v>64.680000000000007</v>
      </c>
      <c r="AB39" s="68">
        <v>203.89</v>
      </c>
    </row>
    <row r="40" spans="1:28" ht="15" customHeight="1" x14ac:dyDescent="0.15">
      <c r="A40" s="71">
        <v>45443</v>
      </c>
      <c r="B40" s="68">
        <v>444.76</v>
      </c>
      <c r="C40" s="68">
        <v>74.41</v>
      </c>
      <c r="D40" s="68">
        <v>942.77</v>
      </c>
      <c r="E40" s="68">
        <v>129.75</v>
      </c>
      <c r="F40" s="68">
        <v>78.42</v>
      </c>
      <c r="G40" s="68">
        <v>74.69</v>
      </c>
      <c r="H40" s="68">
        <v>124.11</v>
      </c>
      <c r="I40" s="68">
        <v>109.32</v>
      </c>
      <c r="J40" s="68">
        <v>101.71</v>
      </c>
      <c r="K40" s="68">
        <v>21.68</v>
      </c>
      <c r="L40" s="68">
        <v>146.4</v>
      </c>
      <c r="M40" s="68">
        <v>97.78</v>
      </c>
      <c r="N40" s="68">
        <v>455.34</v>
      </c>
      <c r="O40" s="68">
        <v>89.45</v>
      </c>
      <c r="P40" s="68">
        <v>113.76</v>
      </c>
      <c r="Q40" s="68">
        <v>56.15</v>
      </c>
      <c r="R40" s="68">
        <v>41.34</v>
      </c>
      <c r="S40" s="68">
        <v>80.010000000000005</v>
      </c>
      <c r="T40" s="68">
        <v>30.62</v>
      </c>
      <c r="U40" s="68">
        <v>23.9</v>
      </c>
      <c r="V40" s="68">
        <v>267.88</v>
      </c>
      <c r="W40" s="68">
        <v>112.31</v>
      </c>
      <c r="X40" s="68"/>
      <c r="Y40" s="68">
        <v>46.84</v>
      </c>
      <c r="Z40" s="68">
        <v>162.97999999999999</v>
      </c>
      <c r="AA40" s="68">
        <v>64.16</v>
      </c>
      <c r="AB40" s="68">
        <v>174.25</v>
      </c>
    </row>
    <row r="41" spans="1:28" ht="15" customHeight="1" x14ac:dyDescent="0.15">
      <c r="A41" s="71">
        <v>45450</v>
      </c>
      <c r="B41" s="68">
        <v>465.43</v>
      </c>
      <c r="C41" s="68">
        <v>74.2</v>
      </c>
      <c r="D41" s="68">
        <v>1009.6</v>
      </c>
      <c r="E41" s="68">
        <v>137.38</v>
      </c>
      <c r="F41" s="68">
        <v>87.28</v>
      </c>
      <c r="G41" s="68">
        <v>75.61</v>
      </c>
      <c r="H41" s="68">
        <v>130.01</v>
      </c>
      <c r="I41" s="68">
        <v>120.54</v>
      </c>
      <c r="J41" s="68">
        <v>101.44</v>
      </c>
      <c r="K41" s="68">
        <v>23.31</v>
      </c>
      <c r="L41" s="68">
        <v>159.34</v>
      </c>
      <c r="M41" s="68">
        <v>87.42</v>
      </c>
      <c r="N41" s="68">
        <v>483.04</v>
      </c>
      <c r="O41" s="68">
        <v>86.4</v>
      </c>
      <c r="P41" s="68">
        <v>111.46</v>
      </c>
      <c r="Q41" s="68">
        <v>56.77</v>
      </c>
      <c r="R41" s="68">
        <v>41.92</v>
      </c>
      <c r="S41" s="68">
        <v>82.44</v>
      </c>
      <c r="T41" s="68">
        <v>29.97</v>
      </c>
      <c r="U41" s="68">
        <v>23.69</v>
      </c>
      <c r="V41" s="68">
        <v>273.98</v>
      </c>
      <c r="W41" s="68">
        <v>111.3</v>
      </c>
      <c r="X41" s="68"/>
      <c r="Y41" s="68">
        <v>46.88</v>
      </c>
      <c r="Z41" s="68">
        <v>159.80000000000001</v>
      </c>
      <c r="AA41" s="68">
        <v>64.150000000000006</v>
      </c>
      <c r="AB41" s="68">
        <v>183.14</v>
      </c>
    </row>
    <row r="42" spans="1:28" ht="15" customHeight="1" x14ac:dyDescent="0.15">
      <c r="A42" s="71">
        <v>45457</v>
      </c>
      <c r="B42" s="68">
        <v>525.30999999999995</v>
      </c>
      <c r="C42" s="68">
        <v>82.12</v>
      </c>
      <c r="D42" s="68">
        <v>1009.09</v>
      </c>
      <c r="E42" s="68">
        <v>169.45</v>
      </c>
      <c r="F42" s="68">
        <v>96.36</v>
      </c>
      <c r="G42" s="68">
        <v>81.11</v>
      </c>
      <c r="H42" s="68">
        <v>140.35</v>
      </c>
      <c r="I42" s="68">
        <v>131.52000000000001</v>
      </c>
      <c r="J42" s="68">
        <v>103.36</v>
      </c>
      <c r="K42" s="68">
        <v>23.57</v>
      </c>
      <c r="L42" s="68">
        <v>167.73</v>
      </c>
      <c r="M42" s="68">
        <v>91.21</v>
      </c>
      <c r="N42" s="68">
        <v>480.73</v>
      </c>
      <c r="O42" s="68">
        <v>84.34</v>
      </c>
      <c r="P42" s="68">
        <v>109.58</v>
      </c>
      <c r="Q42" s="68">
        <v>57.29</v>
      </c>
      <c r="R42" s="68">
        <v>42.45</v>
      </c>
      <c r="S42" s="68">
        <v>85.92</v>
      </c>
      <c r="T42" s="68">
        <v>29.91</v>
      </c>
      <c r="U42" s="68">
        <v>23.36</v>
      </c>
      <c r="V42" s="68">
        <v>266.11</v>
      </c>
      <c r="W42" s="68">
        <v>110.83</v>
      </c>
      <c r="X42" s="68"/>
      <c r="Y42" s="68">
        <v>46.62</v>
      </c>
      <c r="Z42" s="68">
        <v>153.84</v>
      </c>
      <c r="AA42" s="68">
        <v>66.94</v>
      </c>
      <c r="AB42" s="68">
        <v>184.7</v>
      </c>
    </row>
    <row r="43" spans="1:28" ht="15" customHeight="1" x14ac:dyDescent="0.15">
      <c r="A43" s="71">
        <v>45464</v>
      </c>
      <c r="B43" s="68">
        <v>533.44000000000005</v>
      </c>
      <c r="C43" s="68">
        <v>84.34</v>
      </c>
      <c r="D43" s="68">
        <v>1017.63</v>
      </c>
      <c r="E43" s="68">
        <v>161.99</v>
      </c>
      <c r="F43" s="68">
        <v>95.16</v>
      </c>
      <c r="G43" s="68">
        <v>80.290000000000006</v>
      </c>
      <c r="H43" s="68">
        <v>138.55000000000001</v>
      </c>
      <c r="I43" s="68">
        <v>126.22</v>
      </c>
      <c r="J43" s="68">
        <v>101.57</v>
      </c>
      <c r="K43" s="68">
        <v>23.84</v>
      </c>
      <c r="L43" s="68">
        <v>169.14</v>
      </c>
      <c r="M43" s="68">
        <v>90.38</v>
      </c>
      <c r="N43" s="68">
        <v>468.71</v>
      </c>
      <c r="O43" s="68">
        <v>85.25</v>
      </c>
      <c r="P43" s="68">
        <v>111.09</v>
      </c>
      <c r="Q43" s="68">
        <v>57.47</v>
      </c>
      <c r="R43" s="68">
        <v>42.49</v>
      </c>
      <c r="S43" s="68">
        <v>85.85</v>
      </c>
      <c r="T43" s="68">
        <v>30.2</v>
      </c>
      <c r="U43" s="68">
        <v>23.76</v>
      </c>
      <c r="V43" s="68">
        <v>270.58999999999997</v>
      </c>
      <c r="W43" s="68">
        <v>112.22</v>
      </c>
      <c r="X43" s="68"/>
      <c r="Y43" s="68">
        <v>47.03</v>
      </c>
      <c r="Z43" s="68">
        <v>162.09</v>
      </c>
      <c r="AA43" s="68">
        <v>68.61</v>
      </c>
      <c r="AB43" s="68">
        <v>184.88</v>
      </c>
    </row>
    <row r="44" spans="1:28" ht="15" customHeight="1" x14ac:dyDescent="0.15">
      <c r="A44" s="71">
        <v>45471</v>
      </c>
      <c r="B44" s="68">
        <v>555.54</v>
      </c>
      <c r="C44" s="68">
        <v>87.62</v>
      </c>
      <c r="D44" s="68">
        <v>1004.01</v>
      </c>
      <c r="E44" s="68">
        <v>157.30000000000001</v>
      </c>
      <c r="F44" s="68">
        <v>95.8</v>
      </c>
      <c r="G44" s="68">
        <v>81.08</v>
      </c>
      <c r="H44" s="68">
        <v>130.59</v>
      </c>
      <c r="I44" s="68">
        <v>123.2</v>
      </c>
      <c r="J44" s="68">
        <v>104.27</v>
      </c>
      <c r="K44" s="68">
        <v>25.33</v>
      </c>
      <c r="L44" s="68">
        <v>169</v>
      </c>
      <c r="M44" s="68">
        <v>86.34</v>
      </c>
      <c r="N44" s="68">
        <v>468.72</v>
      </c>
      <c r="O44" s="68">
        <v>86.67</v>
      </c>
      <c r="P44" s="68">
        <v>111.42</v>
      </c>
      <c r="Q44" s="68">
        <v>57.71</v>
      </c>
      <c r="R44" s="68">
        <v>42.69</v>
      </c>
      <c r="S44" s="68">
        <v>86.01</v>
      </c>
      <c r="T44" s="68">
        <v>30</v>
      </c>
      <c r="U44" s="68">
        <v>23.9</v>
      </c>
      <c r="V44" s="68">
        <v>258.05</v>
      </c>
      <c r="W44" s="68">
        <v>111.95</v>
      </c>
      <c r="X44" s="68"/>
      <c r="Y44" s="68">
        <v>47.02</v>
      </c>
      <c r="Z44" s="68">
        <v>156.88999999999999</v>
      </c>
      <c r="AA44" s="68">
        <v>67.489999999999995</v>
      </c>
      <c r="AB44" s="68">
        <v>183.01</v>
      </c>
    </row>
    <row r="45" spans="1:28" ht="15" customHeight="1" x14ac:dyDescent="0.15">
      <c r="A45" s="71">
        <v>45478</v>
      </c>
      <c r="B45" s="68">
        <v>578.34</v>
      </c>
      <c r="C45" s="68">
        <v>91.54</v>
      </c>
      <c r="D45" s="68">
        <v>1054.81</v>
      </c>
      <c r="E45" s="68">
        <v>166.88</v>
      </c>
      <c r="F45" s="68">
        <v>97.42</v>
      </c>
      <c r="G45" s="68">
        <v>84.1</v>
      </c>
      <c r="H45" s="68">
        <v>130.66</v>
      </c>
      <c r="I45" s="68">
        <v>125.48</v>
      </c>
      <c r="J45" s="68">
        <v>106.27</v>
      </c>
      <c r="K45" s="68">
        <v>27.23</v>
      </c>
      <c r="L45" s="68">
        <v>178.9</v>
      </c>
      <c r="M45" s="68">
        <v>91.53</v>
      </c>
      <c r="N45" s="68">
        <v>474.57</v>
      </c>
      <c r="O45" s="68">
        <v>85.24</v>
      </c>
      <c r="P45" s="68">
        <v>110.51</v>
      </c>
      <c r="Q45" s="68">
        <v>58.12</v>
      </c>
      <c r="R45" s="68">
        <v>43.31</v>
      </c>
      <c r="S45" s="68">
        <v>88.68</v>
      </c>
      <c r="T45" s="68">
        <v>29.41</v>
      </c>
      <c r="U45" s="68">
        <v>23.68</v>
      </c>
      <c r="V45" s="68">
        <v>265.81</v>
      </c>
      <c r="W45" s="68">
        <v>111.93</v>
      </c>
      <c r="X45" s="68"/>
      <c r="Y45" s="68">
        <v>47.04</v>
      </c>
      <c r="Z45" s="68">
        <v>158.4</v>
      </c>
      <c r="AA45" s="68">
        <v>69.069999999999993</v>
      </c>
      <c r="AB45" s="68">
        <v>183.46</v>
      </c>
    </row>
    <row r="46" spans="1:28" ht="15" customHeight="1" x14ac:dyDescent="0.15">
      <c r="A46" s="71">
        <v>45485</v>
      </c>
      <c r="B46" s="68">
        <v>559.04999999999995</v>
      </c>
      <c r="C46" s="68">
        <v>90.47</v>
      </c>
      <c r="D46" s="68">
        <v>1065.4000000000001</v>
      </c>
      <c r="E46" s="68">
        <v>166.62</v>
      </c>
      <c r="F46" s="68">
        <v>92.83</v>
      </c>
      <c r="G46" s="68">
        <v>84.34</v>
      </c>
      <c r="H46" s="68">
        <v>132.72</v>
      </c>
      <c r="I46" s="68">
        <v>128.88</v>
      </c>
      <c r="J46" s="68">
        <v>111.55</v>
      </c>
      <c r="K46" s="68">
        <v>28.07</v>
      </c>
      <c r="L46" s="68">
        <v>182.16</v>
      </c>
      <c r="M46" s="68">
        <v>89.43</v>
      </c>
      <c r="N46" s="68">
        <v>488.74</v>
      </c>
      <c r="O46" s="68">
        <v>89.99</v>
      </c>
      <c r="P46" s="68">
        <v>115.16</v>
      </c>
      <c r="Q46" s="68">
        <v>58.32</v>
      </c>
      <c r="R46" s="68">
        <v>43.28</v>
      </c>
      <c r="S46" s="68">
        <v>88.5</v>
      </c>
      <c r="T46" s="68">
        <v>30.54</v>
      </c>
      <c r="U46" s="68">
        <v>24.48</v>
      </c>
      <c r="V46" s="68">
        <v>261.27</v>
      </c>
      <c r="W46" s="68">
        <v>114.67</v>
      </c>
      <c r="X46" s="68"/>
      <c r="Y46" s="68">
        <v>47.48</v>
      </c>
      <c r="Z46" s="68">
        <v>157.19</v>
      </c>
      <c r="AA46" s="68">
        <v>64.760000000000005</v>
      </c>
      <c r="AB46" s="68">
        <v>187.92</v>
      </c>
    </row>
    <row r="47" spans="1:28" ht="15" customHeight="1" x14ac:dyDescent="0.15">
      <c r="A47" s="71">
        <v>45492</v>
      </c>
      <c r="B47" s="68">
        <v>551</v>
      </c>
      <c r="C47" s="68">
        <v>82.64</v>
      </c>
      <c r="D47" s="68">
        <v>878.98</v>
      </c>
      <c r="E47" s="68">
        <v>154.16</v>
      </c>
      <c r="F47" s="68">
        <v>76.239999999999995</v>
      </c>
      <c r="G47" s="68">
        <v>74.98</v>
      </c>
      <c r="H47" s="68">
        <v>113.55</v>
      </c>
      <c r="I47" s="68">
        <v>117.6</v>
      </c>
      <c r="J47" s="68">
        <v>114.9</v>
      </c>
      <c r="K47" s="68">
        <v>28.58</v>
      </c>
      <c r="L47" s="68">
        <v>161.18</v>
      </c>
      <c r="M47" s="68">
        <v>85.08</v>
      </c>
      <c r="N47" s="68">
        <v>491.57</v>
      </c>
      <c r="O47" s="68">
        <v>92.37</v>
      </c>
      <c r="P47" s="68">
        <v>116.79</v>
      </c>
      <c r="Q47" s="68">
        <v>57.93</v>
      </c>
      <c r="R47" s="68">
        <v>42</v>
      </c>
      <c r="S47" s="68">
        <v>84.92</v>
      </c>
      <c r="T47" s="68">
        <v>31</v>
      </c>
      <c r="U47" s="68">
        <v>24.93</v>
      </c>
      <c r="V47" s="68">
        <v>260.99</v>
      </c>
      <c r="W47" s="68">
        <v>115.57</v>
      </c>
      <c r="X47" s="68"/>
      <c r="Y47" s="68">
        <v>47.37</v>
      </c>
      <c r="Z47" s="68">
        <v>157.31</v>
      </c>
      <c r="AA47" s="68">
        <v>63.33</v>
      </c>
      <c r="AB47" s="68">
        <v>183.25</v>
      </c>
    </row>
    <row r="48" spans="1:28" ht="15" customHeight="1" x14ac:dyDescent="0.15">
      <c r="A48" s="71">
        <v>45499</v>
      </c>
      <c r="B48" s="68">
        <v>542.44000000000005</v>
      </c>
      <c r="C48" s="68">
        <v>79.8</v>
      </c>
      <c r="D48" s="68">
        <v>872.13</v>
      </c>
      <c r="E48" s="68">
        <v>148.56</v>
      </c>
      <c r="F48" s="68">
        <v>64.040000000000006</v>
      </c>
      <c r="G48" s="68">
        <v>77.430000000000007</v>
      </c>
      <c r="H48" s="68">
        <v>108.73</v>
      </c>
      <c r="I48" s="68">
        <v>112.75</v>
      </c>
      <c r="J48" s="68">
        <v>113.9</v>
      </c>
      <c r="K48" s="68">
        <v>27.18</v>
      </c>
      <c r="L48" s="68">
        <v>157.46</v>
      </c>
      <c r="M48" s="68">
        <v>76.91</v>
      </c>
      <c r="N48" s="68">
        <v>495.26</v>
      </c>
      <c r="O48" s="68">
        <v>95.72</v>
      </c>
      <c r="P48" s="68">
        <v>119.26</v>
      </c>
      <c r="Q48" s="68">
        <v>57.69</v>
      </c>
      <c r="R48" s="68">
        <v>41.05</v>
      </c>
      <c r="S48" s="68">
        <v>83.32</v>
      </c>
      <c r="T48" s="68">
        <v>31.56</v>
      </c>
      <c r="U48" s="68">
        <v>25.35</v>
      </c>
      <c r="V48" s="68">
        <v>255.09</v>
      </c>
      <c r="W48" s="68">
        <v>116.6</v>
      </c>
      <c r="X48" s="68"/>
      <c r="Y48" s="68">
        <v>47.53</v>
      </c>
      <c r="Z48" s="68">
        <v>167.87</v>
      </c>
      <c r="AA48" s="68">
        <v>63.14</v>
      </c>
      <c r="AB48" s="68">
        <v>192.43</v>
      </c>
    </row>
    <row r="49" spans="1:28" ht="15" customHeight="1" x14ac:dyDescent="0.15">
      <c r="A49" s="71">
        <v>45506</v>
      </c>
      <c r="B49" s="68">
        <v>526.16999999999996</v>
      </c>
      <c r="C49" s="68">
        <v>79.83</v>
      </c>
      <c r="D49" s="68">
        <v>796.01</v>
      </c>
      <c r="E49" s="68">
        <v>140.91</v>
      </c>
      <c r="F49" s="68">
        <v>54.47</v>
      </c>
      <c r="G49" s="68">
        <v>68.459999999999994</v>
      </c>
      <c r="H49" s="68">
        <v>92.12</v>
      </c>
      <c r="I49" s="68">
        <v>106.97</v>
      </c>
      <c r="J49" s="68">
        <v>115.11</v>
      </c>
      <c r="K49" s="68">
        <v>24.74</v>
      </c>
      <c r="L49" s="68">
        <v>145.71</v>
      </c>
      <c r="M49" s="68">
        <v>69.27</v>
      </c>
      <c r="N49" s="68">
        <v>494.46</v>
      </c>
      <c r="O49" s="68">
        <v>88.88</v>
      </c>
      <c r="P49" s="68">
        <v>117.54</v>
      </c>
      <c r="Q49" s="68">
        <v>57.07</v>
      </c>
      <c r="R49" s="68">
        <v>39.96</v>
      </c>
      <c r="S49" s="68">
        <v>80.84</v>
      </c>
      <c r="T49" s="68">
        <v>30.65</v>
      </c>
      <c r="U49" s="68">
        <v>24.84</v>
      </c>
      <c r="V49" s="68">
        <v>262.10000000000002</v>
      </c>
      <c r="W49" s="68">
        <v>113.85</v>
      </c>
      <c r="X49" s="68"/>
      <c r="Y49" s="68">
        <v>47.27</v>
      </c>
      <c r="Z49" s="68">
        <v>158.44999999999999</v>
      </c>
      <c r="AA49" s="68">
        <v>61.36</v>
      </c>
      <c r="AB49" s="68">
        <v>185.14</v>
      </c>
    </row>
    <row r="50" spans="1:28" ht="15" customHeight="1" x14ac:dyDescent="0.15">
      <c r="A50" s="71">
        <v>45513</v>
      </c>
      <c r="B50" s="68">
        <v>536.29999999999995</v>
      </c>
      <c r="C50" s="68">
        <v>83.95</v>
      </c>
      <c r="D50" s="68">
        <v>846.36</v>
      </c>
      <c r="E50" s="68">
        <v>145.26</v>
      </c>
      <c r="F50" s="68">
        <v>60.22</v>
      </c>
      <c r="G50" s="68">
        <v>73.430000000000007</v>
      </c>
      <c r="H50" s="68">
        <v>92.5</v>
      </c>
      <c r="I50" s="68">
        <v>104.46</v>
      </c>
      <c r="J50" s="68">
        <v>113.18</v>
      </c>
      <c r="K50" s="68">
        <v>30.01</v>
      </c>
      <c r="L50" s="68">
        <v>162.49</v>
      </c>
      <c r="M50" s="68">
        <v>71.27</v>
      </c>
      <c r="N50" s="68">
        <v>468.45</v>
      </c>
      <c r="O50" s="68">
        <v>87.31</v>
      </c>
      <c r="P50" s="68">
        <v>116.35</v>
      </c>
      <c r="Q50" s="68">
        <v>57.11</v>
      </c>
      <c r="R50" s="68">
        <v>40.07</v>
      </c>
      <c r="S50" s="68">
        <v>82.24</v>
      </c>
      <c r="T50" s="68">
        <v>30.62</v>
      </c>
      <c r="U50" s="68">
        <v>24.64</v>
      </c>
      <c r="V50" s="68">
        <v>255.9</v>
      </c>
      <c r="W50" s="68">
        <v>113.61</v>
      </c>
      <c r="X50" s="68"/>
      <c r="Y50" s="68">
        <v>47.3</v>
      </c>
      <c r="Z50" s="68">
        <v>165.22</v>
      </c>
      <c r="AA50" s="68">
        <v>63.39</v>
      </c>
      <c r="AB50" s="68">
        <v>186.85</v>
      </c>
    </row>
    <row r="51" spans="1:28" ht="15" customHeight="1" x14ac:dyDescent="0.15">
      <c r="A51" s="71">
        <v>45520</v>
      </c>
      <c r="B51" s="68">
        <v>553.46</v>
      </c>
      <c r="C51" s="68">
        <v>88.47</v>
      </c>
      <c r="D51" s="68">
        <v>903.52</v>
      </c>
      <c r="E51" s="68">
        <v>162.37</v>
      </c>
      <c r="F51" s="68">
        <v>65.64</v>
      </c>
      <c r="G51" s="68">
        <v>80.739999999999995</v>
      </c>
      <c r="H51" s="68">
        <v>107.32</v>
      </c>
      <c r="I51" s="68">
        <v>124.24</v>
      </c>
      <c r="J51" s="68">
        <v>114.06</v>
      </c>
      <c r="K51" s="68">
        <v>32.08</v>
      </c>
      <c r="L51" s="68">
        <v>169.71</v>
      </c>
      <c r="M51" s="68">
        <v>79.209999999999994</v>
      </c>
      <c r="N51" s="68">
        <v>477.37</v>
      </c>
      <c r="O51" s="68">
        <v>89.81</v>
      </c>
      <c r="P51" s="68">
        <v>119.33</v>
      </c>
      <c r="Q51" s="68">
        <v>58.6</v>
      </c>
      <c r="R51" s="68">
        <v>41.76</v>
      </c>
      <c r="S51" s="68">
        <v>86.93</v>
      </c>
      <c r="T51" s="68">
        <v>31.12</v>
      </c>
      <c r="U51" s="68">
        <v>25.2</v>
      </c>
      <c r="V51" s="68">
        <v>263.41000000000003</v>
      </c>
      <c r="W51" s="68">
        <v>116.79</v>
      </c>
      <c r="X51" s="68"/>
      <c r="Y51" s="68">
        <v>48.31</v>
      </c>
      <c r="Z51" s="68">
        <v>167.48</v>
      </c>
      <c r="AA51" s="68">
        <v>67.41</v>
      </c>
      <c r="AB51" s="68">
        <v>192.5</v>
      </c>
    </row>
    <row r="52" spans="1:28" ht="15" customHeight="1" x14ac:dyDescent="0.15">
      <c r="A52" s="71">
        <v>45527</v>
      </c>
      <c r="B52" s="68">
        <v>558.29999999999995</v>
      </c>
      <c r="C52" s="68">
        <v>88.78</v>
      </c>
      <c r="D52" s="68">
        <v>892.3</v>
      </c>
      <c r="E52" s="68">
        <v>162.99</v>
      </c>
      <c r="F52" s="68">
        <v>67.89</v>
      </c>
      <c r="G52" s="68">
        <v>80.569999999999993</v>
      </c>
      <c r="H52" s="68">
        <v>102.21</v>
      </c>
      <c r="I52" s="68">
        <v>129.01</v>
      </c>
      <c r="J52" s="68">
        <v>119.64</v>
      </c>
      <c r="K52" s="68">
        <v>31.78</v>
      </c>
      <c r="L52" s="68">
        <v>166.54</v>
      </c>
      <c r="M52" s="68">
        <v>78.34</v>
      </c>
      <c r="N52" s="68">
        <v>481.24</v>
      </c>
      <c r="O52" s="68">
        <v>92.6</v>
      </c>
      <c r="P52" s="68">
        <v>121.81</v>
      </c>
      <c r="Q52" s="68">
        <v>59.12</v>
      </c>
      <c r="R52" s="68">
        <v>42.11</v>
      </c>
      <c r="S52" s="68">
        <v>88.13</v>
      </c>
      <c r="T52" s="68">
        <v>32.14</v>
      </c>
      <c r="U52" s="68">
        <v>25.67</v>
      </c>
      <c r="V52" s="68">
        <v>263.47000000000003</v>
      </c>
      <c r="W52" s="68">
        <v>118.72</v>
      </c>
      <c r="X52" s="68"/>
      <c r="Y52" s="68">
        <v>48.73</v>
      </c>
      <c r="Z52" s="68">
        <v>169.26</v>
      </c>
      <c r="AA52" s="68">
        <v>68.67</v>
      </c>
      <c r="AB52" s="68">
        <v>199.25</v>
      </c>
    </row>
    <row r="53" spans="1:28" ht="15" customHeight="1" x14ac:dyDescent="0.15">
      <c r="A53" s="71">
        <v>45534</v>
      </c>
      <c r="B53" s="68">
        <v>574.41</v>
      </c>
      <c r="C53" s="68">
        <v>88.35</v>
      </c>
      <c r="D53" s="68">
        <v>888.97</v>
      </c>
      <c r="E53" s="68">
        <v>159.52000000000001</v>
      </c>
      <c r="F53" s="68">
        <v>69.319999999999993</v>
      </c>
      <c r="G53" s="68">
        <v>80.72</v>
      </c>
      <c r="H53" s="68">
        <v>95.64</v>
      </c>
      <c r="I53" s="68">
        <v>119.04</v>
      </c>
      <c r="J53" s="68">
        <v>118.67</v>
      </c>
      <c r="K53" s="68">
        <v>31.48</v>
      </c>
      <c r="L53" s="68">
        <v>166.95</v>
      </c>
      <c r="M53" s="68">
        <v>82.81</v>
      </c>
      <c r="N53" s="68">
        <v>495.89</v>
      </c>
      <c r="O53" s="68">
        <v>92.65</v>
      </c>
      <c r="P53" s="68">
        <v>123.48</v>
      </c>
      <c r="Q53" s="68">
        <v>59.33</v>
      </c>
      <c r="R53" s="68">
        <v>42.25</v>
      </c>
      <c r="S53" s="68">
        <v>87.78</v>
      </c>
      <c r="T53" s="68">
        <v>32.24</v>
      </c>
      <c r="U53" s="68">
        <v>25.99</v>
      </c>
      <c r="V53" s="68">
        <v>272.27</v>
      </c>
      <c r="W53" s="68">
        <v>120.22</v>
      </c>
      <c r="X53" s="68"/>
      <c r="Y53" s="68">
        <v>49.33</v>
      </c>
      <c r="Z53" s="68">
        <v>172.62</v>
      </c>
      <c r="AA53" s="68">
        <v>70.14</v>
      </c>
      <c r="AB53" s="68">
        <v>216.44</v>
      </c>
    </row>
    <row r="54" spans="1:28" ht="15" customHeight="1" x14ac:dyDescent="0.15">
      <c r="A54" s="71">
        <v>45541</v>
      </c>
      <c r="B54" s="68">
        <v>563.41</v>
      </c>
      <c r="C54" s="68">
        <v>78.58</v>
      </c>
      <c r="D54" s="68">
        <v>740.38</v>
      </c>
      <c r="E54" s="68">
        <v>134.22999999999999</v>
      </c>
      <c r="F54" s="68">
        <v>61.6</v>
      </c>
      <c r="G54" s="68">
        <v>69.23</v>
      </c>
      <c r="H54" s="68">
        <v>85.84</v>
      </c>
      <c r="I54" s="68">
        <v>102.55</v>
      </c>
      <c r="J54" s="68">
        <v>118.13</v>
      </c>
      <c r="K54" s="68">
        <v>30.33</v>
      </c>
      <c r="L54" s="68">
        <v>152.47999999999999</v>
      </c>
      <c r="M54" s="68">
        <v>71.58</v>
      </c>
      <c r="N54" s="68">
        <v>468</v>
      </c>
      <c r="O54" s="68">
        <v>87.4</v>
      </c>
      <c r="P54" s="68">
        <v>120.84</v>
      </c>
      <c r="Q54" s="68">
        <v>57.73</v>
      </c>
      <c r="R54" s="68">
        <v>40.549999999999997</v>
      </c>
      <c r="S54" s="68">
        <v>82.53</v>
      </c>
      <c r="T54" s="68">
        <v>30.91</v>
      </c>
      <c r="U54" s="68">
        <v>25.21</v>
      </c>
      <c r="V54" s="68">
        <v>275.22000000000003</v>
      </c>
      <c r="W54" s="68">
        <v>116.18</v>
      </c>
      <c r="X54" s="68"/>
      <c r="Y54" s="68">
        <v>48.57</v>
      </c>
      <c r="Z54" s="68">
        <v>159.38999999999999</v>
      </c>
      <c r="AA54" s="68">
        <v>66.58</v>
      </c>
      <c r="AB54" s="68">
        <v>215.89</v>
      </c>
    </row>
    <row r="55" spans="1:28" ht="15" customHeight="1" x14ac:dyDescent="0.15">
      <c r="A55" s="71">
        <v>45548</v>
      </c>
      <c r="B55" s="68">
        <v>536.87</v>
      </c>
      <c r="C55" s="68">
        <v>89.94</v>
      </c>
      <c r="D55" s="68">
        <v>802.9</v>
      </c>
      <c r="E55" s="68">
        <v>164.3</v>
      </c>
      <c r="F55" s="68">
        <v>64.78</v>
      </c>
      <c r="G55" s="68">
        <v>74.03</v>
      </c>
      <c r="H55" s="68">
        <v>90.65</v>
      </c>
      <c r="I55" s="68">
        <v>118.78</v>
      </c>
      <c r="J55" s="68">
        <v>120.68</v>
      </c>
      <c r="K55" s="68">
        <v>35.590000000000003</v>
      </c>
      <c r="L55" s="68">
        <v>168.34</v>
      </c>
      <c r="M55" s="68">
        <v>85.53</v>
      </c>
      <c r="N55" s="68">
        <v>485.37</v>
      </c>
      <c r="O55" s="68">
        <v>89.92</v>
      </c>
      <c r="P55" s="68">
        <v>123.08</v>
      </c>
      <c r="Q55" s="68">
        <v>59.23</v>
      </c>
      <c r="R55" s="68">
        <v>42.43</v>
      </c>
      <c r="S55" s="68">
        <v>87.61</v>
      </c>
      <c r="T55" s="68">
        <v>31.7</v>
      </c>
      <c r="U55" s="68">
        <v>25.63</v>
      </c>
      <c r="V55" s="68">
        <v>283.08</v>
      </c>
      <c r="W55" s="68">
        <v>118.96</v>
      </c>
      <c r="X55" s="68"/>
      <c r="Y55" s="68">
        <v>49.67</v>
      </c>
      <c r="Z55" s="68">
        <v>176.24</v>
      </c>
      <c r="AA55" s="68">
        <v>69.709999999999994</v>
      </c>
      <c r="AB55" s="68">
        <v>217.95</v>
      </c>
    </row>
    <row r="56" spans="1:28" ht="15" customHeight="1" x14ac:dyDescent="0.15">
      <c r="A56" s="71">
        <v>45555</v>
      </c>
      <c r="B56" s="68">
        <v>522.29999999999995</v>
      </c>
      <c r="C56" s="68">
        <v>96.11</v>
      </c>
      <c r="D56" s="68">
        <v>782.17</v>
      </c>
      <c r="E56" s="68">
        <v>168.19</v>
      </c>
      <c r="F56" s="68">
        <v>74.959999999999994</v>
      </c>
      <c r="G56" s="68">
        <v>74.760000000000005</v>
      </c>
      <c r="H56" s="68">
        <v>90.33</v>
      </c>
      <c r="I56" s="68">
        <v>115.69</v>
      </c>
      <c r="J56" s="68">
        <v>117.36</v>
      </c>
      <c r="K56" s="68">
        <v>37.200000000000003</v>
      </c>
      <c r="L56" s="68">
        <v>169.89</v>
      </c>
      <c r="M56" s="68">
        <v>94.31</v>
      </c>
      <c r="N56" s="68">
        <v>464.92</v>
      </c>
      <c r="O56" s="68">
        <v>92.64</v>
      </c>
      <c r="P56" s="68">
        <v>124.57</v>
      </c>
      <c r="Q56" s="68">
        <v>59.72</v>
      </c>
      <c r="R56" s="68">
        <v>42.96</v>
      </c>
      <c r="S56" s="68">
        <v>89.03</v>
      </c>
      <c r="T56" s="68">
        <v>32.25</v>
      </c>
      <c r="U56" s="68">
        <v>25.97</v>
      </c>
      <c r="V56" s="68">
        <v>280.54000000000002</v>
      </c>
      <c r="W56" s="68">
        <v>120.69</v>
      </c>
      <c r="X56" s="68"/>
      <c r="Y56" s="68">
        <v>49.94</v>
      </c>
      <c r="Z56" s="68">
        <v>185.29</v>
      </c>
      <c r="AA56" s="68">
        <v>70.099999999999994</v>
      </c>
      <c r="AB56" s="68">
        <v>214.88</v>
      </c>
    </row>
    <row r="57" spans="1:28" ht="15" customHeight="1" x14ac:dyDescent="0.15">
      <c r="A57" s="71">
        <v>45562</v>
      </c>
      <c r="B57" s="68">
        <v>515.48</v>
      </c>
      <c r="C57" s="68">
        <v>95.07</v>
      </c>
      <c r="D57" s="68">
        <v>827.67</v>
      </c>
      <c r="E57" s="68">
        <v>169.75</v>
      </c>
      <c r="F57" s="68">
        <v>71.459999999999994</v>
      </c>
      <c r="G57" s="68">
        <v>77.08</v>
      </c>
      <c r="H57" s="68">
        <v>106.83</v>
      </c>
      <c r="I57" s="68">
        <v>121.08</v>
      </c>
      <c r="J57" s="68">
        <v>117.47</v>
      </c>
      <c r="K57" s="68">
        <v>36.840000000000003</v>
      </c>
      <c r="L57" s="68">
        <v>173.68</v>
      </c>
      <c r="M57" s="68">
        <v>98.17</v>
      </c>
      <c r="N57" s="68">
        <v>462.88</v>
      </c>
      <c r="O57" s="68">
        <v>92.68</v>
      </c>
      <c r="P57" s="68">
        <v>125.53</v>
      </c>
      <c r="Q57" s="68">
        <v>60.13</v>
      </c>
      <c r="R57" s="68">
        <v>43.26</v>
      </c>
      <c r="S57" s="68">
        <v>88.91</v>
      </c>
      <c r="T57" s="68">
        <v>32.32</v>
      </c>
      <c r="U57" s="68">
        <v>26.13</v>
      </c>
      <c r="V57" s="68">
        <v>271.08</v>
      </c>
      <c r="W57" s="68">
        <v>121.41</v>
      </c>
      <c r="X57" s="68"/>
      <c r="Y57" s="68">
        <v>50.16</v>
      </c>
      <c r="Z57" s="68">
        <v>183.53</v>
      </c>
      <c r="AA57" s="68">
        <v>70.739999999999995</v>
      </c>
      <c r="AB57" s="68">
        <v>210.85</v>
      </c>
    </row>
    <row r="58" spans="1:28" ht="15" customHeight="1" x14ac:dyDescent="0.15">
      <c r="A58" s="71">
        <v>45569</v>
      </c>
      <c r="B58" s="68">
        <v>507.22</v>
      </c>
      <c r="C58" s="68">
        <v>98.99</v>
      </c>
      <c r="D58" s="68">
        <v>819.27</v>
      </c>
      <c r="E58" s="68">
        <v>173.63</v>
      </c>
      <c r="F58" s="68">
        <v>73.06</v>
      </c>
      <c r="G58" s="68">
        <v>77.569999999999993</v>
      </c>
      <c r="H58" s="68">
        <v>101.61</v>
      </c>
      <c r="I58" s="68">
        <v>124.59</v>
      </c>
      <c r="J58" s="68">
        <v>114.51</v>
      </c>
      <c r="K58" s="68">
        <v>40.01</v>
      </c>
      <c r="L58" s="68">
        <v>176.8</v>
      </c>
      <c r="M58" s="68">
        <v>104.95</v>
      </c>
      <c r="N58" s="68">
        <v>455.31</v>
      </c>
      <c r="O58" s="68">
        <v>92.94</v>
      </c>
      <c r="P58" s="68">
        <v>125.03</v>
      </c>
      <c r="Q58" s="68">
        <v>60.21</v>
      </c>
      <c r="R58" s="68">
        <v>43.36</v>
      </c>
      <c r="S58" s="68">
        <v>90.24</v>
      </c>
      <c r="T58" s="68">
        <v>32.92</v>
      </c>
      <c r="U58" s="68">
        <v>26.26</v>
      </c>
      <c r="V58" s="68">
        <v>273.8</v>
      </c>
      <c r="W58" s="68">
        <v>122.28</v>
      </c>
      <c r="X58" s="68"/>
      <c r="Y58" s="68">
        <v>50.27</v>
      </c>
      <c r="Z58" s="68">
        <v>185.22</v>
      </c>
      <c r="AA58" s="68">
        <v>71.97</v>
      </c>
      <c r="AB58" s="68">
        <v>204.67</v>
      </c>
    </row>
    <row r="59" spans="1:28" ht="15" customHeight="1" x14ac:dyDescent="0.15">
      <c r="A59" s="71">
        <v>45576</v>
      </c>
      <c r="B59" s="68">
        <v>495.42</v>
      </c>
      <c r="C59" s="68">
        <v>104.23</v>
      </c>
      <c r="D59" s="68">
        <v>826.83</v>
      </c>
      <c r="E59" s="68">
        <v>178.39</v>
      </c>
      <c r="F59" s="68">
        <v>80.05</v>
      </c>
      <c r="G59" s="68">
        <v>79.180000000000007</v>
      </c>
      <c r="H59" s="68">
        <v>106.37</v>
      </c>
      <c r="I59" s="68">
        <v>134.44</v>
      </c>
      <c r="J59" s="68">
        <v>112.47</v>
      </c>
      <c r="K59" s="68">
        <v>43.51</v>
      </c>
      <c r="L59" s="68">
        <v>186.21</v>
      </c>
      <c r="M59" s="68">
        <v>111.57</v>
      </c>
      <c r="N59" s="68">
        <v>481.71</v>
      </c>
      <c r="O59" s="68">
        <v>94.05</v>
      </c>
      <c r="P59" s="68">
        <v>125.1</v>
      </c>
      <c r="Q59" s="68">
        <v>60.7</v>
      </c>
      <c r="R59" s="68">
        <v>43.75</v>
      </c>
      <c r="S59" s="68">
        <v>92.19</v>
      </c>
      <c r="T59" s="68">
        <v>33.06</v>
      </c>
      <c r="U59" s="68">
        <v>26.56</v>
      </c>
      <c r="V59" s="68">
        <v>273.70999999999998</v>
      </c>
      <c r="W59" s="68">
        <v>123.64</v>
      </c>
      <c r="X59" s="68"/>
      <c r="Y59" s="68">
        <v>50.54</v>
      </c>
      <c r="Z59" s="68">
        <v>189.26</v>
      </c>
      <c r="AA59" s="68">
        <v>72.28</v>
      </c>
      <c r="AB59" s="68">
        <v>211.32</v>
      </c>
    </row>
    <row r="60" spans="1:28" ht="15" customHeight="1" x14ac:dyDescent="0.15">
      <c r="A60" s="71">
        <v>45583</v>
      </c>
      <c r="B60" s="68">
        <v>494.9</v>
      </c>
      <c r="C60" s="68">
        <v>100.5</v>
      </c>
      <c r="D60" s="68">
        <v>711.34</v>
      </c>
      <c r="E60" s="68">
        <v>176.83</v>
      </c>
      <c r="F60" s="68">
        <v>77.540000000000006</v>
      </c>
      <c r="G60" s="68">
        <v>66.84</v>
      </c>
      <c r="H60" s="68">
        <v>110.58</v>
      </c>
      <c r="I60" s="68">
        <v>137.63</v>
      </c>
      <c r="J60" s="68">
        <v>114.58</v>
      </c>
      <c r="K60" s="68">
        <v>42.97</v>
      </c>
      <c r="L60" s="68">
        <v>195.94</v>
      </c>
      <c r="M60" s="68">
        <v>111.98</v>
      </c>
      <c r="N60" s="68">
        <v>483</v>
      </c>
      <c r="O60" s="68">
        <v>95.23</v>
      </c>
      <c r="P60" s="68">
        <v>127.52</v>
      </c>
      <c r="Q60" s="68">
        <v>61.2</v>
      </c>
      <c r="R60" s="68">
        <v>44.08</v>
      </c>
      <c r="S60" s="68">
        <v>92.59</v>
      </c>
      <c r="T60" s="68">
        <v>32.9</v>
      </c>
      <c r="U60" s="68">
        <v>26.81</v>
      </c>
      <c r="V60" s="68">
        <v>286.3</v>
      </c>
      <c r="W60" s="68">
        <v>124.89</v>
      </c>
      <c r="X60" s="68"/>
      <c r="Y60" s="68">
        <v>50.91</v>
      </c>
      <c r="Z60" s="68">
        <v>190.69</v>
      </c>
      <c r="AA60" s="68">
        <v>76.39</v>
      </c>
      <c r="AB60" s="68">
        <v>221.32</v>
      </c>
    </row>
    <row r="61" spans="1:28" ht="15" customHeight="1" x14ac:dyDescent="0.15">
      <c r="A61" s="71">
        <v>45590</v>
      </c>
      <c r="B61" s="68">
        <v>483.72</v>
      </c>
      <c r="C61" s="68">
        <v>98.52</v>
      </c>
      <c r="D61" s="68">
        <v>699.97</v>
      </c>
      <c r="E61" s="68">
        <v>170.06</v>
      </c>
      <c r="F61" s="68">
        <v>75.150000000000006</v>
      </c>
      <c r="G61" s="68">
        <v>66.31</v>
      </c>
      <c r="H61" s="68">
        <v>107.36</v>
      </c>
      <c r="I61" s="68">
        <v>141.16</v>
      </c>
      <c r="J61" s="68">
        <v>109.94</v>
      </c>
      <c r="K61" s="68">
        <v>44.86</v>
      </c>
      <c r="L61" s="68">
        <v>198.54</v>
      </c>
      <c r="M61" s="68">
        <v>111.9</v>
      </c>
      <c r="N61" s="68">
        <v>477.7</v>
      </c>
      <c r="O61" s="68">
        <v>92.06</v>
      </c>
      <c r="P61" s="68">
        <v>124.51</v>
      </c>
      <c r="Q61" s="68">
        <v>61.03</v>
      </c>
      <c r="R61" s="68">
        <v>44.18</v>
      </c>
      <c r="S61" s="68">
        <v>91.23</v>
      </c>
      <c r="T61" s="68">
        <v>32.270000000000003</v>
      </c>
      <c r="U61" s="68">
        <v>26.19</v>
      </c>
      <c r="V61" s="68">
        <v>277.55</v>
      </c>
      <c r="W61" s="68">
        <v>122.04</v>
      </c>
      <c r="X61" s="68"/>
      <c r="Y61" s="68">
        <v>50.34</v>
      </c>
      <c r="Z61" s="68">
        <v>177.32</v>
      </c>
      <c r="AA61" s="68">
        <v>75.47</v>
      </c>
      <c r="AB61" s="68">
        <v>212.23</v>
      </c>
    </row>
    <row r="62" spans="1:28" ht="15" customHeight="1" x14ac:dyDescent="0.15">
      <c r="A62" s="71">
        <v>45597</v>
      </c>
      <c r="B62" s="68">
        <v>482.8</v>
      </c>
      <c r="C62" s="68">
        <v>98.54</v>
      </c>
      <c r="D62" s="68">
        <v>665.15</v>
      </c>
      <c r="E62" s="68">
        <v>166.04</v>
      </c>
      <c r="F62" s="68">
        <v>75.78</v>
      </c>
      <c r="G62" s="68">
        <v>65.94</v>
      </c>
      <c r="H62" s="68">
        <v>99.22</v>
      </c>
      <c r="I62" s="68">
        <v>135.04</v>
      </c>
      <c r="J62" s="68">
        <v>106.07</v>
      </c>
      <c r="K62" s="68">
        <v>41.92</v>
      </c>
      <c r="L62" s="68">
        <v>188.3</v>
      </c>
      <c r="M62" s="68">
        <v>106.64</v>
      </c>
      <c r="N62" s="68">
        <v>471.12</v>
      </c>
      <c r="O62" s="68">
        <v>91.84</v>
      </c>
      <c r="P62" s="68">
        <v>124.39</v>
      </c>
      <c r="Q62" s="68">
        <v>60.49</v>
      </c>
      <c r="R62" s="68">
        <v>43.81</v>
      </c>
      <c r="S62" s="68">
        <v>89.98</v>
      </c>
      <c r="T62" s="68">
        <v>32.29</v>
      </c>
      <c r="U62" s="68">
        <v>26.15</v>
      </c>
      <c r="V62" s="68">
        <v>286.42</v>
      </c>
      <c r="W62" s="68">
        <v>121.19</v>
      </c>
      <c r="X62" s="68"/>
      <c r="Y62" s="68">
        <v>50.01</v>
      </c>
      <c r="Z62" s="68">
        <v>169.99</v>
      </c>
      <c r="AA62" s="68">
        <v>75.61</v>
      </c>
      <c r="AB62" s="68">
        <v>212.78</v>
      </c>
    </row>
    <row r="63" spans="1:28" ht="15" customHeight="1" x14ac:dyDescent="0.15">
      <c r="A63" s="71">
        <v>45604</v>
      </c>
      <c r="B63" s="68">
        <v>494.68</v>
      </c>
      <c r="C63" s="68">
        <v>100.11</v>
      </c>
      <c r="D63" s="68">
        <v>659.96</v>
      </c>
      <c r="E63" s="68">
        <v>180.51</v>
      </c>
      <c r="F63" s="68">
        <v>82.51</v>
      </c>
      <c r="G63" s="68">
        <v>67.72</v>
      </c>
      <c r="H63" s="68">
        <v>111.33</v>
      </c>
      <c r="I63" s="68">
        <v>147.22999999999999</v>
      </c>
      <c r="J63" s="68">
        <v>108.34</v>
      </c>
      <c r="K63" s="68">
        <v>58.39</v>
      </c>
      <c r="L63" s="68">
        <v>196.35</v>
      </c>
      <c r="M63" s="68">
        <v>125.45</v>
      </c>
      <c r="N63" s="68">
        <v>516.74</v>
      </c>
      <c r="O63" s="68">
        <v>99.98</v>
      </c>
      <c r="P63" s="68">
        <v>128.71</v>
      </c>
      <c r="Q63" s="68">
        <v>61.96</v>
      </c>
      <c r="R63" s="68">
        <v>45.5</v>
      </c>
      <c r="S63" s="68">
        <v>95.36</v>
      </c>
      <c r="T63" s="68">
        <v>34.79</v>
      </c>
      <c r="U63" s="68">
        <v>27.06</v>
      </c>
      <c r="V63" s="68">
        <v>303.3</v>
      </c>
      <c r="W63" s="68">
        <v>125.91</v>
      </c>
      <c r="X63" s="68"/>
      <c r="Y63" s="68">
        <v>51.35</v>
      </c>
      <c r="Z63" s="68">
        <v>182.97</v>
      </c>
      <c r="AA63" s="68">
        <v>79.5</v>
      </c>
      <c r="AB63" s="68">
        <v>235</v>
      </c>
    </row>
    <row r="64" spans="1:28" ht="15" customHeight="1" x14ac:dyDescent="0.15">
      <c r="A64" s="71">
        <v>45611</v>
      </c>
      <c r="B64" s="68">
        <v>503.37</v>
      </c>
      <c r="C64" s="68">
        <v>93.6</v>
      </c>
      <c r="D64" s="68">
        <v>649.28</v>
      </c>
      <c r="E64" s="68">
        <v>162.03</v>
      </c>
      <c r="F64" s="68">
        <v>84.19</v>
      </c>
      <c r="G64" s="68">
        <v>60.53</v>
      </c>
      <c r="H64" s="68">
        <v>95.85</v>
      </c>
      <c r="I64" s="68">
        <v>141.6</v>
      </c>
      <c r="J64" s="68">
        <v>106.09</v>
      </c>
      <c r="K64" s="68">
        <v>65.77</v>
      </c>
      <c r="L64" s="68">
        <v>181.53</v>
      </c>
      <c r="M64" s="68">
        <v>120.58</v>
      </c>
      <c r="N64" s="68">
        <v>465.7</v>
      </c>
      <c r="O64" s="68">
        <v>98.04</v>
      </c>
      <c r="P64" s="68">
        <v>128.87</v>
      </c>
      <c r="Q64" s="68">
        <v>61.37</v>
      </c>
      <c r="R64" s="68">
        <v>44.75</v>
      </c>
      <c r="S64" s="68">
        <v>92.42</v>
      </c>
      <c r="T64" s="68">
        <v>34.26</v>
      </c>
      <c r="U64" s="68">
        <v>26.64</v>
      </c>
      <c r="V64" s="68">
        <v>305.62</v>
      </c>
      <c r="W64" s="68">
        <v>124.2</v>
      </c>
      <c r="X64" s="68"/>
      <c r="Y64" s="68">
        <v>50.7</v>
      </c>
      <c r="Z64" s="68">
        <v>175.17</v>
      </c>
      <c r="AA64" s="68">
        <v>82.4</v>
      </c>
      <c r="AB64" s="68">
        <v>213.36</v>
      </c>
    </row>
    <row r="65" spans="1:28" ht="15" customHeight="1" x14ac:dyDescent="0.15">
      <c r="A65" s="71">
        <v>45618</v>
      </c>
      <c r="B65" s="68">
        <v>512.15</v>
      </c>
      <c r="C65" s="68">
        <v>101.62</v>
      </c>
      <c r="D65" s="68">
        <v>663.32</v>
      </c>
      <c r="E65" s="68">
        <v>161.43</v>
      </c>
      <c r="F65" s="68">
        <v>93.07</v>
      </c>
      <c r="G65" s="68">
        <v>63.18</v>
      </c>
      <c r="H65" s="68">
        <v>102.11</v>
      </c>
      <c r="I65" s="68">
        <v>141.57</v>
      </c>
      <c r="J65" s="68">
        <v>108.31</v>
      </c>
      <c r="K65" s="68">
        <v>64.349999999999994</v>
      </c>
      <c r="L65" s="68">
        <v>185.5</v>
      </c>
      <c r="M65" s="68">
        <v>139.81</v>
      </c>
      <c r="N65" s="68">
        <v>450.97</v>
      </c>
      <c r="O65" s="68">
        <v>101.62</v>
      </c>
      <c r="P65" s="68">
        <v>132.37</v>
      </c>
      <c r="Q65" s="68">
        <v>61.83</v>
      </c>
      <c r="R65" s="68">
        <v>45.52</v>
      </c>
      <c r="S65" s="68">
        <v>94.07</v>
      </c>
      <c r="T65" s="68">
        <v>35.58</v>
      </c>
      <c r="U65" s="68">
        <v>27.31</v>
      </c>
      <c r="V65" s="68">
        <v>305.89999999999998</v>
      </c>
      <c r="W65" s="68">
        <v>126.98</v>
      </c>
      <c r="X65" s="68"/>
      <c r="Y65" s="68">
        <v>51.46</v>
      </c>
      <c r="Z65" s="68">
        <v>179.35</v>
      </c>
      <c r="AA65" s="68">
        <v>89.78</v>
      </c>
      <c r="AB65" s="68">
        <v>216.58</v>
      </c>
    </row>
    <row r="66" spans="1:28" ht="15" customHeight="1" x14ac:dyDescent="0.15">
      <c r="A66" s="71">
        <v>45625</v>
      </c>
      <c r="B66" s="68">
        <v>515.92999999999995</v>
      </c>
      <c r="C66" s="68">
        <v>101.46</v>
      </c>
      <c r="D66" s="68">
        <v>676.86</v>
      </c>
      <c r="E66" s="68">
        <v>159.32</v>
      </c>
      <c r="F66" s="68">
        <v>86.49</v>
      </c>
      <c r="G66" s="68">
        <v>63.92</v>
      </c>
      <c r="H66" s="68">
        <v>97.45</v>
      </c>
      <c r="I66" s="68">
        <v>137.88</v>
      </c>
      <c r="J66" s="68">
        <v>109.23</v>
      </c>
      <c r="K66" s="68">
        <v>67.08</v>
      </c>
      <c r="L66" s="68">
        <v>180.21</v>
      </c>
      <c r="M66" s="68">
        <v>127.29</v>
      </c>
      <c r="N66" s="68">
        <v>468.13</v>
      </c>
      <c r="O66" s="68">
        <v>102.31</v>
      </c>
      <c r="P66" s="68">
        <v>133.61000000000001</v>
      </c>
      <c r="Q66" s="68">
        <v>62.21</v>
      </c>
      <c r="R66" s="68">
        <v>45.94</v>
      </c>
      <c r="S66" s="68">
        <v>95.3</v>
      </c>
      <c r="T66" s="68">
        <v>35.65</v>
      </c>
      <c r="U66" s="68">
        <v>27.48</v>
      </c>
      <c r="V66" s="68">
        <v>310.99</v>
      </c>
      <c r="W66" s="68">
        <v>128.04</v>
      </c>
      <c r="X66" s="68"/>
      <c r="Y66" s="68">
        <v>52.03</v>
      </c>
      <c r="Z66" s="68">
        <v>180.35</v>
      </c>
      <c r="AA66" s="68">
        <v>88.68</v>
      </c>
      <c r="AB66" s="68">
        <v>227.85</v>
      </c>
    </row>
    <row r="67" spans="1:28" ht="15" customHeight="1" x14ac:dyDescent="0.15">
      <c r="A67" s="71">
        <v>45632</v>
      </c>
      <c r="B67" s="68">
        <v>552.96</v>
      </c>
      <c r="C67" s="68">
        <v>108.25</v>
      </c>
      <c r="D67" s="68">
        <v>698.91</v>
      </c>
      <c r="E67" s="68">
        <v>176.47</v>
      </c>
      <c r="F67" s="68">
        <v>91.41</v>
      </c>
      <c r="G67" s="68">
        <v>64.05</v>
      </c>
      <c r="H67" s="68">
        <v>100.65</v>
      </c>
      <c r="I67" s="68">
        <v>142.07</v>
      </c>
      <c r="J67" s="68">
        <v>104.76</v>
      </c>
      <c r="K67" s="68">
        <v>76.34</v>
      </c>
      <c r="L67" s="68">
        <v>198.13</v>
      </c>
      <c r="M67" s="68">
        <v>133.57</v>
      </c>
      <c r="N67" s="68">
        <v>462.1</v>
      </c>
      <c r="O67" s="68">
        <v>100.18</v>
      </c>
      <c r="P67" s="68">
        <v>130.22999999999999</v>
      </c>
      <c r="Q67" s="68">
        <v>62.44</v>
      </c>
      <c r="R67" s="68">
        <v>46.79</v>
      </c>
      <c r="S67" s="68">
        <v>97.14</v>
      </c>
      <c r="T67" s="68">
        <v>35.619999999999997</v>
      </c>
      <c r="U67" s="68">
        <v>26.82</v>
      </c>
      <c r="V67" s="68">
        <v>306.97000000000003</v>
      </c>
      <c r="W67" s="68">
        <v>126.2</v>
      </c>
      <c r="X67" s="68"/>
      <c r="Y67" s="68">
        <v>51.59</v>
      </c>
      <c r="Z67" s="68">
        <v>173.83</v>
      </c>
      <c r="AA67" s="68">
        <v>93.47</v>
      </c>
      <c r="AB67" s="68">
        <v>250.45</v>
      </c>
    </row>
    <row r="68" spans="1:28" ht="15" customHeight="1" x14ac:dyDescent="0.15">
      <c r="A68" s="71">
        <v>45639</v>
      </c>
      <c r="B68" s="68">
        <v>465.69</v>
      </c>
      <c r="C68" s="68">
        <v>112.37</v>
      </c>
      <c r="D68" s="68">
        <v>708.38</v>
      </c>
      <c r="E68" s="68">
        <v>220.97</v>
      </c>
      <c r="F68" s="68">
        <v>92</v>
      </c>
      <c r="G68" s="68">
        <v>64.58</v>
      </c>
      <c r="H68" s="68">
        <v>101.97</v>
      </c>
      <c r="I68" s="68">
        <v>133.9</v>
      </c>
      <c r="J68" s="68">
        <v>103.95</v>
      </c>
      <c r="K68" s="68">
        <v>76.069999999999993</v>
      </c>
      <c r="L68" s="68">
        <v>196.77</v>
      </c>
      <c r="M68" s="68">
        <v>125.51</v>
      </c>
      <c r="N68" s="68">
        <v>463.73</v>
      </c>
      <c r="O68" s="68">
        <v>98.94</v>
      </c>
      <c r="P68" s="68">
        <v>127.6</v>
      </c>
      <c r="Q68" s="68">
        <v>62.33</v>
      </c>
      <c r="R68" s="68">
        <v>46.97</v>
      </c>
      <c r="S68" s="68">
        <v>96.23</v>
      </c>
      <c r="T68" s="68">
        <v>34.14</v>
      </c>
      <c r="U68" s="68">
        <v>26.42</v>
      </c>
      <c r="V68" s="68">
        <v>310.64999999999998</v>
      </c>
      <c r="W68" s="68">
        <v>125.31</v>
      </c>
      <c r="X68" s="68"/>
      <c r="Y68" s="68">
        <v>51.17</v>
      </c>
      <c r="Z68" s="68">
        <v>164.36</v>
      </c>
      <c r="AA68" s="68">
        <v>91.89</v>
      </c>
      <c r="AB68" s="68">
        <v>228.78</v>
      </c>
    </row>
    <row r="69" spans="1:28" ht="15" customHeight="1" x14ac:dyDescent="0.15">
      <c r="A69" s="71">
        <v>45646</v>
      </c>
      <c r="B69" s="68">
        <v>447.17</v>
      </c>
      <c r="C69" s="68">
        <v>112.81</v>
      </c>
      <c r="D69" s="68">
        <v>695.66</v>
      </c>
      <c r="E69" s="68">
        <v>217.03</v>
      </c>
      <c r="F69" s="68">
        <v>90.57</v>
      </c>
      <c r="G69" s="68">
        <v>62.17</v>
      </c>
      <c r="H69" s="68">
        <v>89.66</v>
      </c>
      <c r="I69" s="68">
        <v>134.35</v>
      </c>
      <c r="J69" s="68">
        <v>97.48</v>
      </c>
      <c r="K69" s="68">
        <v>80.55</v>
      </c>
      <c r="L69" s="68">
        <v>193.07</v>
      </c>
      <c r="M69" s="68">
        <v>119.79</v>
      </c>
      <c r="N69" s="68">
        <v>397.27</v>
      </c>
      <c r="O69" s="68">
        <v>93.61</v>
      </c>
      <c r="P69" s="68">
        <v>123.57</v>
      </c>
      <c r="Q69" s="68">
        <v>61.57</v>
      </c>
      <c r="R69" s="68">
        <v>46.45</v>
      </c>
      <c r="S69" s="68">
        <v>94.07</v>
      </c>
      <c r="T69" s="68">
        <v>33.1</v>
      </c>
      <c r="U69" s="68">
        <v>25.63</v>
      </c>
      <c r="V69" s="68">
        <v>313.58999999999997</v>
      </c>
      <c r="W69" s="68">
        <v>121.73</v>
      </c>
      <c r="X69" s="68"/>
      <c r="Y69" s="68">
        <v>50.12</v>
      </c>
      <c r="Z69" s="68">
        <v>166.69</v>
      </c>
      <c r="AA69" s="68">
        <v>90.9</v>
      </c>
      <c r="AB69" s="68">
        <v>224.15</v>
      </c>
    </row>
    <row r="70" spans="1:28" ht="15" customHeight="1" x14ac:dyDescent="0.15">
      <c r="A70" s="71">
        <v>45653</v>
      </c>
      <c r="B70" s="68">
        <v>446.48</v>
      </c>
      <c r="C70" s="68">
        <v>113.03</v>
      </c>
      <c r="D70" s="68">
        <v>703.46</v>
      </c>
      <c r="E70" s="68">
        <v>238.27</v>
      </c>
      <c r="F70" s="68">
        <v>88.75</v>
      </c>
      <c r="G70" s="68">
        <v>63.7</v>
      </c>
      <c r="H70" s="68">
        <v>88.18</v>
      </c>
      <c r="I70" s="68">
        <v>136.65</v>
      </c>
      <c r="J70" s="68">
        <v>99.29</v>
      </c>
      <c r="K70" s="68">
        <v>79.08</v>
      </c>
      <c r="L70" s="68">
        <v>197.4</v>
      </c>
      <c r="M70" s="68">
        <v>114.87</v>
      </c>
      <c r="N70" s="68">
        <v>408.76</v>
      </c>
      <c r="O70" s="68">
        <v>93.98</v>
      </c>
      <c r="P70" s="68">
        <v>124.13</v>
      </c>
      <c r="Q70" s="68">
        <v>61.97</v>
      </c>
      <c r="R70" s="68">
        <v>46.88</v>
      </c>
      <c r="S70" s="68">
        <v>95.26</v>
      </c>
      <c r="T70" s="68">
        <v>33.409999999999997</v>
      </c>
      <c r="U70" s="68">
        <v>25.8</v>
      </c>
      <c r="V70" s="68">
        <v>314.52</v>
      </c>
      <c r="W70" s="68">
        <v>123.18</v>
      </c>
      <c r="X70" s="68"/>
      <c r="Y70" s="68">
        <v>50.34</v>
      </c>
      <c r="Z70" s="68">
        <v>168.66</v>
      </c>
      <c r="AA70" s="68">
        <v>90.75</v>
      </c>
      <c r="AB70" s="68">
        <v>214.01</v>
      </c>
    </row>
    <row r="71" spans="1:28" ht="15" customHeight="1" x14ac:dyDescent="0.15">
      <c r="A71" s="71">
        <v>45660</v>
      </c>
      <c r="B71" s="68">
        <v>430.57</v>
      </c>
      <c r="C71" s="68">
        <v>115.2</v>
      </c>
      <c r="D71" s="68">
        <v>704.22</v>
      </c>
      <c r="E71" s="68">
        <v>229.2</v>
      </c>
      <c r="F71" s="68">
        <v>89.75</v>
      </c>
      <c r="G71" s="68">
        <v>64.900000000000006</v>
      </c>
      <c r="H71" s="68">
        <v>89.53</v>
      </c>
      <c r="I71" s="68">
        <v>144.09</v>
      </c>
      <c r="J71" s="68">
        <v>99.66</v>
      </c>
      <c r="K71" s="68">
        <v>79.89</v>
      </c>
      <c r="L71" s="68">
        <v>204.23</v>
      </c>
      <c r="M71" s="68">
        <v>125.4</v>
      </c>
      <c r="N71" s="68">
        <v>407.11</v>
      </c>
      <c r="O71" s="68">
        <v>94.72</v>
      </c>
      <c r="P71" s="68">
        <v>124.06</v>
      </c>
      <c r="Q71" s="68">
        <v>61.72</v>
      </c>
      <c r="R71" s="68">
        <v>46.72</v>
      </c>
      <c r="S71" s="68">
        <v>95.55</v>
      </c>
      <c r="T71" s="68">
        <v>33.659999999999997</v>
      </c>
      <c r="U71" s="68">
        <v>25.77</v>
      </c>
      <c r="V71" s="68">
        <v>310.82</v>
      </c>
      <c r="W71" s="68">
        <v>122.97</v>
      </c>
      <c r="X71" s="68"/>
      <c r="Y71" s="68">
        <v>50.27</v>
      </c>
      <c r="Z71" s="68">
        <v>170.52</v>
      </c>
      <c r="AA71" s="68">
        <v>88.11</v>
      </c>
      <c r="AB71" s="68">
        <v>213.03</v>
      </c>
    </row>
    <row r="72" spans="1:28" ht="15" customHeight="1" x14ac:dyDescent="0.15">
      <c r="A72" s="71">
        <v>45667</v>
      </c>
      <c r="B72" s="68">
        <v>405.92</v>
      </c>
      <c r="C72" s="68">
        <v>114.34</v>
      </c>
      <c r="D72" s="68">
        <v>728.52</v>
      </c>
      <c r="E72" s="68">
        <v>221.08</v>
      </c>
      <c r="F72" s="68">
        <v>87.21</v>
      </c>
      <c r="G72" s="68">
        <v>67.48</v>
      </c>
      <c r="H72" s="68">
        <v>98.96</v>
      </c>
      <c r="I72" s="68">
        <v>135.56</v>
      </c>
      <c r="J72" s="68">
        <v>97.74</v>
      </c>
      <c r="K72" s="68">
        <v>67.260000000000005</v>
      </c>
      <c r="L72" s="68">
        <v>204</v>
      </c>
      <c r="M72" s="68">
        <v>128.66</v>
      </c>
      <c r="N72" s="68">
        <v>409.56</v>
      </c>
      <c r="O72" s="68">
        <v>92.23</v>
      </c>
      <c r="P72" s="68">
        <v>120.96</v>
      </c>
      <c r="Q72" s="68">
        <v>60.97</v>
      </c>
      <c r="R72" s="68">
        <v>45.82</v>
      </c>
      <c r="S72" s="68">
        <v>94.26</v>
      </c>
      <c r="T72" s="68">
        <v>33.659999999999997</v>
      </c>
      <c r="U72" s="68">
        <v>25.37</v>
      </c>
      <c r="V72" s="68">
        <v>303.72000000000003</v>
      </c>
      <c r="W72" s="68">
        <v>120.76</v>
      </c>
      <c r="X72" s="68"/>
      <c r="Y72" s="68">
        <v>49.47</v>
      </c>
      <c r="Z72" s="68">
        <v>170.26</v>
      </c>
      <c r="AA72" s="68">
        <v>83.77</v>
      </c>
      <c r="AB72" s="68">
        <v>217.75</v>
      </c>
    </row>
    <row r="73" spans="1:28" ht="15" customHeight="1" x14ac:dyDescent="0.15">
      <c r="A73" s="71">
        <v>45674</v>
      </c>
      <c r="B73" s="68">
        <v>429.99</v>
      </c>
      <c r="C73" s="68">
        <v>119.95</v>
      </c>
      <c r="D73" s="68">
        <v>745.59</v>
      </c>
      <c r="E73" s="68">
        <v>234.02</v>
      </c>
      <c r="F73" s="68">
        <v>89.25</v>
      </c>
      <c r="G73" s="68">
        <v>74.83</v>
      </c>
      <c r="H73" s="68">
        <v>105.34</v>
      </c>
      <c r="I73" s="68">
        <v>137.35</v>
      </c>
      <c r="J73" s="68">
        <v>103.29</v>
      </c>
      <c r="K73" s="68">
        <v>71.77</v>
      </c>
      <c r="L73" s="68">
        <v>207.06</v>
      </c>
      <c r="M73" s="68">
        <v>135.59</v>
      </c>
      <c r="N73" s="68">
        <v>422</v>
      </c>
      <c r="O73" s="68">
        <v>96.74</v>
      </c>
      <c r="P73" s="68">
        <v>126.81</v>
      </c>
      <c r="Q73" s="68">
        <v>62.02</v>
      </c>
      <c r="R73" s="68">
        <v>46.88</v>
      </c>
      <c r="S73" s="68">
        <v>97.29</v>
      </c>
      <c r="T73" s="68">
        <v>34.96</v>
      </c>
      <c r="U73" s="68">
        <v>26.29</v>
      </c>
      <c r="V73" s="68">
        <v>315.47000000000003</v>
      </c>
      <c r="W73" s="68">
        <v>126.1</v>
      </c>
      <c r="X73" s="68"/>
      <c r="Y73" s="68">
        <v>50.72</v>
      </c>
      <c r="Z73" s="68">
        <v>181.32</v>
      </c>
      <c r="AA73" s="68">
        <v>85.81</v>
      </c>
      <c r="AB73" s="68">
        <v>216.59</v>
      </c>
    </row>
    <row r="74" spans="1:28" ht="15" customHeight="1" x14ac:dyDescent="0.15">
      <c r="A74" s="71">
        <v>45681</v>
      </c>
      <c r="B74" s="68">
        <v>435.38</v>
      </c>
      <c r="C74" s="68">
        <v>129.16999999999999</v>
      </c>
      <c r="D74" s="68">
        <v>721.85</v>
      </c>
      <c r="E74" s="68">
        <v>241.18</v>
      </c>
      <c r="F74" s="68">
        <v>93.73</v>
      </c>
      <c r="G74" s="68">
        <v>74.069999999999993</v>
      </c>
      <c r="H74" s="68">
        <v>102.79</v>
      </c>
      <c r="I74" s="68">
        <v>142.25</v>
      </c>
      <c r="J74" s="68">
        <v>112.21</v>
      </c>
      <c r="K74" s="68">
        <v>78.98</v>
      </c>
      <c r="L74" s="68">
        <v>217.22</v>
      </c>
      <c r="M74" s="68">
        <v>146.01</v>
      </c>
      <c r="N74" s="68">
        <v>439.62</v>
      </c>
      <c r="O74" s="68">
        <v>97.23</v>
      </c>
      <c r="P74" s="68">
        <v>127.09</v>
      </c>
      <c r="Q74" s="68">
        <v>62.66</v>
      </c>
      <c r="R74" s="68">
        <v>47.53</v>
      </c>
      <c r="S74" s="68">
        <v>99.93</v>
      </c>
      <c r="T74" s="68">
        <v>35.049999999999997</v>
      </c>
      <c r="U74" s="68">
        <v>26.36</v>
      </c>
      <c r="V74" s="68">
        <v>325.91000000000003</v>
      </c>
      <c r="W74" s="68">
        <v>127.41</v>
      </c>
      <c r="X74" s="68"/>
      <c r="Y74" s="68">
        <v>51.24</v>
      </c>
      <c r="Z74" s="68">
        <v>195.11</v>
      </c>
      <c r="AA74" s="68">
        <v>97.76</v>
      </c>
      <c r="AB74" s="68">
        <v>223.4</v>
      </c>
    </row>
    <row r="75" spans="1:28" ht="15" customHeight="1" x14ac:dyDescent="0.15">
      <c r="A75" s="71">
        <v>45688</v>
      </c>
      <c r="B75" s="68">
        <v>437.45</v>
      </c>
      <c r="C75" s="68">
        <v>115.23</v>
      </c>
      <c r="D75" s="68">
        <v>728.81</v>
      </c>
      <c r="E75" s="68">
        <v>218.09</v>
      </c>
      <c r="F75" s="68">
        <v>99.52</v>
      </c>
      <c r="G75" s="68">
        <v>72.930000000000007</v>
      </c>
      <c r="H75" s="68">
        <v>90.89</v>
      </c>
      <c r="I75" s="68">
        <v>119.76</v>
      </c>
      <c r="J75" s="68">
        <v>112.51</v>
      </c>
      <c r="K75" s="68">
        <v>82.49</v>
      </c>
      <c r="L75" s="68">
        <v>204.93</v>
      </c>
      <c r="M75" s="68">
        <v>116.77</v>
      </c>
      <c r="N75" s="68">
        <v>461.68</v>
      </c>
      <c r="O75" s="68">
        <v>95.76</v>
      </c>
      <c r="P75" s="68">
        <v>126.76</v>
      </c>
      <c r="Q75" s="68">
        <v>62.12</v>
      </c>
      <c r="R75" s="68">
        <v>47.04</v>
      </c>
      <c r="S75" s="68">
        <v>98.66</v>
      </c>
      <c r="T75" s="68">
        <v>34.69</v>
      </c>
      <c r="U75" s="68">
        <v>26.14</v>
      </c>
      <c r="V75" s="68">
        <v>337.36</v>
      </c>
      <c r="W75" s="68">
        <v>126.74</v>
      </c>
      <c r="X75" s="68"/>
      <c r="Y75" s="68">
        <v>51.13</v>
      </c>
      <c r="Z75" s="68">
        <v>201.87</v>
      </c>
      <c r="AA75" s="68">
        <v>97.68</v>
      </c>
      <c r="AB75" s="68">
        <v>233.26</v>
      </c>
    </row>
    <row r="76" spans="1:28" ht="15" customHeight="1" x14ac:dyDescent="0.15">
      <c r="A76" s="71">
        <v>45695</v>
      </c>
      <c r="B76" s="68">
        <v>433.07</v>
      </c>
      <c r="C76" s="68">
        <v>118.47</v>
      </c>
      <c r="D76" s="68">
        <v>717.37</v>
      </c>
      <c r="E76" s="68">
        <v>221.63</v>
      </c>
      <c r="F76" s="68">
        <v>105.4</v>
      </c>
      <c r="G76" s="68">
        <v>73.86</v>
      </c>
      <c r="H76" s="68">
        <v>91.95</v>
      </c>
      <c r="I76" s="68">
        <v>129.5</v>
      </c>
      <c r="J76" s="68">
        <v>110.72</v>
      </c>
      <c r="K76" s="68">
        <v>110.85</v>
      </c>
      <c r="L76" s="68">
        <v>201.79</v>
      </c>
      <c r="M76" s="68">
        <v>121.12</v>
      </c>
      <c r="N76" s="68">
        <v>469.32</v>
      </c>
      <c r="O76" s="68">
        <v>94.65</v>
      </c>
      <c r="P76" s="68">
        <v>126.15</v>
      </c>
      <c r="Q76" s="68">
        <v>62.08</v>
      </c>
      <c r="R76" s="68">
        <v>47.16</v>
      </c>
      <c r="S76" s="68">
        <v>100.62</v>
      </c>
      <c r="T76" s="68">
        <v>34.43</v>
      </c>
      <c r="U76" s="68">
        <v>25.88</v>
      </c>
      <c r="V76" s="68">
        <v>343.5</v>
      </c>
      <c r="W76" s="68">
        <v>126.7</v>
      </c>
      <c r="X76" s="68"/>
      <c r="Y76" s="68">
        <v>51.25</v>
      </c>
      <c r="Z76" s="68">
        <v>203.57</v>
      </c>
      <c r="AA76" s="68">
        <v>101.39</v>
      </c>
      <c r="AB76" s="68">
        <v>237.2</v>
      </c>
    </row>
    <row r="77" spans="1:28" ht="15" customHeight="1" x14ac:dyDescent="0.15">
      <c r="A77" s="71">
        <v>45702</v>
      </c>
      <c r="B77" s="68">
        <v>460.16</v>
      </c>
      <c r="C77" s="68">
        <v>106.87</v>
      </c>
      <c r="D77" s="68">
        <v>742.44</v>
      </c>
      <c r="E77" s="68">
        <v>229.69</v>
      </c>
      <c r="F77" s="68">
        <v>112.93</v>
      </c>
      <c r="G77" s="68">
        <v>74.16</v>
      </c>
      <c r="H77" s="68">
        <v>99.14</v>
      </c>
      <c r="I77" s="68">
        <v>138.49</v>
      </c>
      <c r="J77" s="68">
        <v>114.02</v>
      </c>
      <c r="K77" s="68">
        <v>119.16</v>
      </c>
      <c r="L77" s="68">
        <v>199.62</v>
      </c>
      <c r="M77" s="68">
        <v>107.82</v>
      </c>
      <c r="N77" s="68">
        <v>459</v>
      </c>
      <c r="O77" s="68">
        <v>94.94</v>
      </c>
      <c r="P77" s="68">
        <v>127.66</v>
      </c>
      <c r="Q77" s="68">
        <v>62.73</v>
      </c>
      <c r="R77" s="68">
        <v>48.07</v>
      </c>
      <c r="S77" s="68">
        <v>101.64</v>
      </c>
      <c r="T77" s="68">
        <v>34.83</v>
      </c>
      <c r="U77" s="68">
        <v>26.1</v>
      </c>
      <c r="V77" s="68">
        <v>349.81</v>
      </c>
      <c r="W77" s="68">
        <v>128.09</v>
      </c>
      <c r="X77" s="68"/>
      <c r="Y77" s="68">
        <v>51.59</v>
      </c>
      <c r="Z77" s="68">
        <v>206.53</v>
      </c>
      <c r="AA77" s="68">
        <v>105.86</v>
      </c>
      <c r="AB77" s="68">
        <v>234</v>
      </c>
    </row>
    <row r="78" spans="1:28" ht="15" customHeight="1" x14ac:dyDescent="0.15">
      <c r="A78" s="71">
        <v>45709</v>
      </c>
      <c r="B78" s="68">
        <v>444.32</v>
      </c>
      <c r="C78" s="68">
        <v>98.3</v>
      </c>
      <c r="D78" s="68">
        <v>728.28</v>
      </c>
      <c r="E78" s="68">
        <v>215.51</v>
      </c>
      <c r="F78" s="68">
        <v>101.67</v>
      </c>
      <c r="G78" s="68">
        <v>74.510000000000005</v>
      </c>
      <c r="H78" s="68">
        <v>98.46</v>
      </c>
      <c r="I78" s="68">
        <v>134.08000000000001</v>
      </c>
      <c r="J78" s="68">
        <v>114.14</v>
      </c>
      <c r="K78" s="68">
        <v>101.35</v>
      </c>
      <c r="L78" s="68">
        <v>194.08</v>
      </c>
      <c r="M78" s="68">
        <v>95.79</v>
      </c>
      <c r="N78" s="68">
        <v>484.24</v>
      </c>
      <c r="O78" s="68">
        <v>91.47</v>
      </c>
      <c r="P78" s="68">
        <v>128.59</v>
      </c>
      <c r="Q78" s="68">
        <v>62.17</v>
      </c>
      <c r="R78" s="68">
        <v>47.49</v>
      </c>
      <c r="S78" s="68">
        <v>98.53</v>
      </c>
      <c r="T78" s="68">
        <v>34.71</v>
      </c>
      <c r="U78" s="68">
        <v>26.49</v>
      </c>
      <c r="V78" s="68">
        <v>344.59</v>
      </c>
      <c r="W78" s="68">
        <v>127.66</v>
      </c>
      <c r="X78" s="68"/>
      <c r="Y78" s="68">
        <v>51.55</v>
      </c>
      <c r="Z78" s="68">
        <v>198.16</v>
      </c>
      <c r="AA78" s="68">
        <v>100.32</v>
      </c>
      <c r="AB78" s="68">
        <v>225.79</v>
      </c>
    </row>
    <row r="79" spans="1:28" ht="15" customHeight="1" x14ac:dyDescent="0.15">
      <c r="A79" s="71">
        <v>45716</v>
      </c>
      <c r="B79" s="68">
        <v>438.56</v>
      </c>
      <c r="C79" s="68">
        <v>93.05</v>
      </c>
      <c r="D79" s="68">
        <v>700.49</v>
      </c>
      <c r="E79" s="68">
        <v>196.56</v>
      </c>
      <c r="F79" s="68">
        <v>97.42</v>
      </c>
      <c r="G79" s="68">
        <v>70.180000000000007</v>
      </c>
      <c r="H79" s="68">
        <v>93.27</v>
      </c>
      <c r="I79" s="68">
        <v>124.59</v>
      </c>
      <c r="J79" s="68">
        <v>116.92</v>
      </c>
      <c r="K79" s="68">
        <v>84.92</v>
      </c>
      <c r="L79" s="68">
        <v>176.74</v>
      </c>
      <c r="M79" s="68">
        <v>94.97</v>
      </c>
      <c r="N79" s="68">
        <v>479.79</v>
      </c>
      <c r="O79" s="68">
        <v>90.44</v>
      </c>
      <c r="P79" s="68">
        <v>129.91</v>
      </c>
      <c r="Q79" s="68">
        <v>61.77</v>
      </c>
      <c r="R79" s="68">
        <v>46.18</v>
      </c>
      <c r="S79" s="68">
        <v>98.42</v>
      </c>
      <c r="T79" s="68">
        <v>34.549999999999997</v>
      </c>
      <c r="U79" s="68">
        <v>26.8</v>
      </c>
      <c r="V79" s="68">
        <v>358.6</v>
      </c>
      <c r="W79" s="68">
        <v>128.36000000000001</v>
      </c>
      <c r="X79" s="68"/>
      <c r="Y79" s="68">
        <v>51.79</v>
      </c>
      <c r="Z79" s="68">
        <v>205.25</v>
      </c>
      <c r="AA79" s="68">
        <v>98.06</v>
      </c>
      <c r="AB79" s="68">
        <v>224.14</v>
      </c>
    </row>
    <row r="80" spans="1:28" ht="15" customHeight="1" x14ac:dyDescent="0.15">
      <c r="A80" s="71">
        <v>45723</v>
      </c>
      <c r="B80" s="68">
        <v>449.4</v>
      </c>
      <c r="C80" s="68">
        <v>83.36</v>
      </c>
      <c r="D80" s="68">
        <v>723.35</v>
      </c>
      <c r="E80" s="68">
        <v>192.16</v>
      </c>
      <c r="F80" s="68">
        <v>83.38</v>
      </c>
      <c r="G80" s="68">
        <v>70.42</v>
      </c>
      <c r="H80" s="68">
        <v>92.6</v>
      </c>
      <c r="I80" s="68">
        <v>112.4</v>
      </c>
      <c r="J80" s="68">
        <v>113.14</v>
      </c>
      <c r="K80" s="68">
        <v>84.91</v>
      </c>
      <c r="L80" s="68">
        <v>173.38</v>
      </c>
      <c r="M80" s="68">
        <v>84.86</v>
      </c>
      <c r="N80" s="68">
        <v>488.29</v>
      </c>
      <c r="O80" s="68">
        <v>86.38</v>
      </c>
      <c r="P80" s="68">
        <v>126.34</v>
      </c>
      <c r="Q80" s="68">
        <v>60.69</v>
      </c>
      <c r="R80" s="68">
        <v>44.73</v>
      </c>
      <c r="S80" s="68">
        <v>93.24</v>
      </c>
      <c r="T80" s="68">
        <v>34.049999999999997</v>
      </c>
      <c r="U80" s="68">
        <v>26.73</v>
      </c>
      <c r="V80" s="68">
        <v>341.41</v>
      </c>
      <c r="W80" s="68">
        <v>125.66</v>
      </c>
      <c r="X80" s="68"/>
      <c r="Y80" s="68">
        <v>51.02</v>
      </c>
      <c r="Z80" s="68">
        <v>192.23</v>
      </c>
      <c r="AA80" s="68">
        <v>89.11</v>
      </c>
      <c r="AB80" s="68">
        <v>246.8</v>
      </c>
    </row>
    <row r="81" spans="1:28" ht="15" customHeight="1" x14ac:dyDescent="0.15">
      <c r="A81" s="71">
        <v>45730</v>
      </c>
      <c r="B81" s="68">
        <v>394.74</v>
      </c>
      <c r="C81" s="68">
        <v>83.51</v>
      </c>
      <c r="D81" s="68">
        <v>705.35</v>
      </c>
      <c r="E81" s="68">
        <v>192.73</v>
      </c>
      <c r="F81" s="68">
        <v>88.43</v>
      </c>
      <c r="G81" s="68">
        <v>70.59</v>
      </c>
      <c r="H81" s="68">
        <v>100.4</v>
      </c>
      <c r="I81" s="68">
        <v>121.36</v>
      </c>
      <c r="J81" s="68">
        <v>105.57</v>
      </c>
      <c r="K81" s="68">
        <v>86.24</v>
      </c>
      <c r="L81" s="68">
        <v>170.44</v>
      </c>
      <c r="M81" s="68">
        <v>87.27</v>
      </c>
      <c r="N81" s="68">
        <v>504.77</v>
      </c>
      <c r="O81" s="68">
        <v>84.76</v>
      </c>
      <c r="P81" s="68">
        <v>125.28</v>
      </c>
      <c r="Q81" s="68">
        <v>59.83</v>
      </c>
      <c r="R81" s="68">
        <v>43.78</v>
      </c>
      <c r="S81" s="68">
        <v>92.57</v>
      </c>
      <c r="T81" s="68">
        <v>33.409999999999997</v>
      </c>
      <c r="U81" s="68">
        <v>25.96</v>
      </c>
      <c r="V81" s="68">
        <v>328.04</v>
      </c>
      <c r="W81" s="68">
        <v>122.84</v>
      </c>
      <c r="X81" s="68"/>
      <c r="Y81" s="68">
        <v>49.93</v>
      </c>
      <c r="Z81" s="68">
        <v>195.83</v>
      </c>
      <c r="AA81" s="68">
        <v>91.8</v>
      </c>
      <c r="AB81" s="68">
        <v>234.06</v>
      </c>
    </row>
    <row r="82" spans="1:28" ht="15" customHeight="1" x14ac:dyDescent="0.15">
      <c r="A82" s="71">
        <v>45737</v>
      </c>
      <c r="B82" s="68">
        <v>387.26</v>
      </c>
      <c r="C82" s="68">
        <v>83.13</v>
      </c>
      <c r="D82" s="68">
        <v>707.54</v>
      </c>
      <c r="E82" s="68">
        <v>189.47</v>
      </c>
      <c r="F82" s="68">
        <v>90.56</v>
      </c>
      <c r="G82" s="68">
        <v>69.95</v>
      </c>
      <c r="H82" s="68">
        <v>94.36</v>
      </c>
      <c r="I82" s="68">
        <v>117.4</v>
      </c>
      <c r="J82" s="68">
        <v>103.21</v>
      </c>
      <c r="K82" s="68">
        <v>90.96</v>
      </c>
      <c r="L82" s="68">
        <v>173.69</v>
      </c>
      <c r="M82" s="68">
        <v>88.48</v>
      </c>
      <c r="N82" s="68">
        <v>503.2</v>
      </c>
      <c r="O82" s="68">
        <v>85.58</v>
      </c>
      <c r="P82" s="68">
        <v>125.88</v>
      </c>
      <c r="Q82" s="68">
        <v>59.71</v>
      </c>
      <c r="R82" s="68">
        <v>43.94</v>
      </c>
      <c r="S82" s="68">
        <v>92.92</v>
      </c>
      <c r="T82" s="68">
        <v>33.979999999999997</v>
      </c>
      <c r="U82" s="68">
        <v>26.07</v>
      </c>
      <c r="V82" s="68">
        <v>331.86</v>
      </c>
      <c r="W82" s="68">
        <v>123.76</v>
      </c>
      <c r="X82" s="68"/>
      <c r="Y82" s="68">
        <v>50.07</v>
      </c>
      <c r="Z82" s="68">
        <v>202.8</v>
      </c>
      <c r="AA82" s="68">
        <v>96.03</v>
      </c>
      <c r="AB82" s="68">
        <v>236.77</v>
      </c>
    </row>
    <row r="83" spans="1:28" ht="15" customHeight="1" x14ac:dyDescent="0.15">
      <c r="A83" s="71">
        <v>45744</v>
      </c>
      <c r="B83" s="68">
        <v>385.71</v>
      </c>
      <c r="C83" s="68">
        <v>77.94</v>
      </c>
      <c r="D83" s="68">
        <v>666.41</v>
      </c>
      <c r="E83" s="68">
        <v>167.19</v>
      </c>
      <c r="F83" s="68">
        <v>89.28</v>
      </c>
      <c r="G83" s="68">
        <v>66.69</v>
      </c>
      <c r="H83" s="68">
        <v>88.1</v>
      </c>
      <c r="I83" s="68">
        <v>109.39</v>
      </c>
      <c r="J83" s="68">
        <v>105.14</v>
      </c>
      <c r="K83" s="68">
        <v>85.85</v>
      </c>
      <c r="L83" s="68">
        <v>162.41</v>
      </c>
      <c r="M83" s="68">
        <v>74.12</v>
      </c>
      <c r="N83" s="68">
        <v>492.69</v>
      </c>
      <c r="O83" s="68">
        <v>85.18</v>
      </c>
      <c r="P83" s="68">
        <v>125.85</v>
      </c>
      <c r="Q83" s="68">
        <v>59.02</v>
      </c>
      <c r="R83" s="68">
        <v>43.11</v>
      </c>
      <c r="S83" s="68">
        <v>91.09</v>
      </c>
      <c r="T83" s="68">
        <v>33.42</v>
      </c>
      <c r="U83" s="68">
        <v>26.14</v>
      </c>
      <c r="V83" s="68">
        <v>338.97</v>
      </c>
      <c r="W83" s="68">
        <v>122.94</v>
      </c>
      <c r="X83" s="68"/>
      <c r="Y83" s="68">
        <v>49.69</v>
      </c>
      <c r="Z83" s="68">
        <v>198.58</v>
      </c>
      <c r="AA83" s="68">
        <v>93.39</v>
      </c>
      <c r="AB83" s="68">
        <v>234.21</v>
      </c>
    </row>
    <row r="84" spans="1:28" ht="15" customHeight="1" x14ac:dyDescent="0.15">
      <c r="A84" s="71">
        <v>45751</v>
      </c>
      <c r="B84" s="68">
        <v>349.07</v>
      </c>
      <c r="C84" s="68">
        <v>64.37</v>
      </c>
      <c r="D84" s="68">
        <v>598.21</v>
      </c>
      <c r="E84" s="68">
        <v>144.62</v>
      </c>
      <c r="F84" s="68">
        <v>80.41</v>
      </c>
      <c r="G84" s="68">
        <v>57.08</v>
      </c>
      <c r="H84" s="68">
        <v>64.56</v>
      </c>
      <c r="I84" s="68">
        <v>94.07</v>
      </c>
      <c r="J84" s="68">
        <v>93.51</v>
      </c>
      <c r="K84" s="68">
        <v>74.010000000000005</v>
      </c>
      <c r="L84" s="68">
        <v>144.28</v>
      </c>
      <c r="M84" s="68">
        <v>59.31</v>
      </c>
      <c r="N84" s="68">
        <v>474.62</v>
      </c>
      <c r="O84" s="68">
        <v>76.260000000000005</v>
      </c>
      <c r="P84" s="68">
        <v>115.74</v>
      </c>
      <c r="Q84" s="68">
        <v>56.73</v>
      </c>
      <c r="R84" s="68">
        <v>39.19</v>
      </c>
      <c r="S84" s="68">
        <v>81.34</v>
      </c>
      <c r="T84" s="68">
        <v>30.33</v>
      </c>
      <c r="U84" s="68">
        <v>23.96</v>
      </c>
      <c r="V84" s="68">
        <v>309.58999999999997</v>
      </c>
      <c r="W84" s="68">
        <v>112.8</v>
      </c>
      <c r="X84" s="68"/>
      <c r="Y84" s="68">
        <v>46.04</v>
      </c>
      <c r="Z84" s="68">
        <v>165.73</v>
      </c>
      <c r="AA84" s="68">
        <v>85.59</v>
      </c>
      <c r="AB84" s="68">
        <v>213.68</v>
      </c>
    </row>
    <row r="85" spans="1:28" ht="15" customHeight="1" x14ac:dyDescent="0.15">
      <c r="A85" s="71">
        <v>45758</v>
      </c>
      <c r="B85" s="68">
        <v>352.47</v>
      </c>
      <c r="C85" s="68">
        <v>72.67</v>
      </c>
      <c r="D85" s="68">
        <v>660.71</v>
      </c>
      <c r="E85" s="68">
        <v>179.86</v>
      </c>
      <c r="F85" s="68">
        <v>94.47</v>
      </c>
      <c r="G85" s="68">
        <v>66.36</v>
      </c>
      <c r="H85" s="68">
        <v>69.37</v>
      </c>
      <c r="I85" s="68">
        <v>110.65</v>
      </c>
      <c r="J85" s="68">
        <v>91.6</v>
      </c>
      <c r="K85" s="68">
        <v>88.55</v>
      </c>
      <c r="L85" s="68">
        <v>154.38</v>
      </c>
      <c r="M85" s="68">
        <v>69.489999999999995</v>
      </c>
      <c r="N85" s="68">
        <v>484.22</v>
      </c>
      <c r="O85" s="68">
        <v>77.22</v>
      </c>
      <c r="P85" s="68">
        <v>117.6</v>
      </c>
      <c r="Q85" s="68">
        <v>57.8</v>
      </c>
      <c r="R85" s="68">
        <v>41.66</v>
      </c>
      <c r="S85" s="68">
        <v>88.75</v>
      </c>
      <c r="T85" s="68">
        <v>30.97</v>
      </c>
      <c r="U85" s="68">
        <v>23.98</v>
      </c>
      <c r="V85" s="68">
        <v>329.63</v>
      </c>
      <c r="W85" s="68">
        <v>116.65</v>
      </c>
      <c r="X85" s="68"/>
      <c r="Y85" s="68">
        <v>47.66</v>
      </c>
      <c r="Z85" s="68">
        <v>180.49</v>
      </c>
      <c r="AA85" s="68">
        <v>91.83</v>
      </c>
      <c r="AB85" s="68">
        <v>218</v>
      </c>
    </row>
    <row r="86" spans="1:28" ht="15" customHeight="1" x14ac:dyDescent="0.15">
      <c r="A86" s="71">
        <v>45765</v>
      </c>
      <c r="B86" s="68">
        <v>348.8</v>
      </c>
      <c r="C86" s="68">
        <v>71.2</v>
      </c>
      <c r="D86" s="68">
        <v>632.4</v>
      </c>
      <c r="E86" s="68">
        <v>169.04</v>
      </c>
      <c r="F86" s="68">
        <v>93.9</v>
      </c>
      <c r="G86" s="68">
        <v>62.81</v>
      </c>
      <c r="H86" s="68">
        <v>68.63</v>
      </c>
      <c r="I86" s="68">
        <v>101.23</v>
      </c>
      <c r="J86" s="68">
        <v>97.19</v>
      </c>
      <c r="K86" s="68">
        <v>93.78</v>
      </c>
      <c r="L86" s="68">
        <v>149.13</v>
      </c>
      <c r="M86" s="68">
        <v>73.09</v>
      </c>
      <c r="N86" s="68">
        <v>489.1</v>
      </c>
      <c r="O86" s="68">
        <v>78.66</v>
      </c>
      <c r="P86" s="68">
        <v>119.33</v>
      </c>
      <c r="Q86" s="68">
        <v>57.45</v>
      </c>
      <c r="R86" s="68">
        <v>40.99</v>
      </c>
      <c r="S86" s="68">
        <v>87.21</v>
      </c>
      <c r="T86" s="68">
        <v>31.18</v>
      </c>
      <c r="U86" s="68">
        <v>24.09</v>
      </c>
      <c r="V86" s="68">
        <v>325.88</v>
      </c>
      <c r="W86" s="68">
        <v>116.47</v>
      </c>
      <c r="X86" s="68"/>
      <c r="Y86" s="68">
        <v>47.47</v>
      </c>
      <c r="Z86" s="68">
        <v>180.61</v>
      </c>
      <c r="AA86" s="68">
        <v>97.3</v>
      </c>
      <c r="AB86" s="68">
        <v>215.95</v>
      </c>
    </row>
    <row r="87" spans="1:28" ht="15" customHeight="1" x14ac:dyDescent="0.15">
      <c r="A87" s="71">
        <v>45772</v>
      </c>
      <c r="B87" s="68">
        <v>367.72</v>
      </c>
      <c r="C87" s="68">
        <v>77.91</v>
      </c>
      <c r="D87" s="68">
        <v>669.06</v>
      </c>
      <c r="E87" s="68">
        <v>190.12</v>
      </c>
      <c r="F87" s="68">
        <v>106.22</v>
      </c>
      <c r="G87" s="68">
        <v>68.77</v>
      </c>
      <c r="H87" s="68">
        <v>79.58</v>
      </c>
      <c r="I87" s="68">
        <v>110.73</v>
      </c>
      <c r="J87" s="68">
        <v>97.32</v>
      </c>
      <c r="K87" s="68">
        <v>112.78</v>
      </c>
      <c r="L87" s="68">
        <v>162.26</v>
      </c>
      <c r="M87" s="68">
        <v>86.8</v>
      </c>
      <c r="N87" s="68">
        <v>493.84</v>
      </c>
      <c r="O87" s="68">
        <v>80.87</v>
      </c>
      <c r="P87" s="68">
        <v>121.04</v>
      </c>
      <c r="Q87" s="68">
        <v>58.47</v>
      </c>
      <c r="R87" s="68">
        <v>42.96</v>
      </c>
      <c r="S87" s="68">
        <v>92.9</v>
      </c>
      <c r="T87" s="68">
        <v>32.21</v>
      </c>
      <c r="U87" s="68">
        <v>24.33</v>
      </c>
      <c r="V87" s="68">
        <v>331.38</v>
      </c>
      <c r="W87" s="68">
        <v>118.85</v>
      </c>
      <c r="X87" s="68"/>
      <c r="Y87" s="68">
        <v>48.54</v>
      </c>
      <c r="Z87" s="68">
        <v>197.14</v>
      </c>
      <c r="AA87" s="68">
        <v>110.15</v>
      </c>
      <c r="AB87" s="68">
        <v>227.54</v>
      </c>
    </row>
    <row r="88" spans="1:28" ht="15" customHeight="1" x14ac:dyDescent="0.15">
      <c r="A88" s="71">
        <v>45779</v>
      </c>
      <c r="B88" s="68">
        <v>380.87</v>
      </c>
      <c r="C88" s="68">
        <v>91.02</v>
      </c>
      <c r="D88" s="68">
        <v>684.08</v>
      </c>
      <c r="E88" s="68">
        <v>201.32</v>
      </c>
      <c r="F88" s="68">
        <v>110.14</v>
      </c>
      <c r="G88" s="68">
        <v>69.12</v>
      </c>
      <c r="H88" s="68">
        <v>80.510000000000005</v>
      </c>
      <c r="I88" s="68">
        <v>114.21</v>
      </c>
      <c r="J88" s="68">
        <v>100.34</v>
      </c>
      <c r="K88" s="68">
        <v>124.28</v>
      </c>
      <c r="L88" s="68">
        <v>176.2</v>
      </c>
      <c r="M88" s="68">
        <v>94.84</v>
      </c>
      <c r="N88" s="68">
        <v>501.15</v>
      </c>
      <c r="O88" s="68">
        <v>83.61</v>
      </c>
      <c r="P88" s="68">
        <v>123.05</v>
      </c>
      <c r="Q88" s="68">
        <v>59.43</v>
      </c>
      <c r="R88" s="68">
        <v>43.81</v>
      </c>
      <c r="S88" s="68">
        <v>96.64</v>
      </c>
      <c r="T88" s="68">
        <v>32.83</v>
      </c>
      <c r="U88" s="68">
        <v>24.7</v>
      </c>
      <c r="V88" s="68">
        <v>343.67</v>
      </c>
      <c r="W88" s="68">
        <v>121.35</v>
      </c>
      <c r="X88" s="68"/>
      <c r="Y88" s="68">
        <v>49.58</v>
      </c>
      <c r="Z88" s="68">
        <v>206.35</v>
      </c>
      <c r="AA88" s="68">
        <v>115.65</v>
      </c>
      <c r="AB88" s="68">
        <v>236.49</v>
      </c>
    </row>
    <row r="89" spans="1:28" ht="15" customHeight="1" x14ac:dyDescent="0.15">
      <c r="A89" s="71">
        <v>45786</v>
      </c>
      <c r="B89" s="68">
        <v>383.28</v>
      </c>
      <c r="C89" s="68">
        <v>86.52</v>
      </c>
      <c r="D89" s="68">
        <v>699.81</v>
      </c>
      <c r="E89" s="68">
        <v>205.83</v>
      </c>
      <c r="F89" s="68">
        <v>102.64</v>
      </c>
      <c r="G89" s="68">
        <v>69.430000000000007</v>
      </c>
      <c r="H89" s="68">
        <v>85.64</v>
      </c>
      <c r="I89" s="68">
        <v>116.36</v>
      </c>
      <c r="J89" s="68">
        <v>101.77</v>
      </c>
      <c r="K89" s="68">
        <v>117.3</v>
      </c>
      <c r="L89" s="68">
        <v>173.49</v>
      </c>
      <c r="M89" s="68">
        <v>93.9</v>
      </c>
      <c r="N89" s="68">
        <v>424.99</v>
      </c>
      <c r="O89" s="68">
        <v>84.58</v>
      </c>
      <c r="P89" s="68">
        <v>122.9</v>
      </c>
      <c r="Q89" s="68">
        <v>59.28</v>
      </c>
      <c r="R89" s="68">
        <v>43.93</v>
      </c>
      <c r="S89" s="68">
        <v>97.31</v>
      </c>
      <c r="T89" s="68">
        <v>32.78</v>
      </c>
      <c r="U89" s="68">
        <v>24.38</v>
      </c>
      <c r="V89" s="68">
        <v>348.55</v>
      </c>
      <c r="W89" s="68">
        <v>121.2</v>
      </c>
      <c r="X89" s="68"/>
      <c r="Y89" s="68">
        <v>49.57</v>
      </c>
      <c r="Z89" s="68">
        <v>213.56</v>
      </c>
      <c r="AA89" s="68">
        <v>114.02</v>
      </c>
      <c r="AB89" s="68">
        <v>237.05</v>
      </c>
    </row>
    <row r="90" spans="1:28" ht="15" customHeight="1" x14ac:dyDescent="0.15">
      <c r="A90" s="71">
        <v>45793</v>
      </c>
      <c r="B90" s="68">
        <v>417.13</v>
      </c>
      <c r="C90" s="68">
        <v>96.42</v>
      </c>
      <c r="D90" s="68">
        <v>741.32</v>
      </c>
      <c r="E90" s="68">
        <v>226</v>
      </c>
      <c r="F90" s="68">
        <v>109.82</v>
      </c>
      <c r="G90" s="68">
        <v>78.33</v>
      </c>
      <c r="H90" s="68">
        <v>97.75</v>
      </c>
      <c r="I90" s="68">
        <v>135.06</v>
      </c>
      <c r="J90" s="68">
        <v>105.23</v>
      </c>
      <c r="K90" s="68">
        <v>129.52000000000001</v>
      </c>
      <c r="L90" s="68">
        <v>190.88</v>
      </c>
      <c r="M90" s="68">
        <v>105.86</v>
      </c>
      <c r="N90" s="68">
        <v>438.65</v>
      </c>
      <c r="O90" s="68">
        <v>88.72</v>
      </c>
      <c r="P90" s="68">
        <v>126.84</v>
      </c>
      <c r="Q90" s="68">
        <v>61.02</v>
      </c>
      <c r="R90" s="68">
        <v>44.69</v>
      </c>
      <c r="S90" s="68">
        <v>103.95</v>
      </c>
      <c r="T90" s="68">
        <v>34.19</v>
      </c>
      <c r="U90" s="68">
        <v>25.21</v>
      </c>
      <c r="V90" s="68">
        <v>361.59</v>
      </c>
      <c r="W90" s="68">
        <v>125.26</v>
      </c>
      <c r="X90" s="68"/>
      <c r="Y90" s="68">
        <v>50.1</v>
      </c>
      <c r="Z90" s="68">
        <v>230.27</v>
      </c>
      <c r="AA90" s="68">
        <v>119.15</v>
      </c>
      <c r="AB90" s="68">
        <v>242.78</v>
      </c>
    </row>
    <row r="91" spans="1:28" ht="15" customHeight="1" x14ac:dyDescent="0.15">
      <c r="A91" s="71">
        <v>45800</v>
      </c>
      <c r="B91" s="68">
        <v>407.69</v>
      </c>
      <c r="C91" s="68">
        <v>91.2</v>
      </c>
      <c r="D91" s="68">
        <v>725.86</v>
      </c>
      <c r="E91" s="68">
        <v>226.11</v>
      </c>
      <c r="F91" s="68">
        <v>113.9</v>
      </c>
      <c r="G91" s="68">
        <v>75.150000000000006</v>
      </c>
      <c r="H91" s="68">
        <v>93.13</v>
      </c>
      <c r="I91" s="68">
        <v>130.96</v>
      </c>
      <c r="J91" s="68">
        <v>99.04</v>
      </c>
      <c r="K91" s="68">
        <v>123.31</v>
      </c>
      <c r="L91" s="68">
        <v>188.68</v>
      </c>
      <c r="M91" s="68">
        <v>103.96</v>
      </c>
      <c r="N91" s="68">
        <v>436</v>
      </c>
      <c r="O91" s="68">
        <v>85.17</v>
      </c>
      <c r="P91" s="68">
        <v>123.56</v>
      </c>
      <c r="Q91" s="68">
        <v>60.01</v>
      </c>
      <c r="R91" s="68">
        <v>44.28</v>
      </c>
      <c r="S91" s="68">
        <v>101.63</v>
      </c>
      <c r="T91" s="68">
        <v>33</v>
      </c>
      <c r="U91" s="68">
        <v>24.53</v>
      </c>
      <c r="V91" s="68">
        <v>350.12</v>
      </c>
      <c r="W91" s="68">
        <v>122.5</v>
      </c>
      <c r="X91" s="68"/>
      <c r="Y91" s="68">
        <v>49.46</v>
      </c>
      <c r="Z91" s="68">
        <v>231.28</v>
      </c>
      <c r="AA91" s="68">
        <v>118.54</v>
      </c>
      <c r="AB91" s="68">
        <v>233</v>
      </c>
    </row>
    <row r="92" spans="1:28" ht="15" customHeight="1" x14ac:dyDescent="0.15">
      <c r="A92" s="71">
        <v>45807</v>
      </c>
      <c r="B92" s="68">
        <v>415.09</v>
      </c>
      <c r="C92" s="68">
        <v>86.64</v>
      </c>
      <c r="D92" s="68">
        <v>730.1</v>
      </c>
      <c r="E92" s="68">
        <v>239.31</v>
      </c>
      <c r="F92" s="68">
        <v>117.84</v>
      </c>
      <c r="G92" s="68">
        <v>75.12</v>
      </c>
      <c r="H92" s="68">
        <v>94.22</v>
      </c>
      <c r="I92" s="68">
        <v>134.79</v>
      </c>
      <c r="J92" s="68">
        <v>103.38</v>
      </c>
      <c r="K92" s="68">
        <v>131.78</v>
      </c>
      <c r="L92" s="68">
        <v>190</v>
      </c>
      <c r="M92" s="68">
        <v>107.75</v>
      </c>
      <c r="N92" s="68">
        <v>442.05</v>
      </c>
      <c r="O92" s="68">
        <v>86.17</v>
      </c>
      <c r="P92" s="68">
        <v>124.36</v>
      </c>
      <c r="Q92" s="68">
        <v>60.66</v>
      </c>
      <c r="R92" s="68">
        <v>44.78</v>
      </c>
      <c r="S92" s="68">
        <v>104.1</v>
      </c>
      <c r="T92" s="68">
        <v>33.26</v>
      </c>
      <c r="U92" s="68">
        <v>24.8</v>
      </c>
      <c r="V92" s="68">
        <v>361.66</v>
      </c>
      <c r="W92" s="68">
        <v>124.36</v>
      </c>
      <c r="X92" s="68"/>
      <c r="Y92" s="68">
        <v>49.96</v>
      </c>
      <c r="Z92" s="68">
        <v>244.31</v>
      </c>
      <c r="AA92" s="68">
        <v>120.72</v>
      </c>
      <c r="AB92" s="68">
        <v>279.7</v>
      </c>
    </row>
    <row r="93" spans="1:28" ht="15" customHeight="1" x14ac:dyDescent="0.15">
      <c r="A93" s="71">
        <v>45814</v>
      </c>
      <c r="B93" s="68">
        <v>416.92</v>
      </c>
      <c r="C93" s="68">
        <v>97.25</v>
      </c>
      <c r="D93" s="68">
        <v>746.2</v>
      </c>
      <c r="E93" s="68">
        <v>244.11</v>
      </c>
      <c r="F93" s="68">
        <v>117.1</v>
      </c>
      <c r="G93" s="68">
        <v>80.19</v>
      </c>
      <c r="H93" s="68">
        <v>108.28</v>
      </c>
      <c r="I93" s="68">
        <v>141.36000000000001</v>
      </c>
      <c r="J93" s="68">
        <v>103.56</v>
      </c>
      <c r="K93" s="68">
        <v>127.72</v>
      </c>
      <c r="L93" s="68">
        <v>201.66</v>
      </c>
      <c r="M93" s="68">
        <v>115.17</v>
      </c>
      <c r="N93" s="68">
        <v>450.5</v>
      </c>
      <c r="O93" s="68">
        <v>87.76</v>
      </c>
      <c r="P93" s="68">
        <v>124.82</v>
      </c>
      <c r="Q93" s="68">
        <v>61.25</v>
      </c>
      <c r="R93" s="68">
        <v>45.37</v>
      </c>
      <c r="S93" s="68">
        <v>105.65</v>
      </c>
      <c r="T93" s="68">
        <v>34.04</v>
      </c>
      <c r="U93" s="68">
        <v>25.15</v>
      </c>
      <c r="V93" s="68">
        <v>366.64</v>
      </c>
      <c r="W93" s="68">
        <v>125.73</v>
      </c>
      <c r="X93" s="68"/>
      <c r="Y93" s="68">
        <v>50.4</v>
      </c>
      <c r="Z93" s="68">
        <v>253.97</v>
      </c>
      <c r="AA93" s="68">
        <v>124.15</v>
      </c>
      <c r="AB93" s="68">
        <v>285.36</v>
      </c>
    </row>
    <row r="94" spans="1:28" ht="15" customHeight="1" x14ac:dyDescent="0.15">
      <c r="A94" s="71">
        <v>45821</v>
      </c>
      <c r="B94" s="68">
        <v>391.68</v>
      </c>
      <c r="C94" s="68">
        <v>92.35</v>
      </c>
      <c r="D94" s="68">
        <v>754.11</v>
      </c>
      <c r="E94" s="68">
        <v>245.86</v>
      </c>
      <c r="F94" s="68">
        <v>120.15</v>
      </c>
      <c r="G94" s="68">
        <v>86.11</v>
      </c>
      <c r="H94" s="68">
        <v>115.31</v>
      </c>
      <c r="I94" s="68">
        <v>141.62</v>
      </c>
      <c r="J94" s="68">
        <v>102.12</v>
      </c>
      <c r="K94" s="68">
        <v>137.4</v>
      </c>
      <c r="L94" s="68">
        <v>208.23</v>
      </c>
      <c r="M94" s="68">
        <v>110.78</v>
      </c>
      <c r="N94" s="68">
        <v>455.45</v>
      </c>
      <c r="O94" s="68">
        <v>87.23</v>
      </c>
      <c r="P94" s="68">
        <v>124.38</v>
      </c>
      <c r="Q94" s="68">
        <v>61.24</v>
      </c>
      <c r="R94" s="68">
        <v>45.28</v>
      </c>
      <c r="S94" s="68">
        <v>104.9</v>
      </c>
      <c r="T94" s="68">
        <v>34.49</v>
      </c>
      <c r="U94" s="68">
        <v>25.49</v>
      </c>
      <c r="V94" s="68">
        <v>349.44</v>
      </c>
      <c r="W94" s="68">
        <v>125.82</v>
      </c>
      <c r="X94" s="68"/>
      <c r="Y94" s="68">
        <v>50.4</v>
      </c>
      <c r="Z94" s="68">
        <v>235.06</v>
      </c>
      <c r="AA94" s="68">
        <v>121.21</v>
      </c>
      <c r="AB94" s="68">
        <v>282.55</v>
      </c>
    </row>
    <row r="95" spans="1:28" ht="15" customHeight="1" x14ac:dyDescent="0.15">
      <c r="A95" s="71">
        <v>45828</v>
      </c>
      <c r="B95" s="68">
        <v>376.92</v>
      </c>
      <c r="C95" s="68">
        <v>86.25</v>
      </c>
      <c r="D95" s="68">
        <v>749.68</v>
      </c>
      <c r="E95" s="68">
        <v>247.72</v>
      </c>
      <c r="F95" s="68">
        <v>119.07</v>
      </c>
      <c r="G95" s="68">
        <v>84.36</v>
      </c>
      <c r="H95" s="68">
        <v>123.29</v>
      </c>
      <c r="I95" s="68">
        <v>143.5</v>
      </c>
      <c r="J95" s="68">
        <v>101.57</v>
      </c>
      <c r="K95" s="68">
        <v>137.30000000000001</v>
      </c>
      <c r="L95" s="68">
        <v>206.66</v>
      </c>
      <c r="M95" s="68">
        <v>118.38</v>
      </c>
      <c r="N95" s="68">
        <v>440.87</v>
      </c>
      <c r="O95" s="68">
        <v>87.38</v>
      </c>
      <c r="P95" s="68">
        <v>124.75</v>
      </c>
      <c r="Q95" s="68">
        <v>61.29</v>
      </c>
      <c r="R95" s="68">
        <v>45.42</v>
      </c>
      <c r="S95" s="68">
        <v>105.64</v>
      </c>
      <c r="T95" s="68">
        <v>34.450000000000003</v>
      </c>
      <c r="U95" s="68">
        <v>25.3</v>
      </c>
      <c r="V95" s="68">
        <v>335.29</v>
      </c>
      <c r="W95" s="68">
        <v>125.77</v>
      </c>
      <c r="X95" s="68"/>
      <c r="Y95" s="68">
        <v>50.14</v>
      </c>
      <c r="Z95" s="68">
        <v>237.81</v>
      </c>
      <c r="AA95" s="68">
        <v>123.14</v>
      </c>
      <c r="AB95" s="68">
        <v>280.08</v>
      </c>
    </row>
    <row r="96" spans="1:28" ht="15" customHeight="1" x14ac:dyDescent="0.15">
      <c r="A96" s="71">
        <v>45835</v>
      </c>
      <c r="B96" s="68">
        <v>385.83</v>
      </c>
      <c r="C96" s="68">
        <v>99.39</v>
      </c>
      <c r="D96" s="68">
        <v>788.74</v>
      </c>
      <c r="E96" s="68">
        <v>266.89999999999998</v>
      </c>
      <c r="F96" s="68">
        <v>124.83</v>
      </c>
      <c r="G96" s="68">
        <v>88.32</v>
      </c>
      <c r="H96" s="68">
        <v>124.44</v>
      </c>
      <c r="I96" s="68">
        <v>157.36000000000001</v>
      </c>
      <c r="J96" s="68">
        <v>101.5</v>
      </c>
      <c r="K96" s="68">
        <v>130.74</v>
      </c>
      <c r="L96" s="68">
        <v>225.46</v>
      </c>
      <c r="M96" s="68">
        <v>126.99</v>
      </c>
      <c r="N96" s="68">
        <v>441.3</v>
      </c>
      <c r="O96" s="68">
        <v>89.61</v>
      </c>
      <c r="P96" s="68">
        <v>126.47</v>
      </c>
      <c r="Q96" s="68">
        <v>62.05</v>
      </c>
      <c r="R96" s="68">
        <v>46.73</v>
      </c>
      <c r="S96" s="68">
        <v>110.73</v>
      </c>
      <c r="T96" s="68">
        <v>34.75</v>
      </c>
      <c r="U96" s="68">
        <v>25.25</v>
      </c>
      <c r="V96" s="68">
        <v>345.24</v>
      </c>
      <c r="W96" s="68">
        <v>128.58000000000001</v>
      </c>
      <c r="X96" s="68"/>
      <c r="Y96" s="68">
        <v>50.96</v>
      </c>
      <c r="Z96" s="68">
        <v>252.85</v>
      </c>
      <c r="AA96" s="68">
        <v>132.31</v>
      </c>
      <c r="AB96" s="68">
        <v>283.41000000000003</v>
      </c>
    </row>
    <row r="97" spans="1:28" ht="15" customHeight="1" x14ac:dyDescent="0.15">
      <c r="A97" s="71">
        <v>45842</v>
      </c>
      <c r="B97" s="68">
        <v>379.31</v>
      </c>
      <c r="C97" s="68">
        <v>102.52</v>
      </c>
      <c r="D97" s="68">
        <v>787.3</v>
      </c>
      <c r="E97" s="68">
        <v>272.68</v>
      </c>
      <c r="F97" s="68">
        <v>128.52000000000001</v>
      </c>
      <c r="G97" s="68">
        <v>91.76</v>
      </c>
      <c r="H97" s="68">
        <v>121.98</v>
      </c>
      <c r="I97" s="68">
        <v>158.94999999999999</v>
      </c>
      <c r="J97" s="68">
        <v>103.81</v>
      </c>
      <c r="K97" s="68">
        <v>134.36000000000001</v>
      </c>
      <c r="L97" s="68">
        <v>231.61</v>
      </c>
      <c r="M97" s="68">
        <v>127.67</v>
      </c>
      <c r="N97" s="68">
        <v>459.62</v>
      </c>
      <c r="O97" s="68">
        <v>93.34</v>
      </c>
      <c r="P97" s="68">
        <v>130.79</v>
      </c>
      <c r="Q97" s="68">
        <v>62.46</v>
      </c>
      <c r="R97" s="68">
        <v>47.06</v>
      </c>
      <c r="S97" s="68">
        <v>111.39</v>
      </c>
      <c r="T97" s="68">
        <v>35.18</v>
      </c>
      <c r="U97" s="68">
        <v>26.17</v>
      </c>
      <c r="V97" s="68">
        <v>355.39</v>
      </c>
      <c r="W97" s="68">
        <v>131.78</v>
      </c>
      <c r="X97" s="68"/>
      <c r="Y97" s="68">
        <v>51.59</v>
      </c>
      <c r="Z97" s="68">
        <v>245.27</v>
      </c>
      <c r="AA97" s="68">
        <v>129.72</v>
      </c>
      <c r="AB97" s="68">
        <v>284.29000000000002</v>
      </c>
    </row>
    <row r="98" spans="1:28" ht="15" customHeight="1" x14ac:dyDescent="0.15">
      <c r="A98" s="71">
        <v>45849</v>
      </c>
      <c r="B98" s="68">
        <v>363.35</v>
      </c>
      <c r="C98" s="68">
        <v>108.57</v>
      </c>
      <c r="D98" s="68">
        <v>794.67</v>
      </c>
      <c r="E98" s="68">
        <v>271.89</v>
      </c>
      <c r="F98" s="68">
        <v>119.61</v>
      </c>
      <c r="G98" s="68">
        <v>91.76</v>
      </c>
      <c r="H98" s="68">
        <v>124.33</v>
      </c>
      <c r="I98" s="68">
        <v>164.52</v>
      </c>
      <c r="J98" s="68">
        <v>104.91</v>
      </c>
      <c r="K98" s="68">
        <v>142.1</v>
      </c>
      <c r="L98" s="68">
        <v>227.27</v>
      </c>
      <c r="M98" s="68">
        <v>123.13</v>
      </c>
      <c r="N98" s="68">
        <v>468.85</v>
      </c>
      <c r="O98" s="68">
        <v>93.22</v>
      </c>
      <c r="P98" s="68">
        <v>130.35</v>
      </c>
      <c r="Q98" s="68">
        <v>62.56</v>
      </c>
      <c r="R98" s="68">
        <v>47.23</v>
      </c>
      <c r="S98" s="68">
        <v>111.05</v>
      </c>
      <c r="T98" s="68">
        <v>35.270000000000003</v>
      </c>
      <c r="U98" s="68">
        <v>26.15</v>
      </c>
      <c r="V98" s="68">
        <v>344.56</v>
      </c>
      <c r="W98" s="68">
        <v>130.88999999999999</v>
      </c>
      <c r="X98" s="68"/>
      <c r="Y98" s="68">
        <v>51.41</v>
      </c>
      <c r="Z98" s="68">
        <v>254.13</v>
      </c>
      <c r="AA98" s="68">
        <v>124.51</v>
      </c>
      <c r="AB98" s="68">
        <v>275.89</v>
      </c>
    </row>
    <row r="99" spans="1:28" ht="15" customHeight="1" x14ac:dyDescent="0.15">
      <c r="A99" s="71">
        <v>45856</v>
      </c>
      <c r="B99" s="68">
        <v>365.79</v>
      </c>
      <c r="C99" s="68">
        <v>111.78</v>
      </c>
      <c r="D99" s="68">
        <v>727.93</v>
      </c>
      <c r="E99" s="68">
        <v>280.77</v>
      </c>
      <c r="F99" s="68">
        <v>118.99</v>
      </c>
      <c r="G99" s="68">
        <v>92.41</v>
      </c>
      <c r="H99" s="68">
        <v>114.21</v>
      </c>
      <c r="I99" s="68">
        <v>171.99</v>
      </c>
      <c r="J99" s="68">
        <v>102.61</v>
      </c>
      <c r="K99" s="68">
        <v>153.52000000000001</v>
      </c>
      <c r="L99" s="68">
        <v>237.13</v>
      </c>
      <c r="M99" s="68">
        <v>128.88999999999999</v>
      </c>
      <c r="N99" s="68">
        <v>459.81</v>
      </c>
      <c r="O99" s="68">
        <v>92.12</v>
      </c>
      <c r="P99" s="68">
        <v>129.80000000000001</v>
      </c>
      <c r="Q99" s="68">
        <v>62.78</v>
      </c>
      <c r="R99" s="68">
        <v>47.52</v>
      </c>
      <c r="S99" s="68">
        <v>112.7</v>
      </c>
      <c r="T99" s="68">
        <v>34.520000000000003</v>
      </c>
      <c r="U99" s="68">
        <v>25.86</v>
      </c>
      <c r="V99" s="68">
        <v>345.67</v>
      </c>
      <c r="W99" s="68">
        <v>130.69</v>
      </c>
      <c r="X99" s="68"/>
      <c r="Y99" s="68">
        <v>51.6</v>
      </c>
      <c r="Z99" s="68">
        <v>261.94</v>
      </c>
      <c r="AA99" s="68">
        <v>120.92</v>
      </c>
      <c r="AB99" s="68">
        <v>282.29000000000002</v>
      </c>
    </row>
    <row r="100" spans="1:28" ht="15" customHeight="1" x14ac:dyDescent="0.15">
      <c r="A100" s="71">
        <v>45863</v>
      </c>
      <c r="B100" s="68">
        <v>370.74</v>
      </c>
      <c r="C100" s="68">
        <v>114.28</v>
      </c>
      <c r="D100" s="68">
        <v>704.81</v>
      </c>
      <c r="E100" s="68">
        <v>287.55</v>
      </c>
      <c r="F100" s="68">
        <v>116.98</v>
      </c>
      <c r="G100" s="68">
        <v>89.53</v>
      </c>
      <c r="H100" s="68">
        <v>111.08</v>
      </c>
      <c r="I100" s="68">
        <v>173.08</v>
      </c>
      <c r="J100" s="68">
        <v>105.99</v>
      </c>
      <c r="K100" s="68">
        <v>158.80000000000001</v>
      </c>
      <c r="L100" s="68">
        <v>242.26</v>
      </c>
      <c r="M100" s="68">
        <v>137.29</v>
      </c>
      <c r="N100" s="68">
        <v>469.65</v>
      </c>
      <c r="O100" s="68">
        <v>93.48</v>
      </c>
      <c r="P100" s="68">
        <v>132.16</v>
      </c>
      <c r="Q100" s="68">
        <v>62.92</v>
      </c>
      <c r="R100" s="68">
        <v>47.86</v>
      </c>
      <c r="S100" s="68">
        <v>113.89</v>
      </c>
      <c r="T100" s="68">
        <v>35.28</v>
      </c>
      <c r="U100" s="68">
        <v>26.14</v>
      </c>
      <c r="V100" s="68">
        <v>353.59</v>
      </c>
      <c r="W100" s="68">
        <v>132.54</v>
      </c>
      <c r="X100" s="68"/>
      <c r="Y100" s="68">
        <v>51.92</v>
      </c>
      <c r="Z100" s="68">
        <v>270.22000000000003</v>
      </c>
      <c r="AA100" s="68">
        <v>118.05</v>
      </c>
      <c r="AB100" s="68">
        <v>290.41000000000003</v>
      </c>
    </row>
    <row r="101" spans="1:28" ht="15" customHeight="1" x14ac:dyDescent="0.15">
      <c r="A101" s="71">
        <v>45870</v>
      </c>
      <c r="B101" s="68">
        <v>347.8</v>
      </c>
      <c r="C101" s="68">
        <v>117.57</v>
      </c>
      <c r="D101" s="68">
        <v>685.31</v>
      </c>
      <c r="E101" s="68">
        <v>286.02</v>
      </c>
      <c r="F101" s="68">
        <v>111.67</v>
      </c>
      <c r="G101" s="68">
        <v>88</v>
      </c>
      <c r="H101" s="68">
        <v>104.71</v>
      </c>
      <c r="I101" s="68">
        <v>173.3</v>
      </c>
      <c r="J101" s="68">
        <v>100.82</v>
      </c>
      <c r="K101" s="68">
        <v>154.27000000000001</v>
      </c>
      <c r="L101" s="68">
        <v>232.01</v>
      </c>
      <c r="M101" s="68">
        <v>141.4</v>
      </c>
      <c r="N101" s="68">
        <v>462.13</v>
      </c>
      <c r="O101" s="68">
        <v>88.78</v>
      </c>
      <c r="P101" s="68">
        <v>128.19</v>
      </c>
      <c r="Q101" s="68">
        <v>62.26</v>
      </c>
      <c r="R101" s="68">
        <v>47.13</v>
      </c>
      <c r="S101" s="68">
        <v>112.1</v>
      </c>
      <c r="T101" s="68">
        <v>33.799999999999997</v>
      </c>
      <c r="U101" s="68">
        <v>25.24</v>
      </c>
      <c r="V101" s="68">
        <v>336.07</v>
      </c>
      <c r="W101" s="68">
        <v>128.94999999999999</v>
      </c>
      <c r="X101" s="68"/>
      <c r="Y101" s="68">
        <v>50.69</v>
      </c>
      <c r="Z101" s="68">
        <v>268.02</v>
      </c>
      <c r="AA101" s="68">
        <v>115.86</v>
      </c>
      <c r="AB101" s="68">
        <v>281.35000000000002</v>
      </c>
    </row>
    <row r="102" spans="1:28" ht="15" customHeight="1" x14ac:dyDescent="0.15">
      <c r="A102" s="71">
        <v>45877</v>
      </c>
      <c r="B102" s="68">
        <v>341.05</v>
      </c>
      <c r="C102" s="68">
        <v>139.18</v>
      </c>
      <c r="D102" s="68">
        <v>717.59</v>
      </c>
      <c r="E102" s="68">
        <v>302.2</v>
      </c>
      <c r="F102" s="68">
        <v>106.12</v>
      </c>
      <c r="G102" s="68">
        <v>90.79</v>
      </c>
      <c r="H102" s="68">
        <v>118.7</v>
      </c>
      <c r="I102" s="68">
        <v>182.25</v>
      </c>
      <c r="J102" s="68">
        <v>101.56</v>
      </c>
      <c r="K102" s="68">
        <v>186.96</v>
      </c>
      <c r="L102" s="68">
        <v>238.54</v>
      </c>
      <c r="M102" s="68">
        <v>139.74</v>
      </c>
      <c r="N102" s="68">
        <v>366.54</v>
      </c>
      <c r="O102" s="68">
        <v>90.85</v>
      </c>
      <c r="P102" s="68">
        <v>130.26</v>
      </c>
      <c r="Q102" s="68">
        <v>62.98</v>
      </c>
      <c r="R102" s="68">
        <v>48.46</v>
      </c>
      <c r="S102" s="68">
        <v>116.02</v>
      </c>
      <c r="T102" s="68">
        <v>34.14</v>
      </c>
      <c r="U102" s="68">
        <v>25.72</v>
      </c>
      <c r="V102" s="68">
        <v>333.52</v>
      </c>
      <c r="W102" s="68">
        <v>131.32</v>
      </c>
      <c r="X102" s="68"/>
      <c r="Y102" s="68">
        <v>51.1</v>
      </c>
      <c r="Z102" s="68">
        <v>273.62</v>
      </c>
      <c r="AA102" s="68">
        <v>121.16</v>
      </c>
      <c r="AB102" s="68">
        <v>282.13</v>
      </c>
    </row>
    <row r="103" spans="1:28" ht="15" customHeight="1" x14ac:dyDescent="0.15">
      <c r="A103" s="71">
        <v>45884</v>
      </c>
      <c r="B103" s="68">
        <v>354.85</v>
      </c>
      <c r="C103" s="68">
        <v>137.30000000000001</v>
      </c>
      <c r="D103" s="68">
        <v>737.3</v>
      </c>
      <c r="E103" s="68">
        <v>303.56</v>
      </c>
      <c r="F103" s="68">
        <v>106.97</v>
      </c>
      <c r="G103" s="68">
        <v>86.84</v>
      </c>
      <c r="H103" s="68">
        <v>120.68</v>
      </c>
      <c r="I103" s="68">
        <v>180.01</v>
      </c>
      <c r="J103" s="68">
        <v>102.43</v>
      </c>
      <c r="K103" s="68">
        <v>177.17</v>
      </c>
      <c r="L103" s="68">
        <v>235.63</v>
      </c>
      <c r="M103" s="68">
        <v>132.88999999999999</v>
      </c>
      <c r="N103" s="68">
        <v>392.79</v>
      </c>
      <c r="O103" s="68">
        <v>93.56</v>
      </c>
      <c r="P103" s="68">
        <v>132.26</v>
      </c>
      <c r="Q103" s="68">
        <v>63.44</v>
      </c>
      <c r="R103" s="68">
        <v>48.88</v>
      </c>
      <c r="S103" s="68">
        <v>116.14</v>
      </c>
      <c r="T103" s="68">
        <v>35.49</v>
      </c>
      <c r="U103" s="68">
        <v>26.15</v>
      </c>
      <c r="V103" s="68">
        <v>341.74</v>
      </c>
      <c r="W103" s="68">
        <v>132.91999999999999</v>
      </c>
      <c r="X103" s="68"/>
      <c r="Y103" s="68">
        <v>51.68</v>
      </c>
      <c r="Z103" s="68">
        <v>266.5</v>
      </c>
      <c r="AA103" s="68">
        <v>123.89</v>
      </c>
      <c r="AB103" s="68">
        <v>280.61</v>
      </c>
    </row>
    <row r="104" spans="1:28" ht="15" customHeight="1" x14ac:dyDescent="0.15">
      <c r="A104" s="71">
        <v>45891</v>
      </c>
      <c r="B104" s="68">
        <v>362.09</v>
      </c>
      <c r="C104" s="68">
        <v>133.25</v>
      </c>
      <c r="D104" s="68">
        <v>749.95</v>
      </c>
      <c r="E104" s="68">
        <v>291.33</v>
      </c>
      <c r="F104" s="68">
        <v>105.14</v>
      </c>
      <c r="G104" s="68">
        <v>86.56</v>
      </c>
      <c r="H104" s="68">
        <v>117.49</v>
      </c>
      <c r="I104" s="68">
        <v>177.55</v>
      </c>
      <c r="J104" s="68">
        <v>107.9</v>
      </c>
      <c r="K104" s="68">
        <v>158.74</v>
      </c>
      <c r="L104" s="68">
        <v>229.82</v>
      </c>
      <c r="M104" s="68">
        <v>125.8</v>
      </c>
      <c r="N104" s="68">
        <v>395.12</v>
      </c>
      <c r="O104" s="68">
        <v>97.28</v>
      </c>
      <c r="P104" s="68">
        <v>136.08000000000001</v>
      </c>
      <c r="Q104" s="68">
        <v>63.67</v>
      </c>
      <c r="R104" s="68">
        <v>48.76</v>
      </c>
      <c r="S104" s="68">
        <v>115.35</v>
      </c>
      <c r="T104" s="68">
        <v>36.409999999999997</v>
      </c>
      <c r="U104" s="68">
        <v>26.75</v>
      </c>
      <c r="V104" s="68">
        <v>347.26</v>
      </c>
      <c r="W104" s="68">
        <v>135.03</v>
      </c>
      <c r="X104" s="68"/>
      <c r="Y104" s="68">
        <v>52.3</v>
      </c>
      <c r="Z104" s="68">
        <v>265.18</v>
      </c>
      <c r="AA104" s="68">
        <v>120.46</v>
      </c>
      <c r="AB104" s="68">
        <v>290.86</v>
      </c>
    </row>
    <row r="105" spans="1:28" ht="15" customHeight="1" x14ac:dyDescent="0.15">
      <c r="A105" s="71">
        <v>45898</v>
      </c>
      <c r="B105" s="68">
        <v>356.7</v>
      </c>
      <c r="C105" s="68">
        <v>136.55000000000001</v>
      </c>
      <c r="D105" s="68">
        <v>737.76</v>
      </c>
      <c r="E105" s="68">
        <v>294.69</v>
      </c>
      <c r="F105" s="68">
        <v>105.93</v>
      </c>
      <c r="G105" s="68">
        <v>86.73</v>
      </c>
      <c r="H105" s="68">
        <v>118.82</v>
      </c>
      <c r="I105" s="68">
        <v>173.75</v>
      </c>
      <c r="J105" s="68">
        <v>109.34</v>
      </c>
      <c r="K105" s="68">
        <v>156.71</v>
      </c>
      <c r="L105" s="68">
        <v>227.73</v>
      </c>
      <c r="M105" s="68">
        <v>127.38</v>
      </c>
      <c r="N105" s="68">
        <v>391.02</v>
      </c>
      <c r="O105" s="68">
        <v>98.1</v>
      </c>
      <c r="P105" s="68">
        <v>135.78</v>
      </c>
      <c r="Q105" s="68">
        <v>63.68</v>
      </c>
      <c r="R105" s="68">
        <v>48.77</v>
      </c>
      <c r="S105" s="68">
        <v>115.32</v>
      </c>
      <c r="T105" s="68">
        <v>36.74</v>
      </c>
      <c r="U105" s="68">
        <v>26.72</v>
      </c>
      <c r="V105" s="68">
        <v>348.99</v>
      </c>
      <c r="W105" s="68">
        <v>135.05000000000001</v>
      </c>
      <c r="X105" s="68"/>
      <c r="Y105" s="68">
        <v>52.1</v>
      </c>
      <c r="Z105" s="68">
        <v>273.81</v>
      </c>
      <c r="AA105" s="68">
        <v>120.82</v>
      </c>
      <c r="AB105" s="68">
        <v>269.2</v>
      </c>
    </row>
    <row r="106" spans="1:28" ht="15" customHeight="1" x14ac:dyDescent="0.15">
      <c r="A106" s="71">
        <v>45905</v>
      </c>
      <c r="B106" s="68">
        <v>348.97</v>
      </c>
      <c r="C106" s="68">
        <v>142.85</v>
      </c>
      <c r="D106" s="68">
        <v>776.58</v>
      </c>
      <c r="E106" s="68">
        <v>331.85</v>
      </c>
      <c r="F106" s="68">
        <v>104.41</v>
      </c>
      <c r="G106" s="68">
        <v>90.02</v>
      </c>
      <c r="H106" s="68">
        <v>131.16</v>
      </c>
      <c r="I106" s="68">
        <v>166.61</v>
      </c>
      <c r="J106" s="68">
        <v>109.22</v>
      </c>
      <c r="K106" s="68">
        <v>153.11000000000001</v>
      </c>
      <c r="L106" s="68">
        <v>240.1</v>
      </c>
      <c r="M106" s="68">
        <v>123.83</v>
      </c>
      <c r="N106" s="68">
        <v>396.12</v>
      </c>
      <c r="O106" s="68">
        <v>99.17</v>
      </c>
      <c r="P106" s="68">
        <v>135.66</v>
      </c>
      <c r="Q106" s="68">
        <v>63.82</v>
      </c>
      <c r="R106" s="68">
        <v>49.25</v>
      </c>
      <c r="S106" s="68">
        <v>115.89</v>
      </c>
      <c r="T106" s="68">
        <v>37.020000000000003</v>
      </c>
      <c r="U106" s="68">
        <v>26.45</v>
      </c>
      <c r="V106" s="68">
        <v>340.5</v>
      </c>
      <c r="W106" s="68">
        <v>135.4</v>
      </c>
      <c r="X106" s="68"/>
      <c r="Y106" s="68">
        <v>52.1</v>
      </c>
      <c r="Z106" s="68">
        <v>277.82</v>
      </c>
      <c r="AA106" s="68">
        <v>124.38</v>
      </c>
      <c r="AB106" s="68">
        <v>272.93</v>
      </c>
    </row>
    <row r="107" spans="1:28" ht="15" customHeight="1" x14ac:dyDescent="0.15">
      <c r="A107" s="71">
        <v>45912</v>
      </c>
      <c r="B107" s="68">
        <v>349.36</v>
      </c>
      <c r="C107" s="68">
        <v>139.38999999999999</v>
      </c>
      <c r="D107" s="68">
        <v>808.54</v>
      </c>
      <c r="E107" s="68">
        <v>356.6</v>
      </c>
      <c r="F107" s="68">
        <v>109.03</v>
      </c>
      <c r="G107" s="68">
        <v>95.88</v>
      </c>
      <c r="H107" s="68">
        <v>156.97999999999999</v>
      </c>
      <c r="I107" s="68">
        <v>177.4</v>
      </c>
      <c r="J107" s="68">
        <v>110.85</v>
      </c>
      <c r="K107" s="68">
        <v>171.43</v>
      </c>
      <c r="L107" s="68">
        <v>255.81</v>
      </c>
      <c r="M107" s="68">
        <v>134.66</v>
      </c>
      <c r="N107" s="68">
        <v>394.53</v>
      </c>
      <c r="O107" s="68">
        <v>98.38</v>
      </c>
      <c r="P107" s="68">
        <v>135.84</v>
      </c>
      <c r="Q107" s="68">
        <v>64.36</v>
      </c>
      <c r="R107" s="68">
        <v>49.92</v>
      </c>
      <c r="S107" s="68">
        <v>119.28</v>
      </c>
      <c r="T107" s="68">
        <v>37.049999999999997</v>
      </c>
      <c r="U107" s="68">
        <v>26.3</v>
      </c>
      <c r="V107" s="68">
        <v>336.74</v>
      </c>
      <c r="W107" s="68">
        <v>137.18</v>
      </c>
      <c r="X107" s="68"/>
      <c r="Y107" s="68">
        <v>52.21</v>
      </c>
      <c r="Z107" s="68">
        <v>280.27</v>
      </c>
      <c r="AA107" s="68">
        <v>118.84</v>
      </c>
      <c r="AB107" s="68">
        <v>276.43</v>
      </c>
    </row>
    <row r="108" spans="1:28" ht="15" customHeight="1" x14ac:dyDescent="0.15">
      <c r="A108" s="71">
        <v>45919</v>
      </c>
      <c r="B108" s="68">
        <v>365.9</v>
      </c>
      <c r="C108" s="68">
        <v>149.61000000000001</v>
      </c>
      <c r="D108" s="68">
        <v>926.05</v>
      </c>
      <c r="E108" s="68">
        <v>341.81</v>
      </c>
      <c r="F108" s="68">
        <v>125.64</v>
      </c>
      <c r="G108" s="68">
        <v>103.92</v>
      </c>
      <c r="H108" s="68">
        <v>162.47</v>
      </c>
      <c r="I108" s="68">
        <v>176.25</v>
      </c>
      <c r="J108" s="68">
        <v>110.05</v>
      </c>
      <c r="K108" s="68">
        <v>182.39</v>
      </c>
      <c r="L108" s="68">
        <v>262.10000000000002</v>
      </c>
      <c r="M108" s="68">
        <v>143.44999999999999</v>
      </c>
      <c r="N108" s="68">
        <v>383.12</v>
      </c>
      <c r="O108" s="68">
        <v>98.94</v>
      </c>
      <c r="P108" s="68">
        <v>135.46</v>
      </c>
      <c r="Q108" s="68">
        <v>64.489999999999995</v>
      </c>
      <c r="R108" s="68">
        <v>50.47</v>
      </c>
      <c r="S108" s="68">
        <v>120.72</v>
      </c>
      <c r="T108" s="68">
        <v>37</v>
      </c>
      <c r="U108" s="68">
        <v>26.15</v>
      </c>
      <c r="V108" s="68">
        <v>338.9</v>
      </c>
      <c r="W108" s="68">
        <v>137.1</v>
      </c>
      <c r="X108" s="68"/>
      <c r="Y108" s="68">
        <v>52.17</v>
      </c>
      <c r="Z108" s="68">
        <v>299.62</v>
      </c>
      <c r="AA108" s="68">
        <v>122.7</v>
      </c>
      <c r="AB108" s="68">
        <v>277.79000000000002</v>
      </c>
    </row>
    <row r="109" spans="1:28" ht="15" customHeight="1" x14ac:dyDescent="0.15">
      <c r="A109" s="71">
        <v>45926</v>
      </c>
      <c r="B109" s="68">
        <v>360.37</v>
      </c>
      <c r="C109" s="68">
        <v>142.5</v>
      </c>
      <c r="D109" s="68">
        <v>945.29</v>
      </c>
      <c r="E109" s="68">
        <v>332.06</v>
      </c>
      <c r="F109" s="68">
        <v>120.36</v>
      </c>
      <c r="G109" s="68">
        <v>105.86</v>
      </c>
      <c r="H109" s="68">
        <v>157.02000000000001</v>
      </c>
      <c r="I109" s="68">
        <v>177.76</v>
      </c>
      <c r="J109" s="68">
        <v>110.71</v>
      </c>
      <c r="K109" s="68">
        <v>177.57</v>
      </c>
      <c r="L109" s="68">
        <v>270.5</v>
      </c>
      <c r="M109" s="68">
        <v>138.47</v>
      </c>
      <c r="N109" s="68">
        <v>385.74</v>
      </c>
      <c r="O109" s="68">
        <v>99.24</v>
      </c>
      <c r="P109" s="68">
        <v>136.5</v>
      </c>
      <c r="Q109" s="68">
        <v>64.510000000000005</v>
      </c>
      <c r="R109" s="68">
        <v>50.55</v>
      </c>
      <c r="S109" s="68">
        <v>119.57</v>
      </c>
      <c r="T109" s="68">
        <v>37.29</v>
      </c>
      <c r="U109" s="68">
        <v>26.29</v>
      </c>
      <c r="V109" s="68">
        <v>334.69</v>
      </c>
      <c r="W109" s="68">
        <v>137.41999999999999</v>
      </c>
      <c r="X109" s="68"/>
      <c r="Y109" s="68">
        <v>52.24</v>
      </c>
      <c r="Z109" s="68">
        <v>293.49</v>
      </c>
      <c r="AA109" s="68">
        <v>121.06</v>
      </c>
      <c r="AB109" s="68">
        <v>290.27</v>
      </c>
    </row>
    <row r="110" spans="1:28" ht="15" customHeight="1" x14ac:dyDescent="0.15">
      <c r="A110" s="71">
        <v>45933</v>
      </c>
      <c r="B110" s="68">
        <v>346.74</v>
      </c>
      <c r="C110" s="68">
        <v>145.5</v>
      </c>
      <c r="D110" s="68">
        <v>1025.47</v>
      </c>
      <c r="E110" s="68">
        <v>335.87</v>
      </c>
      <c r="F110" s="68">
        <v>122.47</v>
      </c>
      <c r="G110" s="68">
        <v>109.56</v>
      </c>
      <c r="H110" s="68">
        <v>187.65</v>
      </c>
      <c r="I110" s="68">
        <v>187.17</v>
      </c>
      <c r="J110" s="68">
        <v>113.5</v>
      </c>
      <c r="K110" s="68">
        <v>173.07</v>
      </c>
      <c r="L110" s="68">
        <v>289.13</v>
      </c>
      <c r="M110" s="68">
        <v>160.03</v>
      </c>
      <c r="N110" s="68">
        <v>403.3</v>
      </c>
      <c r="O110" s="68">
        <v>99.35</v>
      </c>
      <c r="P110" s="68">
        <v>138.19</v>
      </c>
      <c r="Q110" s="68">
        <v>64.72</v>
      </c>
      <c r="R110" s="68">
        <v>50.97</v>
      </c>
      <c r="S110" s="68">
        <v>119.08</v>
      </c>
      <c r="T110" s="68">
        <v>37.42</v>
      </c>
      <c r="U110" s="68">
        <v>26.48</v>
      </c>
      <c r="V110" s="68">
        <v>347.06</v>
      </c>
      <c r="W110" s="68">
        <v>138.16999999999999</v>
      </c>
      <c r="X110" s="68"/>
      <c r="Y110" s="68">
        <v>52.66</v>
      </c>
      <c r="Z110" s="68">
        <v>295.86</v>
      </c>
      <c r="AA110" s="68">
        <v>115.33</v>
      </c>
      <c r="AB110" s="68">
        <v>296.27999999999997</v>
      </c>
    </row>
    <row r="111" spans="1:28" ht="15" customHeight="1" x14ac:dyDescent="0.15">
      <c r="A111" s="71">
        <v>45940</v>
      </c>
      <c r="B111" s="68">
        <v>337.51</v>
      </c>
      <c r="C111" s="68">
        <v>154.1</v>
      </c>
      <c r="D111" s="68">
        <v>930.06</v>
      </c>
      <c r="E111" s="68">
        <v>322.23</v>
      </c>
      <c r="F111" s="68">
        <v>123.42</v>
      </c>
      <c r="G111" s="68">
        <v>97.75</v>
      </c>
      <c r="H111" s="68">
        <v>181.42</v>
      </c>
      <c r="I111" s="68">
        <v>182.72</v>
      </c>
      <c r="J111" s="68">
        <v>107.84</v>
      </c>
      <c r="K111" s="68">
        <v>175.44</v>
      </c>
      <c r="L111" s="68">
        <v>277.72000000000003</v>
      </c>
      <c r="M111" s="68">
        <v>168.83</v>
      </c>
      <c r="N111" s="68">
        <v>407.79</v>
      </c>
      <c r="O111" s="68">
        <v>93.95</v>
      </c>
      <c r="P111" s="68">
        <v>133.41</v>
      </c>
      <c r="Q111" s="68">
        <v>63.9</v>
      </c>
      <c r="R111" s="68">
        <v>50.12</v>
      </c>
      <c r="S111" s="68">
        <v>117.51</v>
      </c>
      <c r="T111" s="68">
        <v>36.18</v>
      </c>
      <c r="U111" s="68">
        <v>25.64</v>
      </c>
      <c r="V111" s="68">
        <v>340.92</v>
      </c>
      <c r="W111" s="68">
        <v>134.19</v>
      </c>
      <c r="X111" s="68"/>
      <c r="Y111" s="68">
        <v>51.71</v>
      </c>
      <c r="Z111" s="68">
        <v>290.37</v>
      </c>
      <c r="AA111" s="68">
        <v>122.01</v>
      </c>
      <c r="AB111" s="68">
        <v>286.58999999999997</v>
      </c>
    </row>
    <row r="112" spans="1:28" ht="15" customHeight="1" x14ac:dyDescent="0.15">
      <c r="A112" s="71">
        <v>45947</v>
      </c>
      <c r="B112" s="68">
        <v>333.26</v>
      </c>
      <c r="C112" s="68">
        <v>143.1</v>
      </c>
      <c r="D112" s="68">
        <v>1022.53</v>
      </c>
      <c r="E112" s="68">
        <v>346.75</v>
      </c>
      <c r="F112" s="68">
        <v>121.16</v>
      </c>
      <c r="G112" s="68">
        <v>110.07</v>
      </c>
      <c r="H112" s="68">
        <v>202.18</v>
      </c>
      <c r="I112" s="68">
        <v>182.78</v>
      </c>
      <c r="J112" s="68">
        <v>120.3</v>
      </c>
      <c r="K112" s="68">
        <v>178.15</v>
      </c>
      <c r="L112" s="68">
        <v>291.99</v>
      </c>
      <c r="M112" s="68">
        <v>173.81</v>
      </c>
      <c r="N112" s="68">
        <v>416.81</v>
      </c>
      <c r="O112" s="68">
        <v>95.79</v>
      </c>
      <c r="P112" s="68">
        <v>135.37</v>
      </c>
      <c r="Q112" s="68">
        <v>64.53</v>
      </c>
      <c r="R112" s="68">
        <v>51.15</v>
      </c>
      <c r="S112" s="68">
        <v>119.41</v>
      </c>
      <c r="T112" s="68">
        <v>36.69</v>
      </c>
      <c r="U112" s="68">
        <v>25.88</v>
      </c>
      <c r="V112" s="68">
        <v>339.18</v>
      </c>
      <c r="W112" s="68">
        <v>136.76</v>
      </c>
      <c r="X112" s="68"/>
      <c r="Y112" s="68">
        <v>52.5</v>
      </c>
      <c r="Z112" s="68">
        <v>298.99</v>
      </c>
      <c r="AA112" s="68">
        <v>119.94</v>
      </c>
      <c r="AB112" s="68">
        <v>283.73</v>
      </c>
    </row>
    <row r="113" spans="1:28" ht="15" customHeight="1" x14ac:dyDescent="0.15">
      <c r="A113" s="71">
        <v>45954</v>
      </c>
      <c r="B113" s="68">
        <v>353.52</v>
      </c>
      <c r="C113" s="68">
        <v>153.82</v>
      </c>
      <c r="D113" s="68">
        <v>1026.3399999999999</v>
      </c>
      <c r="E113" s="68">
        <v>351.52</v>
      </c>
      <c r="F113" s="68">
        <v>131.83000000000001</v>
      </c>
      <c r="G113" s="68">
        <v>117.65</v>
      </c>
      <c r="H113" s="68">
        <v>218.81</v>
      </c>
      <c r="I113" s="68">
        <v>185.81</v>
      </c>
      <c r="J113" s="68">
        <v>122.58</v>
      </c>
      <c r="K113" s="68">
        <v>184.63</v>
      </c>
      <c r="L113" s="68">
        <v>291.87</v>
      </c>
      <c r="M113" s="68">
        <v>185.86</v>
      </c>
      <c r="N113" s="68">
        <v>421.39</v>
      </c>
      <c r="O113" s="68">
        <v>98.61</v>
      </c>
      <c r="P113" s="68">
        <v>137.66999999999999</v>
      </c>
      <c r="Q113" s="68">
        <v>65.180000000000007</v>
      </c>
      <c r="R113" s="68">
        <v>52.1</v>
      </c>
      <c r="S113" s="68">
        <v>120.69</v>
      </c>
      <c r="T113" s="68">
        <v>37.64</v>
      </c>
      <c r="U113" s="68">
        <v>26.11</v>
      </c>
      <c r="V113" s="68">
        <v>344.62</v>
      </c>
      <c r="W113" s="68">
        <v>138.24</v>
      </c>
      <c r="X113" s="68"/>
      <c r="Y113" s="68">
        <v>53.05</v>
      </c>
      <c r="Z113" s="68">
        <v>302.7</v>
      </c>
      <c r="AA113" s="68">
        <v>109.47</v>
      </c>
      <c r="AB113" s="68">
        <v>293.02</v>
      </c>
    </row>
    <row r="114" spans="1:28" ht="15" customHeight="1" x14ac:dyDescent="0.15">
      <c r="A114" s="71">
        <v>45961</v>
      </c>
      <c r="B114" s="68">
        <v>340.31</v>
      </c>
      <c r="C114" s="68">
        <v>157.69</v>
      </c>
      <c r="D114" s="68">
        <v>1054.17</v>
      </c>
      <c r="E114" s="68">
        <v>366.9</v>
      </c>
      <c r="F114" s="68">
        <v>135.75</v>
      </c>
      <c r="G114" s="68">
        <v>120.23</v>
      </c>
      <c r="H114" s="68">
        <v>223.55</v>
      </c>
      <c r="I114" s="68">
        <v>202.01</v>
      </c>
      <c r="J114" s="68">
        <v>120.31</v>
      </c>
      <c r="K114" s="68">
        <v>200.47</v>
      </c>
      <c r="L114" s="68">
        <v>297.27999999999997</v>
      </c>
      <c r="M114" s="68">
        <v>192.65</v>
      </c>
      <c r="N114" s="68">
        <v>425.57</v>
      </c>
      <c r="O114" s="68">
        <v>96.52</v>
      </c>
      <c r="P114" s="68">
        <v>134.38999999999999</v>
      </c>
      <c r="Q114" s="68">
        <v>65.22</v>
      </c>
      <c r="R114" s="68">
        <v>52.59</v>
      </c>
      <c r="S114" s="68">
        <v>120.68</v>
      </c>
      <c r="T114" s="68">
        <v>37.409999999999997</v>
      </c>
      <c r="U114" s="68">
        <v>25.84</v>
      </c>
      <c r="V114" s="68">
        <v>338.04</v>
      </c>
      <c r="W114" s="68">
        <v>137.22</v>
      </c>
      <c r="X114" s="68"/>
      <c r="Y114" s="68">
        <v>52.52</v>
      </c>
      <c r="Z114" s="68">
        <v>307.76</v>
      </c>
      <c r="AA114" s="68">
        <v>111.89</v>
      </c>
      <c r="AB114" s="68">
        <v>291.2</v>
      </c>
    </row>
    <row r="115" spans="1:28" ht="15" customHeight="1" x14ac:dyDescent="0.15">
      <c r="A115" s="71">
        <v>45968</v>
      </c>
      <c r="B115" s="68">
        <v>326.95</v>
      </c>
      <c r="C115" s="68">
        <v>134.65</v>
      </c>
      <c r="D115" s="68">
        <v>1012.1</v>
      </c>
      <c r="E115" s="68">
        <v>346.85</v>
      </c>
      <c r="F115" s="68">
        <v>134.94999999999999</v>
      </c>
      <c r="G115" s="68">
        <v>118.7</v>
      </c>
      <c r="H115" s="68">
        <v>237.69</v>
      </c>
      <c r="I115" s="68">
        <v>187.7</v>
      </c>
      <c r="J115" s="68">
        <v>121.78</v>
      </c>
      <c r="K115" s="68">
        <v>177.93</v>
      </c>
      <c r="L115" s="68">
        <v>283.5</v>
      </c>
      <c r="M115" s="68">
        <v>179.61</v>
      </c>
      <c r="N115" s="68">
        <v>409.47</v>
      </c>
      <c r="O115" s="68">
        <v>96.46</v>
      </c>
      <c r="P115" s="68">
        <v>135.38999999999999</v>
      </c>
      <c r="Q115" s="68">
        <v>64.89</v>
      </c>
      <c r="R115" s="68">
        <v>51.77</v>
      </c>
      <c r="S115" s="68">
        <v>117.54</v>
      </c>
      <c r="T115" s="68">
        <v>37.49</v>
      </c>
      <c r="U115" s="68">
        <v>25.81</v>
      </c>
      <c r="V115" s="68">
        <v>333.35</v>
      </c>
      <c r="W115" s="68">
        <v>136.91999999999999</v>
      </c>
      <c r="X115" s="68"/>
      <c r="Y115" s="68">
        <v>52.44</v>
      </c>
      <c r="Z115" s="68">
        <v>306.08999999999997</v>
      </c>
      <c r="AA115" s="68">
        <v>110.37</v>
      </c>
      <c r="AB115" s="68">
        <v>294.86</v>
      </c>
    </row>
    <row r="116" spans="1:28" ht="15" customHeight="1" x14ac:dyDescent="0.15">
      <c r="A116" s="71">
        <v>45975</v>
      </c>
      <c r="B116" s="68">
        <v>331.11</v>
      </c>
      <c r="C116" s="68">
        <v>131.37</v>
      </c>
      <c r="D116" s="68">
        <v>1002.17</v>
      </c>
      <c r="E116" s="68">
        <v>339.93</v>
      </c>
      <c r="F116" s="68">
        <v>134.38999999999999</v>
      </c>
      <c r="G116" s="68">
        <v>112.82</v>
      </c>
      <c r="H116" s="68">
        <v>246.59</v>
      </c>
      <c r="I116" s="68">
        <v>189.72</v>
      </c>
      <c r="J116" s="68">
        <v>119.09</v>
      </c>
      <c r="K116" s="68">
        <v>174.01</v>
      </c>
      <c r="L116" s="68">
        <v>281.83999999999997</v>
      </c>
      <c r="M116" s="68">
        <v>170.79</v>
      </c>
      <c r="N116" s="68">
        <v>437.15</v>
      </c>
      <c r="O116" s="68">
        <v>96.32</v>
      </c>
      <c r="P116" s="68">
        <v>135.81</v>
      </c>
      <c r="Q116" s="68">
        <v>64.989999999999995</v>
      </c>
      <c r="R116" s="68">
        <v>51.87</v>
      </c>
      <c r="S116" s="68">
        <v>116.84</v>
      </c>
      <c r="T116" s="68">
        <v>37.909999999999997</v>
      </c>
      <c r="U116" s="68">
        <v>26.32</v>
      </c>
      <c r="V116" s="68">
        <v>328.05</v>
      </c>
      <c r="W116" s="68">
        <v>137.63999999999999</v>
      </c>
      <c r="X116" s="68"/>
      <c r="Y116" s="68">
        <v>52.71</v>
      </c>
      <c r="Z116" s="68">
        <v>303.64999999999998</v>
      </c>
      <c r="AA116" s="68">
        <v>111.22</v>
      </c>
      <c r="AB116" s="68">
        <v>293.36</v>
      </c>
    </row>
    <row r="117" spans="1:28" ht="15" customHeight="1" x14ac:dyDescent="0.15">
      <c r="A117" s="71">
        <v>45982</v>
      </c>
      <c r="B117" s="68">
        <v>324.19</v>
      </c>
      <c r="C117" s="68">
        <v>117.43</v>
      </c>
      <c r="D117" s="68">
        <v>961.95</v>
      </c>
      <c r="E117" s="68">
        <v>337.69</v>
      </c>
      <c r="F117" s="68">
        <v>122.67</v>
      </c>
      <c r="G117" s="68">
        <v>109.31</v>
      </c>
      <c r="H117" s="68">
        <v>207.17</v>
      </c>
      <c r="I117" s="68">
        <v>178.45</v>
      </c>
      <c r="J117" s="68">
        <v>121.96</v>
      </c>
      <c r="K117" s="68">
        <v>154.85</v>
      </c>
      <c r="L117" s="68">
        <v>272.18</v>
      </c>
      <c r="M117" s="68">
        <v>159.66</v>
      </c>
      <c r="N117" s="68">
        <v>426.76</v>
      </c>
      <c r="O117" s="68">
        <v>95.57</v>
      </c>
      <c r="P117" s="68">
        <v>135.13999999999999</v>
      </c>
      <c r="Q117" s="68">
        <v>64.41</v>
      </c>
      <c r="R117" s="68">
        <v>50.45</v>
      </c>
      <c r="S117" s="68">
        <v>113.34</v>
      </c>
      <c r="T117" s="68">
        <v>37.15</v>
      </c>
      <c r="U117" s="68">
        <v>26.18</v>
      </c>
      <c r="V117" s="68">
        <v>326.02</v>
      </c>
      <c r="W117" s="68">
        <v>136.75</v>
      </c>
      <c r="X117" s="68"/>
      <c r="Y117" s="68">
        <v>52.57</v>
      </c>
      <c r="Z117" s="68">
        <v>286.33999999999997</v>
      </c>
      <c r="AA117" s="68">
        <v>104.31</v>
      </c>
      <c r="AB117" s="68">
        <v>244.06</v>
      </c>
    </row>
    <row r="118" spans="1:28" ht="15" customHeight="1" x14ac:dyDescent="0.15">
      <c r="A118" s="71">
        <v>45989</v>
      </c>
      <c r="B118" s="68">
        <v>320.13</v>
      </c>
      <c r="C118" s="68">
        <v>130.68</v>
      </c>
      <c r="D118" s="68">
        <v>1054.93</v>
      </c>
      <c r="E118" s="68">
        <v>399.99</v>
      </c>
      <c r="F118" s="68">
        <v>127.29</v>
      </c>
      <c r="G118" s="68">
        <v>117.11</v>
      </c>
      <c r="H118" s="68">
        <v>236.25</v>
      </c>
      <c r="I118" s="68">
        <v>176.58</v>
      </c>
      <c r="J118" s="68">
        <v>124.62</v>
      </c>
      <c r="K118" s="68">
        <v>168.45</v>
      </c>
      <c r="L118" s="68">
        <v>288.45999999999998</v>
      </c>
      <c r="M118" s="68">
        <v>179.61</v>
      </c>
      <c r="N118" s="68">
        <v>433.61</v>
      </c>
      <c r="O118" s="68">
        <v>99.81</v>
      </c>
      <c r="P118" s="68">
        <v>138.62</v>
      </c>
      <c r="Q118" s="68">
        <v>65.81</v>
      </c>
      <c r="R118" s="68">
        <v>52.76</v>
      </c>
      <c r="S118" s="68">
        <v>119.11</v>
      </c>
      <c r="T118" s="68">
        <v>38.42</v>
      </c>
      <c r="U118" s="68">
        <v>26.66</v>
      </c>
      <c r="V118" s="68">
        <v>332.44</v>
      </c>
      <c r="W118" s="68">
        <v>141.96</v>
      </c>
      <c r="X118" s="68"/>
      <c r="Y118" s="68">
        <v>53.8</v>
      </c>
      <c r="Z118" s="68">
        <v>297.3</v>
      </c>
      <c r="AA118" s="68">
        <v>107.58</v>
      </c>
      <c r="AB118" s="68">
        <v>240.29</v>
      </c>
    </row>
    <row r="119" spans="1:28" ht="15" customHeight="1" x14ac:dyDescent="0.15">
      <c r="A119" s="71">
        <v>45996</v>
      </c>
      <c r="B119" s="68">
        <v>346.26</v>
      </c>
      <c r="C119" s="68">
        <v>128.59</v>
      </c>
      <c r="D119" s="68">
        <v>1094.21</v>
      </c>
      <c r="E119" s="68">
        <v>387.36</v>
      </c>
      <c r="F119" s="68">
        <v>128.01</v>
      </c>
      <c r="G119" s="68">
        <v>121</v>
      </c>
      <c r="H119" s="68">
        <v>236.99</v>
      </c>
      <c r="I119" s="68">
        <v>181.98</v>
      </c>
      <c r="J119" s="68">
        <v>124.08</v>
      </c>
      <c r="K119" s="68">
        <v>181.76</v>
      </c>
      <c r="L119" s="68">
        <v>291.63</v>
      </c>
      <c r="M119" s="68">
        <v>188.89</v>
      </c>
      <c r="N119" s="68">
        <v>455.48</v>
      </c>
      <c r="O119" s="68">
        <v>101.56</v>
      </c>
      <c r="P119" s="68">
        <v>136.97</v>
      </c>
      <c r="Q119" s="68">
        <v>65.959999999999994</v>
      </c>
      <c r="R119" s="68">
        <v>53.27</v>
      </c>
      <c r="S119" s="68">
        <v>119.84</v>
      </c>
      <c r="T119" s="68">
        <v>39.020000000000003</v>
      </c>
      <c r="U119" s="68">
        <v>26.77</v>
      </c>
      <c r="V119" s="68">
        <v>329.26</v>
      </c>
      <c r="W119" s="68">
        <v>141.74</v>
      </c>
      <c r="X119" s="68"/>
      <c r="Y119" s="68">
        <v>53.7</v>
      </c>
      <c r="Z119" s="68">
        <v>282.85000000000002</v>
      </c>
      <c r="AA119" s="68">
        <v>100.24</v>
      </c>
      <c r="AB119" s="68">
        <v>242</v>
      </c>
    </row>
    <row r="120" spans="1:28" ht="15" customHeight="1" x14ac:dyDescent="0.15">
      <c r="A120" s="71">
        <v>46003</v>
      </c>
      <c r="B120" s="68">
        <v>356.43</v>
      </c>
      <c r="C120" s="68">
        <v>124.76</v>
      </c>
      <c r="D120" s="68">
        <v>1075.68</v>
      </c>
      <c r="E120" s="68">
        <v>357.27</v>
      </c>
      <c r="F120" s="68">
        <v>126.19</v>
      </c>
      <c r="G120" s="68">
        <v>118.95</v>
      </c>
      <c r="H120" s="68">
        <v>240.9</v>
      </c>
      <c r="I120" s="68">
        <v>174.61</v>
      </c>
      <c r="J120" s="68">
        <v>126.22</v>
      </c>
      <c r="K120" s="68">
        <v>183.57</v>
      </c>
      <c r="L120" s="68">
        <v>289.76</v>
      </c>
      <c r="M120" s="68">
        <v>161.16</v>
      </c>
      <c r="N120" s="68">
        <v>452.04</v>
      </c>
      <c r="O120" s="68">
        <v>103.74</v>
      </c>
      <c r="P120" s="68">
        <v>139.19</v>
      </c>
      <c r="Q120" s="68">
        <v>65.88</v>
      </c>
      <c r="R120" s="68">
        <v>52.69</v>
      </c>
      <c r="S120" s="68">
        <v>118.1</v>
      </c>
      <c r="T120" s="68">
        <v>39.44</v>
      </c>
      <c r="U120" s="68">
        <v>27.02</v>
      </c>
      <c r="V120" s="68">
        <v>345.75</v>
      </c>
      <c r="W120" s="68">
        <v>142.52000000000001</v>
      </c>
      <c r="X120" s="68"/>
      <c r="Y120" s="68">
        <v>53.98</v>
      </c>
      <c r="Z120" s="68">
        <v>298.66000000000003</v>
      </c>
      <c r="AA120" s="68">
        <v>95.19</v>
      </c>
      <c r="AB120" s="68">
        <v>223.26</v>
      </c>
    </row>
    <row r="121" spans="1:28" ht="15" customHeight="1" x14ac:dyDescent="0.15">
      <c r="A121" s="71">
        <v>46010</v>
      </c>
      <c r="B121" s="68">
        <v>355.86</v>
      </c>
      <c r="C121" s="68">
        <v>131.12</v>
      </c>
      <c r="D121" s="68">
        <v>1050.97</v>
      </c>
      <c r="E121" s="68">
        <v>337.85</v>
      </c>
      <c r="F121" s="68">
        <v>120.32</v>
      </c>
      <c r="G121" s="68">
        <v>124.11</v>
      </c>
      <c r="H121" s="68">
        <v>265.66000000000003</v>
      </c>
      <c r="I121" s="68">
        <v>180.57</v>
      </c>
      <c r="J121" s="68">
        <v>124.32</v>
      </c>
      <c r="K121" s="68">
        <v>193.38</v>
      </c>
      <c r="L121" s="68">
        <v>286.7</v>
      </c>
      <c r="M121" s="68">
        <v>159.71</v>
      </c>
      <c r="N121" s="68">
        <v>456.2</v>
      </c>
      <c r="O121" s="68">
        <v>102.8</v>
      </c>
      <c r="P121" s="68">
        <v>138.55000000000001</v>
      </c>
      <c r="Q121" s="68">
        <v>66.03</v>
      </c>
      <c r="R121" s="68">
        <v>53.08</v>
      </c>
      <c r="S121" s="68">
        <v>118.53</v>
      </c>
      <c r="T121" s="68">
        <v>39.270000000000003</v>
      </c>
      <c r="U121" s="68">
        <v>26.8</v>
      </c>
      <c r="V121" s="68">
        <v>347.17</v>
      </c>
      <c r="W121" s="68">
        <v>140.83000000000001</v>
      </c>
      <c r="X121" s="68">
        <v>44.15</v>
      </c>
      <c r="Y121" s="68">
        <v>53.8</v>
      </c>
      <c r="Z121" s="68">
        <v>306.02999999999997</v>
      </c>
      <c r="AA121" s="68">
        <v>94.39</v>
      </c>
      <c r="AB121" s="68">
        <v>221.86</v>
      </c>
    </row>
    <row r="122" spans="1:28" ht="15" customHeight="1" x14ac:dyDescent="0.15">
      <c r="A122" s="71">
        <v>46017</v>
      </c>
      <c r="B122" s="68">
        <v>353.8</v>
      </c>
      <c r="C122" s="68">
        <v>131.84</v>
      </c>
      <c r="D122" s="68">
        <v>1067.6199999999999</v>
      </c>
      <c r="E122" s="68">
        <v>350.2</v>
      </c>
      <c r="F122" s="68">
        <v>120.3</v>
      </c>
      <c r="G122" s="68">
        <v>127.49</v>
      </c>
      <c r="H122" s="68">
        <v>284.51</v>
      </c>
      <c r="I122" s="68">
        <v>190.09</v>
      </c>
      <c r="J122" s="68">
        <v>125.76</v>
      </c>
      <c r="K122" s="68">
        <v>188.71</v>
      </c>
      <c r="L122" s="68">
        <v>300.48</v>
      </c>
      <c r="M122" s="68">
        <v>167.46</v>
      </c>
      <c r="N122" s="68">
        <v>462.9</v>
      </c>
      <c r="O122" s="68">
        <v>102.71</v>
      </c>
      <c r="P122" s="68">
        <v>139.28</v>
      </c>
      <c r="Q122" s="68">
        <v>66.73</v>
      </c>
      <c r="R122" s="68">
        <v>53.74</v>
      </c>
      <c r="S122" s="68">
        <v>120.66</v>
      </c>
      <c r="T122" s="68">
        <v>39.53</v>
      </c>
      <c r="U122" s="68">
        <v>26.98</v>
      </c>
      <c r="V122" s="68">
        <v>352.88</v>
      </c>
      <c r="W122" s="68">
        <v>142.56</v>
      </c>
      <c r="X122" s="68">
        <v>44.85</v>
      </c>
      <c r="Y122" s="68">
        <v>54.25</v>
      </c>
      <c r="Z122" s="68">
        <v>313.93</v>
      </c>
      <c r="AA122" s="68">
        <v>94.47</v>
      </c>
      <c r="AB122" s="68">
        <v>224.65</v>
      </c>
    </row>
    <row r="123" spans="1:28" ht="15" customHeight="1" x14ac:dyDescent="0.15">
      <c r="A123" s="71">
        <v>46024</v>
      </c>
      <c r="B123" s="68">
        <v>333.3</v>
      </c>
      <c r="C123" s="68">
        <v>133.6</v>
      </c>
      <c r="D123" s="68">
        <v>1158.22</v>
      </c>
      <c r="E123" s="68">
        <v>345.71</v>
      </c>
      <c r="F123" s="68">
        <v>113.39</v>
      </c>
      <c r="G123" s="68">
        <v>126.98</v>
      </c>
      <c r="H123" s="68">
        <v>315.24</v>
      </c>
      <c r="I123" s="68">
        <v>188.41</v>
      </c>
      <c r="J123" s="68">
        <v>126.1</v>
      </c>
      <c r="K123" s="68">
        <v>167.86</v>
      </c>
      <c r="L123" s="68">
        <v>317.12</v>
      </c>
      <c r="M123" s="68">
        <v>175.49</v>
      </c>
      <c r="N123" s="68">
        <v>452.13</v>
      </c>
      <c r="O123" s="68">
        <v>102.14</v>
      </c>
      <c r="P123" s="68">
        <v>139.29</v>
      </c>
      <c r="Q123" s="68">
        <v>66.180000000000007</v>
      </c>
      <c r="R123" s="68">
        <v>53.12</v>
      </c>
      <c r="S123" s="68">
        <v>118.96</v>
      </c>
      <c r="T123" s="68">
        <v>39.159999999999997</v>
      </c>
      <c r="U123" s="68">
        <v>27.06</v>
      </c>
      <c r="V123" s="68">
        <v>344.41</v>
      </c>
      <c r="W123" s="68">
        <v>142.24</v>
      </c>
      <c r="X123" s="68">
        <v>45.31</v>
      </c>
      <c r="Y123" s="68">
        <v>53.99</v>
      </c>
      <c r="Z123" s="68">
        <v>319.88</v>
      </c>
      <c r="AA123" s="68">
        <v>90.99</v>
      </c>
      <c r="AB123" s="68">
        <v>219.49</v>
      </c>
    </row>
    <row r="124" spans="1:28" ht="15" customHeight="1" x14ac:dyDescent="0.15">
      <c r="A124" s="71">
        <v>46031</v>
      </c>
      <c r="B124" s="68">
        <v>333.95</v>
      </c>
      <c r="C124" s="68">
        <v>122.89</v>
      </c>
      <c r="D124" s="68">
        <v>1267.79</v>
      </c>
      <c r="E124" s="68">
        <v>343.08</v>
      </c>
      <c r="F124" s="68">
        <v>117.65</v>
      </c>
      <c r="G124" s="68">
        <v>139.47999999999999</v>
      </c>
      <c r="H124" s="68">
        <v>344.89</v>
      </c>
      <c r="I124" s="68">
        <v>184.43</v>
      </c>
      <c r="J124" s="68">
        <v>126.44</v>
      </c>
      <c r="K124" s="68">
        <v>177.49</v>
      </c>
      <c r="L124" s="68">
        <v>321.11</v>
      </c>
      <c r="M124" s="68">
        <v>163.47</v>
      </c>
      <c r="N124" s="68">
        <v>463.86</v>
      </c>
      <c r="O124" s="68">
        <v>106.31</v>
      </c>
      <c r="P124" s="68">
        <v>142.21</v>
      </c>
      <c r="Q124" s="68">
        <v>66.78</v>
      </c>
      <c r="R124" s="68">
        <v>54.1</v>
      </c>
      <c r="S124" s="68">
        <v>119.31</v>
      </c>
      <c r="T124" s="68">
        <v>40.17</v>
      </c>
      <c r="U124" s="68">
        <v>27.86</v>
      </c>
      <c r="V124" s="68">
        <v>347.68</v>
      </c>
      <c r="W124" s="68">
        <v>144.69</v>
      </c>
      <c r="X124" s="68">
        <v>44.4</v>
      </c>
      <c r="Y124" s="68">
        <v>54.87</v>
      </c>
      <c r="Z124" s="68">
        <v>320.72000000000003</v>
      </c>
      <c r="AA124" s="68">
        <v>89.46</v>
      </c>
      <c r="AB124" s="68">
        <v>240.12</v>
      </c>
    </row>
    <row r="125" spans="1:28" ht="15" customHeight="1" x14ac:dyDescent="0.15">
      <c r="A125" s="71">
        <v>46038</v>
      </c>
      <c r="B125" s="68">
        <v>296.12</v>
      </c>
      <c r="C125" s="68">
        <v>129.83000000000001</v>
      </c>
      <c r="D125" s="68">
        <v>1352.07</v>
      </c>
      <c r="E125" s="68">
        <v>349.78</v>
      </c>
      <c r="F125" s="68">
        <v>113.47</v>
      </c>
      <c r="G125" s="68">
        <v>156.19999999999999</v>
      </c>
      <c r="H125" s="68">
        <v>362.54</v>
      </c>
      <c r="I125" s="68">
        <v>185.8</v>
      </c>
      <c r="J125" s="68">
        <v>130.16</v>
      </c>
      <c r="K125" s="68">
        <v>170.96</v>
      </c>
      <c r="L125" s="68">
        <v>339.73</v>
      </c>
      <c r="M125" s="68">
        <v>176.81</v>
      </c>
      <c r="N125" s="68">
        <v>441.36</v>
      </c>
      <c r="O125" s="68">
        <v>107.48</v>
      </c>
      <c r="P125" s="68">
        <v>144.06</v>
      </c>
      <c r="Q125" s="68">
        <v>66.48</v>
      </c>
      <c r="R125" s="68">
        <v>53.88</v>
      </c>
      <c r="S125" s="68">
        <v>119.28</v>
      </c>
      <c r="T125" s="68">
        <v>39.35</v>
      </c>
      <c r="U125" s="68">
        <v>28.21</v>
      </c>
      <c r="V125" s="68">
        <v>326.33999999999997</v>
      </c>
      <c r="W125" s="68">
        <v>146.28</v>
      </c>
      <c r="X125" s="68">
        <v>45.69</v>
      </c>
      <c r="Y125" s="68">
        <v>55.02</v>
      </c>
      <c r="Z125" s="68">
        <v>324.24</v>
      </c>
      <c r="AA125" s="68">
        <v>88</v>
      </c>
      <c r="AB125" s="68">
        <v>222.21</v>
      </c>
    </row>
    <row r="126" spans="1:28" ht="15" customHeight="1" x14ac:dyDescent="0.15">
      <c r="A126" s="71">
        <v>46045</v>
      </c>
      <c r="B126" s="68">
        <v>301.07</v>
      </c>
      <c r="C126" s="68">
        <v>136.34</v>
      </c>
      <c r="D126" s="68">
        <v>1382.4</v>
      </c>
      <c r="E126" s="68">
        <v>318.3</v>
      </c>
      <c r="F126" s="68">
        <v>113.12</v>
      </c>
      <c r="G126" s="68">
        <v>150.72</v>
      </c>
      <c r="H126" s="68">
        <v>399.42</v>
      </c>
      <c r="I126" s="68">
        <v>187.23</v>
      </c>
      <c r="J126" s="68">
        <v>124.24</v>
      </c>
      <c r="K126" s="68">
        <v>169.6</v>
      </c>
      <c r="L126" s="68">
        <v>332.26</v>
      </c>
      <c r="M126" s="68">
        <v>182.36</v>
      </c>
      <c r="N126" s="68">
        <v>468.41</v>
      </c>
      <c r="O126" s="68">
        <v>107.46</v>
      </c>
      <c r="P126" s="68">
        <v>144.41999999999999</v>
      </c>
      <c r="Q126" s="68">
        <v>66.459999999999994</v>
      </c>
      <c r="R126" s="68">
        <v>54.16</v>
      </c>
      <c r="S126" s="68">
        <v>117.22</v>
      </c>
      <c r="T126" s="68">
        <v>39.6</v>
      </c>
      <c r="U126" s="68">
        <v>28.44</v>
      </c>
      <c r="V126" s="68">
        <v>324.23</v>
      </c>
      <c r="W126" s="68">
        <v>145.12</v>
      </c>
      <c r="X126" s="68">
        <v>46.75</v>
      </c>
      <c r="Y126" s="68">
        <v>54.99</v>
      </c>
      <c r="Z126" s="68">
        <v>293.08</v>
      </c>
      <c r="AA126" s="68">
        <v>86.12</v>
      </c>
      <c r="AB126" s="68">
        <v>222</v>
      </c>
    </row>
    <row r="127" spans="1:28" ht="15" customHeight="1" x14ac:dyDescent="0.15">
      <c r="A127" s="71">
        <v>46052</v>
      </c>
      <c r="B127" s="68">
        <v>293.25</v>
      </c>
      <c r="C127" s="68">
        <v>141.74</v>
      </c>
      <c r="D127" s="68">
        <v>1416.2</v>
      </c>
      <c r="E127" s="68">
        <v>329.48</v>
      </c>
      <c r="F127" s="68">
        <v>110.35</v>
      </c>
      <c r="G127" s="68">
        <v>142.27000000000001</v>
      </c>
      <c r="H127" s="68">
        <v>414.64</v>
      </c>
      <c r="I127" s="68">
        <v>190.68</v>
      </c>
      <c r="J127" s="68">
        <v>127.57</v>
      </c>
      <c r="K127" s="68">
        <v>146.59</v>
      </c>
      <c r="L127" s="68">
        <v>327.98</v>
      </c>
      <c r="M127" s="68">
        <v>186.05</v>
      </c>
      <c r="N127" s="68">
        <v>469.9</v>
      </c>
      <c r="O127" s="68">
        <v>108.24</v>
      </c>
      <c r="P127" s="68">
        <v>146.93</v>
      </c>
      <c r="Q127" s="68">
        <v>66.7</v>
      </c>
      <c r="R127" s="68">
        <v>54.35</v>
      </c>
      <c r="S127" s="68">
        <v>119.15</v>
      </c>
      <c r="T127" s="68">
        <v>39.21</v>
      </c>
      <c r="U127" s="68">
        <v>29.1</v>
      </c>
      <c r="V127" s="68">
        <v>319.91000000000003</v>
      </c>
      <c r="W127" s="68">
        <v>147.35</v>
      </c>
      <c r="X127" s="68">
        <v>47.61</v>
      </c>
      <c r="Y127" s="68">
        <v>55.16</v>
      </c>
      <c r="Z127" s="68">
        <v>305.95999999999998</v>
      </c>
      <c r="AA127" s="68">
        <v>83.49</v>
      </c>
      <c r="AB127" s="68">
        <v>203.92</v>
      </c>
    </row>
    <row r="128" spans="1:28" ht="15" customHeight="1" x14ac:dyDescent="0.15">
      <c r="A128" s="71">
        <v>46059</v>
      </c>
      <c r="B128" s="68">
        <v>268.38</v>
      </c>
      <c r="C128" s="68">
        <v>137.49</v>
      </c>
      <c r="D128" s="68">
        <v>1406.25</v>
      </c>
      <c r="E128" s="68">
        <v>331.1</v>
      </c>
      <c r="F128" s="68">
        <v>98.88</v>
      </c>
      <c r="G128" s="68">
        <v>143.76</v>
      </c>
      <c r="H128" s="68">
        <v>394.46</v>
      </c>
      <c r="I128" s="68">
        <v>184.98</v>
      </c>
      <c r="J128" s="68">
        <v>133.82</v>
      </c>
      <c r="K128" s="68">
        <v>135.9</v>
      </c>
      <c r="L128" s="68">
        <v>346.13</v>
      </c>
      <c r="M128" s="68">
        <v>195.44</v>
      </c>
      <c r="N128" s="68">
        <v>477.92</v>
      </c>
      <c r="O128" s="68">
        <v>114.1</v>
      </c>
      <c r="P128" s="68">
        <v>151.79</v>
      </c>
      <c r="Q128" s="68">
        <v>66.89</v>
      </c>
      <c r="R128" s="68">
        <v>53.51</v>
      </c>
      <c r="S128" s="68">
        <v>119.12</v>
      </c>
      <c r="T128" s="68">
        <v>40.17</v>
      </c>
      <c r="U128" s="68">
        <v>30.71</v>
      </c>
      <c r="V128" s="68">
        <v>329.6</v>
      </c>
      <c r="W128" s="68">
        <v>152.76</v>
      </c>
      <c r="X128" s="68">
        <v>48.53</v>
      </c>
      <c r="Y128" s="68">
        <v>56.01</v>
      </c>
      <c r="Z128" s="68">
        <v>320.13</v>
      </c>
      <c r="AA128" s="68">
        <v>82.2</v>
      </c>
      <c r="AB128" s="68">
        <v>183.65</v>
      </c>
    </row>
    <row r="129" spans="1:28" ht="15" customHeight="1" x14ac:dyDescent="0.15">
      <c r="A129" s="71">
        <v>46066</v>
      </c>
      <c r="B129" s="68">
        <v>263.97000000000003</v>
      </c>
      <c r="C129" s="68">
        <v>141.59</v>
      </c>
      <c r="D129" s="68">
        <v>1401.73</v>
      </c>
      <c r="E129" s="68">
        <v>323.39</v>
      </c>
      <c r="F129" s="68">
        <v>107.41</v>
      </c>
      <c r="G129" s="68">
        <v>145.87</v>
      </c>
      <c r="H129" s="68">
        <v>411.42</v>
      </c>
      <c r="I129" s="68">
        <v>182.38</v>
      </c>
      <c r="J129" s="68">
        <v>135.79</v>
      </c>
      <c r="K129" s="68">
        <v>131.41</v>
      </c>
      <c r="L129" s="68">
        <v>363.5</v>
      </c>
      <c r="M129" s="68">
        <v>234.37</v>
      </c>
      <c r="N129" s="68">
        <v>491.47</v>
      </c>
      <c r="O129" s="68">
        <v>113.81</v>
      </c>
      <c r="P129" s="68">
        <v>154.22999999999999</v>
      </c>
      <c r="Q129" s="68">
        <v>66.31</v>
      </c>
      <c r="R129" s="68">
        <v>53.01</v>
      </c>
      <c r="S129" s="68">
        <v>117.54</v>
      </c>
      <c r="T129" s="68">
        <v>40</v>
      </c>
      <c r="U129" s="68">
        <v>30.85</v>
      </c>
      <c r="V129" s="68">
        <v>312.85000000000002</v>
      </c>
      <c r="W129" s="68">
        <v>152.66</v>
      </c>
      <c r="X129" s="68">
        <v>50.42</v>
      </c>
      <c r="Y129" s="68">
        <v>56.19</v>
      </c>
      <c r="Z129" s="68">
        <v>314.56</v>
      </c>
      <c r="AA129" s="68">
        <v>76.87</v>
      </c>
      <c r="AB129" s="68">
        <v>174.11</v>
      </c>
    </row>
    <row r="130" spans="1:28" ht="15" customHeight="1" x14ac:dyDescent="0.15">
      <c r="A130" s="71">
        <v>46073</v>
      </c>
      <c r="B130" s="68">
        <v>258.61</v>
      </c>
      <c r="C130" s="68">
        <v>132.79</v>
      </c>
      <c r="D130" s="68">
        <v>1464.49</v>
      </c>
      <c r="E130" s="68">
        <v>330.83</v>
      </c>
      <c r="F130" s="68">
        <v>97.15</v>
      </c>
      <c r="G130" s="68">
        <v>149.24</v>
      </c>
      <c r="H130" s="68">
        <v>427.92</v>
      </c>
      <c r="I130" s="68">
        <v>189.38</v>
      </c>
      <c r="J130" s="68">
        <v>138.27000000000001</v>
      </c>
      <c r="K130" s="68">
        <v>135.24</v>
      </c>
      <c r="L130" s="68">
        <v>367.65</v>
      </c>
      <c r="M130" s="68">
        <v>243.58</v>
      </c>
      <c r="N130" s="68">
        <v>476.9</v>
      </c>
      <c r="O130" s="68">
        <v>114.45</v>
      </c>
      <c r="P130" s="68">
        <v>153.13</v>
      </c>
      <c r="Q130" s="68">
        <v>66.760000000000005</v>
      </c>
      <c r="R130" s="68">
        <v>53.6</v>
      </c>
      <c r="S130" s="68">
        <v>119.24</v>
      </c>
      <c r="T130" s="68">
        <v>40.08</v>
      </c>
      <c r="U130" s="68">
        <v>30.85</v>
      </c>
      <c r="V130" s="68">
        <v>319.69</v>
      </c>
      <c r="W130" s="68">
        <v>152.85</v>
      </c>
      <c r="X130" s="68">
        <v>50.57</v>
      </c>
      <c r="Y130" s="68">
        <v>56.37</v>
      </c>
      <c r="Z130" s="68">
        <v>342.29</v>
      </c>
      <c r="AA130" s="68">
        <v>78.67</v>
      </c>
      <c r="AB130" s="68">
        <v>180.31</v>
      </c>
    </row>
    <row r="131" spans="1:28" ht="15" customHeight="1" x14ac:dyDescent="0.15">
      <c r="A131" s="71">
        <v>46080</v>
      </c>
      <c r="B131" s="68">
        <v>262.41000000000003</v>
      </c>
      <c r="C131" s="68">
        <v>133.5</v>
      </c>
      <c r="D131" s="68">
        <v>1445.53</v>
      </c>
      <c r="E131" s="68">
        <v>317.8</v>
      </c>
      <c r="F131" s="68">
        <v>93</v>
      </c>
      <c r="G131" s="68">
        <v>152.09</v>
      </c>
      <c r="H131" s="68">
        <v>412.13</v>
      </c>
      <c r="I131" s="68">
        <v>176.78</v>
      </c>
      <c r="J131" s="68">
        <v>139.31</v>
      </c>
      <c r="K131" s="68">
        <v>137.19</v>
      </c>
      <c r="L131" s="68">
        <v>371.66</v>
      </c>
      <c r="M131" s="68">
        <v>254.71</v>
      </c>
      <c r="N131" s="68">
        <v>496.83</v>
      </c>
      <c r="O131" s="68">
        <v>111.91</v>
      </c>
      <c r="P131" s="68">
        <v>152.62</v>
      </c>
      <c r="Q131" s="68">
        <v>66.38</v>
      </c>
      <c r="R131" s="68">
        <v>53.5</v>
      </c>
      <c r="S131" s="68">
        <v>118.76</v>
      </c>
      <c r="T131" s="68">
        <v>40.22</v>
      </c>
      <c r="U131" s="68">
        <v>31.01</v>
      </c>
      <c r="V131" s="68">
        <v>318.89</v>
      </c>
      <c r="W131" s="68">
        <v>152.35</v>
      </c>
      <c r="X131" s="68">
        <v>51.08</v>
      </c>
      <c r="Y131" s="68">
        <v>56.73</v>
      </c>
      <c r="Z131" s="68">
        <v>341.34</v>
      </c>
      <c r="AA131" s="68">
        <v>96.24</v>
      </c>
      <c r="AB131" s="68">
        <v>182.01</v>
      </c>
    </row>
    <row r="132" spans="1:28" ht="15" customHeight="1" x14ac:dyDescent="0.15">
      <c r="A132" s="71">
        <v>46087</v>
      </c>
      <c r="B132" s="68">
        <v>283.62</v>
      </c>
      <c r="C132" s="68">
        <v>132.88999999999999</v>
      </c>
      <c r="D132" s="68">
        <v>1288.32</v>
      </c>
      <c r="E132" s="68">
        <v>328.67</v>
      </c>
      <c r="F132" s="68">
        <v>107.25</v>
      </c>
      <c r="G132" s="68">
        <v>134.13</v>
      </c>
      <c r="H132" s="68">
        <v>370.09</v>
      </c>
      <c r="I132" s="68">
        <v>177.4</v>
      </c>
      <c r="J132" s="68">
        <v>131.46</v>
      </c>
      <c r="K132" s="68">
        <v>157.16</v>
      </c>
      <c r="L132" s="68">
        <v>336.25</v>
      </c>
      <c r="M132" s="68">
        <v>241.61</v>
      </c>
      <c r="N132" s="68">
        <v>456.69</v>
      </c>
      <c r="O132" s="68">
        <v>107.62</v>
      </c>
      <c r="P132" s="68">
        <v>148.85</v>
      </c>
      <c r="Q132" s="68">
        <v>65.63</v>
      </c>
      <c r="R132" s="68">
        <v>52.86</v>
      </c>
      <c r="S132" s="68">
        <v>117.53</v>
      </c>
      <c r="T132" s="68">
        <v>39.85</v>
      </c>
      <c r="U132" s="68">
        <v>30.38</v>
      </c>
      <c r="V132" s="68">
        <v>316.12</v>
      </c>
      <c r="W132" s="68">
        <v>148.11000000000001</v>
      </c>
      <c r="X132" s="68">
        <v>51.59</v>
      </c>
      <c r="Y132" s="68">
        <v>55.36</v>
      </c>
      <c r="Z132" s="68">
        <v>322.24</v>
      </c>
      <c r="AA132" s="68">
        <v>99.02</v>
      </c>
      <c r="AB132" s="68">
        <v>195.49</v>
      </c>
    </row>
    <row r="133" spans="1:28" ht="15" customHeight="1" x14ac:dyDescent="0.15">
      <c r="A133" s="71">
        <v>46094</v>
      </c>
      <c r="B133" s="68">
        <v>249.32</v>
      </c>
      <c r="C133" s="68">
        <v>133.57</v>
      </c>
      <c r="D133" s="68">
        <v>1341.02</v>
      </c>
      <c r="E133" s="68">
        <v>320.39</v>
      </c>
      <c r="F133" s="68">
        <v>110.44</v>
      </c>
      <c r="G133" s="68">
        <v>141.52000000000001</v>
      </c>
      <c r="H133" s="68">
        <v>425.89</v>
      </c>
      <c r="I133" s="68">
        <v>179.84</v>
      </c>
      <c r="J133" s="68">
        <v>128.72999999999999</v>
      </c>
      <c r="K133" s="68">
        <v>150.94999999999999</v>
      </c>
      <c r="L133" s="68">
        <v>335.67</v>
      </c>
      <c r="M133" s="68">
        <v>258.7</v>
      </c>
      <c r="N133" s="68">
        <v>469.34</v>
      </c>
      <c r="O133" s="68">
        <v>105.56</v>
      </c>
      <c r="P133" s="68">
        <v>147.04</v>
      </c>
      <c r="Q133" s="68">
        <v>64.75</v>
      </c>
      <c r="R133" s="68">
        <v>52.59</v>
      </c>
      <c r="S133" s="68">
        <v>115.49</v>
      </c>
      <c r="T133" s="68">
        <v>38.99</v>
      </c>
      <c r="U133" s="68">
        <v>30.06</v>
      </c>
      <c r="V133" s="68">
        <v>305.94</v>
      </c>
      <c r="W133" s="68">
        <v>145.84</v>
      </c>
      <c r="X133" s="68">
        <v>51.37</v>
      </c>
      <c r="Y133" s="68">
        <v>54.41</v>
      </c>
      <c r="Z133" s="68">
        <v>299.32</v>
      </c>
      <c r="AA133" s="68">
        <v>95.31</v>
      </c>
      <c r="AB133" s="68">
        <v>178.88</v>
      </c>
    </row>
    <row r="134" spans="1:28" ht="15" customHeight="1" x14ac:dyDescent="0.15">
      <c r="A134" s="71">
        <v>46101</v>
      </c>
      <c r="B134" s="68">
        <v>248.15</v>
      </c>
      <c r="C134" s="68">
        <v>131.22</v>
      </c>
      <c r="D134" s="68">
        <v>1312.68</v>
      </c>
      <c r="E134" s="68">
        <v>308.81</v>
      </c>
      <c r="F134" s="68">
        <v>102.25</v>
      </c>
      <c r="G134" s="68">
        <v>149.51</v>
      </c>
      <c r="H134" s="68">
        <v>422.66</v>
      </c>
      <c r="I134" s="68">
        <v>172.31</v>
      </c>
      <c r="J134" s="68">
        <v>126.09</v>
      </c>
      <c r="K134" s="68">
        <v>150.68</v>
      </c>
      <c r="L134" s="68">
        <v>327.58999999999997</v>
      </c>
      <c r="M134" s="68">
        <v>255.76</v>
      </c>
      <c r="N134" s="68">
        <v>454</v>
      </c>
      <c r="O134" s="68">
        <v>105.35</v>
      </c>
      <c r="P134" s="68">
        <v>143.6</v>
      </c>
      <c r="Q134" s="68">
        <v>64.03</v>
      </c>
      <c r="R134" s="68">
        <v>51.85</v>
      </c>
      <c r="S134" s="68">
        <v>113.1</v>
      </c>
      <c r="T134" s="68">
        <v>39.03</v>
      </c>
      <c r="U134" s="68">
        <v>29.66</v>
      </c>
      <c r="V134" s="68">
        <v>300.44</v>
      </c>
      <c r="W134" s="68">
        <v>143.47999999999999</v>
      </c>
      <c r="X134" s="68">
        <v>51.9</v>
      </c>
      <c r="Y134" s="68">
        <v>53.46</v>
      </c>
      <c r="Z134" s="68">
        <v>286.43</v>
      </c>
      <c r="AA134" s="68">
        <v>91.82</v>
      </c>
      <c r="AB134" s="68">
        <v>184.07</v>
      </c>
    </row>
    <row r="135" spans="1:28" ht="15" customHeight="1" x14ac:dyDescent="0.15">
      <c r="A135" s="71">
        <v>46108</v>
      </c>
      <c r="B135" s="68">
        <v>234.84</v>
      </c>
      <c r="C135" s="68">
        <v>120.77</v>
      </c>
      <c r="D135" s="68">
        <v>1297.95</v>
      </c>
      <c r="E135" s="68">
        <v>299.66000000000003</v>
      </c>
      <c r="F135" s="68">
        <v>92.39</v>
      </c>
      <c r="G135" s="68">
        <v>143.97</v>
      </c>
      <c r="H135" s="68">
        <v>357.02</v>
      </c>
      <c r="I135" s="68">
        <v>167.14</v>
      </c>
      <c r="J135" s="68">
        <v>126.96</v>
      </c>
      <c r="K135" s="68">
        <v>143.06</v>
      </c>
      <c r="L135" s="68">
        <v>325.10000000000002</v>
      </c>
      <c r="M135" s="68">
        <v>250.96</v>
      </c>
      <c r="N135" s="68">
        <v>433.07</v>
      </c>
      <c r="O135" s="68">
        <v>108.47</v>
      </c>
      <c r="P135" s="68">
        <v>147.11000000000001</v>
      </c>
      <c r="Q135" s="68">
        <v>63.21</v>
      </c>
      <c r="R135" s="68">
        <v>50.33</v>
      </c>
      <c r="S135" s="68">
        <v>109.96</v>
      </c>
      <c r="T135" s="68">
        <v>38.549999999999997</v>
      </c>
      <c r="U135" s="68">
        <v>29.96</v>
      </c>
      <c r="V135" s="68">
        <v>294.36</v>
      </c>
      <c r="W135" s="68">
        <v>144</v>
      </c>
      <c r="X135" s="68">
        <v>53.27</v>
      </c>
      <c r="Y135" s="68">
        <v>52.94</v>
      </c>
      <c r="Z135" s="68">
        <v>282.45999999999998</v>
      </c>
      <c r="AA135" s="68">
        <v>93.43</v>
      </c>
      <c r="AB135" s="68">
        <v>172.59</v>
      </c>
    </row>
    <row r="136" spans="1:28" ht="15" customHeight="1" x14ac:dyDescent="0.15">
      <c r="A136" s="71">
        <v>46115</v>
      </c>
      <c r="B136" s="68">
        <v>242.92</v>
      </c>
      <c r="C136" s="68">
        <v>126.68</v>
      </c>
      <c r="D136" s="68">
        <v>1312.66</v>
      </c>
      <c r="E136" s="68">
        <v>313.48</v>
      </c>
      <c r="F136" s="68">
        <v>99.78</v>
      </c>
      <c r="G136" s="68">
        <v>151.32</v>
      </c>
      <c r="H136" s="68">
        <v>366.18</v>
      </c>
      <c r="I136" s="68">
        <v>176.99</v>
      </c>
      <c r="J136" s="68">
        <v>131.76</v>
      </c>
      <c r="K136" s="68">
        <v>148.46</v>
      </c>
      <c r="L136" s="68">
        <v>337.34</v>
      </c>
      <c r="M136" s="68">
        <v>261.17</v>
      </c>
      <c r="N136" s="68">
        <v>438.71</v>
      </c>
      <c r="O136" s="68">
        <v>110.65</v>
      </c>
      <c r="P136" s="68">
        <v>149.24</v>
      </c>
      <c r="Q136" s="68">
        <v>63.95</v>
      </c>
      <c r="R136" s="68">
        <v>52.22</v>
      </c>
      <c r="S136" s="68">
        <v>114.38</v>
      </c>
      <c r="T136" s="68">
        <v>39.630000000000003</v>
      </c>
      <c r="U136" s="68">
        <v>30.08</v>
      </c>
      <c r="V136" s="68">
        <v>299.62</v>
      </c>
      <c r="W136" s="68">
        <v>146.38</v>
      </c>
      <c r="X136" s="68">
        <v>52.29</v>
      </c>
      <c r="Y136" s="68">
        <v>54.2</v>
      </c>
      <c r="Z136" s="68">
        <v>280.81</v>
      </c>
      <c r="AA136" s="68">
        <v>98.66</v>
      </c>
      <c r="AB136" s="68">
        <v>173.98</v>
      </c>
    </row>
    <row r="137" spans="1:28" ht="15" customHeight="1" x14ac:dyDescent="0.15">
      <c r="A137" s="71">
        <v>46122</v>
      </c>
      <c r="B137" s="68">
        <v>225.35</v>
      </c>
      <c r="C137" s="68">
        <v>147.35</v>
      </c>
      <c r="D137" s="68">
        <v>1473.15</v>
      </c>
      <c r="E137" s="68">
        <v>370.29</v>
      </c>
      <c r="F137" s="68">
        <v>94.75</v>
      </c>
      <c r="G137" s="68">
        <v>173.31</v>
      </c>
      <c r="H137" s="68">
        <v>420.53</v>
      </c>
      <c r="I137" s="68">
        <v>188.2</v>
      </c>
      <c r="J137" s="68">
        <v>135.13</v>
      </c>
      <c r="K137" s="68">
        <v>128.06</v>
      </c>
      <c r="L137" s="68">
        <v>368.74</v>
      </c>
      <c r="M137" s="68">
        <v>294.98</v>
      </c>
      <c r="N137" s="68">
        <v>436.27</v>
      </c>
      <c r="O137" s="68">
        <v>113.94</v>
      </c>
      <c r="P137" s="68">
        <v>150.01</v>
      </c>
      <c r="Q137" s="68">
        <v>65.25</v>
      </c>
      <c r="R137" s="68">
        <v>54.12</v>
      </c>
      <c r="S137" s="68">
        <v>122.95</v>
      </c>
      <c r="T137" s="68">
        <v>39.46</v>
      </c>
      <c r="U137" s="68">
        <v>30.08</v>
      </c>
      <c r="V137" s="68">
        <v>303.17</v>
      </c>
      <c r="W137" s="68">
        <v>150.29</v>
      </c>
      <c r="X137" s="68">
        <v>52.23</v>
      </c>
      <c r="Y137" s="68">
        <v>55.25</v>
      </c>
      <c r="Z137" s="68">
        <v>307.97000000000003</v>
      </c>
      <c r="AA137" s="68">
        <v>103.01</v>
      </c>
      <c r="AB137" s="68">
        <v>151.43</v>
      </c>
    </row>
    <row r="138" spans="1:28" ht="15" customHeight="1" x14ac:dyDescent="0.15">
      <c r="A138" s="71">
        <v>46129</v>
      </c>
      <c r="B138" s="68">
        <v>244.45</v>
      </c>
      <c r="C138" s="68">
        <v>164.23</v>
      </c>
      <c r="D138" s="68">
        <v>1454.74</v>
      </c>
      <c r="E138" s="68">
        <v>405.16</v>
      </c>
      <c r="F138" s="68">
        <v>105.99</v>
      </c>
      <c r="G138" s="68">
        <v>178.71</v>
      </c>
      <c r="H138" s="68">
        <v>455</v>
      </c>
      <c r="I138" s="68">
        <v>201.22</v>
      </c>
      <c r="J138" s="68">
        <v>142.91999999999999</v>
      </c>
      <c r="K138" s="68">
        <v>146.38999999999999</v>
      </c>
      <c r="L138" s="68">
        <v>368.65</v>
      </c>
      <c r="M138" s="68">
        <v>307.2</v>
      </c>
      <c r="N138" s="68">
        <v>441.2</v>
      </c>
      <c r="O138" s="68">
        <v>116.71</v>
      </c>
      <c r="P138" s="68">
        <v>150.69999999999999</v>
      </c>
      <c r="Q138" s="68">
        <v>66.930000000000007</v>
      </c>
      <c r="R138" s="68">
        <v>55.1</v>
      </c>
      <c r="S138" s="68">
        <v>127.89</v>
      </c>
      <c r="T138" s="68">
        <v>41.57</v>
      </c>
      <c r="U138" s="68">
        <v>30.56</v>
      </c>
      <c r="V138" s="68">
        <v>315.77999999999997</v>
      </c>
      <c r="W138" s="68">
        <v>153.30000000000001</v>
      </c>
      <c r="X138" s="68">
        <v>50.92</v>
      </c>
      <c r="Y138" s="68">
        <v>55.49</v>
      </c>
      <c r="Z138" s="68">
        <v>303.75</v>
      </c>
      <c r="AA138" s="68">
        <v>97.31</v>
      </c>
      <c r="AB138" s="68">
        <v>167.95</v>
      </c>
    </row>
    <row r="139" spans="1:28" ht="15" customHeight="1" x14ac:dyDescent="0.15">
      <c r="A139" s="71">
        <v>46136</v>
      </c>
      <c r="B139" s="68">
        <v>245.44</v>
      </c>
      <c r="C139" s="68">
        <v>176.91</v>
      </c>
      <c r="D139" s="68">
        <v>1452.64</v>
      </c>
      <c r="E139" s="68">
        <v>421.32</v>
      </c>
      <c r="F139" s="68">
        <v>112.03</v>
      </c>
      <c r="G139" s="68">
        <v>193.04</v>
      </c>
      <c r="H139" s="68">
        <v>496.64</v>
      </c>
      <c r="I139" s="68">
        <v>207.8</v>
      </c>
      <c r="J139" s="68">
        <v>139.96</v>
      </c>
      <c r="K139" s="68">
        <v>143.09</v>
      </c>
      <c r="L139" s="68">
        <v>400.45</v>
      </c>
      <c r="M139" s="68">
        <v>323.31</v>
      </c>
      <c r="N139" s="68">
        <v>430.29</v>
      </c>
      <c r="O139" s="68">
        <v>118.14</v>
      </c>
      <c r="P139" s="68">
        <v>149.47999999999999</v>
      </c>
      <c r="Q139" s="68">
        <v>67.08</v>
      </c>
      <c r="R139" s="68">
        <v>55.41</v>
      </c>
      <c r="S139" s="68">
        <v>131.1</v>
      </c>
      <c r="T139" s="68">
        <v>41.34</v>
      </c>
      <c r="U139" s="68">
        <v>30.71</v>
      </c>
      <c r="V139" s="68">
        <v>308.20999999999998</v>
      </c>
      <c r="W139" s="68">
        <v>153.13999999999999</v>
      </c>
      <c r="X139" s="68">
        <v>51.6</v>
      </c>
      <c r="Y139" s="68">
        <v>55.04</v>
      </c>
      <c r="Z139" s="68">
        <v>284.25</v>
      </c>
      <c r="AA139" s="68">
        <v>92.44</v>
      </c>
      <c r="AB139" s="68">
        <v>161.13</v>
      </c>
    </row>
    <row r="140" spans="1:28" ht="15" customHeight="1" x14ac:dyDescent="0.15">
      <c r="A140" s="71">
        <v>46143</v>
      </c>
      <c r="B140" s="68">
        <v>250.71</v>
      </c>
      <c r="C140" s="68">
        <v>172.7</v>
      </c>
      <c r="D140" s="68">
        <v>1425.18</v>
      </c>
      <c r="E140" s="68">
        <v>419.85</v>
      </c>
      <c r="F140" s="68">
        <v>113.91</v>
      </c>
      <c r="G140" s="68">
        <v>172.21</v>
      </c>
      <c r="H140" s="68">
        <v>542.13</v>
      </c>
      <c r="I140" s="68">
        <v>198</v>
      </c>
      <c r="J140" s="68">
        <v>139.29</v>
      </c>
      <c r="K140" s="68">
        <v>144.07</v>
      </c>
      <c r="L140" s="68">
        <v>395.68</v>
      </c>
      <c r="M140" s="68">
        <v>328.16</v>
      </c>
      <c r="N140" s="68">
        <v>423.92</v>
      </c>
      <c r="O140" s="68">
        <v>119.13</v>
      </c>
      <c r="P140" s="68">
        <v>152.16</v>
      </c>
      <c r="Q140" s="68">
        <v>67.349999999999994</v>
      </c>
      <c r="R140" s="68">
        <v>55.85</v>
      </c>
      <c r="S140" s="68">
        <v>134</v>
      </c>
      <c r="T140" s="68">
        <v>42.4</v>
      </c>
      <c r="U140" s="68">
        <v>31.36</v>
      </c>
      <c r="V140" s="68">
        <v>326.74</v>
      </c>
      <c r="W140" s="68">
        <v>154.69</v>
      </c>
      <c r="X140" s="68">
        <v>54.25</v>
      </c>
      <c r="Y140" s="68">
        <v>54.99</v>
      </c>
      <c r="Z140" s="68">
        <v>286.14999999999998</v>
      </c>
      <c r="AA140" s="68">
        <v>92.06</v>
      </c>
      <c r="AB140" s="68">
        <v>171.6</v>
      </c>
    </row>
    <row r="141" spans="1:28" ht="15" customHeight="1" x14ac:dyDescent="0.15">
      <c r="A141" s="71">
        <v>46150</v>
      </c>
      <c r="B141" s="68">
        <v>253.04</v>
      </c>
      <c r="C141" s="68">
        <v>141.77000000000001</v>
      </c>
      <c r="D141" s="68">
        <v>1589.96</v>
      </c>
      <c r="E141" s="68">
        <v>428.54</v>
      </c>
      <c r="F141" s="68">
        <v>131.94</v>
      </c>
      <c r="G141" s="68">
        <v>186.47</v>
      </c>
      <c r="H141" s="68">
        <v>746.7</v>
      </c>
      <c r="I141" s="68">
        <v>214.71</v>
      </c>
      <c r="J141" s="68">
        <v>141.91999999999999</v>
      </c>
      <c r="K141" s="68">
        <v>137.80000000000001</v>
      </c>
      <c r="L141" s="68">
        <v>409.62</v>
      </c>
      <c r="M141" s="68">
        <v>339.82</v>
      </c>
      <c r="N141" s="68">
        <v>429.82</v>
      </c>
      <c r="O141" s="68">
        <v>119.01</v>
      </c>
      <c r="P141" s="68">
        <v>149.85</v>
      </c>
      <c r="Q141" s="68">
        <v>67.48</v>
      </c>
      <c r="R141" s="68">
        <v>56.56</v>
      </c>
      <c r="S141" s="68">
        <v>143.36000000000001</v>
      </c>
      <c r="T141" s="68">
        <v>43.44</v>
      </c>
      <c r="U141" s="68">
        <v>31.12</v>
      </c>
      <c r="V141" s="68">
        <v>317.54000000000002</v>
      </c>
      <c r="W141" s="68">
        <v>153.65</v>
      </c>
      <c r="X141" s="68">
        <v>52.34</v>
      </c>
      <c r="Y141" s="68">
        <v>54.15</v>
      </c>
      <c r="Z141" s="68">
        <v>296.77999999999997</v>
      </c>
      <c r="AA141" s="68">
        <v>87.49</v>
      </c>
      <c r="AB141" s="68">
        <v>166.34</v>
      </c>
    </row>
    <row r="142" spans="1:28" ht="15" customHeight="1" x14ac:dyDescent="0.15">
      <c r="A142" s="71">
        <v>46157</v>
      </c>
      <c r="B142" s="68">
        <v>247.6</v>
      </c>
      <c r="C142" s="68">
        <v>141.97</v>
      </c>
      <c r="D142" s="68">
        <v>1499.87</v>
      </c>
      <c r="E142" s="68">
        <v>423.75</v>
      </c>
      <c r="F142" s="68">
        <v>148.52000000000001</v>
      </c>
      <c r="G142" s="68">
        <v>180</v>
      </c>
      <c r="H142" s="68">
        <v>724.55</v>
      </c>
      <c r="I142" s="68">
        <v>224.81</v>
      </c>
      <c r="J142" s="68">
        <v>138.41999999999999</v>
      </c>
      <c r="K142" s="68">
        <v>133.99</v>
      </c>
      <c r="L142" s="68">
        <v>402.33</v>
      </c>
      <c r="M142" s="68">
        <v>370.77</v>
      </c>
      <c r="N142" s="68">
        <v>436.95</v>
      </c>
      <c r="O142" s="68">
        <v>116.44</v>
      </c>
      <c r="P142" s="68">
        <v>148.55000000000001</v>
      </c>
      <c r="Q142" s="68">
        <v>67.5</v>
      </c>
      <c r="R142" s="68">
        <v>56.71</v>
      </c>
      <c r="S142" s="68">
        <v>143.03</v>
      </c>
      <c r="T142" s="68">
        <v>42.32</v>
      </c>
      <c r="U142" s="68">
        <v>31.22</v>
      </c>
      <c r="V142" s="68">
        <v>325.14999999999998</v>
      </c>
      <c r="W142" s="68">
        <v>153.94999999999999</v>
      </c>
      <c r="X142" s="68">
        <v>54.5</v>
      </c>
      <c r="Y142" s="68">
        <v>54.09</v>
      </c>
      <c r="Z142" s="68">
        <v>281.18</v>
      </c>
      <c r="AA142" s="68">
        <v>87.02</v>
      </c>
      <c r="AB142" s="68">
        <v>158.86000000000001</v>
      </c>
    </row>
    <row r="143" spans="1:28" ht="15" customHeight="1" x14ac:dyDescent="0.15">
      <c r="A143" s="71">
        <v>46164</v>
      </c>
      <c r="B143" s="68">
        <v>244.76</v>
      </c>
      <c r="C143" s="68">
        <v>154.03</v>
      </c>
      <c r="D143" s="68">
        <v>1630.79</v>
      </c>
      <c r="E143" s="68">
        <v>412.73</v>
      </c>
      <c r="F143" s="68">
        <v>165.87</v>
      </c>
      <c r="G143" s="68">
        <v>188.62</v>
      </c>
      <c r="H143" s="68">
        <v>750.88</v>
      </c>
      <c r="I143" s="68">
        <v>214.84</v>
      </c>
      <c r="J143" s="68">
        <v>143.71</v>
      </c>
      <c r="K143" s="68">
        <v>136.88</v>
      </c>
      <c r="L143" s="68">
        <v>402.5</v>
      </c>
      <c r="M143" s="68">
        <v>327.31</v>
      </c>
      <c r="N143" s="68">
        <v>434.52</v>
      </c>
      <c r="O143" s="68">
        <v>119.2</v>
      </c>
      <c r="P143" s="68">
        <v>153.27000000000001</v>
      </c>
      <c r="Q143" s="68">
        <v>67.55</v>
      </c>
      <c r="R143" s="68">
        <v>57.13</v>
      </c>
      <c r="S143" s="68">
        <v>144.47999999999999</v>
      </c>
      <c r="T143" s="68">
        <v>44</v>
      </c>
      <c r="U143" s="68">
        <v>32.31</v>
      </c>
      <c r="V143" s="68">
        <v>328.27</v>
      </c>
      <c r="W143" s="68">
        <v>156.85</v>
      </c>
      <c r="X143" s="68">
        <v>54.94</v>
      </c>
      <c r="Y143" s="68">
        <v>54.51</v>
      </c>
      <c r="Z143" s="68">
        <v>302.45999999999998</v>
      </c>
      <c r="AA143" s="68">
        <v>88.6</v>
      </c>
      <c r="AB143" s="68">
        <v>160.16999999999999</v>
      </c>
    </row>
    <row r="144" spans="1:28" ht="15" customHeight="1" x14ac:dyDescent="0.15">
      <c r="A144" s="71">
        <v>46171</v>
      </c>
      <c r="B144" s="68">
        <v>259.20999999999998</v>
      </c>
      <c r="C144" s="68">
        <v>159.47</v>
      </c>
      <c r="D144" s="68">
        <v>1610.68</v>
      </c>
      <c r="E144" s="68">
        <v>445.25</v>
      </c>
      <c r="F144" s="68">
        <v>182.75</v>
      </c>
      <c r="G144" s="68">
        <v>191.95</v>
      </c>
      <c r="H144" s="68">
        <v>970.85</v>
      </c>
      <c r="I144" s="68">
        <v>210.66</v>
      </c>
      <c r="J144" s="68">
        <v>141.31</v>
      </c>
      <c r="K144" s="68">
        <v>156.54</v>
      </c>
      <c r="L144" s="68">
        <v>416.36</v>
      </c>
      <c r="M144" s="68">
        <v>315.57</v>
      </c>
      <c r="N144" s="68">
        <v>447.54</v>
      </c>
      <c r="O144" s="68">
        <v>119.22</v>
      </c>
      <c r="P144" s="68">
        <v>152.49</v>
      </c>
      <c r="Q144" s="68">
        <v>67.84</v>
      </c>
      <c r="R144" s="68">
        <v>58.02</v>
      </c>
      <c r="S144" s="68">
        <v>150.11000000000001</v>
      </c>
      <c r="T144" s="68">
        <v>46.38</v>
      </c>
      <c r="U144" s="68">
        <v>31.99</v>
      </c>
      <c r="V144" s="68">
        <v>325.75</v>
      </c>
      <c r="W144" s="68">
        <v>157.34</v>
      </c>
      <c r="X144" s="68">
        <v>51.99</v>
      </c>
      <c r="Y144" s="68">
        <v>54.23</v>
      </c>
      <c r="Z144" s="68">
        <v>323.36</v>
      </c>
      <c r="AA144" s="68">
        <v>86.02</v>
      </c>
      <c r="AB144" s="68">
        <v>174.34</v>
      </c>
    </row>
    <row r="145" spans="1:28" ht="15" customHeight="1" x14ac:dyDescent="0.15">
      <c r="A145" s="71">
        <v>46178</v>
      </c>
      <c r="B145" s="68">
        <v>251.44</v>
      </c>
      <c r="C145" s="68">
        <v>154.27000000000001</v>
      </c>
      <c r="D145" s="68">
        <v>1639.62</v>
      </c>
      <c r="E145" s="68">
        <v>384.42</v>
      </c>
      <c r="F145" s="68">
        <v>167.76</v>
      </c>
      <c r="G145" s="68">
        <v>192.7</v>
      </c>
      <c r="H145" s="68">
        <v>863.88</v>
      </c>
      <c r="I145" s="68">
        <v>204.87</v>
      </c>
      <c r="J145" s="68">
        <v>142.37</v>
      </c>
      <c r="K145" s="68">
        <v>135.53</v>
      </c>
      <c r="L145" s="68">
        <v>413.09</v>
      </c>
      <c r="M145" s="68">
        <v>300.37</v>
      </c>
      <c r="N145" s="68">
        <v>446.83</v>
      </c>
      <c r="O145" s="68">
        <v>118.87</v>
      </c>
      <c r="P145" s="68">
        <v>152.91999999999999</v>
      </c>
      <c r="Q145" s="68">
        <v>67.13</v>
      </c>
      <c r="R145" s="68">
        <v>56.4</v>
      </c>
      <c r="S145" s="68">
        <v>143.82</v>
      </c>
      <c r="T145" s="68">
        <v>45.86</v>
      </c>
      <c r="U145" s="68">
        <v>31.79</v>
      </c>
      <c r="V145" s="68">
        <v>322.97000000000003</v>
      </c>
      <c r="W145" s="68">
        <v>156.4</v>
      </c>
      <c r="X145" s="68">
        <v>53.21</v>
      </c>
      <c r="Y145" s="68">
        <v>54.1</v>
      </c>
      <c r="Z145" s="68">
        <v>327.58999999999997</v>
      </c>
      <c r="AA145" s="68">
        <v>82.18</v>
      </c>
      <c r="AB145" s="68">
        <v>172.61</v>
      </c>
    </row>
    <row r="146" spans="1:28" ht="15" customHeight="1" x14ac:dyDescent="0.15">
      <c r="A146" s="71">
        <v>46185</v>
      </c>
      <c r="B146" s="68">
        <v>204.02</v>
      </c>
      <c r="C146" s="68">
        <v>163.24</v>
      </c>
      <c r="D146" s="68">
        <v>1861.14</v>
      </c>
      <c r="E146" s="68">
        <v>380.77</v>
      </c>
      <c r="F146" s="68">
        <v>170.7</v>
      </c>
      <c r="G146" s="68">
        <v>254.25</v>
      </c>
      <c r="H146" s="68">
        <v>981.46</v>
      </c>
      <c r="I146" s="68">
        <v>204.96</v>
      </c>
      <c r="J146" s="68">
        <v>146.51</v>
      </c>
      <c r="K146" s="68">
        <v>127.99</v>
      </c>
      <c r="L146" s="68">
        <v>422.8</v>
      </c>
      <c r="M146" s="68">
        <v>302.73</v>
      </c>
      <c r="N146" s="68">
        <v>444.93</v>
      </c>
      <c r="O146" s="68">
        <v>123.97</v>
      </c>
      <c r="P146" s="68">
        <v>156.30000000000001</v>
      </c>
      <c r="Q146" s="68">
        <v>67.16</v>
      </c>
      <c r="R146" s="68">
        <v>57.32</v>
      </c>
      <c r="S146" s="68">
        <v>152</v>
      </c>
      <c r="T146" s="68">
        <v>46.14</v>
      </c>
      <c r="U146" s="68">
        <v>32.299999999999997</v>
      </c>
      <c r="V146" s="68">
        <v>321.79000000000002</v>
      </c>
      <c r="W146" s="68">
        <v>158.46</v>
      </c>
      <c r="X146" s="68">
        <v>53.55</v>
      </c>
      <c r="Y146" s="68">
        <v>54.61</v>
      </c>
      <c r="Z146" s="68">
        <v>334.88</v>
      </c>
      <c r="AA146" s="68">
        <v>80.34</v>
      </c>
      <c r="AB146" s="68">
        <v>159.54</v>
      </c>
    </row>
    <row r="147" spans="1:28" ht="15" customHeight="1" x14ac:dyDescent="0.15">
      <c r="A147" s="71">
        <v>46192</v>
      </c>
      <c r="B147" s="68">
        <v>195.16</v>
      </c>
      <c r="C147" s="68">
        <v>169.67</v>
      </c>
      <c r="D147" s="68">
        <v>1927.19</v>
      </c>
      <c r="E147" s="68">
        <v>409.95</v>
      </c>
      <c r="F147" s="68">
        <v>171.21</v>
      </c>
      <c r="G147" s="68">
        <v>259.27</v>
      </c>
      <c r="H147" s="68">
        <v>1133.82</v>
      </c>
      <c r="I147" s="68">
        <v>210.45</v>
      </c>
      <c r="J147" s="68">
        <v>139.43</v>
      </c>
      <c r="K147" s="68">
        <v>128.47</v>
      </c>
      <c r="L147" s="68">
        <v>460.88</v>
      </c>
      <c r="M147" s="68">
        <v>332.97</v>
      </c>
      <c r="N147" s="68">
        <v>451.63</v>
      </c>
      <c r="O147" s="68">
        <v>121.6</v>
      </c>
      <c r="P147" s="68">
        <v>152.05000000000001</v>
      </c>
      <c r="Q147" s="68">
        <v>67.72</v>
      </c>
      <c r="R147" s="68">
        <v>58.74</v>
      </c>
      <c r="S147" s="68">
        <v>159.38999999999999</v>
      </c>
      <c r="T147" s="68">
        <v>45.11</v>
      </c>
      <c r="U147" s="68">
        <v>31.36</v>
      </c>
      <c r="V147" s="68">
        <v>326.63</v>
      </c>
      <c r="W147" s="68">
        <v>157.34</v>
      </c>
      <c r="X147" s="68">
        <v>52.37</v>
      </c>
      <c r="Y147" s="68">
        <v>54.67</v>
      </c>
      <c r="Z147" s="68">
        <v>357.19</v>
      </c>
      <c r="AA147" s="68">
        <v>77.38</v>
      </c>
      <c r="AB147" s="68">
        <v>153.30000000000001</v>
      </c>
    </row>
    <row r="148" spans="1:28" ht="15" customHeight="1" x14ac:dyDescent="0.15">
      <c r="A148" s="71">
        <v>46199</v>
      </c>
      <c r="B148" s="68">
        <v>202.73</v>
      </c>
      <c r="C148" s="68">
        <v>157.6</v>
      </c>
      <c r="D148" s="68">
        <v>1792.3</v>
      </c>
      <c r="E148" s="68">
        <v>364.36</v>
      </c>
      <c r="F148" s="68">
        <v>175.27</v>
      </c>
      <c r="G148" s="68">
        <v>248.36</v>
      </c>
      <c r="H148" s="68">
        <v>1132.1600000000001</v>
      </c>
      <c r="I148" s="68">
        <v>192.31</v>
      </c>
      <c r="J148" s="68">
        <v>138.87</v>
      </c>
      <c r="K148" s="68">
        <v>112.93</v>
      </c>
      <c r="L148" s="68">
        <v>431.19</v>
      </c>
      <c r="M148" s="68">
        <v>303.88</v>
      </c>
      <c r="N148" s="68">
        <v>491.34</v>
      </c>
      <c r="O148" s="68">
        <v>124.53</v>
      </c>
      <c r="P148" s="68">
        <v>156.87</v>
      </c>
      <c r="Q148" s="68">
        <v>66.989999999999995</v>
      </c>
      <c r="R148" s="68">
        <v>56.9</v>
      </c>
      <c r="S148" s="68">
        <v>153.94999999999999</v>
      </c>
      <c r="T148" s="68">
        <v>46.04</v>
      </c>
      <c r="U148" s="68">
        <v>31.84</v>
      </c>
      <c r="V148" s="68">
        <v>335.61</v>
      </c>
      <c r="W148" s="68">
        <v>157.35</v>
      </c>
      <c r="X148" s="68">
        <v>54.1</v>
      </c>
      <c r="Y148" s="68">
        <v>54.73</v>
      </c>
      <c r="Z148" s="68">
        <v>368.54</v>
      </c>
      <c r="AA148" s="68">
        <v>73.81</v>
      </c>
      <c r="AB148" s="68">
        <v>171.36</v>
      </c>
    </row>
    <row r="149" spans="1:28" ht="15" customHeight="1" x14ac:dyDescent="0.15">
      <c r="A149" s="71">
        <v>46206</v>
      </c>
      <c r="B149" s="68">
        <v>219.72</v>
      </c>
      <c r="C149" s="68">
        <v>159.99</v>
      </c>
      <c r="D149" s="68">
        <v>1767.03</v>
      </c>
      <c r="E149" s="68">
        <v>359.79</v>
      </c>
      <c r="F149" s="68">
        <v>193.98</v>
      </c>
      <c r="G149" s="68">
        <v>235.28</v>
      </c>
      <c r="H149" s="68">
        <v>975.41</v>
      </c>
      <c r="I149" s="68">
        <v>194.61</v>
      </c>
      <c r="J149" s="68">
        <v>138.33000000000001</v>
      </c>
      <c r="K149" s="68">
        <v>129.30000000000001</v>
      </c>
      <c r="L149" s="68">
        <v>433</v>
      </c>
      <c r="M149" s="68">
        <v>300.45999999999998</v>
      </c>
      <c r="N149" s="68">
        <v>528.04</v>
      </c>
      <c r="O149" s="68">
        <v>123.11</v>
      </c>
      <c r="P149" s="68">
        <v>157.78</v>
      </c>
      <c r="Q149" s="68">
        <v>67.5</v>
      </c>
      <c r="R149" s="68">
        <v>57.47</v>
      </c>
      <c r="S149" s="68">
        <v>150.58000000000001</v>
      </c>
      <c r="T149" s="68">
        <v>46.85</v>
      </c>
      <c r="U149" s="68">
        <v>32.130000000000003</v>
      </c>
      <c r="V149" s="68">
        <v>361.46</v>
      </c>
      <c r="W149" s="68">
        <v>158.6</v>
      </c>
      <c r="X149" s="68">
        <v>53.12</v>
      </c>
      <c r="Y149" s="68">
        <v>55.64</v>
      </c>
      <c r="Z149" s="68">
        <v>377.05</v>
      </c>
      <c r="AA149" s="68">
        <v>77.650000000000006</v>
      </c>
      <c r="AB149" s="68">
        <v>192.74</v>
      </c>
    </row>
    <row r="150" spans="1:28" ht="15" customHeight="1" x14ac:dyDescent="0.15">
      <c r="A150" s="71">
        <v>46213</v>
      </c>
      <c r="B150" s="68">
        <v>223.64</v>
      </c>
      <c r="C150" s="68">
        <v>186.96</v>
      </c>
      <c r="D150" s="68">
        <v>1795</v>
      </c>
      <c r="E150" s="68">
        <v>399.24</v>
      </c>
      <c r="F150" s="68">
        <v>187.18</v>
      </c>
      <c r="G150" s="68">
        <v>231.26</v>
      </c>
      <c r="H150" s="68">
        <v>979.3</v>
      </c>
      <c r="I150" s="68">
        <v>210.72</v>
      </c>
      <c r="J150" s="68">
        <v>139.76</v>
      </c>
      <c r="K150" s="68">
        <v>126.79</v>
      </c>
      <c r="L150" s="68">
        <v>432.95</v>
      </c>
      <c r="M150" s="68">
        <v>318.77999999999997</v>
      </c>
      <c r="N150" s="68">
        <v>485.39</v>
      </c>
      <c r="O150" s="68">
        <v>123.55</v>
      </c>
      <c r="P150" s="68">
        <v>158.15</v>
      </c>
      <c r="Q150" s="68">
        <v>68.239999999999995</v>
      </c>
      <c r="R150" s="68">
        <v>58.55</v>
      </c>
      <c r="S150" s="68">
        <v>153.5</v>
      </c>
      <c r="T150" s="68">
        <v>47.27</v>
      </c>
      <c r="U150" s="68">
        <v>32.14</v>
      </c>
      <c r="V150" s="68">
        <v>348.32</v>
      </c>
      <c r="W150" s="68">
        <v>160.16999999999999</v>
      </c>
      <c r="X150" s="68">
        <v>53.54</v>
      </c>
      <c r="Y150" s="68">
        <v>55.69</v>
      </c>
      <c r="Z150" s="68">
        <v>359.27</v>
      </c>
      <c r="AA150" s="68">
        <v>73.37</v>
      </c>
      <c r="AB150" s="68">
        <v>190.12</v>
      </c>
    </row>
    <row r="151" spans="1:28" ht="15" customHeight="1" x14ac:dyDescent="0.15">
      <c r="A151" s="71">
        <v>46220</v>
      </c>
      <c r="B151" s="68">
        <v>237.25</v>
      </c>
      <c r="C151" s="68">
        <v>168.61</v>
      </c>
      <c r="D151" s="68">
        <v>1745.32</v>
      </c>
      <c r="E151" s="68">
        <v>370.16</v>
      </c>
      <c r="F151" s="68">
        <v>203.08</v>
      </c>
      <c r="G151" s="68">
        <v>212.51</v>
      </c>
      <c r="H151" s="68">
        <v>848.95</v>
      </c>
      <c r="I151" s="68">
        <v>202.58</v>
      </c>
      <c r="J151" s="68">
        <v>148.61000000000001</v>
      </c>
      <c r="K151" s="68">
        <v>132.38</v>
      </c>
      <c r="L151" s="68">
        <v>397.3</v>
      </c>
      <c r="M151" s="68">
        <v>289.49</v>
      </c>
      <c r="N151" s="68">
        <v>485.65</v>
      </c>
      <c r="O151" s="68">
        <v>124.94</v>
      </c>
      <c r="P151" s="68">
        <v>160.51</v>
      </c>
      <c r="Q151" s="68">
        <v>67.61</v>
      </c>
      <c r="R151" s="68">
        <v>56.62</v>
      </c>
      <c r="S151" s="68">
        <v>143.66</v>
      </c>
      <c r="T151" s="68">
        <v>47.68</v>
      </c>
      <c r="U151" s="68">
        <v>32.65</v>
      </c>
      <c r="V151" s="68">
        <v>357.9</v>
      </c>
      <c r="W151" s="68">
        <v>159.28</v>
      </c>
      <c r="X151" s="68">
        <v>54.28</v>
      </c>
      <c r="Y151" s="68">
        <v>55.49</v>
      </c>
      <c r="Z151" s="68">
        <v>348.83</v>
      </c>
      <c r="AA151" s="68">
        <v>68.95</v>
      </c>
      <c r="AB151" s="68">
        <v>195.38</v>
      </c>
    </row>
    <row r="152" spans="1:28" ht="15" customHeight="1" x14ac:dyDescent="0.15">
      <c r="A152" s="71">
        <v>46227</v>
      </c>
      <c r="B152" s="68">
        <v>225.11</v>
      </c>
      <c r="C152" s="68">
        <v>173.99</v>
      </c>
      <c r="D152" s="68">
        <v>1754.82</v>
      </c>
      <c r="E152" s="68">
        <v>381.23</v>
      </c>
      <c r="F152" s="68">
        <v>183.28</v>
      </c>
      <c r="G152" s="68">
        <v>210.28</v>
      </c>
      <c r="H152" s="68">
        <v>920.95</v>
      </c>
      <c r="I152" s="68">
        <v>206.61</v>
      </c>
      <c r="J152" s="68">
        <v>146.47</v>
      </c>
      <c r="K152" s="68">
        <v>122.92</v>
      </c>
      <c r="L152" s="68">
        <v>402.33</v>
      </c>
      <c r="M152" s="68">
        <v>290.29000000000002</v>
      </c>
      <c r="N152" s="68">
        <v>477.36</v>
      </c>
      <c r="O152" s="68">
        <v>124.87</v>
      </c>
      <c r="P152" s="68">
        <v>161.66</v>
      </c>
      <c r="Q152" s="68">
        <v>67.489999999999995</v>
      </c>
      <c r="R152" s="68">
        <v>56.09</v>
      </c>
      <c r="S152" s="68">
        <v>146.27000000000001</v>
      </c>
      <c r="T152" s="68">
        <v>48.01</v>
      </c>
      <c r="U152" s="68">
        <v>33.03</v>
      </c>
      <c r="V152" s="68">
        <v>355.08</v>
      </c>
      <c r="W152" s="68">
        <v>161.33000000000001</v>
      </c>
      <c r="X152" s="68">
        <v>54.27</v>
      </c>
      <c r="Y152" s="68">
        <v>55.73</v>
      </c>
      <c r="Z152" s="68">
        <v>353.73</v>
      </c>
      <c r="AA152" s="68">
        <v>70.09</v>
      </c>
      <c r="AB152" s="68">
        <v>186.24</v>
      </c>
    </row>
    <row r="153" spans="1:28" ht="15" customHeight="1" x14ac:dyDescent="0.15">
      <c r="A153" s="71">
        <v>46234</v>
      </c>
      <c r="B153" s="68">
        <v>250.41</v>
      </c>
      <c r="C153" s="68">
        <v>180.35</v>
      </c>
      <c r="D153" s="68">
        <v>1629</v>
      </c>
      <c r="E153" s="68">
        <v>388.57</v>
      </c>
      <c r="F153" s="68">
        <v>190.86</v>
      </c>
      <c r="G153" s="68">
        <v>182.61</v>
      </c>
      <c r="H153" s="68">
        <v>823.03</v>
      </c>
      <c r="I153" s="68">
        <v>200.53</v>
      </c>
      <c r="J153" s="68">
        <v>143.47</v>
      </c>
      <c r="K153" s="68">
        <v>123.06</v>
      </c>
      <c r="L153" s="68">
        <v>403.17</v>
      </c>
      <c r="M153" s="68">
        <v>241.51</v>
      </c>
      <c r="N153" s="68">
        <v>477.1</v>
      </c>
      <c r="O153" s="68">
        <v>124.87</v>
      </c>
      <c r="P153" s="68">
        <v>159.88999999999999</v>
      </c>
      <c r="Q153" s="91">
        <v>68.36</v>
      </c>
      <c r="R153" s="68">
        <v>56.37</v>
      </c>
      <c r="S153" s="68">
        <v>143.6</v>
      </c>
      <c r="T153" s="68">
        <v>49.61</v>
      </c>
      <c r="U153" s="68">
        <v>33.21</v>
      </c>
      <c r="V153" s="68">
        <v>365.45</v>
      </c>
      <c r="W153" s="68">
        <v>161.07</v>
      </c>
      <c r="X153" s="68">
        <v>53.09</v>
      </c>
      <c r="Y153" s="68">
        <v>56.35</v>
      </c>
      <c r="Z153" s="68">
        <v>360.07</v>
      </c>
      <c r="AA153" s="68">
        <v>71.709999999999994</v>
      </c>
      <c r="AB153" s="68">
        <v>203.78</v>
      </c>
    </row>
    <row r="154" spans="1:28" ht="15" customHeight="1" x14ac:dyDescent="0.15">
      <c r="A154" s="71">
        <v>46241</v>
      </c>
      <c r="B154" s="68">
        <v>265.20999999999998</v>
      </c>
      <c r="C154" s="68">
        <v>188.67</v>
      </c>
      <c r="D154" s="68">
        <v>1740.99</v>
      </c>
      <c r="E154" s="68">
        <v>426.98</v>
      </c>
      <c r="F154" s="68">
        <v>214.42</v>
      </c>
      <c r="G154" s="68">
        <v>197.89</v>
      </c>
      <c r="H154" s="68">
        <v>877.57</v>
      </c>
      <c r="I154" s="68">
        <v>223.71</v>
      </c>
      <c r="J154" s="68">
        <v>139.06</v>
      </c>
      <c r="K154" s="68">
        <v>172.01</v>
      </c>
      <c r="L154" s="68">
        <v>418.92</v>
      </c>
      <c r="M154" s="68">
        <v>272.33</v>
      </c>
      <c r="N154" s="68">
        <v>496.07</v>
      </c>
      <c r="O154" s="68">
        <v>126.47</v>
      </c>
      <c r="P154" s="68">
        <v>160.58000000000001</v>
      </c>
      <c r="Q154" s="68">
        <v>69.77</v>
      </c>
      <c r="R154" s="68">
        <v>58.52</v>
      </c>
      <c r="S154" s="68">
        <v>149.44999999999999</v>
      </c>
      <c r="T154" s="68">
        <v>51.36</v>
      </c>
      <c r="U154" s="68">
        <v>33.630000000000003</v>
      </c>
      <c r="V154" s="68">
        <v>361.83</v>
      </c>
      <c r="W154" s="68">
        <v>164.72</v>
      </c>
      <c r="X154" s="68">
        <v>51.7</v>
      </c>
      <c r="Y154" s="68">
        <v>56.86</v>
      </c>
      <c r="Z154" s="68">
        <v>370.08</v>
      </c>
      <c r="AA154" s="68">
        <v>74.14</v>
      </c>
      <c r="AB154" s="68">
        <v>230.47</v>
      </c>
    </row>
    <row r="155" spans="1:28" ht="15" customHeight="1" x14ac:dyDescent="0.15">
      <c r="A155" s="71">
        <v>46248</v>
      </c>
      <c r="B155" s="68">
        <v>264.02</v>
      </c>
      <c r="C155" s="68">
        <v>198.82</v>
      </c>
      <c r="D155" s="68">
        <v>1844.08</v>
      </c>
      <c r="E155" s="68">
        <v>392.28</v>
      </c>
      <c r="F155" s="68">
        <v>216.95</v>
      </c>
      <c r="G155" s="68">
        <v>203.49</v>
      </c>
      <c r="H155" s="68">
        <v>971.66</v>
      </c>
      <c r="I155" s="68">
        <v>224.91</v>
      </c>
      <c r="J155" s="68">
        <v>139.91999999999999</v>
      </c>
      <c r="K155" s="68">
        <v>174.04</v>
      </c>
      <c r="L155" s="68">
        <v>425.21</v>
      </c>
      <c r="M155" s="68">
        <v>293.77</v>
      </c>
      <c r="N155" s="68">
        <v>505.75</v>
      </c>
      <c r="O155" s="68">
        <v>128.31</v>
      </c>
      <c r="P155" s="68">
        <v>164.15</v>
      </c>
      <c r="Q155" s="91">
        <v>70.06</v>
      </c>
      <c r="R155" s="68">
        <v>59.29</v>
      </c>
      <c r="S155" s="68">
        <v>153.06</v>
      </c>
      <c r="T155" s="68">
        <v>53.6</v>
      </c>
      <c r="U155" s="68">
        <v>34.25</v>
      </c>
      <c r="V155" s="68">
        <v>364.15</v>
      </c>
      <c r="W155" s="68">
        <v>165.6</v>
      </c>
      <c r="X155" s="68">
        <v>53.75</v>
      </c>
      <c r="Y155" s="68">
        <v>57.3</v>
      </c>
      <c r="Z155" s="68">
        <v>368.38</v>
      </c>
      <c r="AA155" s="68">
        <v>78.16</v>
      </c>
      <c r="AB155" s="68">
        <v>243.75</v>
      </c>
    </row>
    <row r="156" spans="1:28" ht="15" customHeight="1" x14ac:dyDescent="0.15">
      <c r="A156" s="71">
        <v>46255</v>
      </c>
      <c r="B156" s="68">
        <v>275.3</v>
      </c>
      <c r="C156" s="68">
        <v>188.65</v>
      </c>
      <c r="D156" s="68">
        <v>1763.76</v>
      </c>
      <c r="E156" s="68">
        <v>367.78</v>
      </c>
      <c r="F156" s="68">
        <v>191.95</v>
      </c>
      <c r="G156" s="68">
        <v>183.99</v>
      </c>
      <c r="H156" s="68">
        <v>966.78</v>
      </c>
      <c r="I156" s="68">
        <v>214.48</v>
      </c>
      <c r="J156" s="68">
        <v>140.68</v>
      </c>
      <c r="K156" s="68">
        <v>179.94</v>
      </c>
      <c r="L156" s="68">
        <v>417.83</v>
      </c>
      <c r="M156" s="68">
        <v>261.89</v>
      </c>
      <c r="N156" s="68">
        <v>548.04999999999995</v>
      </c>
      <c r="O156" s="68">
        <v>126.04</v>
      </c>
      <c r="P156" s="68">
        <v>162.75</v>
      </c>
      <c r="Q156" s="68">
        <v>69.319999999999993</v>
      </c>
      <c r="R156" s="68">
        <v>58.61</v>
      </c>
      <c r="S156" s="68">
        <v>148.49</v>
      </c>
      <c r="T156" s="68">
        <v>55.34</v>
      </c>
      <c r="U156" s="68">
        <v>34.83</v>
      </c>
      <c r="V156" s="68">
        <v>371.04</v>
      </c>
      <c r="W156" s="68">
        <v>164.06</v>
      </c>
      <c r="X156" s="68">
        <v>53.23</v>
      </c>
      <c r="Y156" s="68">
        <v>57.2</v>
      </c>
      <c r="Z156" s="68">
        <v>348.37</v>
      </c>
      <c r="AA156" s="68">
        <v>79.59</v>
      </c>
      <c r="AB156" s="68">
        <v>247.9</v>
      </c>
    </row>
    <row r="157" spans="1:28" ht="15" customHeight="1" x14ac:dyDescent="0.15">
      <c r="A157" s="71">
        <v>46262</v>
      </c>
      <c r="B157" s="68">
        <v>291.52</v>
      </c>
      <c r="C157" s="68">
        <v>195.38</v>
      </c>
      <c r="D157" s="68">
        <v>1696.16</v>
      </c>
      <c r="E157" s="68">
        <v>368.12</v>
      </c>
      <c r="F157" s="68">
        <v>218.4</v>
      </c>
      <c r="G157" s="68">
        <v>175.54</v>
      </c>
      <c r="H157" s="68">
        <v>932.86</v>
      </c>
      <c r="I157" s="68">
        <v>217.31</v>
      </c>
      <c r="J157" s="68">
        <v>139.59</v>
      </c>
      <c r="K157" s="68">
        <v>186.29</v>
      </c>
      <c r="L157" s="68">
        <v>416.4</v>
      </c>
      <c r="M157" s="68">
        <v>257.02</v>
      </c>
      <c r="N157" s="68">
        <v>541.69000000000005</v>
      </c>
      <c r="O157" s="68">
        <v>125.16</v>
      </c>
      <c r="P157" s="68">
        <v>162.46</v>
      </c>
      <c r="Q157" s="68">
        <v>69.599999999999994</v>
      </c>
      <c r="R157" s="68">
        <v>58.92</v>
      </c>
      <c r="S157" s="68">
        <v>146.54</v>
      </c>
      <c r="T157" s="68">
        <v>55.55</v>
      </c>
      <c r="U157" s="68">
        <v>34.619999999999997</v>
      </c>
      <c r="V157" s="68">
        <v>381.6</v>
      </c>
      <c r="W157" s="68">
        <v>163.34</v>
      </c>
      <c r="X157" s="68">
        <v>53.64</v>
      </c>
      <c r="Y157" s="68">
        <v>57.07</v>
      </c>
      <c r="Z157" s="68">
        <v>342.58</v>
      </c>
      <c r="AA157" s="68">
        <v>81.72</v>
      </c>
      <c r="AB157" s="68">
        <v>276.69</v>
      </c>
    </row>
    <row r="158" spans="1:28" ht="15" customHeight="1" x14ac:dyDescent="0.15">
      <c r="A158" s="71">
        <v>46269</v>
      </c>
      <c r="B158" s="68">
        <v>266.51</v>
      </c>
      <c r="C158" s="68">
        <v>193.78</v>
      </c>
      <c r="D158" s="68">
        <v>1714.88</v>
      </c>
      <c r="E158" s="68">
        <v>357.25</v>
      </c>
      <c r="F158" s="68">
        <v>213.1</v>
      </c>
      <c r="G158" s="68">
        <v>185.6</v>
      </c>
      <c r="H158" s="68">
        <v>1016.59</v>
      </c>
      <c r="I158" s="68">
        <v>230.1</v>
      </c>
      <c r="J158" s="68">
        <v>136.26</v>
      </c>
      <c r="K158" s="68">
        <v>174.33</v>
      </c>
      <c r="L158" s="68">
        <v>427.76</v>
      </c>
      <c r="M158" s="68">
        <v>280.45999999999998</v>
      </c>
      <c r="N158" s="68">
        <v>546.12</v>
      </c>
      <c r="O158" s="68">
        <v>126.52</v>
      </c>
      <c r="P158" s="68">
        <v>162.91</v>
      </c>
      <c r="Q158" s="68">
        <v>69.63</v>
      </c>
      <c r="R158" s="68">
        <v>59.32</v>
      </c>
      <c r="S158" s="68">
        <v>149.47999999999999</v>
      </c>
      <c r="T158" s="68">
        <v>55.18</v>
      </c>
      <c r="U158" s="68">
        <v>34.520000000000003</v>
      </c>
      <c r="V158" s="68">
        <v>375.07</v>
      </c>
      <c r="W158" s="68">
        <v>163.32</v>
      </c>
      <c r="X158" s="68">
        <v>53.99</v>
      </c>
      <c r="Y158" s="68">
        <v>56.87</v>
      </c>
      <c r="Z158" s="68">
        <v>337.12</v>
      </c>
      <c r="AA158" s="68">
        <v>78.25</v>
      </c>
      <c r="AB158" s="68">
        <v>275.08999999999997</v>
      </c>
    </row>
    <row r="159" spans="1:28" ht="15" customHeight="1" x14ac:dyDescent="0.15">
      <c r="A159" s="71">
        <v>46276</v>
      </c>
      <c r="B159" s="68">
        <v>252.23</v>
      </c>
      <c r="C159" s="68">
        <v>199.59</v>
      </c>
      <c r="D159" s="68">
        <v>1698.3</v>
      </c>
      <c r="E159" s="68">
        <v>361.33</v>
      </c>
      <c r="F159" s="68">
        <v>206.74</v>
      </c>
      <c r="G159" s="68">
        <v>180.64</v>
      </c>
      <c r="H159" s="68">
        <v>975.26</v>
      </c>
      <c r="I159" s="68">
        <v>218.29</v>
      </c>
      <c r="J159" s="68">
        <v>134.68</v>
      </c>
      <c r="K159" s="68">
        <v>167.23</v>
      </c>
      <c r="L159" s="68">
        <v>432.08</v>
      </c>
      <c r="M159" s="68">
        <v>257</v>
      </c>
      <c r="N159" s="68">
        <v>515.44000000000005</v>
      </c>
      <c r="O159" s="68">
        <v>124.5</v>
      </c>
      <c r="P159" s="68">
        <v>161.03</v>
      </c>
      <c r="Q159" s="68">
        <v>69.150000000000006</v>
      </c>
      <c r="R159" s="68">
        <v>59.23</v>
      </c>
      <c r="S159" s="68">
        <v>148.07</v>
      </c>
      <c r="T159" s="68">
        <v>53.88</v>
      </c>
      <c r="U159" s="68">
        <v>33.85</v>
      </c>
      <c r="V159" s="68">
        <v>370.45</v>
      </c>
      <c r="W159" s="68">
        <v>162.02000000000001</v>
      </c>
      <c r="X159" s="68">
        <v>53.36</v>
      </c>
      <c r="Y159" s="68">
        <v>56.31</v>
      </c>
      <c r="Z159" s="68">
        <v>323.66000000000003</v>
      </c>
      <c r="AA159" s="68">
        <v>77.400000000000006</v>
      </c>
      <c r="AB159" s="68">
        <v>262.39999999999998</v>
      </c>
    </row>
    <row r="160" spans="1:28" ht="15" customHeight="1" x14ac:dyDescent="0.15">
      <c r="A160" s="71">
        <v>46283</v>
      </c>
      <c r="B160" s="68">
        <v>248.92</v>
      </c>
      <c r="C160" s="68">
        <v>199.39</v>
      </c>
      <c r="D160" s="68">
        <v>1679.92</v>
      </c>
      <c r="E160" s="68">
        <v>356.96</v>
      </c>
      <c r="F160" s="68">
        <v>237.65</v>
      </c>
      <c r="G160" s="68">
        <v>176.99</v>
      </c>
      <c r="H160" s="68">
        <v>1015.8</v>
      </c>
      <c r="I160" s="68">
        <v>222.27</v>
      </c>
      <c r="J160" s="68">
        <v>134.84</v>
      </c>
      <c r="K160" s="68">
        <v>177.64</v>
      </c>
      <c r="L160" s="68">
        <v>434.67</v>
      </c>
      <c r="M160" s="68">
        <v>249.39</v>
      </c>
      <c r="N160" s="68">
        <v>508.34</v>
      </c>
      <c r="O160" s="68">
        <v>121.96</v>
      </c>
      <c r="P160" s="68">
        <v>158.24</v>
      </c>
      <c r="Q160" s="68">
        <v>68.989999999999995</v>
      </c>
      <c r="R160" s="68">
        <v>59.68</v>
      </c>
      <c r="S160" s="68">
        <v>148.97</v>
      </c>
      <c r="T160" s="68">
        <v>53</v>
      </c>
      <c r="U160" s="68">
        <v>33.409999999999997</v>
      </c>
      <c r="V160" s="68">
        <v>368.29</v>
      </c>
      <c r="W160" s="68">
        <v>159.26</v>
      </c>
      <c r="X160" s="68">
        <v>52.81</v>
      </c>
      <c r="Y160" s="68">
        <v>55.9</v>
      </c>
      <c r="Z160" s="68">
        <v>314.27</v>
      </c>
      <c r="AA160" s="68">
        <v>71.790000000000006</v>
      </c>
      <c r="AB160" s="68">
        <v>260.20999999999998</v>
      </c>
    </row>
    <row r="161" spans="1:28" ht="15" customHeight="1" x14ac:dyDescent="0.15">
      <c r="A161" s="71">
        <v>46290</v>
      </c>
      <c r="B161" s="68">
        <v>235.47</v>
      </c>
      <c r="C161" s="68">
        <v>206.55</v>
      </c>
      <c r="D161" s="68">
        <v>1743.94</v>
      </c>
      <c r="E161" s="68">
        <v>352.81</v>
      </c>
      <c r="F161" s="68">
        <v>252.13</v>
      </c>
      <c r="G161" s="68">
        <v>187.92</v>
      </c>
      <c r="H161" s="68">
        <v>1082.28</v>
      </c>
      <c r="I161" s="68">
        <v>225.07</v>
      </c>
      <c r="J161" s="68">
        <v>133.05000000000001</v>
      </c>
      <c r="K161" s="68">
        <v>189.67</v>
      </c>
      <c r="L161" s="68">
        <v>450.61</v>
      </c>
      <c r="M161" s="68">
        <v>253.28</v>
      </c>
      <c r="N161" s="68">
        <v>526.19000000000005</v>
      </c>
      <c r="O161" s="68">
        <v>120.41</v>
      </c>
      <c r="P161" s="68">
        <v>154.72999999999999</v>
      </c>
      <c r="Q161" s="68">
        <v>69.58</v>
      </c>
      <c r="R161" s="68">
        <v>60.67</v>
      </c>
      <c r="S161" s="68">
        <v>152.91999999999999</v>
      </c>
      <c r="T161" s="68">
        <v>51.6</v>
      </c>
      <c r="U161" s="68">
        <v>33.21</v>
      </c>
      <c r="V161" s="68">
        <v>367.38</v>
      </c>
      <c r="W161" s="68">
        <v>157.68</v>
      </c>
      <c r="X161" s="68">
        <v>51.1</v>
      </c>
      <c r="Y161" s="68">
        <v>56.42</v>
      </c>
      <c r="Z161" s="68">
        <v>327.08999999999997</v>
      </c>
      <c r="AA161" s="68">
        <v>71.150000000000006</v>
      </c>
      <c r="AB161" s="68">
        <v>280.68</v>
      </c>
    </row>
    <row r="162" spans="1:28" ht="15" customHeight="1" x14ac:dyDescent="0.15">
      <c r="A162" s="71">
        <v>46297</v>
      </c>
      <c r="B162" s="68">
        <v>237.69</v>
      </c>
      <c r="C162" s="68">
        <v>207.35</v>
      </c>
      <c r="D162" s="68">
        <v>1867.31</v>
      </c>
      <c r="E162" s="68">
        <v>355.14</v>
      </c>
      <c r="F162" s="68">
        <v>270.04000000000002</v>
      </c>
      <c r="G162" s="68">
        <v>206.89</v>
      </c>
      <c r="H162" s="68">
        <v>1074.8900000000001</v>
      </c>
      <c r="I162" s="68">
        <v>233.95</v>
      </c>
      <c r="J162" s="68">
        <v>128.91</v>
      </c>
      <c r="K162" s="68">
        <v>188.75</v>
      </c>
      <c r="L162" s="68">
        <v>472.78</v>
      </c>
      <c r="M162" s="68">
        <v>252.18</v>
      </c>
      <c r="N162" s="68">
        <v>504.73</v>
      </c>
      <c r="O162" s="68">
        <v>120.03</v>
      </c>
      <c r="P162" s="68">
        <v>153.05000000000001</v>
      </c>
      <c r="Q162" s="68">
        <v>69.42</v>
      </c>
      <c r="R162" s="68">
        <v>61.04</v>
      </c>
      <c r="S162" s="68">
        <v>153.22999999999999</v>
      </c>
      <c r="T162" s="68">
        <v>51.82</v>
      </c>
      <c r="U162" s="68">
        <v>32.72</v>
      </c>
      <c r="V162" s="68">
        <v>360.66</v>
      </c>
      <c r="W162" s="68">
        <v>156.46</v>
      </c>
      <c r="X162" s="68">
        <v>51.17</v>
      </c>
      <c r="Y162" s="68">
        <v>56.1</v>
      </c>
      <c r="Z162" s="68">
        <v>309.56</v>
      </c>
      <c r="AA162" s="68">
        <v>67.06</v>
      </c>
      <c r="AB162" s="68">
        <v>273.33</v>
      </c>
    </row>
    <row r="163" spans="1:28" ht="15" customHeight="1" x14ac:dyDescent="0.15">
      <c r="A163" s="71">
        <v>46304</v>
      </c>
      <c r="B163" s="68">
        <v>242.27</v>
      </c>
      <c r="C163" s="68">
        <v>216.74</v>
      </c>
      <c r="D163" s="68">
        <v>1780.34</v>
      </c>
      <c r="E163" s="68">
        <v>361.54</v>
      </c>
      <c r="F163" s="68">
        <v>275.04000000000002</v>
      </c>
      <c r="G163" s="68">
        <v>195.57</v>
      </c>
      <c r="H163" s="68">
        <v>1029</v>
      </c>
      <c r="I163" s="68">
        <v>229.28</v>
      </c>
      <c r="J163" s="68">
        <v>129.49</v>
      </c>
      <c r="K163" s="68">
        <v>209.05</v>
      </c>
      <c r="L163" s="68">
        <v>453.31</v>
      </c>
      <c r="M163" s="68">
        <v>242.78</v>
      </c>
      <c r="N163" s="68">
        <v>510.08</v>
      </c>
      <c r="O163" s="68">
        <v>119.64</v>
      </c>
      <c r="P163" s="68">
        <v>154.36000000000001</v>
      </c>
      <c r="Q163" s="68">
        <v>69.97</v>
      </c>
      <c r="R163" s="68">
        <v>61.09</v>
      </c>
      <c r="S163" s="68">
        <v>151.16</v>
      </c>
      <c r="T163" s="68">
        <v>52.84</v>
      </c>
      <c r="U163" s="68">
        <v>33.04</v>
      </c>
      <c r="V163" s="68">
        <v>385.45</v>
      </c>
      <c r="W163" s="68">
        <v>158.75</v>
      </c>
      <c r="X163" s="68">
        <v>52.08</v>
      </c>
      <c r="Y163" s="68">
        <v>56.77</v>
      </c>
      <c r="Z163" s="68">
        <v>308.2</v>
      </c>
      <c r="AA163" s="68">
        <v>70.3</v>
      </c>
      <c r="AB163" s="68">
        <v>296.13</v>
      </c>
    </row>
    <row r="164" spans="1:28" ht="15" customHeight="1" x14ac:dyDescent="0.15"/>
    <row r="165" spans="1:28" ht="15" customHeight="1" x14ac:dyDescent="0.15"/>
    <row r="166" spans="1:28" ht="15" customHeight="1" x14ac:dyDescent="0.2">
      <c r="A166" s="92">
        <f>COUNT(A3:A164)</f>
        <v>161</v>
      </c>
      <c r="B166" s="92" t="s">
        <v>295</v>
      </c>
    </row>
  </sheetData>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2"/>
  <sheetViews>
    <sheetView showGridLines="0" zoomScaleNormal="100" workbookViewId="0">
      <pane ySplit="1" topLeftCell="A15" activePane="bottomLeft" state="frozen"/>
      <selection pane="bottomLeft" activeCell="Q34" sqref="Q34"/>
    </sheetView>
  </sheetViews>
  <sheetFormatPr baseColWidth="10" defaultColWidth="8.6640625" defaultRowHeight="15" outlineLevelRow="1" x14ac:dyDescent="0.2"/>
  <cols>
    <col min="1" max="1" width="10" customWidth="1"/>
    <col min="2" max="2" width="18" customWidth="1"/>
    <col min="3" max="3" width="12" customWidth="1"/>
    <col min="5" max="5" width="10.1640625" customWidth="1"/>
    <col min="6" max="6" width="13" customWidth="1"/>
    <col min="7" max="8" width="9" customWidth="1"/>
    <col min="9" max="9" width="7.33203125" customWidth="1"/>
    <col min="10" max="10" width="8" customWidth="1"/>
  </cols>
  <sheetData>
    <row r="1" spans="1:10" ht="31.5" customHeight="1" x14ac:dyDescent="0.2">
      <c r="A1" s="93" t="s">
        <v>82</v>
      </c>
      <c r="B1" s="93" t="s">
        <v>296</v>
      </c>
      <c r="C1" s="93" t="s">
        <v>297</v>
      </c>
      <c r="D1" s="94" t="s">
        <v>298</v>
      </c>
      <c r="E1" s="94" t="s">
        <v>299</v>
      </c>
      <c r="F1" s="93" t="s">
        <v>300</v>
      </c>
      <c r="G1" s="93" t="s">
        <v>301</v>
      </c>
      <c r="H1" s="93" t="s">
        <v>302</v>
      </c>
      <c r="I1" s="93" t="s">
        <v>303</v>
      </c>
      <c r="J1" s="93" t="s">
        <v>304</v>
      </c>
    </row>
    <row r="2" spans="1:10" ht="15" customHeight="1" x14ac:dyDescent="0.2">
      <c r="A2" s="95" t="str">
        <f>IF(Scoring!A3="","",Scoring!A3)</f>
        <v>MU</v>
      </c>
      <c r="B2" s="96" t="str">
        <f>IF(Scoring!B3="","",Scoring!B3)</f>
        <v>Micron Technology</v>
      </c>
      <c r="C2" s="97">
        <f>IF(Scoring!C3="","",Scoring!C3)</f>
        <v>46278</v>
      </c>
      <c r="D2" s="98">
        <f>IF(Scoring!N3="","",Scoring!N3)</f>
        <v>3.3571428571428577</v>
      </c>
      <c r="E2" s="99">
        <f>IF(Scoring!AF3="","",Scoring!AF3)</f>
        <v>67.8</v>
      </c>
      <c r="F2" s="67" t="str">
        <f>IF(Scoring!AG3&lt;&gt;"",Scoring!AG3,IF(Scoring!AH3="OK","PENDING",""))</f>
        <v>BUY</v>
      </c>
      <c r="G2" s="67" t="str">
        <f>IF(Scoring!AH3="","",Scoring!AH3)</f>
        <v>OK</v>
      </c>
      <c r="H2" s="67" t="str">
        <f>IF(Scoring!AI3="","",Scoring!AI3)</f>
        <v>OK</v>
      </c>
      <c r="I2" s="67" t="str">
        <f>IF(Scoring!AJ3="","",Scoring!AJ3)</f>
        <v>OK</v>
      </c>
      <c r="J2" s="67" t="str">
        <f>IF(Scoring!AK3="","",Scoring!AK3)</f>
        <v>OK</v>
      </c>
    </row>
    <row r="3" spans="1:10" ht="15" customHeight="1" x14ac:dyDescent="0.2">
      <c r="A3" s="95" t="str">
        <f>IF(Scoring!A4="","",Scoring!A4)</f>
        <v>AVGO</v>
      </c>
      <c r="B3" s="96" t="str">
        <f>IF(Scoring!B4="","",Scoring!B4)</f>
        <v>Broadcom Inc.</v>
      </c>
      <c r="C3" s="97">
        <f>IF(Scoring!C4="","",Scoring!C4)</f>
        <v>46300</v>
      </c>
      <c r="D3" s="98">
        <f>IF(Scoring!N4="","",Scoring!N4)</f>
        <v>3.6428571428571437</v>
      </c>
      <c r="E3" s="99">
        <f>IF(Scoring!AF4="","",Scoring!AF4)</f>
        <v>74.800000000000011</v>
      </c>
      <c r="F3" s="67" t="str">
        <f>IF(Scoring!AG4&lt;&gt;"",Scoring!AG4,IF(Scoring!AH4="OK","PENDING",""))</f>
        <v>BUY</v>
      </c>
      <c r="G3" s="67" t="str">
        <f>IF(Scoring!AH4="","",Scoring!AH4)</f>
        <v>OK</v>
      </c>
      <c r="H3" s="67" t="str">
        <f>IF(Scoring!AI4="","",Scoring!AI4)</f>
        <v>OK</v>
      </c>
      <c r="I3" s="67" t="str">
        <f>IF(Scoring!AJ4="","",Scoring!AJ4)</f>
        <v>OK</v>
      </c>
      <c r="J3" s="67" t="str">
        <f>IF(Scoring!AK4="","",Scoring!AK4)</f>
        <v>OK</v>
      </c>
    </row>
    <row r="4" spans="1:10" ht="15" customHeight="1" x14ac:dyDescent="0.2">
      <c r="A4" s="95" t="str">
        <f>IF(Scoring!A5="","",Scoring!A5)</f>
        <v>PLTR</v>
      </c>
      <c r="B4" s="96" t="str">
        <f>IF(Scoring!B5="","",Scoring!B5)</f>
        <v>Palantir Technologies</v>
      </c>
      <c r="C4" s="97">
        <f>IF(Scoring!C5="","",Scoring!C5)</f>
        <v>46278</v>
      </c>
      <c r="D4" s="98">
        <f>IF(Scoring!N5="","",Scoring!N5)</f>
        <v>4.0714285714285721</v>
      </c>
      <c r="E4" s="99">
        <f>IF(Scoring!AF5="","",Scoring!AF5)</f>
        <v>76.2</v>
      </c>
      <c r="F4" s="67" t="str">
        <f>IF(Scoring!AG5&lt;&gt;"",Scoring!AG5,IF(Scoring!AH5="OK","PENDING",""))</f>
        <v>BUY</v>
      </c>
      <c r="G4" s="67" t="str">
        <f>IF(Scoring!AH5="","",Scoring!AH5)</f>
        <v>OK</v>
      </c>
      <c r="H4" s="67" t="str">
        <f>IF(Scoring!AI5="","",Scoring!AI5)</f>
        <v>OK</v>
      </c>
      <c r="I4" s="67" t="str">
        <f>IF(Scoring!AJ5="","",Scoring!AJ5)</f>
        <v>OK</v>
      </c>
      <c r="J4" s="67" t="str">
        <f>IF(Scoring!AK5="","",Scoring!AK5)</f>
        <v>OK</v>
      </c>
    </row>
    <row r="5" spans="1:10" ht="15" customHeight="1" x14ac:dyDescent="0.2">
      <c r="A5" s="95" t="str">
        <f>IF(Scoring!A6="","",Scoring!A6)</f>
        <v>NVDA</v>
      </c>
      <c r="B5" s="96" t="str">
        <f>IF(Scoring!B6="","",Scoring!B6)</f>
        <v>NVIDIA Corporation</v>
      </c>
      <c r="C5" s="97">
        <f>IF(Scoring!C6="","",Scoring!C6)</f>
        <v>46278</v>
      </c>
      <c r="D5" s="98">
        <f>IF(Scoring!N6="","",Scoring!N6)</f>
        <v>4.2857142857142856</v>
      </c>
      <c r="E5" s="99">
        <f>IF(Scoring!AF6="","",Scoring!AF6)</f>
        <v>89.2</v>
      </c>
      <c r="F5" s="67" t="str">
        <f>IF(Scoring!AG6&lt;&gt;"",Scoring!AG6,IF(Scoring!AH6="OK","PENDING",""))</f>
        <v>STRONG BUY</v>
      </c>
      <c r="G5" s="67" t="str">
        <f>IF(Scoring!AH6="","",Scoring!AH6)</f>
        <v>OK</v>
      </c>
      <c r="H5" s="67" t="str">
        <f>IF(Scoring!AI6="","",Scoring!AI6)</f>
        <v>OK</v>
      </c>
      <c r="I5" s="67" t="str">
        <f>IF(Scoring!AJ6="","",Scoring!AJ6)</f>
        <v>OK</v>
      </c>
      <c r="J5" s="67" t="str">
        <f>IF(Scoring!AK6="","",Scoring!AK6)</f>
        <v>OK</v>
      </c>
    </row>
    <row r="6" spans="1:10" ht="15" customHeight="1" x14ac:dyDescent="0.2">
      <c r="A6" s="95" t="str">
        <f>IF(Scoring!A7="","",Scoring!A7)</f>
        <v>VRTX</v>
      </c>
      <c r="B6" s="96" t="str">
        <f>IF(Scoring!B7="","",Scoring!B7)</f>
        <v>Vertex Pharmaceuticals</v>
      </c>
      <c r="C6" s="97">
        <f>IF(Scoring!C7="","",Scoring!C7)</f>
        <v>46300</v>
      </c>
      <c r="D6" s="98">
        <f>IF(Scoring!N7="","",Scoring!N7)</f>
        <v>3.4285714285714293</v>
      </c>
      <c r="E6" s="99">
        <f>IF(Scoring!AF7="","",Scoring!AF7)</f>
        <v>70.600000000000009</v>
      </c>
      <c r="F6" s="67" t="str">
        <f>IF(Scoring!AG7&lt;&gt;"",Scoring!AG7,IF(Scoring!AH7="OK","PENDING",""))</f>
        <v>BUY</v>
      </c>
      <c r="G6" s="67" t="str">
        <f>IF(Scoring!AH7="","",Scoring!AH7)</f>
        <v>OK</v>
      </c>
      <c r="H6" s="67" t="str">
        <f>IF(Scoring!AI7="","",Scoring!AI7)</f>
        <v>OK</v>
      </c>
      <c r="I6" s="67" t="str">
        <f>IF(Scoring!AJ7="","",Scoring!AJ7)</f>
        <v>OK</v>
      </c>
      <c r="J6" s="67" t="str">
        <f>IF(Scoring!AK7="","",Scoring!AK7)</f>
        <v>OK</v>
      </c>
    </row>
    <row r="7" spans="1:10" ht="15" customHeight="1" x14ac:dyDescent="0.2">
      <c r="A7" s="95" t="str">
        <f>IF(Scoring!A8="","",Scoring!A8)</f>
        <v>PLD</v>
      </c>
      <c r="B7" s="96" t="str">
        <f>IF(Scoring!B8="","",Scoring!B8)</f>
        <v>Prologis Inc. (REIT-adapted)</v>
      </c>
      <c r="C7" s="97">
        <f>IF(Scoring!C8="","",Scoring!C8)</f>
        <v>46295</v>
      </c>
      <c r="D7" s="98">
        <f>IF(Scoring!N8="","",Scoring!N8)</f>
        <v>3.9285714285714288</v>
      </c>
      <c r="E7" s="99">
        <f>IF(Scoring!AF8="","",Scoring!AF8)</f>
        <v>76</v>
      </c>
      <c r="F7" s="67" t="str">
        <f>IF(Scoring!AG8&lt;&gt;"",Scoring!AG8,IF(Scoring!AH8="OK","PENDING",""))</f>
        <v>BUY</v>
      </c>
      <c r="G7" s="67" t="str">
        <f>IF(Scoring!AH8="","",Scoring!AH8)</f>
        <v>OK</v>
      </c>
      <c r="H7" s="67" t="str">
        <f>IF(Scoring!AI8="","",Scoring!AI8)</f>
        <v>OK</v>
      </c>
      <c r="I7" s="67" t="str">
        <f>IF(Scoring!AJ8="","",Scoring!AJ8)</f>
        <v>OK</v>
      </c>
      <c r="J7" s="67" t="str">
        <f>IF(Scoring!AK8="","",Scoring!AK8)</f>
        <v>OK</v>
      </c>
    </row>
    <row r="8" spans="1:10" ht="15" customHeight="1" outlineLevel="1" x14ac:dyDescent="0.2">
      <c r="A8" s="95" t="str">
        <f>IF(Scoring!A9="","",Scoring!A9)</f>
        <v>SFM</v>
      </c>
      <c r="B8" s="96" t="str">
        <f>IF(Scoring!B9="","",Scoring!B9)</f>
        <v>Sprouts Farmers Market</v>
      </c>
      <c r="C8" s="97">
        <f>IF(Scoring!C9="","",Scoring!C9)</f>
        <v>46240</v>
      </c>
      <c r="D8" s="98">
        <f>IF(Scoring!N9="","",Scoring!N9)</f>
        <v>1.8571428571428574</v>
      </c>
      <c r="E8" s="99" t="str">
        <f>IF(Scoring!AF9="","",Scoring!AF9)</f>
        <v/>
      </c>
      <c r="F8" s="67" t="str">
        <f>IF(Scoring!AG9&lt;&gt;"",Scoring!AG9,IF(Scoring!AH9="OK","PENDING",""))</f>
        <v/>
      </c>
      <c r="G8" s="67" t="str">
        <f>IF(Scoring!AH9="","",Scoring!AH9)</f>
        <v>FAIL</v>
      </c>
      <c r="H8" s="67" t="str">
        <f>IF(Scoring!AI9="","",Scoring!AI9)</f>
        <v>REVIEW</v>
      </c>
      <c r="I8" s="67" t="str">
        <f>IF(Scoring!AJ9="","",Scoring!AJ9)</f>
        <v>AVOID</v>
      </c>
      <c r="J8" s="67" t="str">
        <f>IF(Scoring!AK9="","",Scoring!AK9)</f>
        <v>OK</v>
      </c>
    </row>
    <row r="9" spans="1:10" ht="15" customHeight="1" outlineLevel="1" x14ac:dyDescent="0.2">
      <c r="A9" s="95" t="str">
        <f>IF(Scoring!A10="","",Scoring!A10)</f>
        <v>ONON</v>
      </c>
      <c r="B9" s="96" t="str">
        <f>IF(Scoring!B10="","",Scoring!B10)</f>
        <v>On Holding AG</v>
      </c>
      <c r="C9" s="97">
        <f>IF(Scoring!C10="","",Scoring!C10)</f>
        <v>46240</v>
      </c>
      <c r="D9" s="98">
        <f>IF(Scoring!N10="","",Scoring!N10)</f>
        <v>2.6428571428571428</v>
      </c>
      <c r="E9" s="99" t="str">
        <f>IF(Scoring!AF10="","",Scoring!AF10)</f>
        <v/>
      </c>
      <c r="F9" s="67" t="str">
        <f>IF(Scoring!AG10&lt;&gt;"",Scoring!AG10,IF(Scoring!AH10="OK","PENDING",""))</f>
        <v/>
      </c>
      <c r="G9" s="67" t="str">
        <f>IF(Scoring!AH10="","",Scoring!AH10)</f>
        <v>FAIL</v>
      </c>
      <c r="H9" s="67" t="str">
        <f>IF(Scoring!AI10="","",Scoring!AI10)</f>
        <v>OK</v>
      </c>
      <c r="I9" s="67" t="str">
        <f>IF(Scoring!AJ10="","",Scoring!AJ10)</f>
        <v>AVOID</v>
      </c>
      <c r="J9" s="67" t="str">
        <f>IF(Scoring!AK10="","",Scoring!AK10)</f>
        <v>OK</v>
      </c>
    </row>
    <row r="10" spans="1:10" ht="15" customHeight="1" outlineLevel="1" x14ac:dyDescent="0.2">
      <c r="A10" s="95" t="str">
        <f>IF(Scoring!A11="","",Scoring!A11)</f>
        <v>TSLA</v>
      </c>
      <c r="B10" s="96" t="str">
        <f>IF(Scoring!B11="","",Scoring!B11)</f>
        <v>Tesla Inc.</v>
      </c>
      <c r="C10" s="97">
        <f>IF(Scoring!C11="","",Scoring!C11)</f>
        <v>46240</v>
      </c>
      <c r="D10" s="98">
        <f>IF(Scoring!N11="","",Scoring!N11)</f>
        <v>1.9285714285714288</v>
      </c>
      <c r="E10" s="99" t="str">
        <f>IF(Scoring!AF11="","",Scoring!AF11)</f>
        <v/>
      </c>
      <c r="F10" s="67" t="str">
        <f>IF(Scoring!AG11&lt;&gt;"",Scoring!AG11,IF(Scoring!AH11="OK","PENDING",""))</f>
        <v/>
      </c>
      <c r="G10" s="67" t="str">
        <f>IF(Scoring!AH11="","",Scoring!AH11)</f>
        <v>FAIL</v>
      </c>
      <c r="H10" s="67" t="str">
        <f>IF(Scoring!AI11="","",Scoring!AI11)</f>
        <v>REVIEW</v>
      </c>
      <c r="I10" s="67" t="str">
        <f>IF(Scoring!AJ11="","",Scoring!AJ11)</f>
        <v>AVOID</v>
      </c>
      <c r="J10" s="67" t="str">
        <f>IF(Scoring!AK11="","",Scoring!AK11)</f>
        <v>OK</v>
      </c>
    </row>
    <row r="11" spans="1:10" ht="15" customHeight="1" x14ac:dyDescent="0.2">
      <c r="A11" s="95" t="str">
        <f>IF(Scoring!A12="","",Scoring!A12)</f>
        <v>ADBE</v>
      </c>
      <c r="B11" s="96" t="str">
        <f>IF(Scoring!B12="","",Scoring!B12)</f>
        <v>Adobe Inc.</v>
      </c>
      <c r="C11" s="97">
        <f>IF(Scoring!C12="","",Scoring!C12)</f>
        <v>46295</v>
      </c>
      <c r="D11" s="98">
        <f>IF(Scoring!N12="","",Scoring!N12)</f>
        <v>4.5714285714285721</v>
      </c>
      <c r="E11" s="99">
        <f>IF(Scoring!AF12="","",Scoring!AF12)</f>
        <v>85.8</v>
      </c>
      <c r="F11" s="67" t="str">
        <f>IF(Scoring!AG12&lt;&gt;"",Scoring!AG12,IF(Scoring!AH12="OK","PENDING",""))</f>
        <v>STRONG BUY</v>
      </c>
      <c r="G11" s="67" t="str">
        <f>IF(Scoring!AH12="","",Scoring!AH12)</f>
        <v>OK</v>
      </c>
      <c r="H11" s="67" t="str">
        <f>IF(Scoring!AI12="","",Scoring!AI12)</f>
        <v>OK</v>
      </c>
      <c r="I11" s="67" t="str">
        <f>IF(Scoring!AJ12="","",Scoring!AJ12)</f>
        <v>OK</v>
      </c>
      <c r="J11" s="67" t="str">
        <f>IF(Scoring!AK12="","",Scoring!AK12)</f>
        <v>OK</v>
      </c>
    </row>
    <row r="12" spans="1:10" ht="15" customHeight="1" x14ac:dyDescent="0.2">
      <c r="A12" s="95" t="str">
        <f>IF(Scoring!A13="","",Scoring!A13)</f>
        <v>ANET</v>
      </c>
      <c r="B12" s="96" t="str">
        <f>IF(Scoring!B13="","",Scoring!B13)</f>
        <v>Arista Networks</v>
      </c>
      <c r="C12" s="97">
        <f>IF(Scoring!C13="","",Scoring!C13)</f>
        <v>46278</v>
      </c>
      <c r="D12" s="98">
        <f>IF(Scoring!N13="","",Scoring!N13)</f>
        <v>4.2857142857142856</v>
      </c>
      <c r="E12" s="99">
        <f>IF(Scoring!AF13="","",Scoring!AF13)</f>
        <v>81</v>
      </c>
      <c r="F12" s="67" t="str">
        <f>IF(Scoring!AG13&lt;&gt;"",Scoring!AG13,IF(Scoring!AH13="OK","PENDING",""))</f>
        <v>STRONG BUY</v>
      </c>
      <c r="G12" s="67" t="str">
        <f>IF(Scoring!AH13="","",Scoring!AH13)</f>
        <v>OK</v>
      </c>
      <c r="H12" s="67" t="str">
        <f>IF(Scoring!AI13="","",Scoring!AI13)</f>
        <v>OK</v>
      </c>
      <c r="I12" s="67" t="str">
        <f>IF(Scoring!AJ13="","",Scoring!AJ13)</f>
        <v>OK</v>
      </c>
      <c r="J12" s="67" t="str">
        <f>IF(Scoring!AK13="","",Scoring!AK13)</f>
        <v>OK</v>
      </c>
    </row>
    <row r="13" spans="1:10" ht="15" customHeight="1" x14ac:dyDescent="0.2">
      <c r="A13" s="95" t="str">
        <f>IF(Scoring!A14="","",Scoring!A14)</f>
        <v>ASML</v>
      </c>
      <c r="B13" s="96" t="str">
        <f>IF(Scoring!B14="","",Scoring!B14)</f>
        <v>ASML Holding</v>
      </c>
      <c r="C13" s="97">
        <f>IF(Scoring!C14="","",Scoring!C14)</f>
        <v>46278</v>
      </c>
      <c r="D13" s="98">
        <f>IF(Scoring!N14="","",Scoring!N14)</f>
        <v>3.8571428571428577</v>
      </c>
      <c r="E13" s="99">
        <f>IF(Scoring!AF14="","",Scoring!AF14)</f>
        <v>77.2</v>
      </c>
      <c r="F13" s="67" t="str">
        <f>IF(Scoring!AG14&lt;&gt;"",Scoring!AG14,IF(Scoring!AH14="OK","PENDING",""))</f>
        <v>BUY</v>
      </c>
      <c r="G13" s="67" t="str">
        <f>IF(Scoring!AH14="","",Scoring!AH14)</f>
        <v>OK</v>
      </c>
      <c r="H13" s="67" t="str">
        <f>IF(Scoring!AI14="","",Scoring!AI14)</f>
        <v>OK</v>
      </c>
      <c r="I13" s="67" t="str">
        <f>IF(Scoring!AJ14="","",Scoring!AJ14)</f>
        <v>OK</v>
      </c>
      <c r="J13" s="67" t="str">
        <f>IF(Scoring!AK14="","",Scoring!AK14)</f>
        <v>OK</v>
      </c>
    </row>
    <row r="14" spans="1:10" ht="15" customHeight="1" x14ac:dyDescent="0.2">
      <c r="A14" s="95" t="str">
        <f>IF(Scoring!A15="","",Scoring!A15)</f>
        <v>CRWD</v>
      </c>
      <c r="B14" s="96" t="str">
        <f>IF(Scoring!B15="","",Scoring!B15)</f>
        <v>CrowdStrike Holdings</v>
      </c>
      <c r="C14" s="97">
        <f>IF(Scoring!C15="","",Scoring!C15)</f>
        <v>46278</v>
      </c>
      <c r="D14" s="98">
        <f>IF(Scoring!N15="","",Scoring!N15)</f>
        <v>3.5000000000000004</v>
      </c>
      <c r="E14" s="99">
        <f>IF(Scoring!AF15="","",Scoring!AF15)</f>
        <v>63.400000000000006</v>
      </c>
      <c r="F14" s="67" t="str">
        <f>IF(Scoring!AG15&lt;&gt;"",Scoring!AG15,IF(Scoring!AH15="OK","PENDING",""))</f>
        <v>AVOID</v>
      </c>
      <c r="G14" s="67" t="str">
        <f>IF(Scoring!AH15="","",Scoring!AH15)</f>
        <v>OK</v>
      </c>
      <c r="H14" s="67" t="str">
        <f>IF(Scoring!AI15="","",Scoring!AI15)</f>
        <v>OK</v>
      </c>
      <c r="I14" s="67" t="str">
        <f>IF(Scoring!AJ15="","",Scoring!AJ15)</f>
        <v>AVOID</v>
      </c>
      <c r="J14" s="67" t="str">
        <f>IF(Scoring!AK15="","",Scoring!AK15)</f>
        <v>OK</v>
      </c>
    </row>
    <row r="15" spans="1:10" ht="15" customHeight="1" x14ac:dyDescent="0.2">
      <c r="A15" s="95" t="str">
        <f>IF(Scoring!A16="","",Scoring!A16)</f>
        <v>KLAC</v>
      </c>
      <c r="B15" s="96" t="str">
        <f>IF(Scoring!B16="","",Scoring!B16)</f>
        <v>KLA Corporation</v>
      </c>
      <c r="C15" s="97">
        <f>IF(Scoring!C16="","",Scoring!C16)</f>
        <v>46278</v>
      </c>
      <c r="D15" s="98">
        <f>IF(Scoring!N16="","",Scoring!N16)</f>
        <v>3.7142857142857149</v>
      </c>
      <c r="E15" s="99">
        <f>IF(Scoring!AF16="","",Scoring!AF16)</f>
        <v>72.600000000000009</v>
      </c>
      <c r="F15" s="67" t="str">
        <f>IF(Scoring!AG16&lt;&gt;"",Scoring!AG16,IF(Scoring!AH16="OK","PENDING",""))</f>
        <v>BUY</v>
      </c>
      <c r="G15" s="67" t="str">
        <f>IF(Scoring!AH16="","",Scoring!AH16)</f>
        <v>OK</v>
      </c>
      <c r="H15" s="67" t="str">
        <f>IF(Scoring!AI16="","",Scoring!AI16)</f>
        <v>OK</v>
      </c>
      <c r="I15" s="67" t="str">
        <f>IF(Scoring!AJ16="","",Scoring!AJ16)</f>
        <v>OK</v>
      </c>
      <c r="J15" s="67" t="str">
        <f>IF(Scoring!AK16="","",Scoring!AK16)</f>
        <v>OK</v>
      </c>
    </row>
    <row r="16" spans="1:10" ht="15" customHeight="1" x14ac:dyDescent="0.2">
      <c r="A16" s="95" t="str">
        <f>IF(Scoring!A17="","",Scoring!A17)</f>
        <v>TSM</v>
      </c>
      <c r="B16" s="96" t="str">
        <f>IF(Scoring!B17="","",Scoring!B17)</f>
        <v>Taiwan Semiconductor Mfg.</v>
      </c>
      <c r="C16" s="97">
        <f>IF(Scoring!C17="","",Scoring!C17)</f>
        <v>46278</v>
      </c>
      <c r="D16" s="98">
        <f>IF(Scoring!N17="","",Scoring!N17)</f>
        <v>4.2142857142857144</v>
      </c>
      <c r="E16" s="99">
        <f>IF(Scoring!AF17="","",Scoring!AF17)</f>
        <v>84</v>
      </c>
      <c r="F16" s="67" t="str">
        <f>IF(Scoring!AG17&lt;&gt;"",Scoring!AG17,IF(Scoring!AH17="OK","PENDING",""))</f>
        <v>STRONG BUY</v>
      </c>
      <c r="G16" s="67" t="str">
        <f>IF(Scoring!AH17="","",Scoring!AH17)</f>
        <v>OK</v>
      </c>
      <c r="H16" s="67" t="str">
        <f>IF(Scoring!AI17="","",Scoring!AI17)</f>
        <v>OK</v>
      </c>
      <c r="I16" s="67" t="str">
        <f>IF(Scoring!AJ17="","",Scoring!AJ17)</f>
        <v>OK</v>
      </c>
      <c r="J16" s="67" t="str">
        <f>IF(Scoring!AK17="","",Scoring!AK17)</f>
        <v>OK</v>
      </c>
    </row>
    <row r="17" spans="1:10" ht="15" customHeight="1" x14ac:dyDescent="0.2">
      <c r="A17" s="95" t="str">
        <f>IF(Scoring!A18="","",Scoring!A18)</f>
        <v>VRT</v>
      </c>
      <c r="B17" s="96" t="str">
        <f>IF(Scoring!B18="","",Scoring!B18)</f>
        <v>Vertiv Holdings</v>
      </c>
      <c r="C17" s="97">
        <f>IF(Scoring!C18="","",Scoring!C18)</f>
        <v>46278</v>
      </c>
      <c r="D17" s="98">
        <f>IF(Scoring!N18="","",Scoring!N18)</f>
        <v>3.9285714285714288</v>
      </c>
      <c r="E17" s="99">
        <f>IF(Scoring!AF18="","",Scoring!AF18)</f>
        <v>76.8</v>
      </c>
      <c r="F17" s="67" t="str">
        <f>IF(Scoring!AG18&lt;&gt;"",Scoring!AG18,IF(Scoring!AH18="OK","PENDING",""))</f>
        <v>BUY</v>
      </c>
      <c r="G17" s="67" t="str">
        <f>IF(Scoring!AH18="","",Scoring!AH18)</f>
        <v>OK</v>
      </c>
      <c r="H17" s="67" t="str">
        <f>IF(Scoring!AI18="","",Scoring!AI18)</f>
        <v>OK</v>
      </c>
      <c r="I17" s="67" t="str">
        <f>IF(Scoring!AJ18="","",Scoring!AJ18)</f>
        <v>OK</v>
      </c>
      <c r="J17" s="67" t="str">
        <f>IF(Scoring!AK18="","",Scoring!AK18)</f>
        <v>OK</v>
      </c>
    </row>
    <row r="18" spans="1:10" ht="15" customHeight="1" x14ac:dyDescent="0.2">
      <c r="A18" s="95" t="str">
        <f>IF(Scoring!A19="","",Scoring!A19)</f>
        <v>COST</v>
      </c>
      <c r="B18" s="96" t="str">
        <f>IF(Scoring!B19="","",Scoring!B19)</f>
        <v>Costco Wholesale Corp.</v>
      </c>
      <c r="C18" s="97">
        <f>IF(Scoring!C19="","",Scoring!C19)</f>
        <v>46245</v>
      </c>
      <c r="D18" s="98">
        <f>IF(Scoring!N19="","",Scoring!N19)</f>
        <v>4.1428571428571432</v>
      </c>
      <c r="E18" s="99">
        <f>IF(Scoring!AF19="","",Scoring!AF19)</f>
        <v>77.400000000000006</v>
      </c>
      <c r="F18" s="67" t="str">
        <f>IF(Scoring!AG19&lt;&gt;"",Scoring!AG19,IF(Scoring!AH19="OK","PENDING",""))</f>
        <v>BUY</v>
      </c>
      <c r="G18" s="67" t="str">
        <f>IF(Scoring!AH19="","",Scoring!AH19)</f>
        <v>OK</v>
      </c>
      <c r="H18" s="67" t="str">
        <f>IF(Scoring!AI19="","",Scoring!AI19)</f>
        <v>OK</v>
      </c>
      <c r="I18" s="67" t="str">
        <f>IF(Scoring!AJ19="","",Scoring!AJ19)</f>
        <v>OK</v>
      </c>
      <c r="J18" s="67" t="str">
        <f>IF(Scoring!AK19="","",Scoring!AK19)</f>
        <v>OK</v>
      </c>
    </row>
    <row r="19" spans="1:10" ht="15" customHeight="1" x14ac:dyDescent="0.2">
      <c r="A19" s="95" t="str">
        <f>IF(Scoring!A20="","",Scoring!A20)</f>
        <v>V</v>
      </c>
      <c r="B19" s="96" t="str">
        <f>IF(Scoring!B20="","",Scoring!B20)</f>
        <v>Visa Inc.</v>
      </c>
      <c r="C19" s="97">
        <f>IF(Scoring!C20="","",Scoring!C20)</f>
        <v>46278</v>
      </c>
      <c r="D19" s="98">
        <f>IF(Scoring!N20="","",Scoring!N20)</f>
        <v>3.6428571428571437</v>
      </c>
      <c r="E19" s="99">
        <f>IF(Scoring!AF20="","",Scoring!AF20)</f>
        <v>73.400000000000006</v>
      </c>
      <c r="F19" s="67" t="str">
        <f>IF(Scoring!AG20&lt;&gt;"",Scoring!AG20,IF(Scoring!AH20="OK","PENDING",""))</f>
        <v>BUY</v>
      </c>
      <c r="G19" s="67" t="str">
        <f>IF(Scoring!AH20="","",Scoring!AH20)</f>
        <v>OK</v>
      </c>
      <c r="H19" s="67" t="str">
        <f>IF(Scoring!AI20="","",Scoring!AI20)</f>
        <v>OK</v>
      </c>
      <c r="I19" s="67" t="str">
        <f>IF(Scoring!AJ20="","",Scoring!AJ20)</f>
        <v>OK</v>
      </c>
      <c r="J19" s="67" t="str">
        <f>IF(Scoring!AK20="","",Scoring!AK20)</f>
        <v>OK</v>
      </c>
    </row>
    <row r="20" spans="1:10" ht="15" customHeight="1" outlineLevel="1" x14ac:dyDescent="0.2">
      <c r="A20" s="95" t="str">
        <f>IF(Scoring!A21="","",Scoring!A21)</f>
        <v>NEE</v>
      </c>
      <c r="B20" s="96" t="str">
        <f>IF(Scoring!B21="","",Scoring!B21)</f>
        <v>NextEra Energy Inc.</v>
      </c>
      <c r="C20" s="97">
        <f>IF(Scoring!C21="","",Scoring!C21)</f>
        <v>46245</v>
      </c>
      <c r="D20" s="98">
        <f>IF(Scoring!N21="","",Scoring!N21)</f>
        <v>2.5</v>
      </c>
      <c r="E20" s="99" t="str">
        <f>IF(Scoring!AF21="","",Scoring!AF21)</f>
        <v/>
      </c>
      <c r="F20" s="67" t="str">
        <f>IF(Scoring!AG21&lt;&gt;"",Scoring!AG21,IF(Scoring!AH21="OK","PENDING",""))</f>
        <v/>
      </c>
      <c r="G20" s="67" t="str">
        <f>IF(Scoring!AH21="","",Scoring!AH21)</f>
        <v>FAIL</v>
      </c>
      <c r="H20" s="67" t="str">
        <f>IF(Scoring!AI21="","",Scoring!AI21)</f>
        <v>REVIEW</v>
      </c>
      <c r="I20" s="67" t="str">
        <f>IF(Scoring!AJ21="","",Scoring!AJ21)</f>
        <v>AVOID</v>
      </c>
      <c r="J20" s="67" t="str">
        <f>IF(Scoring!AK21="","",Scoring!AK21)</f>
        <v>OK</v>
      </c>
    </row>
    <row r="21" spans="1:10" ht="15" customHeight="1" outlineLevel="1" x14ac:dyDescent="0.2">
      <c r="A21" s="95" t="str">
        <f>IF(Scoring!A22="","",Scoring!A22)</f>
        <v>CRK</v>
      </c>
      <c r="B21" s="96" t="str">
        <f>IF(Scoring!B22="","",Scoring!B22)</f>
        <v>Comstock Resources Inc.</v>
      </c>
      <c r="C21" s="97">
        <f>IF(Scoring!C22="","",Scoring!C22)</f>
        <v>46245</v>
      </c>
      <c r="D21" s="98">
        <f>IF(Scoring!N22="","",Scoring!N22)</f>
        <v>1.2142857142857142</v>
      </c>
      <c r="E21" s="99" t="str">
        <f>IF(Scoring!AF22="","",Scoring!AF22)</f>
        <v/>
      </c>
      <c r="F21" s="67" t="str">
        <f>IF(Scoring!AG22&lt;&gt;"",Scoring!AG22,IF(Scoring!AH22="OK","PENDING",""))</f>
        <v/>
      </c>
      <c r="G21" s="67" t="str">
        <f>IF(Scoring!AH22="","",Scoring!AH22)</f>
        <v>FAIL</v>
      </c>
      <c r="H21" s="67" t="str">
        <f>IF(Scoring!AI22="","",Scoring!AI22)</f>
        <v>REVIEW</v>
      </c>
      <c r="I21" s="67" t="str">
        <f>IF(Scoring!AJ22="","",Scoring!AJ22)</f>
        <v>AVOID</v>
      </c>
      <c r="J21" s="67" t="str">
        <f>IF(Scoring!AK22="","",Scoring!AK22)</f>
        <v>OK</v>
      </c>
    </row>
    <row r="22" spans="1:10" ht="15" customHeight="1" x14ac:dyDescent="0.2">
      <c r="A22" s="95" t="str">
        <f>IF(Scoring!A23="","",Scoring!A23)</f>
        <v>ET</v>
      </c>
      <c r="B22" s="96" t="str">
        <f>IF(Scoring!B23="","",Scoring!B23)</f>
        <v>Energy Transfer LP</v>
      </c>
      <c r="C22" s="97">
        <f>IF(Scoring!C23="","",Scoring!C23)</f>
        <v>46276</v>
      </c>
      <c r="D22" s="98">
        <f>IF(Scoring!N23="","",Scoring!N23)</f>
        <v>3.0714285714285721</v>
      </c>
      <c r="E22" s="99" t="str">
        <f>IF(Scoring!AF23="","",Scoring!AF23)</f>
        <v/>
      </c>
      <c r="F22" s="67" t="str">
        <f>IF(Scoring!AG23&lt;&gt;"",Scoring!AG23,IF(Scoring!AH23="OK","PENDING",""))</f>
        <v>PENDING</v>
      </c>
      <c r="G22" s="67" t="str">
        <f>IF(Scoring!AH23="","",Scoring!AH23)</f>
        <v>OK</v>
      </c>
      <c r="H22" s="67" t="str">
        <f>IF(Scoring!AI23="","",Scoring!AI23)</f>
        <v>REVIEW</v>
      </c>
      <c r="I22" s="67" t="str">
        <f>IF(Scoring!AJ23="","",Scoring!AJ23)</f>
        <v>AVOID</v>
      </c>
      <c r="J22" s="67" t="str">
        <f>IF(Scoring!AK23="","",Scoring!AK23)</f>
        <v>OK</v>
      </c>
    </row>
    <row r="23" spans="1:10" ht="15" customHeight="1" outlineLevel="1" x14ac:dyDescent="0.2">
      <c r="A23" s="95" t="str">
        <f>IF(Scoring!A24="","",Scoring!A24)</f>
        <v>LBRT</v>
      </c>
      <c r="B23" s="96" t="str">
        <f>IF(Scoring!B24="","",Scoring!B24)</f>
        <v>Liberty Energy Inc.</v>
      </c>
      <c r="C23" s="97">
        <f>IF(Scoring!C24="","",Scoring!C24)</f>
        <v>46245</v>
      </c>
      <c r="D23" s="98">
        <f>IF(Scoring!N24="","",Scoring!N24)</f>
        <v>2.0714285714285716</v>
      </c>
      <c r="E23" s="99" t="str">
        <f>IF(Scoring!AF24="","",Scoring!AF24)</f>
        <v/>
      </c>
      <c r="F23" s="67" t="str">
        <f>IF(Scoring!AG24&lt;&gt;"",Scoring!AG24,IF(Scoring!AH24="OK","PENDING",""))</f>
        <v/>
      </c>
      <c r="G23" s="67" t="str">
        <f>IF(Scoring!AH24="","",Scoring!AH24)</f>
        <v>FAIL</v>
      </c>
      <c r="H23" s="67" t="str">
        <f>IF(Scoring!AI24="","",Scoring!AI24)</f>
        <v>REVIEW</v>
      </c>
      <c r="I23" s="67" t="str">
        <f>IF(Scoring!AJ24="","",Scoring!AJ24)</f>
        <v>AVOID</v>
      </c>
      <c r="J23" s="67" t="str">
        <f>IF(Scoring!AK24="","",Scoring!AK24)</f>
        <v>OK</v>
      </c>
    </row>
    <row r="24" spans="1:10" ht="15" customHeight="1" outlineLevel="1" x14ac:dyDescent="0.2">
      <c r="A24" s="95" t="str">
        <f>IF(Scoring!A25="","",Scoring!A25)</f>
        <v>NOV</v>
      </c>
      <c r="B24" s="96" t="str">
        <f>IF(Scoring!B25="","",Scoring!B25)</f>
        <v>NOV Inc.</v>
      </c>
      <c r="C24" s="97">
        <f>IF(Scoring!C25="","",Scoring!C25)</f>
        <v>46245</v>
      </c>
      <c r="D24" s="98">
        <f>IF(Scoring!N25="","",Scoring!N25)</f>
        <v>2.6428571428571432</v>
      </c>
      <c r="E24" s="99" t="str">
        <f>IF(Scoring!AF25="","",Scoring!AF25)</f>
        <v/>
      </c>
      <c r="F24" s="67" t="str">
        <f>IF(Scoring!AG25&lt;&gt;"",Scoring!AG25,IF(Scoring!AH25="OK","PENDING",""))</f>
        <v/>
      </c>
      <c r="G24" s="67" t="str">
        <f>IF(Scoring!AH25="","",Scoring!AH25)</f>
        <v>FAIL</v>
      </c>
      <c r="H24" s="67" t="str">
        <f>IF(Scoring!AI25="","",Scoring!AI25)</f>
        <v>OK</v>
      </c>
      <c r="I24" s="67" t="str">
        <f>IF(Scoring!AJ25="","",Scoring!AJ25)</f>
        <v>AVOID</v>
      </c>
      <c r="J24" s="67" t="str">
        <f>IF(Scoring!AK25="","",Scoring!AK25)</f>
        <v>OK</v>
      </c>
    </row>
    <row r="25" spans="1:10" ht="15" customHeight="1" outlineLevel="1" x14ac:dyDescent="0.2">
      <c r="A25" s="95" t="str">
        <f>IF(Scoring!A26="","",Scoring!A26)</f>
        <v>CE</v>
      </c>
      <c r="B25" s="96" t="str">
        <f>IF(Scoring!B26="","",Scoring!B26)</f>
        <v>Celanese Corp.</v>
      </c>
      <c r="C25" s="97">
        <f>IF(Scoring!C26="","",Scoring!C26)</f>
        <v>46245</v>
      </c>
      <c r="D25" s="98">
        <f>IF(Scoring!N26="","",Scoring!N26)</f>
        <v>1.7857142857142858</v>
      </c>
      <c r="E25" s="99" t="str">
        <f>IF(Scoring!AF26="","",Scoring!AF26)</f>
        <v/>
      </c>
      <c r="F25" s="67" t="str">
        <f>IF(Scoring!AG26&lt;&gt;"",Scoring!AG26,IF(Scoring!AH26="OK","PENDING",""))</f>
        <v/>
      </c>
      <c r="G25" s="67" t="str">
        <f>IF(Scoring!AH26="","",Scoring!AH26)</f>
        <v>FAIL</v>
      </c>
      <c r="H25" s="67" t="str">
        <f>IF(Scoring!AI26="","",Scoring!AI26)</f>
        <v>REVIEW</v>
      </c>
      <c r="I25" s="67" t="str">
        <f>IF(Scoring!AJ26="","",Scoring!AJ26)</f>
        <v>AVOID</v>
      </c>
      <c r="J25" s="67" t="str">
        <f>IF(Scoring!AK26="","",Scoring!AK26)</f>
        <v>OK</v>
      </c>
    </row>
    <row r="26" spans="1:10" ht="15" customHeight="1" outlineLevel="1" x14ac:dyDescent="0.2">
      <c r="A26" s="95" t="str">
        <f>IF(Scoring!A27="","",Scoring!A27)</f>
        <v>CLF</v>
      </c>
      <c r="B26" s="96" t="str">
        <f>IF(Scoring!B27="","",Scoring!B27)</f>
        <v>Cleveland-Cliffs Inc.</v>
      </c>
      <c r="C26" s="97">
        <f>IF(Scoring!C27="","",Scoring!C27)</f>
        <v>46245</v>
      </c>
      <c r="D26" s="98">
        <f>IF(Scoring!N27="","",Scoring!N27)</f>
        <v>1.8571428571428574</v>
      </c>
      <c r="E26" s="99" t="str">
        <f>IF(Scoring!AF27="","",Scoring!AF27)</f>
        <v/>
      </c>
      <c r="F26" s="67" t="str">
        <f>IF(Scoring!AG27&lt;&gt;"",Scoring!AG27,IF(Scoring!AH27="OK","PENDING",""))</f>
        <v/>
      </c>
      <c r="G26" s="67" t="str">
        <f>IF(Scoring!AH27="","",Scoring!AH27)</f>
        <v>FAIL</v>
      </c>
      <c r="H26" s="67" t="str">
        <f>IF(Scoring!AI27="","",Scoring!AI27)</f>
        <v>REVIEW</v>
      </c>
      <c r="I26" s="67" t="str">
        <f>IF(Scoring!AJ27="","",Scoring!AJ27)</f>
        <v>AVOID</v>
      </c>
      <c r="J26" s="67" t="str">
        <f>IF(Scoring!AK27="","",Scoring!AK27)</f>
        <v>OK</v>
      </c>
    </row>
    <row r="27" spans="1:10" ht="15" customHeight="1" x14ac:dyDescent="0.2">
      <c r="A27" s="95" t="str">
        <f>IF(Scoring!A28="","",Scoring!A28)</f>
        <v>LIN</v>
      </c>
      <c r="B27" s="96" t="str">
        <f>IF(Scoring!B28="","",Scoring!B28)</f>
        <v>Linde plc</v>
      </c>
      <c r="C27" s="97">
        <f>IF(Scoring!C28="","",Scoring!C28)</f>
        <v>46276</v>
      </c>
      <c r="D27" s="98">
        <f>IF(Scoring!N28="","",Scoring!N28)</f>
        <v>3.0714285714285716</v>
      </c>
      <c r="E27" s="99" t="str">
        <f>IF(Scoring!AF28="","",Scoring!AF28)</f>
        <v/>
      </c>
      <c r="F27" s="67" t="str">
        <f>IF(Scoring!AG28&lt;&gt;"",Scoring!AG28,IF(Scoring!AH28="OK","PENDING",""))</f>
        <v>PENDING</v>
      </c>
      <c r="G27" s="67" t="str">
        <f>IF(Scoring!AH28="","",Scoring!AH28)</f>
        <v>OK</v>
      </c>
      <c r="H27" s="67" t="str">
        <f>IF(Scoring!AI28="","",Scoring!AI28)</f>
        <v>OK</v>
      </c>
      <c r="I27" s="67" t="str">
        <f>IF(Scoring!AJ28="","",Scoring!AJ28)</f>
        <v>AVOID</v>
      </c>
      <c r="J27" s="67" t="str">
        <f>IF(Scoring!AK28="","",Scoring!AK28)</f>
        <v>OK</v>
      </c>
    </row>
    <row r="28" spans="1:10" ht="15" customHeight="1" outlineLevel="1" x14ac:dyDescent="0.2">
      <c r="A28" s="95" t="str">
        <f>IF(Scoring!A29="","",Scoring!A29)</f>
        <v>DEO</v>
      </c>
      <c r="B28" s="96" t="str">
        <f>IF(Scoring!B29="","",Scoring!B29)</f>
        <v>Diageo plc</v>
      </c>
      <c r="C28" s="97">
        <f>IF(Scoring!C29="","",Scoring!C29)</f>
        <v>46245</v>
      </c>
      <c r="D28" s="98">
        <f>IF(Scoring!N29="","",Scoring!N29)</f>
        <v>2.3571428571428572</v>
      </c>
      <c r="E28" s="99" t="str">
        <f>IF(Scoring!AF29="","",Scoring!AF29)</f>
        <v/>
      </c>
      <c r="F28" s="67" t="str">
        <f>IF(Scoring!AG29&lt;&gt;"",Scoring!AG29,IF(Scoring!AH29="OK","PENDING",""))</f>
        <v/>
      </c>
      <c r="G28" s="67" t="str">
        <f>IF(Scoring!AH29="","",Scoring!AH29)</f>
        <v>FAIL</v>
      </c>
      <c r="H28" s="67" t="str">
        <f>IF(Scoring!AI29="","",Scoring!AI29)</f>
        <v>OK</v>
      </c>
      <c r="I28" s="67" t="str">
        <f>IF(Scoring!AJ29="","",Scoring!AJ29)</f>
        <v>AVOID</v>
      </c>
      <c r="J28" s="67" t="str">
        <f>IF(Scoring!AK29="","",Scoring!AK29)</f>
        <v>OK</v>
      </c>
    </row>
    <row r="29" spans="1:10" ht="15" customHeight="1" outlineLevel="1" x14ac:dyDescent="0.2">
      <c r="A29" s="95" t="str">
        <f>IF(Scoring!A30="","",Scoring!A30)</f>
        <v>EL</v>
      </c>
      <c r="B29" s="96" t="str">
        <f>IF(Scoring!B30="","",Scoring!B30)</f>
        <v>Estee Lauder Companies</v>
      </c>
      <c r="C29" s="97">
        <f>IF(Scoring!C30="","",Scoring!C30)</f>
        <v>46245</v>
      </c>
      <c r="D29" s="98">
        <f>IF(Scoring!N30="","",Scoring!N30)</f>
        <v>2.1428571428571428</v>
      </c>
      <c r="E29" s="99" t="str">
        <f>IF(Scoring!AF30="","",Scoring!AF30)</f>
        <v/>
      </c>
      <c r="F29" s="67" t="str">
        <f>IF(Scoring!AG30&lt;&gt;"",Scoring!AG30,IF(Scoring!AH30="OK","PENDING",""))</f>
        <v/>
      </c>
      <c r="G29" s="67" t="str">
        <f>IF(Scoring!AH30="","",Scoring!AH30)</f>
        <v>FAIL</v>
      </c>
      <c r="H29" s="67" t="str">
        <f>IF(Scoring!AI30="","",Scoring!AI30)</f>
        <v>REVIEW</v>
      </c>
      <c r="I29" s="67" t="str">
        <f>IF(Scoring!AJ30="","",Scoring!AJ30)</f>
        <v>AVOID</v>
      </c>
      <c r="J29" s="67" t="str">
        <f>IF(Scoring!AK30="","",Scoring!AK30)</f>
        <v>OK</v>
      </c>
    </row>
    <row r="30" spans="1:10" ht="15" customHeight="1" outlineLevel="1" x14ac:dyDescent="0.2">
      <c r="A30" s="95" t="str">
        <f>IF(Scoring!A31="","",Scoring!A31)</f>
        <v>HRL</v>
      </c>
      <c r="B30" s="96" t="str">
        <f>IF(Scoring!B31="","",Scoring!B31)</f>
        <v>Hormel Foods Corp.</v>
      </c>
      <c r="C30" s="97">
        <f>IF(Scoring!C31="","",Scoring!C31)</f>
        <v>46245</v>
      </c>
      <c r="D30" s="98">
        <f>IF(Scoring!N31="","",Scoring!N31)</f>
        <v>1.9285714285714288</v>
      </c>
      <c r="E30" s="99" t="str">
        <f>IF(Scoring!AF31="","",Scoring!AF31)</f>
        <v/>
      </c>
      <c r="F30" s="67" t="str">
        <f>IF(Scoring!AG31&lt;&gt;"",Scoring!AG31,IF(Scoring!AH31="OK","PENDING",""))</f>
        <v/>
      </c>
      <c r="G30" s="67" t="str">
        <f>IF(Scoring!AH31="","",Scoring!AH31)</f>
        <v>FAIL</v>
      </c>
      <c r="H30" s="67" t="str">
        <f>IF(Scoring!AI31="","",Scoring!AI31)</f>
        <v>REVIEW</v>
      </c>
      <c r="I30" s="67" t="str">
        <f>IF(Scoring!AJ31="","",Scoring!AJ31)</f>
        <v>AVOID</v>
      </c>
      <c r="J30" s="67" t="str">
        <f>IF(Scoring!AK31="","",Scoring!AK31)</f>
        <v>OK</v>
      </c>
    </row>
    <row r="31" spans="1:10" ht="15" customHeight="1" x14ac:dyDescent="0.2">
      <c r="A31" s="95" t="str">
        <f>IF(Scoring!A32="","",Scoring!A32)</f>
        <v>PG</v>
      </c>
      <c r="B31" s="96" t="str">
        <f>IF(Scoring!B32="","",Scoring!B32)</f>
        <v>Procter &amp; Gamble Co.</v>
      </c>
      <c r="C31" s="97">
        <f>IF(Scoring!C32="","",Scoring!C32)</f>
        <v>46278</v>
      </c>
      <c r="D31" s="98">
        <f>IF(Scoring!N32="","",Scoring!N32)</f>
        <v>4</v>
      </c>
      <c r="E31" s="99" t="str">
        <f>IF(Scoring!AF32="","",Scoring!AF32)</f>
        <v/>
      </c>
      <c r="F31" s="67" t="str">
        <f>IF(Scoring!AG32&lt;&gt;"",Scoring!AG32,IF(Scoring!AH32="OK","PENDING",""))</f>
        <v>PENDING</v>
      </c>
      <c r="G31" s="67" t="str">
        <f>IF(Scoring!AH32="","",Scoring!AH32)</f>
        <v>OK</v>
      </c>
      <c r="H31" s="67" t="str">
        <f>IF(Scoring!AI32="","",Scoring!AI32)</f>
        <v>OK</v>
      </c>
      <c r="I31" s="67" t="str">
        <f>IF(Scoring!AJ32="","",Scoring!AJ32)</f>
        <v>OK</v>
      </c>
      <c r="J31" s="67" t="str">
        <f>IF(Scoring!AK32="","",Scoring!AK32)</f>
        <v>OK</v>
      </c>
    </row>
    <row r="32" spans="1:10" ht="15" customHeight="1" x14ac:dyDescent="0.2">
      <c r="A32" s="95" t="str">
        <f>IF(Scoring!A33="","",Scoring!A33)</f>
        <v>CMG</v>
      </c>
      <c r="B32" s="96" t="str">
        <f>IF(Scoring!B33="","",Scoring!B33)</f>
        <v>Chipotle Mexican Grill</v>
      </c>
      <c r="C32" s="97">
        <f>IF(Scoring!C33="","",Scoring!C33)</f>
        <v>46245</v>
      </c>
      <c r="D32" s="98">
        <f>IF(Scoring!N33="","",Scoring!N33)</f>
        <v>3.714285714285714</v>
      </c>
      <c r="E32" s="99" t="str">
        <f>IF(Scoring!AF33="","",Scoring!AF33)</f>
        <v/>
      </c>
      <c r="F32" s="67" t="str">
        <f>IF(Scoring!AG33&lt;&gt;"",Scoring!AG33,IF(Scoring!AH33="OK","PENDING",""))</f>
        <v>PENDING</v>
      </c>
      <c r="G32" s="67" t="str">
        <f>IF(Scoring!AH33="","",Scoring!AH33)</f>
        <v>OK</v>
      </c>
      <c r="H32" s="67" t="str">
        <f>IF(Scoring!AI33="","",Scoring!AI33)</f>
        <v>OK</v>
      </c>
      <c r="I32" s="67" t="str">
        <f>IF(Scoring!AJ33="","",Scoring!AJ33)</f>
        <v>OK</v>
      </c>
      <c r="J32" s="67" t="str">
        <f>IF(Scoring!AK33="","",Scoring!AK33)</f>
        <v>OK</v>
      </c>
    </row>
    <row r="33" spans="1:10" ht="15" customHeight="1" x14ac:dyDescent="0.2">
      <c r="A33" s="95" t="str">
        <f>IF(Scoring!A34="","",Scoring!A34)</f>
        <v>DPZ</v>
      </c>
      <c r="B33" s="96" t="str">
        <f>IF(Scoring!B34="","",Scoring!B34)</f>
        <v>Domino's Pizza Inc.</v>
      </c>
      <c r="C33" s="97">
        <f>IF(Scoring!C34="","",Scoring!C34)</f>
        <v>46278</v>
      </c>
      <c r="D33" s="98">
        <f>IF(Scoring!N34="","",Scoring!N34)</f>
        <v>3.9285714285714288</v>
      </c>
      <c r="E33" s="99" t="str">
        <f>IF(Scoring!AF34="","",Scoring!AF34)</f>
        <v/>
      </c>
      <c r="F33" s="67" t="str">
        <f>IF(Scoring!AG34&lt;&gt;"",Scoring!AG34,IF(Scoring!AH34="OK","PENDING",""))</f>
        <v>PENDING</v>
      </c>
      <c r="G33" s="67" t="str">
        <f>IF(Scoring!AH34="","",Scoring!AH34)</f>
        <v>OK</v>
      </c>
      <c r="H33" s="67" t="str">
        <f>IF(Scoring!AI34="","",Scoring!AI34)</f>
        <v>OK</v>
      </c>
      <c r="I33" s="67" t="str">
        <f>IF(Scoring!AJ34="","",Scoring!AJ34)</f>
        <v>OK</v>
      </c>
      <c r="J33" s="67" t="str">
        <f>IF(Scoring!AK34="","",Scoring!AK34)</f>
        <v>OK</v>
      </c>
    </row>
    <row r="34" spans="1:10" ht="15" customHeight="1" outlineLevel="1" x14ac:dyDescent="0.2">
      <c r="A34" s="95" t="str">
        <f>IF(Scoring!A35="","",Scoring!A35)</f>
        <v>PZZA</v>
      </c>
      <c r="B34" s="96" t="str">
        <f>IF(Scoring!B35="","",Scoring!B35)</f>
        <v>Papa John's Intl.</v>
      </c>
      <c r="C34" s="97">
        <f>IF(Scoring!C35="","",Scoring!C35)</f>
        <v>46245</v>
      </c>
      <c r="D34" s="98">
        <f>IF(Scoring!N35="","",Scoring!N35)</f>
        <v>1.357142857142857</v>
      </c>
      <c r="E34" s="99" t="str">
        <f>IF(Scoring!AF35="","",Scoring!AF35)</f>
        <v/>
      </c>
      <c r="F34" s="67" t="str">
        <f>IF(Scoring!AG35&lt;&gt;"",Scoring!AG35,IF(Scoring!AH35="OK","PENDING",""))</f>
        <v/>
      </c>
      <c r="G34" s="67" t="str">
        <f>IF(Scoring!AH35="","",Scoring!AH35)</f>
        <v>FAIL</v>
      </c>
      <c r="H34" s="67" t="str">
        <f>IF(Scoring!AI35="","",Scoring!AI35)</f>
        <v>REVIEW</v>
      </c>
      <c r="I34" s="67" t="str">
        <f>IF(Scoring!AJ35="","",Scoring!AJ35)</f>
        <v>AVOID</v>
      </c>
      <c r="J34" s="67" t="str">
        <f>IF(Scoring!AK35="","",Scoring!AK35)</f>
        <v>OK</v>
      </c>
    </row>
    <row r="35" spans="1:10" ht="15" customHeight="1" x14ac:dyDescent="0.2">
      <c r="A35" s="95" t="str">
        <f>IF(Scoring!A36="","",Scoring!A36)</f>
        <v>YUM</v>
      </c>
      <c r="B35" s="96" t="str">
        <f>IF(Scoring!B36="","",Scoring!B36)</f>
        <v>Yum! Brands Inc.</v>
      </c>
      <c r="C35" s="97">
        <f>IF(Scoring!C36="","",Scoring!C36)</f>
        <v>46278</v>
      </c>
      <c r="D35" s="98">
        <f>IF(Scoring!N36="","",Scoring!N36)</f>
        <v>3.785714285714286</v>
      </c>
      <c r="E35" s="99" t="str">
        <f>IF(Scoring!AF36="","",Scoring!AF36)</f>
        <v/>
      </c>
      <c r="F35" s="67" t="str">
        <f>IF(Scoring!AG36&lt;&gt;"",Scoring!AG36,IF(Scoring!AH36="OK","PENDING",""))</f>
        <v>PENDING</v>
      </c>
      <c r="G35" s="67" t="str">
        <f>IF(Scoring!AH36="","",Scoring!AH36)</f>
        <v>OK</v>
      </c>
      <c r="H35" s="67" t="str">
        <f>IF(Scoring!AI36="","",Scoring!AI36)</f>
        <v>OK</v>
      </c>
      <c r="I35" s="67" t="str">
        <f>IF(Scoring!AJ36="","",Scoring!AJ36)</f>
        <v>OK</v>
      </c>
      <c r="J35" s="67" t="str">
        <f>IF(Scoring!AK36="","",Scoring!AK36)</f>
        <v>OK</v>
      </c>
    </row>
    <row r="36" spans="1:10" ht="15" customHeight="1" outlineLevel="1" x14ac:dyDescent="0.2">
      <c r="A36" s="95" t="str">
        <f>IF(Scoring!A37="","",Scoring!A37)</f>
        <v>NKE</v>
      </c>
      <c r="B36" s="96" t="str">
        <f>IF(Scoring!B37="","",Scoring!B37)</f>
        <v>Nike Inc.</v>
      </c>
      <c r="C36" s="97">
        <f>IF(Scoring!C37="","",Scoring!C37)</f>
        <v>46246</v>
      </c>
      <c r="D36" s="98">
        <f>IF(Scoring!N37="","",Scoring!N37)</f>
        <v>1.5714285714285716</v>
      </c>
      <c r="E36" s="99" t="str">
        <f>IF(Scoring!AF37="","",Scoring!AF37)</f>
        <v/>
      </c>
      <c r="F36" s="67" t="str">
        <f>IF(Scoring!AG37&lt;&gt;"",Scoring!AG37,IF(Scoring!AH37="OK","PENDING",""))</f>
        <v/>
      </c>
      <c r="G36" s="67" t="str">
        <f>IF(Scoring!AH37="","",Scoring!AH37)</f>
        <v>FAIL</v>
      </c>
      <c r="H36" s="67" t="str">
        <f>IF(Scoring!AI37="","",Scoring!AI37)</f>
        <v>REVIEW</v>
      </c>
      <c r="I36" s="67" t="str">
        <f>IF(Scoring!AJ37="","",Scoring!AJ37)</f>
        <v>AVOID</v>
      </c>
      <c r="J36" s="67" t="str">
        <f>IF(Scoring!AK37="","",Scoring!AK37)</f>
        <v>OK</v>
      </c>
    </row>
    <row r="37" spans="1:10" ht="15" customHeight="1" outlineLevel="1" x14ac:dyDescent="0.2">
      <c r="A37" s="95" t="str">
        <f>IF(Scoring!A38="","",Scoring!A38)</f>
        <v>VFC</v>
      </c>
      <c r="B37" s="96" t="str">
        <f>IF(Scoring!B38="","",Scoring!B38)</f>
        <v>V.F. Corporation</v>
      </c>
      <c r="C37" s="97">
        <f>IF(Scoring!C38="","",Scoring!C38)</f>
        <v>46246</v>
      </c>
      <c r="D37" s="98">
        <f>IF(Scoring!N38="","",Scoring!N38)</f>
        <v>2.8571428571428572</v>
      </c>
      <c r="E37" s="99" t="str">
        <f>IF(Scoring!AF38="","",Scoring!AF38)</f>
        <v/>
      </c>
      <c r="F37" s="67" t="str">
        <f>IF(Scoring!AG38&lt;&gt;"",Scoring!AG38,IF(Scoring!AH38="OK","PENDING",""))</f>
        <v/>
      </c>
      <c r="G37" s="67" t="str">
        <f>IF(Scoring!AH38="","",Scoring!AH38)</f>
        <v>FAIL</v>
      </c>
      <c r="H37" s="67" t="str">
        <f>IF(Scoring!AI38="","",Scoring!AI38)</f>
        <v>OK</v>
      </c>
      <c r="I37" s="67" t="str">
        <f>IF(Scoring!AJ38="","",Scoring!AJ38)</f>
        <v>OK</v>
      </c>
      <c r="J37" s="67" t="str">
        <f>IF(Scoring!AK38="","",Scoring!AK38)</f>
        <v>OK</v>
      </c>
    </row>
    <row r="38" spans="1:10" ht="15" customHeight="1" outlineLevel="1" x14ac:dyDescent="0.2">
      <c r="A38" s="95" t="str">
        <f>IF(Scoring!A39="","",Scoring!A39)</f>
        <v>GOOS</v>
      </c>
      <c r="B38" s="96" t="str">
        <f>IF(Scoring!B39="","",Scoring!B39)</f>
        <v>Canada Goose Holdings</v>
      </c>
      <c r="C38" s="97">
        <f>IF(Scoring!C39="","",Scoring!C39)</f>
        <v>46246</v>
      </c>
      <c r="D38" s="98">
        <f>IF(Scoring!N39="","",Scoring!N39)</f>
        <v>2.5</v>
      </c>
      <c r="E38" s="99" t="str">
        <f>IF(Scoring!AF39="","",Scoring!AF39)</f>
        <v/>
      </c>
      <c r="F38" s="67" t="str">
        <f>IF(Scoring!AG39&lt;&gt;"",Scoring!AG39,IF(Scoring!AH39="OK","PENDING",""))</f>
        <v/>
      </c>
      <c r="G38" s="67" t="str">
        <f>IF(Scoring!AH39="","",Scoring!AH39)</f>
        <v>FAIL</v>
      </c>
      <c r="H38" s="67" t="str">
        <f>IF(Scoring!AI39="","",Scoring!AI39)</f>
        <v>REVIEW</v>
      </c>
      <c r="I38" s="67" t="str">
        <f>IF(Scoring!AJ39="","",Scoring!AJ39)</f>
        <v>AVOID</v>
      </c>
      <c r="J38" s="67" t="str">
        <f>IF(Scoring!AK39="","",Scoring!AK39)</f>
        <v>OK</v>
      </c>
    </row>
    <row r="39" spans="1:10" ht="15" customHeight="1" outlineLevel="1" x14ac:dyDescent="0.2">
      <c r="A39" s="95" t="str">
        <f>IF(Scoring!A40="","",Scoring!A40)</f>
        <v>AAP</v>
      </c>
      <c r="B39" s="96" t="str">
        <f>IF(Scoring!B40="","",Scoring!B40)</f>
        <v>Advance Auto Parts Inc.</v>
      </c>
      <c r="C39" s="97">
        <f>IF(Scoring!C40="","",Scoring!C40)</f>
        <v>46246</v>
      </c>
      <c r="D39" s="98">
        <f>IF(Scoring!N40="","",Scoring!N40)</f>
        <v>1.357142857142857</v>
      </c>
      <c r="E39" s="99" t="str">
        <f>IF(Scoring!AF40="","",Scoring!AF40)</f>
        <v/>
      </c>
      <c r="F39" s="67" t="str">
        <f>IF(Scoring!AG40&lt;&gt;"",Scoring!AG40,IF(Scoring!AH40="OK","PENDING",""))</f>
        <v/>
      </c>
      <c r="G39" s="67" t="str">
        <f>IF(Scoring!AH40="","",Scoring!AH40)</f>
        <v>FAIL</v>
      </c>
      <c r="H39" s="67" t="str">
        <f>IF(Scoring!AI40="","",Scoring!AI40)</f>
        <v>REVIEW</v>
      </c>
      <c r="I39" s="67" t="str">
        <f>IF(Scoring!AJ40="","",Scoring!AJ40)</f>
        <v>AVOID</v>
      </c>
      <c r="J39" s="67" t="str">
        <f>IF(Scoring!AK40="","",Scoring!AK40)</f>
        <v>OK</v>
      </c>
    </row>
    <row r="40" spans="1:10" ht="15" customHeight="1" outlineLevel="1" x14ac:dyDescent="0.2">
      <c r="A40" s="95" t="str">
        <f>IF(Scoring!A41="","",Scoring!A41)</f>
        <v>BABA</v>
      </c>
      <c r="B40" s="96" t="str">
        <f>IF(Scoring!B41="","",Scoring!B41)</f>
        <v>Alibaba Group Holding Ltd.</v>
      </c>
      <c r="C40" s="97">
        <f>IF(Scoring!C41="","",Scoring!C41)</f>
        <v>46246</v>
      </c>
      <c r="D40" s="98">
        <f>IF(Scoring!N41="","",Scoring!N41)</f>
        <v>2.785714285714286</v>
      </c>
      <c r="E40" s="99" t="str">
        <f>IF(Scoring!AF41="","",Scoring!AF41)</f>
        <v/>
      </c>
      <c r="F40" s="67" t="str">
        <f>IF(Scoring!AG41&lt;&gt;"",Scoring!AG41,IF(Scoring!AH41="OK","PENDING",""))</f>
        <v/>
      </c>
      <c r="G40" s="67" t="str">
        <f>IF(Scoring!AH41="","",Scoring!AH41)</f>
        <v>FAIL</v>
      </c>
      <c r="H40" s="67" t="str">
        <f>IF(Scoring!AI41="","",Scoring!AI41)</f>
        <v>OK</v>
      </c>
      <c r="I40" s="67" t="str">
        <f>IF(Scoring!AJ41="","",Scoring!AJ41)</f>
        <v>AVOID</v>
      </c>
      <c r="J40" s="67" t="str">
        <f>IF(Scoring!AK41="","",Scoring!AK41)</f>
        <v>OK</v>
      </c>
    </row>
    <row r="41" spans="1:10" ht="15" customHeight="1" x14ac:dyDescent="0.2">
      <c r="A41" s="95" t="str">
        <f>IF(Scoring!A42="","",Scoring!A42)</f>
        <v>ETSY</v>
      </c>
      <c r="B41" s="96" t="str">
        <f>IF(Scoring!B42="","",Scoring!B42)</f>
        <v>Etsy Inc.</v>
      </c>
      <c r="C41" s="97">
        <f>IF(Scoring!C42="","",Scoring!C42)</f>
        <v>46246</v>
      </c>
      <c r="D41" s="98">
        <f>IF(Scoring!N42="","",Scoring!N42)</f>
        <v>3.4285714285714288</v>
      </c>
      <c r="E41" s="99" t="str">
        <f>IF(Scoring!AF42="","",Scoring!AF42)</f>
        <v/>
      </c>
      <c r="F41" s="67" t="str">
        <f>IF(Scoring!AG42&lt;&gt;"",Scoring!AG42,IF(Scoring!AH42="OK","PENDING",""))</f>
        <v>PENDING</v>
      </c>
      <c r="G41" s="67" t="str">
        <f>IF(Scoring!AH42="","",Scoring!AH42)</f>
        <v>OK</v>
      </c>
      <c r="H41" s="67" t="str">
        <f>IF(Scoring!AI42="","",Scoring!AI42)</f>
        <v>OK</v>
      </c>
      <c r="I41" s="67" t="str">
        <f>IF(Scoring!AJ42="","",Scoring!AJ42)</f>
        <v>OK</v>
      </c>
      <c r="J41" s="67" t="str">
        <f>IF(Scoring!AK42="","",Scoring!AK42)</f>
        <v>OK</v>
      </c>
    </row>
    <row r="42" spans="1:10" ht="15" customHeight="1" x14ac:dyDescent="0.2">
      <c r="A42" s="95" t="str">
        <f>IF(Scoring!A43="","",Scoring!A43)</f>
        <v>GE</v>
      </c>
      <c r="B42" s="96" t="str">
        <f>IF(Scoring!B43="","",Scoring!B43)</f>
        <v>GE Aerospace</v>
      </c>
      <c r="C42" s="97">
        <f>IF(Scoring!C43="","",Scoring!C43)</f>
        <v>46278</v>
      </c>
      <c r="D42" s="98">
        <f>IF(Scoring!N43="","",Scoring!N43)</f>
        <v>4.1428571428571432</v>
      </c>
      <c r="E42" s="99">
        <f>IF(Scoring!AF43="","",Scoring!AF43)</f>
        <v>84.2</v>
      </c>
      <c r="F42" s="67" t="str">
        <f>IF(Scoring!AG43&lt;&gt;"",Scoring!AG43,IF(Scoring!AH43="OK","PENDING",""))</f>
        <v>STRONG BUY</v>
      </c>
      <c r="G42" s="67" t="str">
        <f>IF(Scoring!AH43="","",Scoring!AH43)</f>
        <v>OK</v>
      </c>
      <c r="H42" s="67" t="str">
        <f>IF(Scoring!AI43="","",Scoring!AI43)</f>
        <v>OK</v>
      </c>
      <c r="I42" s="67" t="str">
        <f>IF(Scoring!AJ43="","",Scoring!AJ43)</f>
        <v>OK</v>
      </c>
      <c r="J42" s="67" t="str">
        <f>IF(Scoring!AK43="","",Scoring!AK43)</f>
        <v>OK</v>
      </c>
    </row>
    <row r="43" spans="1:10" ht="15" customHeight="1" x14ac:dyDescent="0.2">
      <c r="A43" s="95" t="str">
        <f>IF(Scoring!A44="","",Scoring!A44)</f>
        <v>PH</v>
      </c>
      <c r="B43" s="96" t="str">
        <f>IF(Scoring!B44="","",Scoring!B44)</f>
        <v>Parker-Hannifin Corporation</v>
      </c>
      <c r="C43" s="97">
        <f>IF(Scoring!C44="","",Scoring!C44)</f>
        <v>46247</v>
      </c>
      <c r="D43" s="98">
        <f>IF(Scoring!N44="","",Scoring!N44)</f>
        <v>3.2857142857142856</v>
      </c>
      <c r="E43" s="99" t="str">
        <f>IF(Scoring!AF44="","",Scoring!AF44)</f>
        <v/>
      </c>
      <c r="F43" s="67" t="str">
        <f>IF(Scoring!AG44&lt;&gt;"",Scoring!AG44,IF(Scoring!AH44="OK","PENDING",""))</f>
        <v>PENDING</v>
      </c>
      <c r="G43" s="67" t="str">
        <f>IF(Scoring!AH44="","",Scoring!AH44)</f>
        <v>OK</v>
      </c>
      <c r="H43" s="67" t="str">
        <f>IF(Scoring!AI44="","",Scoring!AI44)</f>
        <v>OK</v>
      </c>
      <c r="I43" s="67" t="str">
        <f>IF(Scoring!AJ44="","",Scoring!AJ44)</f>
        <v>OK</v>
      </c>
      <c r="J43" s="67" t="str">
        <f>IF(Scoring!AK44="","",Scoring!AK44)</f>
        <v>OK</v>
      </c>
    </row>
    <row r="44" spans="1:10" ht="15" customHeight="1" x14ac:dyDescent="0.2">
      <c r="A44" s="95" t="str">
        <f>IF(Scoring!A45="","",Scoring!A45)</f>
        <v>ETN</v>
      </c>
      <c r="B44" s="96" t="str">
        <f>IF(Scoring!B45="","",Scoring!B45)</f>
        <v>Eaton Corporation plc</v>
      </c>
      <c r="C44" s="97">
        <f>IF(Scoring!C45="","",Scoring!C45)</f>
        <v>46247</v>
      </c>
      <c r="D44" s="98">
        <f>IF(Scoring!N45="","",Scoring!N45)</f>
        <v>3.5000000000000004</v>
      </c>
      <c r="E44" s="99" t="str">
        <f>IF(Scoring!AF45="","",Scoring!AF45)</f>
        <v/>
      </c>
      <c r="F44" s="67" t="str">
        <f>IF(Scoring!AG45&lt;&gt;"",Scoring!AG45,IF(Scoring!AH45="OK","PENDING",""))</f>
        <v>PENDING</v>
      </c>
      <c r="G44" s="67" t="str">
        <f>IF(Scoring!AH45="","",Scoring!AH45)</f>
        <v>OK</v>
      </c>
      <c r="H44" s="67" t="str">
        <f>IF(Scoring!AI45="","",Scoring!AI45)</f>
        <v>OK</v>
      </c>
      <c r="I44" s="67" t="str">
        <f>IF(Scoring!AJ45="","",Scoring!AJ45)</f>
        <v>OK</v>
      </c>
      <c r="J44" s="67" t="str">
        <f>IF(Scoring!AK45="","",Scoring!AK45)</f>
        <v>OK</v>
      </c>
    </row>
    <row r="45" spans="1:10" ht="15" customHeight="1" outlineLevel="1" x14ac:dyDescent="0.2">
      <c r="A45" s="95" t="str">
        <f>IF(Scoring!A46="","",Scoring!A46)</f>
        <v>DIS</v>
      </c>
      <c r="B45" s="96" t="str">
        <f>IF(Scoring!B46="","",Scoring!B46)</f>
        <v>The Walt Disney Company</v>
      </c>
      <c r="C45" s="97">
        <f>IF(Scoring!C46="","",Scoring!C46)</f>
        <v>46258</v>
      </c>
      <c r="D45" s="98">
        <f>IF(Scoring!N46="","",Scoring!N46)</f>
        <v>2.9285714285714284</v>
      </c>
      <c r="E45" s="99" t="str">
        <f>IF(Scoring!AF46="","",Scoring!AF46)</f>
        <v/>
      </c>
      <c r="F45" s="67" t="str">
        <f>IF(Scoring!AG46&lt;&gt;"",Scoring!AG46,IF(Scoring!AH46="OK","PENDING",""))</f>
        <v/>
      </c>
      <c r="G45" s="67" t="str">
        <f>IF(Scoring!AH46="","",Scoring!AH46)</f>
        <v>FAIL</v>
      </c>
      <c r="H45" s="67" t="str">
        <f>IF(Scoring!AI46="","",Scoring!AI46)</f>
        <v>OK</v>
      </c>
      <c r="I45" s="67" t="str">
        <f>IF(Scoring!AJ46="","",Scoring!AJ46)</f>
        <v>AVOID</v>
      </c>
      <c r="J45" s="67" t="str">
        <f>IF(Scoring!AK46="","",Scoring!AK46)</f>
        <v>OK</v>
      </c>
    </row>
    <row r="46" spans="1:10" ht="15" customHeight="1" x14ac:dyDescent="0.2">
      <c r="A46" s="100" t="str">
        <f>IF(Scoring!A47="","",Scoring!A47)</f>
        <v>NFLX</v>
      </c>
      <c r="B46" s="101" t="str">
        <f>IF(Scoring!B47="","",Scoring!B47)</f>
        <v>Netflix, Inc.</v>
      </c>
      <c r="C46" s="102">
        <f>IF(Scoring!C47="","",Scoring!C47)</f>
        <v>46278</v>
      </c>
      <c r="D46" s="103">
        <f>IF(Scoring!N47="","",Scoring!N47)</f>
        <v>4.2142857142857144</v>
      </c>
      <c r="E46" s="104">
        <f>IF(Scoring!AF47="","",Scoring!AF47)</f>
        <v>83.800000000000011</v>
      </c>
      <c r="F46" s="105" t="str">
        <f>IF(Scoring!AG47&lt;&gt;"",Scoring!AG47,IF(Scoring!AH47="OK","PENDING",""))</f>
        <v>STRONG BUY</v>
      </c>
      <c r="G46" s="105" t="str">
        <f>IF(Scoring!AH47="","",Scoring!AH47)</f>
        <v>OK</v>
      </c>
      <c r="H46" s="105" t="str">
        <f>IF(Scoring!AI47="","",Scoring!AI47)</f>
        <v>OK</v>
      </c>
      <c r="I46" s="105" t="str">
        <f>IF(Scoring!AJ47="","",Scoring!AJ47)</f>
        <v>OK</v>
      </c>
      <c r="J46" s="105" t="str">
        <f>IF(Scoring!AK47="","",Scoring!AK47)</f>
        <v>OK</v>
      </c>
    </row>
    <row r="47" spans="1:10" ht="14.25" customHeight="1" x14ac:dyDescent="0.2">
      <c r="A47" s="106" t="str">
        <f>IF(Scoring!A48="","",Scoring!A48)</f>
        <v>KGS</v>
      </c>
      <c r="B47" s="107" t="str">
        <f>IF(Scoring!B48="","",Scoring!B48)</f>
        <v>Kodiak Gas Services, Inc.</v>
      </c>
      <c r="C47" s="102">
        <f>IF(Scoring!C48="","",Scoring!C48)</f>
        <v>46276</v>
      </c>
      <c r="D47" s="103">
        <f>IF(Scoring!N48="","",Scoring!N48)</f>
        <v>4</v>
      </c>
      <c r="E47" s="104" t="str">
        <f>IF(Scoring!AF48="","",Scoring!AF48)</f>
        <v/>
      </c>
      <c r="F47" s="105" t="str">
        <f>IF(Scoring!AG48&lt;&gt;"",Scoring!AG48,IF(Scoring!AH48="OK","PENDING",""))</f>
        <v>PENDING</v>
      </c>
      <c r="G47" s="105" t="str">
        <f>IF(Scoring!AH48="","",Scoring!AH48)</f>
        <v>OK</v>
      </c>
      <c r="H47" s="105" t="str">
        <f>IF(Scoring!AI48="","",Scoring!AI48)</f>
        <v>OK</v>
      </c>
      <c r="I47" s="105" t="str">
        <f>IF(Scoring!AJ48="","",Scoring!AJ48)</f>
        <v>OK</v>
      </c>
      <c r="J47" s="105" t="str">
        <f>IF(Scoring!AK48="","",Scoring!AK48)</f>
        <v>OK</v>
      </c>
    </row>
    <row r="48" spans="1:10" ht="15" customHeight="1" x14ac:dyDescent="0.2">
      <c r="A48" s="106" t="str">
        <f>IF(Scoring!A49="","",Scoring!A49)</f>
        <v>ABT</v>
      </c>
      <c r="B48" s="107" t="str">
        <f>IF(Scoring!B49="","",Scoring!B49)</f>
        <v>Abbott Laboratories</v>
      </c>
      <c r="C48" s="102">
        <f>IF(Scoring!C49="","",Scoring!C49)</f>
        <v>46278</v>
      </c>
      <c r="D48" s="103">
        <f>IF(Scoring!N49="","",Scoring!N49)</f>
        <v>3.5000000000000004</v>
      </c>
      <c r="E48" s="104">
        <f>IF(Scoring!AF49="","",Scoring!AF49)</f>
        <v>70.800000000000011</v>
      </c>
      <c r="F48" s="105" t="str">
        <f>IF(Scoring!AG49&lt;&gt;"",Scoring!AG49,IF(Scoring!AH49="OK","PENDING",""))</f>
        <v>BUY</v>
      </c>
      <c r="G48" s="105" t="str">
        <f>IF(Scoring!AH49="","",Scoring!AH49)</f>
        <v>OK</v>
      </c>
      <c r="H48" s="105" t="str">
        <f>IF(Scoring!AI49="","",Scoring!AI49)</f>
        <v>OK</v>
      </c>
      <c r="I48" s="105" t="str">
        <f>IF(Scoring!AJ49="","",Scoring!AJ49)</f>
        <v>OK</v>
      </c>
      <c r="J48" s="105" t="str">
        <f>IF(Scoring!AK49="","",Scoring!AK49)</f>
        <v>OK</v>
      </c>
    </row>
    <row r="49" spans="1:10" ht="15.75" customHeight="1" x14ac:dyDescent="0.2">
      <c r="A49" s="106" t="str">
        <f>IF(Scoring!A50="","",Scoring!A50)</f>
        <v>SLB</v>
      </c>
      <c r="B49" s="108" t="str">
        <f>IF(Scoring!B50="","",Scoring!B50)</f>
        <v>SLB N.V.</v>
      </c>
      <c r="C49" s="102">
        <f>IF(Scoring!C50="","",Scoring!C50)</f>
        <v>46278</v>
      </c>
      <c r="D49" s="103">
        <f>IF(Scoring!N50="","",Scoring!N50)</f>
        <v>3.5000000000000004</v>
      </c>
      <c r="E49" s="104">
        <f>IF(Scoring!AF50="","",Scoring!AF50)</f>
        <v>72.400000000000006</v>
      </c>
      <c r="F49" s="105" t="str">
        <f>IF(Scoring!AG50&lt;&gt;"",Scoring!AG50,IF(Scoring!AH50="OK","PENDING",""))</f>
        <v>BUY</v>
      </c>
      <c r="G49" s="105" t="str">
        <f>IF(Scoring!AH50="","",Scoring!AH50)</f>
        <v>OK</v>
      </c>
      <c r="H49" s="105" t="str">
        <f>IF(Scoring!AI50="","",Scoring!AI50)</f>
        <v>OK</v>
      </c>
      <c r="I49" s="105" t="str">
        <f>IF(Scoring!AJ50="","",Scoring!AJ50)</f>
        <v>OK</v>
      </c>
      <c r="J49" s="105" t="str">
        <f>IF(Scoring!AK50="","",Scoring!AK50)</f>
        <v>OK</v>
      </c>
    </row>
    <row r="50" spans="1:10" ht="15.75" customHeight="1" x14ac:dyDescent="0.2">
      <c r="A50" s="106" t="str">
        <f>IF(Scoring!A51="","",Scoring!A51)</f>
        <v>VEEV</v>
      </c>
      <c r="B50" s="108" t="str">
        <f>IF(Scoring!B51="","",Scoring!B51)</f>
        <v>Veeva Systems Inc.</v>
      </c>
      <c r="C50" s="109">
        <f>IF(Scoring!C51="","",Scoring!C51)</f>
        <v>46297</v>
      </c>
      <c r="D50" s="110">
        <f>IF(Scoring!N51="","",Scoring!N51)</f>
        <v>4.2857142857142856</v>
      </c>
      <c r="E50" s="111">
        <f>IF(Scoring!AF51="","",Scoring!AF51)</f>
        <v>81.599999999999994</v>
      </c>
      <c r="F50" s="112" t="str">
        <f>IF(Scoring!AG51&lt;&gt;"",Scoring!AG51,IF(Scoring!AH51="OK","PENDING",""))</f>
        <v>STRONG BUY</v>
      </c>
      <c r="G50" s="112" t="str">
        <f>IF(Scoring!AH51="","",Scoring!AH51)</f>
        <v>OK</v>
      </c>
      <c r="H50" s="112" t="str">
        <f>IF(Scoring!AI51="","",Scoring!AI51)</f>
        <v>OK</v>
      </c>
      <c r="I50" s="112" t="str">
        <f>IF(Scoring!AJ51="","",Scoring!AJ51)</f>
        <v>OK</v>
      </c>
      <c r="J50" s="112" t="str">
        <f>IF(Scoring!AK51="","",Scoring!AK51)</f>
        <v>OK</v>
      </c>
    </row>
    <row r="51" spans="1:10" ht="14.25" customHeight="1" x14ac:dyDescent="0.2">
      <c r="A51" t="s">
        <v>305</v>
      </c>
    </row>
    <row r="52" spans="1:10" ht="15" customHeight="1" x14ac:dyDescent="0.2">
      <c r="A52" s="113">
        <f>SUBTOTAL(103,A2:A50)</f>
        <v>49</v>
      </c>
      <c r="B52" s="113" t="s">
        <v>306</v>
      </c>
    </row>
  </sheetData>
  <conditionalFormatting sqref="F2:F50">
    <cfRule type="cellIs" dxfId="93" priority="2" operator="equal">
      <formula>"STRONG BUY"</formula>
    </cfRule>
    <cfRule type="cellIs" dxfId="92" priority="3" operator="equal">
      <formula>"BUY"</formula>
    </cfRule>
    <cfRule type="cellIs" dxfId="91" priority="4" operator="equal">
      <formula>"WATCH LIST"</formula>
    </cfRule>
    <cfRule type="cellIs" dxfId="90" priority="5" operator="equal">
      <formula>"AVOID"</formula>
    </cfRule>
    <cfRule type="cellIs" dxfId="89" priority="6" operator="equal">
      <formula>"PASS"</formula>
    </cfRule>
  </conditionalFormatting>
  <conditionalFormatting sqref="G2:G50">
    <cfRule type="cellIs" dxfId="88" priority="7" operator="equal">
      <formula>"FAIL"</formula>
    </cfRule>
  </conditionalFormatting>
  <conditionalFormatting sqref="H2:H50">
    <cfRule type="cellIs" dxfId="87" priority="9" operator="equal">
      <formula>"REVIEW"</formula>
    </cfRule>
  </conditionalFormatting>
  <conditionalFormatting sqref="I2:I50">
    <cfRule type="cellIs" dxfId="86" priority="8" operator="equal">
      <formula>"AVOID"</formula>
    </cfRule>
  </conditionalFormatting>
  <conditionalFormatting sqref="J2:J50">
    <cfRule type="cellIs" dxfId="85" priority="10" operator="equal">
      <formula>"CAP AT BUY"</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64"/>
  <sheetViews>
    <sheetView showGridLines="0" zoomScaleNormal="100" workbookViewId="0">
      <pane xSplit="3" ySplit="2" topLeftCell="X34" activePane="bottomRight" state="frozen"/>
      <selection pane="topRight" activeCell="R1" sqref="R1"/>
      <selection pane="bottomLeft" activeCell="A3" sqref="A3"/>
      <selection pane="bottomRight" activeCell="C28" sqref="C28:C60"/>
    </sheetView>
  </sheetViews>
  <sheetFormatPr baseColWidth="10" defaultColWidth="8.6640625" defaultRowHeight="14" outlineLevelRow="1" outlineLevelCol="1" x14ac:dyDescent="0.15"/>
  <cols>
    <col min="1" max="1" width="8" style="28" customWidth="1"/>
    <col min="2" max="2" width="19.83203125" style="28" customWidth="1"/>
    <col min="3" max="3" width="10" style="28" customWidth="1"/>
    <col min="4" max="4" width="8.83203125" style="28" customWidth="1" outlineLevel="1"/>
    <col min="5" max="5" width="7.1640625" style="28" customWidth="1" outlineLevel="1"/>
    <col min="6" max="6" width="7.6640625" style="28" customWidth="1" outlineLevel="1"/>
    <col min="7" max="7" width="6.83203125" style="28" customWidth="1" outlineLevel="1"/>
    <col min="8" max="8" width="7.1640625" style="28" customWidth="1" outlineLevel="1"/>
    <col min="9" max="9" width="6.5" style="28" customWidth="1" outlineLevel="1"/>
    <col min="10" max="10" width="7.83203125" style="28" customWidth="1" outlineLevel="1"/>
    <col min="11" max="11" width="6.5" style="28" customWidth="1" outlineLevel="1"/>
    <col min="12" max="12" width="7.5" style="28" customWidth="1" outlineLevel="1"/>
    <col min="13" max="13" width="9.5" style="28" customWidth="1" outlineLevel="1"/>
    <col min="14" max="14" width="8.83203125" style="28" customWidth="1" outlineLevel="1"/>
    <col min="15" max="15" width="7.5" style="28" customWidth="1" outlineLevel="1"/>
    <col min="16" max="16" width="8.83203125" style="28" customWidth="1" outlineLevel="1"/>
    <col min="17" max="17" width="6.5" style="28" customWidth="1" outlineLevel="1"/>
    <col min="18" max="18" width="6.83203125" style="28" customWidth="1" outlineLevel="1"/>
    <col min="19" max="19" width="6.33203125" style="28" customWidth="1" outlineLevel="1"/>
    <col min="20" max="20" width="7.83203125" style="28" customWidth="1" outlineLevel="1"/>
    <col min="21" max="21" width="6.33203125" style="28" customWidth="1" outlineLevel="1"/>
    <col min="22" max="22" width="8.83203125" style="28" customWidth="1" outlineLevel="1"/>
    <col min="23" max="23" width="6.33203125" style="28" customWidth="1" outlineLevel="1"/>
    <col min="24" max="24" width="7.1640625" style="28" customWidth="1" outlineLevel="1"/>
    <col min="25" max="25" width="8" style="28" customWidth="1" outlineLevel="1"/>
    <col min="26" max="26" width="6.1640625" style="28" customWidth="1" outlineLevel="1"/>
    <col min="27" max="27" width="9.5" style="28" customWidth="1" outlineLevel="1"/>
    <col min="28" max="28" width="6.83203125" style="28" customWidth="1" outlineLevel="1"/>
    <col min="29" max="29" width="8" style="28" customWidth="1" outlineLevel="1"/>
    <col min="30" max="30" width="6.5" style="28" customWidth="1" outlineLevel="1"/>
    <col min="31" max="31" width="7.6640625" style="28" customWidth="1" outlineLevel="1"/>
    <col min="32" max="32" width="9" style="28" customWidth="1" outlineLevel="1"/>
    <col min="33" max="33" width="12" style="28" customWidth="1"/>
    <col min="34" max="34" width="8" style="28" customWidth="1"/>
    <col min="35" max="35" width="6.5" style="28" customWidth="1"/>
    <col min="36" max="36" width="7" style="28" customWidth="1"/>
    <col min="37" max="37" width="7.6640625" style="28" customWidth="1"/>
    <col min="38" max="38" width="16.1640625" style="28" customWidth="1"/>
    <col min="39" max="39" width="24.83203125" style="28" customWidth="1"/>
    <col min="40" max="40" width="13.6640625" style="28" hidden="1" customWidth="1" outlineLevel="1"/>
    <col min="41" max="41" width="14.1640625" style="28" hidden="1" customWidth="1" outlineLevel="1"/>
    <col min="42" max="45" width="10" style="28" hidden="1" customWidth="1" outlineLevel="1"/>
    <col min="46" max="46" width="8.6640625" style="28" collapsed="1"/>
    <col min="47" max="16384" width="8.6640625" style="28"/>
  </cols>
  <sheetData>
    <row r="1" spans="1:45" ht="21.75" customHeight="1" x14ac:dyDescent="0.15">
      <c r="A1" s="114" t="s">
        <v>307</v>
      </c>
      <c r="D1" s="233" t="s">
        <v>308</v>
      </c>
      <c r="E1" s="233"/>
      <c r="F1" s="233"/>
      <c r="G1" s="233"/>
      <c r="H1" s="233"/>
      <c r="I1" s="233"/>
      <c r="J1" s="233"/>
      <c r="K1" s="233"/>
      <c r="L1" s="233"/>
      <c r="M1" s="233"/>
      <c r="N1" s="233"/>
      <c r="O1" s="233"/>
      <c r="P1" s="233" t="s">
        <v>309</v>
      </c>
      <c r="Q1" s="233"/>
      <c r="R1" s="233"/>
      <c r="S1" s="233"/>
      <c r="T1" s="233"/>
      <c r="U1" s="233"/>
      <c r="V1" s="233"/>
      <c r="W1" s="233"/>
      <c r="X1" s="233"/>
      <c r="Y1" s="234" t="s">
        <v>310</v>
      </c>
      <c r="Z1" s="234"/>
      <c r="AA1" s="234"/>
      <c r="AB1" s="234"/>
      <c r="AC1" s="234"/>
      <c r="AD1" s="234"/>
      <c r="AE1" s="234"/>
      <c r="AH1" s="235" t="s">
        <v>311</v>
      </c>
      <c r="AI1" s="235"/>
      <c r="AJ1" s="235"/>
      <c r="AK1" s="235"/>
      <c r="AL1" s="235" t="s">
        <v>312</v>
      </c>
      <c r="AM1" s="235"/>
      <c r="AN1" s="236" t="s">
        <v>313</v>
      </c>
      <c r="AO1" s="236"/>
      <c r="AP1" s="236"/>
      <c r="AQ1" s="236"/>
      <c r="AR1" s="236"/>
      <c r="AS1" s="236"/>
    </row>
    <row r="2" spans="1:45" ht="39.75" customHeight="1" x14ac:dyDescent="0.15">
      <c r="A2" s="116" t="s">
        <v>82</v>
      </c>
      <c r="B2" s="117" t="s">
        <v>314</v>
      </c>
      <c r="C2" s="116" t="s">
        <v>315</v>
      </c>
      <c r="D2" s="116" t="s">
        <v>316</v>
      </c>
      <c r="E2" s="116" t="s">
        <v>317</v>
      </c>
      <c r="F2" s="116" t="s">
        <v>318</v>
      </c>
      <c r="G2" s="116" t="s">
        <v>317</v>
      </c>
      <c r="H2" s="116" t="s">
        <v>319</v>
      </c>
      <c r="I2" s="116" t="s">
        <v>317</v>
      </c>
      <c r="J2" s="116" t="s">
        <v>320</v>
      </c>
      <c r="K2" s="116" t="s">
        <v>317</v>
      </c>
      <c r="L2" s="116" t="s">
        <v>321</v>
      </c>
      <c r="M2" s="116" t="s">
        <v>322</v>
      </c>
      <c r="N2" s="116" t="s">
        <v>323</v>
      </c>
      <c r="O2" s="116" t="s">
        <v>324</v>
      </c>
      <c r="P2" s="116" t="s">
        <v>325</v>
      </c>
      <c r="Q2" s="116" t="s">
        <v>317</v>
      </c>
      <c r="R2" s="116" t="s">
        <v>326</v>
      </c>
      <c r="S2" s="116" t="s">
        <v>317</v>
      </c>
      <c r="T2" s="116" t="s">
        <v>327</v>
      </c>
      <c r="U2" s="116" t="s">
        <v>317</v>
      </c>
      <c r="V2" s="116" t="s">
        <v>328</v>
      </c>
      <c r="W2" s="116" t="s">
        <v>317</v>
      </c>
      <c r="X2" s="116" t="s">
        <v>329</v>
      </c>
      <c r="Y2" s="116" t="s">
        <v>330</v>
      </c>
      <c r="Z2" s="116" t="s">
        <v>317</v>
      </c>
      <c r="AA2" s="116" t="s">
        <v>331</v>
      </c>
      <c r="AB2" s="116" t="s">
        <v>317</v>
      </c>
      <c r="AC2" s="116" t="s">
        <v>332</v>
      </c>
      <c r="AD2" s="116" t="s">
        <v>317</v>
      </c>
      <c r="AE2" s="116" t="s">
        <v>333</v>
      </c>
      <c r="AF2" s="116" t="s">
        <v>334</v>
      </c>
      <c r="AG2" s="116" t="s">
        <v>300</v>
      </c>
      <c r="AH2" s="118" t="s">
        <v>335</v>
      </c>
      <c r="AI2" s="118" t="s">
        <v>336</v>
      </c>
      <c r="AJ2" s="118" t="s">
        <v>337</v>
      </c>
      <c r="AK2" s="118" t="s">
        <v>338</v>
      </c>
      <c r="AL2" s="115" t="s">
        <v>339</v>
      </c>
      <c r="AM2" s="94" t="s">
        <v>340</v>
      </c>
      <c r="AN2" s="119" t="s">
        <v>341</v>
      </c>
      <c r="AO2" s="119" t="s">
        <v>342</v>
      </c>
      <c r="AP2" s="119" t="s">
        <v>343</v>
      </c>
      <c r="AQ2" s="119" t="s">
        <v>344</v>
      </c>
      <c r="AR2" s="119" t="s">
        <v>345</v>
      </c>
      <c r="AS2" s="120" t="s">
        <v>346</v>
      </c>
    </row>
    <row r="3" spans="1:45" ht="15" customHeight="1" x14ac:dyDescent="0.15">
      <c r="A3" s="64" t="s">
        <v>109</v>
      </c>
      <c r="B3" s="121" t="s">
        <v>110</v>
      </c>
      <c r="C3" s="122">
        <v>46278</v>
      </c>
      <c r="D3" s="123">
        <v>3</v>
      </c>
      <c r="E3" s="123" t="s">
        <v>347</v>
      </c>
      <c r="F3" s="123">
        <v>3</v>
      </c>
      <c r="G3" s="123" t="s">
        <v>347</v>
      </c>
      <c r="H3" s="123">
        <v>4</v>
      </c>
      <c r="I3" s="123" t="s">
        <v>348</v>
      </c>
      <c r="J3" s="123">
        <v>5</v>
      </c>
      <c r="K3" s="123" t="s">
        <v>348</v>
      </c>
      <c r="L3" s="123">
        <v>2</v>
      </c>
      <c r="M3" s="123" t="s">
        <v>347</v>
      </c>
      <c r="N3" s="124">
        <f t="shared" ref="N3:N34" si="0">IF(COUNT(D3,F3,H3,J3,L3)=0,"",(D3*0.2+F3*0.15+H3*0.15+J3*0.1+L3*0.1)/(IF(D3&lt;&gt;"",0.2,0)+IF(F3&lt;&gt;"",0.15,0)+IF(H3&lt;&gt;"",0.15,0)+IF(J3&lt;&gt;"",0.1,0)+IF(L3&lt;&gt;"",0.1,0)))</f>
        <v>3.3571428571428577</v>
      </c>
      <c r="O3" s="125">
        <f t="shared" ref="O3:O34" si="1">IF(COUNT(D3,F3,H3,J3,L3)=0,"",D3*0.2+F3*0.15+H3*0.15+J3*0.1+L3*0.1)</f>
        <v>2.35</v>
      </c>
      <c r="P3" s="123">
        <v>4</v>
      </c>
      <c r="Q3" s="123" t="s">
        <v>347</v>
      </c>
      <c r="R3" s="123">
        <v>5</v>
      </c>
      <c r="S3" s="123" t="s">
        <v>347</v>
      </c>
      <c r="T3" s="123">
        <v>5</v>
      </c>
      <c r="U3" s="123" t="s">
        <v>348</v>
      </c>
      <c r="V3" s="123">
        <v>1</v>
      </c>
      <c r="W3" s="123" t="s">
        <v>348</v>
      </c>
      <c r="X3" s="125">
        <f t="shared" ref="X3:X34" si="2">IF(COUNT(P3,R3,T3,V3)=0,"",P3*0.08+R3*0.06+T3*0.03+V3*0.08)</f>
        <v>0.85</v>
      </c>
      <c r="Y3" s="123">
        <v>5</v>
      </c>
      <c r="Z3" s="123" t="s">
        <v>348</v>
      </c>
      <c r="AA3" s="123">
        <v>3</v>
      </c>
      <c r="AB3" s="123" t="s">
        <v>347</v>
      </c>
      <c r="AC3" s="123">
        <v>3</v>
      </c>
      <c r="AD3" s="123" t="s">
        <v>349</v>
      </c>
      <c r="AE3" s="125">
        <f t="shared" ref="AE3:AE34" si="3">IF(COUNT(Y3,AA3,AC3)=0,"",Y3*0.02+AA3*0.02+AC3*0.01)</f>
        <v>0.19</v>
      </c>
      <c r="AF3" s="99">
        <f t="shared" ref="AF3:AF34" si="4">IF(OR(COUNT(D3,F3,H3,J3,L3)&lt;5,COUNT(P3,R3,T3,V3)&lt;4,COUNT(Y3,AA3,AC3)&lt;3),"",(O3+X3+AE3)*20)</f>
        <v>67.8</v>
      </c>
      <c r="AG3" s="95" t="str">
        <f t="shared" ref="AG3:AG34" si="5">IF(AF3="","",IF(AJ3="AVOID","AVOID",IF(AF3&gt;=80,IF(AH3="FAIL","WATCH LIST",IF(AK3="CAP AT BUY","BUY","STRONG BUY")),IF(AF3&gt;=65,IF(AH3="FAIL","WATCH LIST","BUY"),IF(AF3&gt;=50,"WATCH LIST",IF(AF3&gt;=35,"AVOID","PASS"))))))</f>
        <v>BUY</v>
      </c>
      <c r="AH3" s="95" t="str">
        <f t="shared" ref="AH3:AH34" si="6">IF(N3="","",IF(N3&lt;3,"FAIL","OK"))</f>
        <v>OK</v>
      </c>
      <c r="AI3" s="95" t="str">
        <f t="shared" ref="AI3:AI34" si="7">IF(COUNT(D3:L3)=0,"",IF(COUNTIF(D3:L3,1)&gt;0,"REVIEW","OK"))</f>
        <v>OK</v>
      </c>
      <c r="AJ3" s="95" t="str">
        <f t="shared" ref="AJ3:AJ34" si="8">IF(COUNT(D3:L3)=0,"",IF(COUNTIF(D3:L3,"&lt;=2")&gt;=2,"AVOID","OK"))</f>
        <v>OK</v>
      </c>
      <c r="AK3" s="95" t="str">
        <f t="shared" ref="AK3:AK34" si="9">IF(COUNTA(E3:M3)=0,"",IF(COUNTIF(E3:M3,"L")&gt;=2,"CAP AT BUY","OK"))</f>
        <v>OK</v>
      </c>
      <c r="AL3" s="126" t="s">
        <v>350</v>
      </c>
      <c r="AM3" s="127" t="s">
        <v>351</v>
      </c>
      <c r="AN3" s="128">
        <v>17525000000</v>
      </c>
      <c r="AO3" s="129">
        <v>8539000000</v>
      </c>
      <c r="AP3" s="123" t="str">
        <f t="shared" ref="AP3:AP34" si="10">IF(OR(AN3="",AO3=""),"",IF(AN3&gt;AO3,"OK","LOW CONF"))</f>
        <v>OK</v>
      </c>
      <c r="AQ3" s="130">
        <v>9.1590000000000007</v>
      </c>
      <c r="AR3" s="125">
        <v>115.76</v>
      </c>
      <c r="AS3" s="131" t="str">
        <f t="shared" ref="AS3:AS34" si="11">IF(OR(AQ3="",AR3=""),"",IF(AQ3&lt;AR3,"Decreased",IF(AQ3&gt;AR3,"Increased","Flat")))</f>
        <v>Decreased</v>
      </c>
    </row>
    <row r="4" spans="1:45" ht="15" customHeight="1" x14ac:dyDescent="0.15">
      <c r="A4" s="64" t="s">
        <v>172</v>
      </c>
      <c r="B4" s="121" t="s">
        <v>173</v>
      </c>
      <c r="C4" s="122">
        <v>46300</v>
      </c>
      <c r="D4" s="123">
        <v>3</v>
      </c>
      <c r="E4" s="123" t="s">
        <v>347</v>
      </c>
      <c r="F4" s="123">
        <v>4</v>
      </c>
      <c r="G4" s="123" t="s">
        <v>347</v>
      </c>
      <c r="H4" s="123">
        <v>5</v>
      </c>
      <c r="I4" s="123" t="s">
        <v>348</v>
      </c>
      <c r="J4" s="123">
        <v>4</v>
      </c>
      <c r="K4" s="123" t="s">
        <v>347</v>
      </c>
      <c r="L4" s="123">
        <v>2</v>
      </c>
      <c r="M4" s="123" t="s">
        <v>347</v>
      </c>
      <c r="N4" s="124">
        <f t="shared" si="0"/>
        <v>3.6428571428571437</v>
      </c>
      <c r="O4" s="125">
        <f t="shared" si="1"/>
        <v>2.5500000000000003</v>
      </c>
      <c r="P4" s="123">
        <v>4</v>
      </c>
      <c r="Q4" s="123" t="s">
        <v>348</v>
      </c>
      <c r="R4" s="123">
        <v>4</v>
      </c>
      <c r="S4" s="123" t="s">
        <v>349</v>
      </c>
      <c r="T4" s="123">
        <v>4</v>
      </c>
      <c r="U4" s="123" t="s">
        <v>347</v>
      </c>
      <c r="V4" s="123">
        <v>4</v>
      </c>
      <c r="W4" s="123" t="s">
        <v>347</v>
      </c>
      <c r="X4" s="125">
        <f t="shared" si="2"/>
        <v>1</v>
      </c>
      <c r="Y4" s="123">
        <v>3</v>
      </c>
      <c r="Z4" s="123" t="s">
        <v>347</v>
      </c>
      <c r="AA4" s="123">
        <v>5</v>
      </c>
      <c r="AB4" s="123" t="s">
        <v>348</v>
      </c>
      <c r="AC4" s="123">
        <v>3</v>
      </c>
      <c r="AD4" s="123" t="s">
        <v>347</v>
      </c>
      <c r="AE4" s="125">
        <f t="shared" si="3"/>
        <v>0.19</v>
      </c>
      <c r="AF4" s="99">
        <f t="shared" si="4"/>
        <v>74.800000000000011</v>
      </c>
      <c r="AG4" s="95" t="str">
        <f t="shared" si="5"/>
        <v>BUY</v>
      </c>
      <c r="AH4" s="95" t="str">
        <f t="shared" si="6"/>
        <v>OK</v>
      </c>
      <c r="AI4" s="95" t="str">
        <f t="shared" si="7"/>
        <v>OK</v>
      </c>
      <c r="AJ4" s="95" t="str">
        <f t="shared" si="8"/>
        <v>OK</v>
      </c>
      <c r="AK4" s="95" t="str">
        <f t="shared" si="9"/>
        <v>OK</v>
      </c>
      <c r="AL4" s="126" t="s">
        <v>350</v>
      </c>
      <c r="AM4" s="127" t="s">
        <v>351</v>
      </c>
      <c r="AN4" s="123"/>
      <c r="AO4" s="95"/>
      <c r="AP4" s="123" t="str">
        <f t="shared" si="10"/>
        <v/>
      </c>
      <c r="AQ4" s="123"/>
      <c r="AR4" s="95"/>
      <c r="AS4" s="131" t="str">
        <f t="shared" si="11"/>
        <v/>
      </c>
    </row>
    <row r="5" spans="1:45" ht="15" customHeight="1" x14ac:dyDescent="0.15">
      <c r="A5" s="64" t="s">
        <v>113</v>
      </c>
      <c r="B5" s="121" t="s">
        <v>114</v>
      </c>
      <c r="C5" s="122">
        <v>46278</v>
      </c>
      <c r="D5" s="123">
        <v>3</v>
      </c>
      <c r="E5" s="123" t="s">
        <v>347</v>
      </c>
      <c r="F5" s="123">
        <v>4</v>
      </c>
      <c r="G5" s="123" t="s">
        <v>347</v>
      </c>
      <c r="H5" s="123">
        <v>5</v>
      </c>
      <c r="I5" s="123" t="s">
        <v>347</v>
      </c>
      <c r="J5" s="123">
        <v>4</v>
      </c>
      <c r="K5" s="123" t="s">
        <v>347</v>
      </c>
      <c r="L5" s="123">
        <v>5</v>
      </c>
      <c r="M5" s="123" t="s">
        <v>347</v>
      </c>
      <c r="N5" s="124">
        <f t="shared" si="0"/>
        <v>4.0714285714285721</v>
      </c>
      <c r="O5" s="125">
        <f t="shared" si="1"/>
        <v>2.85</v>
      </c>
      <c r="P5" s="123">
        <v>3</v>
      </c>
      <c r="Q5" s="123" t="s">
        <v>347</v>
      </c>
      <c r="R5" s="123">
        <v>5</v>
      </c>
      <c r="S5" s="123" t="s">
        <v>348</v>
      </c>
      <c r="T5" s="123">
        <v>3</v>
      </c>
      <c r="U5" s="123" t="s">
        <v>347</v>
      </c>
      <c r="V5" s="123">
        <v>2</v>
      </c>
      <c r="W5" s="123" t="s">
        <v>347</v>
      </c>
      <c r="X5" s="125">
        <f t="shared" si="2"/>
        <v>0.79</v>
      </c>
      <c r="Y5" s="123">
        <v>3</v>
      </c>
      <c r="Z5" s="123" t="s">
        <v>349</v>
      </c>
      <c r="AA5" s="123">
        <v>4</v>
      </c>
      <c r="AB5" s="123" t="s">
        <v>347</v>
      </c>
      <c r="AC5" s="123">
        <v>3</v>
      </c>
      <c r="AD5" s="123" t="s">
        <v>349</v>
      </c>
      <c r="AE5" s="125">
        <f t="shared" si="3"/>
        <v>0.17</v>
      </c>
      <c r="AF5" s="99">
        <f t="shared" si="4"/>
        <v>76.2</v>
      </c>
      <c r="AG5" s="95" t="str">
        <f t="shared" si="5"/>
        <v>BUY</v>
      </c>
      <c r="AH5" s="95" t="str">
        <f t="shared" si="6"/>
        <v>OK</v>
      </c>
      <c r="AI5" s="95" t="str">
        <f t="shared" si="7"/>
        <v>OK</v>
      </c>
      <c r="AJ5" s="95" t="str">
        <f t="shared" si="8"/>
        <v>OK</v>
      </c>
      <c r="AK5" s="95" t="str">
        <f t="shared" si="9"/>
        <v>OK</v>
      </c>
      <c r="AL5" s="126" t="s">
        <v>350</v>
      </c>
      <c r="AM5" s="127" t="s">
        <v>352</v>
      </c>
      <c r="AN5" s="123"/>
      <c r="AO5" s="95"/>
      <c r="AP5" s="123" t="str">
        <f t="shared" si="10"/>
        <v/>
      </c>
      <c r="AQ5" s="123"/>
      <c r="AR5" s="95"/>
      <c r="AS5" s="131" t="str">
        <f t="shared" si="11"/>
        <v/>
      </c>
    </row>
    <row r="6" spans="1:45" ht="15" customHeight="1" x14ac:dyDescent="0.15">
      <c r="A6" s="64" t="s">
        <v>111</v>
      </c>
      <c r="B6" s="121" t="s">
        <v>112</v>
      </c>
      <c r="C6" s="122">
        <v>46278</v>
      </c>
      <c r="D6" s="123">
        <v>3</v>
      </c>
      <c r="E6" s="123" t="s">
        <v>347</v>
      </c>
      <c r="F6" s="123">
        <v>5</v>
      </c>
      <c r="G6" s="123" t="s">
        <v>347</v>
      </c>
      <c r="H6" s="123">
        <v>5</v>
      </c>
      <c r="I6" s="123" t="s">
        <v>348</v>
      </c>
      <c r="J6" s="123">
        <v>4</v>
      </c>
      <c r="K6" s="123" t="s">
        <v>348</v>
      </c>
      <c r="L6" s="123">
        <v>5</v>
      </c>
      <c r="M6" s="123" t="s">
        <v>347</v>
      </c>
      <c r="N6" s="124">
        <f t="shared" si="0"/>
        <v>4.2857142857142856</v>
      </c>
      <c r="O6" s="125">
        <f t="shared" si="1"/>
        <v>3</v>
      </c>
      <c r="P6" s="123">
        <v>5</v>
      </c>
      <c r="Q6" s="123" t="s">
        <v>348</v>
      </c>
      <c r="R6" s="123">
        <v>5</v>
      </c>
      <c r="S6" s="123" t="s">
        <v>348</v>
      </c>
      <c r="T6" s="123">
        <v>5</v>
      </c>
      <c r="U6" s="123" t="s">
        <v>348</v>
      </c>
      <c r="V6" s="123">
        <v>5</v>
      </c>
      <c r="W6" s="123" t="s">
        <v>347</v>
      </c>
      <c r="X6" s="125">
        <f t="shared" si="2"/>
        <v>1.25</v>
      </c>
      <c r="Y6" s="123">
        <v>4</v>
      </c>
      <c r="Z6" s="123" t="s">
        <v>347</v>
      </c>
      <c r="AA6" s="123">
        <v>5</v>
      </c>
      <c r="AB6" s="123" t="s">
        <v>347</v>
      </c>
      <c r="AC6" s="123">
        <v>3</v>
      </c>
      <c r="AD6" s="123" t="s">
        <v>349</v>
      </c>
      <c r="AE6" s="125">
        <f t="shared" si="3"/>
        <v>0.21</v>
      </c>
      <c r="AF6" s="99">
        <f t="shared" si="4"/>
        <v>89.2</v>
      </c>
      <c r="AG6" s="95" t="str">
        <f t="shared" si="5"/>
        <v>STRONG BUY</v>
      </c>
      <c r="AH6" s="95" t="str">
        <f t="shared" si="6"/>
        <v>OK</v>
      </c>
      <c r="AI6" s="95" t="str">
        <f t="shared" si="7"/>
        <v>OK</v>
      </c>
      <c r="AJ6" s="95" t="str">
        <f t="shared" si="8"/>
        <v>OK</v>
      </c>
      <c r="AK6" s="95" t="str">
        <f t="shared" si="9"/>
        <v>OK</v>
      </c>
      <c r="AL6" s="126" t="s">
        <v>350</v>
      </c>
      <c r="AM6" s="127" t="s">
        <v>351</v>
      </c>
      <c r="AN6" s="123"/>
      <c r="AO6" s="95"/>
      <c r="AP6" s="123" t="str">
        <f t="shared" si="10"/>
        <v/>
      </c>
      <c r="AQ6" s="123"/>
      <c r="AR6" s="95"/>
      <c r="AS6" s="131" t="str">
        <f t="shared" si="11"/>
        <v/>
      </c>
    </row>
    <row r="7" spans="1:45" ht="15" customHeight="1" x14ac:dyDescent="0.15">
      <c r="A7" s="64" t="s">
        <v>174</v>
      </c>
      <c r="B7" s="121" t="s">
        <v>175</v>
      </c>
      <c r="C7" s="122">
        <v>46300</v>
      </c>
      <c r="D7" s="123">
        <v>3</v>
      </c>
      <c r="E7" s="123" t="s">
        <v>347</v>
      </c>
      <c r="F7" s="123">
        <v>4</v>
      </c>
      <c r="G7" s="123" t="s">
        <v>347</v>
      </c>
      <c r="H7" s="123">
        <v>4</v>
      </c>
      <c r="I7" s="123" t="s">
        <v>347</v>
      </c>
      <c r="J7" s="123">
        <v>4</v>
      </c>
      <c r="K7" s="123" t="s">
        <v>347</v>
      </c>
      <c r="L7" s="123">
        <v>2</v>
      </c>
      <c r="M7" s="123" t="s">
        <v>347</v>
      </c>
      <c r="N7" s="124">
        <f t="shared" si="0"/>
        <v>3.4285714285714293</v>
      </c>
      <c r="O7" s="125">
        <f t="shared" si="1"/>
        <v>2.4000000000000004</v>
      </c>
      <c r="P7" s="123">
        <v>3</v>
      </c>
      <c r="Q7" s="123" t="s">
        <v>347</v>
      </c>
      <c r="R7" s="123">
        <v>4</v>
      </c>
      <c r="S7" s="123" t="s">
        <v>347</v>
      </c>
      <c r="T7" s="123">
        <v>4</v>
      </c>
      <c r="U7" s="123" t="s">
        <v>347</v>
      </c>
      <c r="V7" s="123">
        <v>4</v>
      </c>
      <c r="W7" s="123" t="s">
        <v>347</v>
      </c>
      <c r="X7" s="125">
        <f t="shared" si="2"/>
        <v>0.91999999999999993</v>
      </c>
      <c r="Y7" s="123">
        <v>4</v>
      </c>
      <c r="Z7" s="123" t="s">
        <v>347</v>
      </c>
      <c r="AA7" s="123">
        <v>5</v>
      </c>
      <c r="AB7" s="123" t="s">
        <v>348</v>
      </c>
      <c r="AC7" s="123">
        <v>3</v>
      </c>
      <c r="AD7" s="123" t="s">
        <v>349</v>
      </c>
      <c r="AE7" s="125">
        <f t="shared" si="3"/>
        <v>0.21</v>
      </c>
      <c r="AF7" s="99">
        <f t="shared" si="4"/>
        <v>70.600000000000009</v>
      </c>
      <c r="AG7" s="95" t="str">
        <f t="shared" si="5"/>
        <v>BUY</v>
      </c>
      <c r="AH7" s="95" t="str">
        <f t="shared" si="6"/>
        <v>OK</v>
      </c>
      <c r="AI7" s="95" t="str">
        <f t="shared" si="7"/>
        <v>OK</v>
      </c>
      <c r="AJ7" s="95" t="str">
        <f t="shared" si="8"/>
        <v>OK</v>
      </c>
      <c r="AK7" s="95" t="str">
        <f t="shared" si="9"/>
        <v>OK</v>
      </c>
      <c r="AL7" s="126" t="s">
        <v>353</v>
      </c>
      <c r="AM7" s="127" t="s">
        <v>354</v>
      </c>
      <c r="AN7" s="128">
        <v>3631400000</v>
      </c>
      <c r="AO7" s="129">
        <v>3953200000</v>
      </c>
      <c r="AP7" s="123" t="str">
        <f t="shared" si="10"/>
        <v>LOW CONF</v>
      </c>
      <c r="AQ7" s="130">
        <v>0.63600000000000001</v>
      </c>
      <c r="AR7" s="125">
        <v>-1.784</v>
      </c>
      <c r="AS7" s="131" t="str">
        <f t="shared" si="11"/>
        <v>Increased</v>
      </c>
    </row>
    <row r="8" spans="1:45" ht="15" customHeight="1" x14ac:dyDescent="0.15">
      <c r="A8" s="64" t="s">
        <v>177</v>
      </c>
      <c r="B8" s="121" t="s">
        <v>355</v>
      </c>
      <c r="C8" s="122">
        <v>46295</v>
      </c>
      <c r="D8" s="123">
        <v>4</v>
      </c>
      <c r="E8" s="123" t="s">
        <v>347</v>
      </c>
      <c r="F8" s="123">
        <v>2</v>
      </c>
      <c r="G8" s="123" t="s">
        <v>349</v>
      </c>
      <c r="H8" s="123">
        <v>5</v>
      </c>
      <c r="I8" s="123" t="s">
        <v>348</v>
      </c>
      <c r="J8" s="123">
        <v>4</v>
      </c>
      <c r="K8" s="123" t="s">
        <v>347</v>
      </c>
      <c r="L8" s="123">
        <v>5</v>
      </c>
      <c r="M8" s="123" t="s">
        <v>348</v>
      </c>
      <c r="N8" s="124">
        <f t="shared" si="0"/>
        <v>3.9285714285714288</v>
      </c>
      <c r="O8" s="125">
        <f t="shared" si="1"/>
        <v>2.75</v>
      </c>
      <c r="P8" s="123">
        <v>5</v>
      </c>
      <c r="Q8" s="123" t="s">
        <v>348</v>
      </c>
      <c r="R8" s="123">
        <v>3</v>
      </c>
      <c r="S8" s="123" t="s">
        <v>349</v>
      </c>
      <c r="T8" s="123">
        <v>4</v>
      </c>
      <c r="U8" s="123" t="s">
        <v>349</v>
      </c>
      <c r="V8" s="123">
        <v>2</v>
      </c>
      <c r="W8" s="123" t="s">
        <v>348</v>
      </c>
      <c r="X8" s="125">
        <f t="shared" si="2"/>
        <v>0.8600000000000001</v>
      </c>
      <c r="Y8" s="123">
        <v>4</v>
      </c>
      <c r="Z8" s="123" t="s">
        <v>349</v>
      </c>
      <c r="AA8" s="123">
        <v>4</v>
      </c>
      <c r="AB8" s="123" t="s">
        <v>347</v>
      </c>
      <c r="AC8" s="123">
        <v>3</v>
      </c>
      <c r="AD8" s="123" t="s">
        <v>349</v>
      </c>
      <c r="AE8" s="125">
        <f t="shared" si="3"/>
        <v>0.19</v>
      </c>
      <c r="AF8" s="99">
        <f t="shared" si="4"/>
        <v>76</v>
      </c>
      <c r="AG8" s="95" t="str">
        <f t="shared" si="5"/>
        <v>BUY</v>
      </c>
      <c r="AH8" s="95" t="str">
        <f t="shared" si="6"/>
        <v>OK</v>
      </c>
      <c r="AI8" s="95" t="str">
        <f t="shared" si="7"/>
        <v>OK</v>
      </c>
      <c r="AJ8" s="95" t="str">
        <f t="shared" si="8"/>
        <v>OK</v>
      </c>
      <c r="AK8" s="95" t="str">
        <f t="shared" si="9"/>
        <v>OK</v>
      </c>
      <c r="AL8" s="126" t="s">
        <v>356</v>
      </c>
      <c r="AM8" s="127" t="s">
        <v>357</v>
      </c>
      <c r="AN8" s="123"/>
      <c r="AO8" s="95"/>
      <c r="AP8" s="123" t="str">
        <f t="shared" si="10"/>
        <v/>
      </c>
      <c r="AQ8" s="123"/>
      <c r="AR8" s="95"/>
      <c r="AS8" s="131" t="str">
        <f t="shared" si="11"/>
        <v/>
      </c>
    </row>
    <row r="9" spans="1:45" ht="15" customHeight="1" outlineLevel="1" x14ac:dyDescent="0.15">
      <c r="A9" s="64" t="s">
        <v>180</v>
      </c>
      <c r="B9" s="121" t="s">
        <v>181</v>
      </c>
      <c r="C9" s="122">
        <v>46240</v>
      </c>
      <c r="D9" s="123">
        <v>2</v>
      </c>
      <c r="E9" s="123" t="s">
        <v>347</v>
      </c>
      <c r="F9" s="123">
        <v>2</v>
      </c>
      <c r="G9" s="123" t="s">
        <v>347</v>
      </c>
      <c r="H9" s="123">
        <v>2</v>
      </c>
      <c r="I9" s="123" t="s">
        <v>347</v>
      </c>
      <c r="J9" s="123">
        <v>2</v>
      </c>
      <c r="K9" s="123" t="s">
        <v>347</v>
      </c>
      <c r="L9" s="123">
        <v>1</v>
      </c>
      <c r="M9" s="123" t="s">
        <v>348</v>
      </c>
      <c r="N9" s="124">
        <f t="shared" si="0"/>
        <v>1.8571428571428574</v>
      </c>
      <c r="O9" s="125">
        <f t="shared" si="1"/>
        <v>1.3</v>
      </c>
      <c r="P9" s="123"/>
      <c r="Q9" s="123"/>
      <c r="R9" s="123"/>
      <c r="S9" s="123"/>
      <c r="T9" s="123"/>
      <c r="U9" s="123"/>
      <c r="V9" s="123"/>
      <c r="W9" s="123"/>
      <c r="X9" s="125" t="str">
        <f t="shared" si="2"/>
        <v/>
      </c>
      <c r="Y9" s="123"/>
      <c r="Z9" s="123"/>
      <c r="AA9" s="123"/>
      <c r="AB9" s="123"/>
      <c r="AC9" s="123"/>
      <c r="AD9" s="123"/>
      <c r="AE9" s="125" t="str">
        <f t="shared" si="3"/>
        <v/>
      </c>
      <c r="AF9" s="99" t="str">
        <f t="shared" si="4"/>
        <v/>
      </c>
      <c r="AG9" s="95" t="str">
        <f t="shared" si="5"/>
        <v/>
      </c>
      <c r="AH9" s="95" t="str">
        <f t="shared" si="6"/>
        <v>FAIL</v>
      </c>
      <c r="AI9" s="95" t="str">
        <f t="shared" si="7"/>
        <v>REVIEW</v>
      </c>
      <c r="AJ9" s="95" t="str">
        <f t="shared" si="8"/>
        <v>AVOID</v>
      </c>
      <c r="AK9" s="95" t="str">
        <f t="shared" si="9"/>
        <v>OK</v>
      </c>
      <c r="AL9" s="126" t="s">
        <v>358</v>
      </c>
      <c r="AM9" s="127" t="s">
        <v>359</v>
      </c>
      <c r="AN9" s="128">
        <v>715998000</v>
      </c>
      <c r="AO9" s="129">
        <v>523670000</v>
      </c>
      <c r="AP9" s="123" t="str">
        <f t="shared" si="10"/>
        <v>OK</v>
      </c>
      <c r="AQ9" s="130">
        <v>4.1550000000000002</v>
      </c>
      <c r="AR9" s="125">
        <v>4.048</v>
      </c>
      <c r="AS9" s="131" t="str">
        <f t="shared" si="11"/>
        <v>Increased</v>
      </c>
    </row>
    <row r="10" spans="1:45" ht="15" customHeight="1" outlineLevel="1" x14ac:dyDescent="0.15">
      <c r="A10" s="64" t="s">
        <v>192</v>
      </c>
      <c r="B10" s="121" t="s">
        <v>193</v>
      </c>
      <c r="C10" s="122">
        <v>46240</v>
      </c>
      <c r="D10" s="123">
        <v>2</v>
      </c>
      <c r="E10" s="123" t="s">
        <v>347</v>
      </c>
      <c r="F10" s="123">
        <v>4</v>
      </c>
      <c r="G10" s="123" t="s">
        <v>348</v>
      </c>
      <c r="H10" s="123">
        <v>3</v>
      </c>
      <c r="I10" s="123" t="s">
        <v>347</v>
      </c>
      <c r="J10" s="123">
        <v>2</v>
      </c>
      <c r="K10" s="123" t="s">
        <v>347</v>
      </c>
      <c r="L10" s="123">
        <v>2</v>
      </c>
      <c r="M10" s="123" t="s">
        <v>348</v>
      </c>
      <c r="N10" s="124">
        <f t="shared" si="0"/>
        <v>2.6428571428571428</v>
      </c>
      <c r="O10" s="125">
        <f t="shared" si="1"/>
        <v>1.8499999999999999</v>
      </c>
      <c r="P10" s="123"/>
      <c r="Q10" s="123"/>
      <c r="R10" s="123"/>
      <c r="S10" s="123"/>
      <c r="T10" s="123"/>
      <c r="U10" s="123"/>
      <c r="V10" s="123"/>
      <c r="W10" s="123"/>
      <c r="X10" s="125" t="str">
        <f t="shared" si="2"/>
        <v/>
      </c>
      <c r="Y10" s="123"/>
      <c r="Z10" s="123"/>
      <c r="AA10" s="123"/>
      <c r="AB10" s="123"/>
      <c r="AC10" s="123"/>
      <c r="AD10" s="123"/>
      <c r="AE10" s="125" t="str">
        <f t="shared" si="3"/>
        <v/>
      </c>
      <c r="AF10" s="99" t="str">
        <f t="shared" si="4"/>
        <v/>
      </c>
      <c r="AG10" s="95" t="str">
        <f t="shared" si="5"/>
        <v/>
      </c>
      <c r="AH10" s="95" t="str">
        <f t="shared" si="6"/>
        <v>FAIL</v>
      </c>
      <c r="AI10" s="95" t="str">
        <f t="shared" si="7"/>
        <v>OK</v>
      </c>
      <c r="AJ10" s="95" t="str">
        <f t="shared" si="8"/>
        <v>AVOID</v>
      </c>
      <c r="AK10" s="95" t="str">
        <f t="shared" si="9"/>
        <v>OK</v>
      </c>
      <c r="AL10" s="126" t="s">
        <v>360</v>
      </c>
      <c r="AM10" s="127" t="s">
        <v>361</v>
      </c>
      <c r="AN10" s="128">
        <v>359500000</v>
      </c>
      <c r="AO10" s="129">
        <v>203700000</v>
      </c>
      <c r="AP10" s="123" t="str">
        <f t="shared" si="10"/>
        <v>OK</v>
      </c>
      <c r="AQ10" s="130">
        <v>1.857</v>
      </c>
      <c r="AR10" s="125">
        <v>0.78</v>
      </c>
      <c r="AS10" s="131" t="str">
        <f t="shared" si="11"/>
        <v>Increased</v>
      </c>
    </row>
    <row r="11" spans="1:45" ht="15" customHeight="1" outlineLevel="1" x14ac:dyDescent="0.15">
      <c r="A11" s="64" t="s">
        <v>183</v>
      </c>
      <c r="B11" s="121" t="s">
        <v>184</v>
      </c>
      <c r="C11" s="122">
        <v>46240</v>
      </c>
      <c r="D11" s="123">
        <v>1</v>
      </c>
      <c r="E11" s="123" t="s">
        <v>348</v>
      </c>
      <c r="F11" s="123">
        <v>2</v>
      </c>
      <c r="G11" s="123" t="s">
        <v>347</v>
      </c>
      <c r="H11" s="123">
        <v>3</v>
      </c>
      <c r="I11" s="123" t="s">
        <v>347</v>
      </c>
      <c r="J11" s="123">
        <v>3</v>
      </c>
      <c r="K11" s="123" t="s">
        <v>347</v>
      </c>
      <c r="L11" s="123">
        <v>1</v>
      </c>
      <c r="M11" s="123" t="s">
        <v>348</v>
      </c>
      <c r="N11" s="124">
        <f t="shared" si="0"/>
        <v>1.9285714285714288</v>
      </c>
      <c r="O11" s="125">
        <f t="shared" si="1"/>
        <v>1.35</v>
      </c>
      <c r="P11" s="123"/>
      <c r="Q11" s="123"/>
      <c r="R11" s="123"/>
      <c r="S11" s="123"/>
      <c r="T11" s="123"/>
      <c r="U11" s="123"/>
      <c r="V11" s="123"/>
      <c r="W11" s="123"/>
      <c r="X11" s="125" t="str">
        <f t="shared" si="2"/>
        <v/>
      </c>
      <c r="Y11" s="123"/>
      <c r="Z11" s="123"/>
      <c r="AA11" s="123"/>
      <c r="AB11" s="123"/>
      <c r="AC11" s="123"/>
      <c r="AD11" s="123"/>
      <c r="AE11" s="125" t="str">
        <f t="shared" si="3"/>
        <v/>
      </c>
      <c r="AF11" s="99" t="str">
        <f t="shared" si="4"/>
        <v/>
      </c>
      <c r="AG11" s="95" t="str">
        <f t="shared" si="5"/>
        <v/>
      </c>
      <c r="AH11" s="95" t="str">
        <f t="shared" si="6"/>
        <v>FAIL</v>
      </c>
      <c r="AI11" s="95" t="str">
        <f t="shared" si="7"/>
        <v>REVIEW</v>
      </c>
      <c r="AJ11" s="95" t="str">
        <f t="shared" si="8"/>
        <v>AVOID</v>
      </c>
      <c r="AK11" s="95" t="str">
        <f t="shared" si="9"/>
        <v>OK</v>
      </c>
      <c r="AL11" s="126" t="s">
        <v>360</v>
      </c>
      <c r="AM11" s="127" t="s">
        <v>362</v>
      </c>
      <c r="AN11" s="128">
        <v>14747000000</v>
      </c>
      <c r="AO11" s="129">
        <v>3794000000</v>
      </c>
      <c r="AP11" s="123" t="str">
        <f t="shared" si="10"/>
        <v>OK</v>
      </c>
      <c r="AQ11" s="130">
        <v>2.3660000000000001</v>
      </c>
      <c r="AR11" s="125">
        <v>3.8039999999999998</v>
      </c>
      <c r="AS11" s="131" t="str">
        <f t="shared" si="11"/>
        <v>Decreased</v>
      </c>
    </row>
    <row r="12" spans="1:45" ht="15" customHeight="1" x14ac:dyDescent="0.15">
      <c r="A12" s="64" t="s">
        <v>96</v>
      </c>
      <c r="B12" s="121" t="s">
        <v>97</v>
      </c>
      <c r="C12" s="122">
        <v>46295</v>
      </c>
      <c r="D12" s="123">
        <v>5</v>
      </c>
      <c r="E12" s="123" t="s">
        <v>347</v>
      </c>
      <c r="F12" s="123">
        <v>4</v>
      </c>
      <c r="G12" s="123" t="s">
        <v>347</v>
      </c>
      <c r="H12" s="123">
        <v>4</v>
      </c>
      <c r="I12" s="123" t="s">
        <v>347</v>
      </c>
      <c r="J12" s="123">
        <v>5</v>
      </c>
      <c r="K12" s="123" t="s">
        <v>348</v>
      </c>
      <c r="L12" s="123">
        <v>5</v>
      </c>
      <c r="M12" s="123" t="s">
        <v>347</v>
      </c>
      <c r="N12" s="124">
        <f t="shared" si="0"/>
        <v>4.5714285714285721</v>
      </c>
      <c r="O12" s="125">
        <f t="shared" si="1"/>
        <v>3.2</v>
      </c>
      <c r="P12" s="123">
        <v>3</v>
      </c>
      <c r="Q12" s="123" t="s">
        <v>347</v>
      </c>
      <c r="R12" s="123">
        <v>5</v>
      </c>
      <c r="S12" s="123" t="s">
        <v>348</v>
      </c>
      <c r="T12" s="123">
        <v>1</v>
      </c>
      <c r="U12" s="123" t="s">
        <v>348</v>
      </c>
      <c r="V12" s="123">
        <v>5</v>
      </c>
      <c r="W12" s="123" t="s">
        <v>348</v>
      </c>
      <c r="X12" s="125">
        <f t="shared" si="2"/>
        <v>0.97000000000000008</v>
      </c>
      <c r="Y12" s="123">
        <v>2</v>
      </c>
      <c r="Z12" s="123" t="s">
        <v>347</v>
      </c>
      <c r="AA12" s="123">
        <v>3</v>
      </c>
      <c r="AB12" s="123" t="s">
        <v>347</v>
      </c>
      <c r="AC12" s="123">
        <v>2</v>
      </c>
      <c r="AD12" s="123" t="s">
        <v>349</v>
      </c>
      <c r="AE12" s="125">
        <f t="shared" si="3"/>
        <v>0.12000000000000001</v>
      </c>
      <c r="AF12" s="99">
        <f t="shared" si="4"/>
        <v>85.8</v>
      </c>
      <c r="AG12" s="95" t="str">
        <f t="shared" si="5"/>
        <v>STRONG BUY</v>
      </c>
      <c r="AH12" s="95" t="str">
        <f t="shared" si="6"/>
        <v>OK</v>
      </c>
      <c r="AI12" s="95" t="str">
        <f t="shared" si="7"/>
        <v>OK</v>
      </c>
      <c r="AJ12" s="95" t="str">
        <f t="shared" si="8"/>
        <v>OK</v>
      </c>
      <c r="AK12" s="95" t="str">
        <f t="shared" si="9"/>
        <v>OK</v>
      </c>
      <c r="AL12" s="126" t="s">
        <v>350</v>
      </c>
      <c r="AM12" s="127" t="s">
        <v>363</v>
      </c>
      <c r="AN12" s="123"/>
      <c r="AO12" s="95"/>
      <c r="AP12" s="123" t="str">
        <f t="shared" si="10"/>
        <v/>
      </c>
      <c r="AQ12" s="123"/>
      <c r="AR12" s="95"/>
      <c r="AS12" s="131" t="str">
        <f t="shared" si="11"/>
        <v/>
      </c>
    </row>
    <row r="13" spans="1:45" ht="15" customHeight="1" x14ac:dyDescent="0.15">
      <c r="A13" s="64" t="s">
        <v>101</v>
      </c>
      <c r="B13" s="121" t="s">
        <v>102</v>
      </c>
      <c r="C13" s="122">
        <v>46278</v>
      </c>
      <c r="D13" s="123">
        <v>3</v>
      </c>
      <c r="E13" s="123" t="s">
        <v>347</v>
      </c>
      <c r="F13" s="123">
        <v>5</v>
      </c>
      <c r="G13" s="123" t="s">
        <v>347</v>
      </c>
      <c r="H13" s="123">
        <v>5</v>
      </c>
      <c r="I13" s="123" t="s">
        <v>348</v>
      </c>
      <c r="J13" s="123">
        <v>4</v>
      </c>
      <c r="K13" s="123" t="s">
        <v>347</v>
      </c>
      <c r="L13" s="123">
        <v>5</v>
      </c>
      <c r="M13" s="123" t="s">
        <v>347</v>
      </c>
      <c r="N13" s="124">
        <f t="shared" si="0"/>
        <v>4.2857142857142856</v>
      </c>
      <c r="O13" s="125">
        <f t="shared" si="1"/>
        <v>3</v>
      </c>
      <c r="P13" s="123">
        <v>4</v>
      </c>
      <c r="Q13" s="123" t="s">
        <v>348</v>
      </c>
      <c r="R13" s="123">
        <v>5</v>
      </c>
      <c r="S13" s="123" t="s">
        <v>348</v>
      </c>
      <c r="T13" s="123">
        <v>5</v>
      </c>
      <c r="U13" s="123" t="s">
        <v>347</v>
      </c>
      <c r="V13" s="123">
        <v>1</v>
      </c>
      <c r="W13" s="123" t="s">
        <v>348</v>
      </c>
      <c r="X13" s="125">
        <f t="shared" si="2"/>
        <v>0.85</v>
      </c>
      <c r="Y13" s="123">
        <v>4</v>
      </c>
      <c r="Z13" s="123" t="s">
        <v>347</v>
      </c>
      <c r="AA13" s="123">
        <v>5</v>
      </c>
      <c r="AB13" s="123" t="s">
        <v>348</v>
      </c>
      <c r="AC13" s="123">
        <v>2</v>
      </c>
      <c r="AD13" s="123" t="s">
        <v>347</v>
      </c>
      <c r="AE13" s="125">
        <f t="shared" si="3"/>
        <v>0.19999999999999998</v>
      </c>
      <c r="AF13" s="99">
        <f t="shared" si="4"/>
        <v>81</v>
      </c>
      <c r="AG13" s="95" t="str">
        <f t="shared" si="5"/>
        <v>STRONG BUY</v>
      </c>
      <c r="AH13" s="95" t="str">
        <f t="shared" si="6"/>
        <v>OK</v>
      </c>
      <c r="AI13" s="95" t="str">
        <f t="shared" si="7"/>
        <v>OK</v>
      </c>
      <c r="AJ13" s="95" t="str">
        <f t="shared" si="8"/>
        <v>OK</v>
      </c>
      <c r="AK13" s="95" t="str">
        <f t="shared" si="9"/>
        <v>OK</v>
      </c>
      <c r="AL13" s="126" t="s">
        <v>350</v>
      </c>
      <c r="AM13" s="127" t="s">
        <v>364</v>
      </c>
      <c r="AN13" s="123"/>
      <c r="AO13" s="95"/>
      <c r="AP13" s="123" t="str">
        <f t="shared" si="10"/>
        <v/>
      </c>
      <c r="AQ13" s="123"/>
      <c r="AR13" s="95"/>
      <c r="AS13" s="131" t="str">
        <f t="shared" si="11"/>
        <v/>
      </c>
    </row>
    <row r="14" spans="1:45" ht="15" customHeight="1" x14ac:dyDescent="0.15">
      <c r="A14" s="64" t="s">
        <v>103</v>
      </c>
      <c r="B14" s="121" t="s">
        <v>104</v>
      </c>
      <c r="C14" s="122">
        <v>46278</v>
      </c>
      <c r="D14" s="123">
        <v>3</v>
      </c>
      <c r="E14" s="123" t="s">
        <v>347</v>
      </c>
      <c r="F14" s="123">
        <v>3</v>
      </c>
      <c r="G14" s="123" t="s">
        <v>347</v>
      </c>
      <c r="H14" s="123">
        <v>5</v>
      </c>
      <c r="I14" s="123" t="s">
        <v>348</v>
      </c>
      <c r="J14" s="123">
        <v>4</v>
      </c>
      <c r="K14" s="123" t="s">
        <v>347</v>
      </c>
      <c r="L14" s="123">
        <v>5</v>
      </c>
      <c r="M14" s="123" t="s">
        <v>347</v>
      </c>
      <c r="N14" s="124">
        <f t="shared" si="0"/>
        <v>3.8571428571428577</v>
      </c>
      <c r="O14" s="125">
        <f t="shared" si="1"/>
        <v>2.7</v>
      </c>
      <c r="P14" s="123">
        <v>4</v>
      </c>
      <c r="Q14" s="123" t="s">
        <v>347</v>
      </c>
      <c r="R14" s="123">
        <v>5</v>
      </c>
      <c r="S14" s="123" t="s">
        <v>348</v>
      </c>
      <c r="T14" s="123">
        <v>5</v>
      </c>
      <c r="U14" s="123" t="s">
        <v>348</v>
      </c>
      <c r="V14" s="123">
        <v>2</v>
      </c>
      <c r="W14" s="123" t="s">
        <v>347</v>
      </c>
      <c r="X14" s="125">
        <f t="shared" si="2"/>
        <v>0.93</v>
      </c>
      <c r="Y14" s="123">
        <v>5</v>
      </c>
      <c r="Z14" s="123" t="s">
        <v>347</v>
      </c>
      <c r="AA14" s="123">
        <v>5</v>
      </c>
      <c r="AB14" s="123" t="s">
        <v>348</v>
      </c>
      <c r="AC14" s="123">
        <v>3</v>
      </c>
      <c r="AD14" s="123" t="s">
        <v>349</v>
      </c>
      <c r="AE14" s="125">
        <f t="shared" si="3"/>
        <v>0.23</v>
      </c>
      <c r="AF14" s="99">
        <f t="shared" si="4"/>
        <v>77.2</v>
      </c>
      <c r="AG14" s="95" t="str">
        <f t="shared" si="5"/>
        <v>BUY</v>
      </c>
      <c r="AH14" s="95" t="str">
        <f t="shared" si="6"/>
        <v>OK</v>
      </c>
      <c r="AI14" s="95" t="str">
        <f t="shared" si="7"/>
        <v>OK</v>
      </c>
      <c r="AJ14" s="95" t="str">
        <f t="shared" si="8"/>
        <v>OK</v>
      </c>
      <c r="AK14" s="95" t="str">
        <f t="shared" si="9"/>
        <v>OK</v>
      </c>
      <c r="AL14" s="126" t="s">
        <v>350</v>
      </c>
      <c r="AM14" s="127" t="s">
        <v>365</v>
      </c>
      <c r="AN14" s="123"/>
      <c r="AO14" s="95"/>
      <c r="AP14" s="123" t="str">
        <f t="shared" si="10"/>
        <v/>
      </c>
      <c r="AQ14" s="123"/>
      <c r="AR14" s="95"/>
      <c r="AS14" s="131" t="str">
        <f t="shared" si="11"/>
        <v/>
      </c>
    </row>
    <row r="15" spans="1:45" ht="15" customHeight="1" x14ac:dyDescent="0.15">
      <c r="A15" s="64" t="s">
        <v>105</v>
      </c>
      <c r="B15" s="121" t="s">
        <v>106</v>
      </c>
      <c r="C15" s="122">
        <v>46278</v>
      </c>
      <c r="D15" s="123">
        <v>2</v>
      </c>
      <c r="E15" s="123" t="s">
        <v>347</v>
      </c>
      <c r="F15" s="123">
        <v>5</v>
      </c>
      <c r="G15" s="123" t="s">
        <v>347</v>
      </c>
      <c r="H15" s="123">
        <v>4</v>
      </c>
      <c r="I15" s="123" t="s">
        <v>347</v>
      </c>
      <c r="J15" s="123">
        <v>5</v>
      </c>
      <c r="K15" s="123" t="s">
        <v>348</v>
      </c>
      <c r="L15" s="123">
        <v>2</v>
      </c>
      <c r="M15" s="123" t="s">
        <v>347</v>
      </c>
      <c r="N15" s="124">
        <f t="shared" si="0"/>
        <v>3.5000000000000004</v>
      </c>
      <c r="O15" s="125">
        <f t="shared" si="1"/>
        <v>2.4500000000000002</v>
      </c>
      <c r="P15" s="123">
        <v>3</v>
      </c>
      <c r="Q15" s="123" t="s">
        <v>347</v>
      </c>
      <c r="R15" s="123">
        <v>2</v>
      </c>
      <c r="S15" s="123" t="s">
        <v>347</v>
      </c>
      <c r="T15" s="123">
        <v>4</v>
      </c>
      <c r="U15" s="123" t="s">
        <v>348</v>
      </c>
      <c r="V15" s="123">
        <v>1</v>
      </c>
      <c r="W15" s="123" t="s">
        <v>348</v>
      </c>
      <c r="X15" s="125">
        <f t="shared" si="2"/>
        <v>0.55999999999999994</v>
      </c>
      <c r="Y15" s="123">
        <v>4</v>
      </c>
      <c r="Z15" s="123" t="s">
        <v>347</v>
      </c>
      <c r="AA15" s="123">
        <v>3</v>
      </c>
      <c r="AB15" s="123" t="s">
        <v>347</v>
      </c>
      <c r="AC15" s="123">
        <v>2</v>
      </c>
      <c r="AD15" s="123" t="s">
        <v>347</v>
      </c>
      <c r="AE15" s="125">
        <f t="shared" si="3"/>
        <v>0.16</v>
      </c>
      <c r="AF15" s="99">
        <f t="shared" si="4"/>
        <v>63.400000000000006</v>
      </c>
      <c r="AG15" s="95" t="str">
        <f t="shared" si="5"/>
        <v>AVOID</v>
      </c>
      <c r="AH15" s="95" t="str">
        <f t="shared" si="6"/>
        <v>OK</v>
      </c>
      <c r="AI15" s="95" t="str">
        <f t="shared" si="7"/>
        <v>OK</v>
      </c>
      <c r="AJ15" s="95" t="str">
        <f t="shared" si="8"/>
        <v>AVOID</v>
      </c>
      <c r="AK15" s="95" t="str">
        <f t="shared" si="9"/>
        <v>OK</v>
      </c>
      <c r="AL15" s="126" t="s">
        <v>350</v>
      </c>
      <c r="AM15" s="127" t="s">
        <v>352</v>
      </c>
      <c r="AN15" s="123"/>
      <c r="AO15" s="95"/>
      <c r="AP15" s="123" t="str">
        <f t="shared" si="10"/>
        <v/>
      </c>
      <c r="AQ15" s="123"/>
      <c r="AR15" s="95"/>
      <c r="AS15" s="131" t="str">
        <f t="shared" si="11"/>
        <v/>
      </c>
    </row>
    <row r="16" spans="1:45" ht="15" customHeight="1" x14ac:dyDescent="0.15">
      <c r="A16" s="64" t="s">
        <v>107</v>
      </c>
      <c r="B16" s="121" t="s">
        <v>108</v>
      </c>
      <c r="C16" s="122">
        <v>46278</v>
      </c>
      <c r="D16" s="123">
        <v>3</v>
      </c>
      <c r="E16" s="123" t="s">
        <v>347</v>
      </c>
      <c r="F16" s="123">
        <v>3</v>
      </c>
      <c r="G16" s="123" t="s">
        <v>347</v>
      </c>
      <c r="H16" s="123">
        <v>5</v>
      </c>
      <c r="I16" s="123" t="s">
        <v>348</v>
      </c>
      <c r="J16" s="123">
        <v>3</v>
      </c>
      <c r="K16" s="123" t="s">
        <v>347</v>
      </c>
      <c r="L16" s="123">
        <v>5</v>
      </c>
      <c r="M16" s="123" t="s">
        <v>347</v>
      </c>
      <c r="N16" s="124">
        <f t="shared" si="0"/>
        <v>3.7142857142857149</v>
      </c>
      <c r="O16" s="125">
        <f t="shared" si="1"/>
        <v>2.6</v>
      </c>
      <c r="P16" s="123">
        <v>4</v>
      </c>
      <c r="Q16" s="123" t="s">
        <v>348</v>
      </c>
      <c r="R16" s="123">
        <v>5</v>
      </c>
      <c r="S16" s="123" t="s">
        <v>348</v>
      </c>
      <c r="T16" s="123">
        <v>3</v>
      </c>
      <c r="U16" s="123" t="s">
        <v>347</v>
      </c>
      <c r="V16" s="123">
        <v>2</v>
      </c>
      <c r="W16" s="123" t="s">
        <v>347</v>
      </c>
      <c r="X16" s="125">
        <f t="shared" si="2"/>
        <v>0.87</v>
      </c>
      <c r="Y16" s="123">
        <v>2</v>
      </c>
      <c r="Z16" s="123" t="s">
        <v>347</v>
      </c>
      <c r="AA16" s="123">
        <v>5</v>
      </c>
      <c r="AB16" s="123" t="s">
        <v>348</v>
      </c>
      <c r="AC16" s="123">
        <v>2</v>
      </c>
      <c r="AD16" s="123" t="s">
        <v>349</v>
      </c>
      <c r="AE16" s="125">
        <f t="shared" si="3"/>
        <v>0.16</v>
      </c>
      <c r="AF16" s="99">
        <f t="shared" si="4"/>
        <v>72.600000000000009</v>
      </c>
      <c r="AG16" s="95" t="str">
        <f t="shared" si="5"/>
        <v>BUY</v>
      </c>
      <c r="AH16" s="95" t="str">
        <f t="shared" si="6"/>
        <v>OK</v>
      </c>
      <c r="AI16" s="95" t="str">
        <f t="shared" si="7"/>
        <v>OK</v>
      </c>
      <c r="AJ16" s="95" t="str">
        <f t="shared" si="8"/>
        <v>OK</v>
      </c>
      <c r="AK16" s="95" t="str">
        <f t="shared" si="9"/>
        <v>OK</v>
      </c>
      <c r="AL16" s="126" t="s">
        <v>350</v>
      </c>
      <c r="AM16" s="127" t="s">
        <v>365</v>
      </c>
      <c r="AN16" s="128">
        <v>4143079000</v>
      </c>
      <c r="AO16" s="129">
        <v>4830771000</v>
      </c>
      <c r="AP16" s="123" t="str">
        <f t="shared" si="10"/>
        <v>LOW CONF</v>
      </c>
      <c r="AQ16" s="130">
        <v>1.633</v>
      </c>
      <c r="AR16" s="125">
        <v>1.625</v>
      </c>
      <c r="AS16" s="131" t="str">
        <f t="shared" si="11"/>
        <v>Increased</v>
      </c>
    </row>
    <row r="17" spans="1:45" ht="15" customHeight="1" x14ac:dyDescent="0.15">
      <c r="A17" s="64" t="s">
        <v>115</v>
      </c>
      <c r="B17" s="121" t="s">
        <v>366</v>
      </c>
      <c r="C17" s="122">
        <v>46278</v>
      </c>
      <c r="D17" s="123">
        <v>5</v>
      </c>
      <c r="E17" s="123" t="s">
        <v>347</v>
      </c>
      <c r="F17" s="123">
        <v>2</v>
      </c>
      <c r="G17" s="123" t="s">
        <v>347</v>
      </c>
      <c r="H17" s="123">
        <v>5</v>
      </c>
      <c r="I17" s="123" t="s">
        <v>348</v>
      </c>
      <c r="J17" s="123">
        <v>4</v>
      </c>
      <c r="K17" s="123" t="s">
        <v>347</v>
      </c>
      <c r="L17" s="123">
        <v>5</v>
      </c>
      <c r="M17" s="123" t="s">
        <v>347</v>
      </c>
      <c r="N17" s="124">
        <f t="shared" si="0"/>
        <v>4.2142857142857144</v>
      </c>
      <c r="O17" s="125">
        <f t="shared" si="1"/>
        <v>2.9499999999999997</v>
      </c>
      <c r="P17" s="123">
        <v>4</v>
      </c>
      <c r="Q17" s="123" t="s">
        <v>348</v>
      </c>
      <c r="R17" s="123">
        <v>5</v>
      </c>
      <c r="S17" s="123" t="s">
        <v>348</v>
      </c>
      <c r="T17" s="123">
        <v>4</v>
      </c>
      <c r="U17" s="123" t="s">
        <v>347</v>
      </c>
      <c r="V17" s="123">
        <v>4</v>
      </c>
      <c r="W17" s="123" t="s">
        <v>347</v>
      </c>
      <c r="X17" s="125">
        <f t="shared" si="2"/>
        <v>1.06</v>
      </c>
      <c r="Y17" s="123">
        <v>3</v>
      </c>
      <c r="Z17" s="123" t="s">
        <v>347</v>
      </c>
      <c r="AA17" s="123">
        <v>5</v>
      </c>
      <c r="AB17" s="123" t="s">
        <v>348</v>
      </c>
      <c r="AC17" s="123">
        <v>3</v>
      </c>
      <c r="AD17" s="123" t="s">
        <v>349</v>
      </c>
      <c r="AE17" s="125">
        <f t="shared" si="3"/>
        <v>0.19</v>
      </c>
      <c r="AF17" s="99">
        <f t="shared" si="4"/>
        <v>84</v>
      </c>
      <c r="AG17" s="95" t="str">
        <f t="shared" si="5"/>
        <v>STRONG BUY</v>
      </c>
      <c r="AH17" s="95" t="str">
        <f t="shared" si="6"/>
        <v>OK</v>
      </c>
      <c r="AI17" s="95" t="str">
        <f t="shared" si="7"/>
        <v>OK</v>
      </c>
      <c r="AJ17" s="95" t="str">
        <f t="shared" si="8"/>
        <v>OK</v>
      </c>
      <c r="AK17" s="95" t="str">
        <f t="shared" si="9"/>
        <v>OK</v>
      </c>
      <c r="AL17" s="127" t="s">
        <v>350</v>
      </c>
      <c r="AM17" s="127" t="s">
        <v>351</v>
      </c>
      <c r="AN17" s="123"/>
      <c r="AO17" s="95"/>
      <c r="AP17" s="123" t="str">
        <f t="shared" si="10"/>
        <v/>
      </c>
      <c r="AQ17" s="123"/>
      <c r="AR17" s="95"/>
      <c r="AS17" s="131" t="str">
        <f t="shared" si="11"/>
        <v/>
      </c>
    </row>
    <row r="18" spans="1:45" ht="15" customHeight="1" x14ac:dyDescent="0.15">
      <c r="A18" s="64" t="s">
        <v>117</v>
      </c>
      <c r="B18" s="121" t="s">
        <v>118</v>
      </c>
      <c r="C18" s="122">
        <v>46278</v>
      </c>
      <c r="D18" s="123">
        <v>3</v>
      </c>
      <c r="E18" s="123" t="s">
        <v>347</v>
      </c>
      <c r="F18" s="123">
        <v>5</v>
      </c>
      <c r="G18" s="123" t="s">
        <v>347</v>
      </c>
      <c r="H18" s="123">
        <v>4</v>
      </c>
      <c r="I18" s="123" t="s">
        <v>347</v>
      </c>
      <c r="J18" s="123">
        <v>4</v>
      </c>
      <c r="K18" s="123" t="s">
        <v>347</v>
      </c>
      <c r="L18" s="123">
        <v>4</v>
      </c>
      <c r="M18" s="123" t="s">
        <v>347</v>
      </c>
      <c r="N18" s="124">
        <f t="shared" si="0"/>
        <v>3.9285714285714288</v>
      </c>
      <c r="O18" s="125">
        <f t="shared" si="1"/>
        <v>2.75</v>
      </c>
      <c r="P18" s="123">
        <v>4</v>
      </c>
      <c r="Q18" s="123" t="s">
        <v>347</v>
      </c>
      <c r="R18" s="123">
        <v>5</v>
      </c>
      <c r="S18" s="123" t="s">
        <v>348</v>
      </c>
      <c r="T18" s="123">
        <v>4</v>
      </c>
      <c r="U18" s="123" t="s">
        <v>347</v>
      </c>
      <c r="V18" s="123">
        <v>2</v>
      </c>
      <c r="W18" s="123" t="s">
        <v>347</v>
      </c>
      <c r="X18" s="125">
        <f t="shared" si="2"/>
        <v>0.9</v>
      </c>
      <c r="Y18" s="123">
        <v>4</v>
      </c>
      <c r="Z18" s="123" t="s">
        <v>347</v>
      </c>
      <c r="AA18" s="123">
        <v>4</v>
      </c>
      <c r="AB18" s="123" t="s">
        <v>347</v>
      </c>
      <c r="AC18" s="123">
        <v>3</v>
      </c>
      <c r="AD18" s="123" t="s">
        <v>349</v>
      </c>
      <c r="AE18" s="125">
        <f t="shared" si="3"/>
        <v>0.19</v>
      </c>
      <c r="AF18" s="99">
        <f t="shared" si="4"/>
        <v>76.8</v>
      </c>
      <c r="AG18" s="95" t="str">
        <f t="shared" si="5"/>
        <v>BUY</v>
      </c>
      <c r="AH18" s="95" t="str">
        <f t="shared" si="6"/>
        <v>OK</v>
      </c>
      <c r="AI18" s="95" t="str">
        <f t="shared" si="7"/>
        <v>OK</v>
      </c>
      <c r="AJ18" s="95" t="str">
        <f t="shared" si="8"/>
        <v>OK</v>
      </c>
      <c r="AK18" s="95" t="str">
        <f t="shared" si="9"/>
        <v>OK</v>
      </c>
      <c r="AL18" s="127" t="s">
        <v>367</v>
      </c>
      <c r="AM18" s="127" t="s">
        <v>368</v>
      </c>
      <c r="AN18" s="128">
        <v>2113800000</v>
      </c>
      <c r="AO18" s="129">
        <v>1332800000</v>
      </c>
      <c r="AP18" s="123" t="str">
        <f t="shared" si="10"/>
        <v>OK</v>
      </c>
      <c r="AQ18" s="130">
        <v>1.71</v>
      </c>
      <c r="AR18" s="125">
        <v>2.7709999999999999</v>
      </c>
      <c r="AS18" s="131" t="str">
        <f t="shared" si="11"/>
        <v>Decreased</v>
      </c>
    </row>
    <row r="19" spans="1:45" ht="15" customHeight="1" x14ac:dyDescent="0.15">
      <c r="A19" s="64" t="s">
        <v>244</v>
      </c>
      <c r="B19" s="121" t="s">
        <v>369</v>
      </c>
      <c r="C19" s="122">
        <v>46245</v>
      </c>
      <c r="D19" s="123">
        <v>3</v>
      </c>
      <c r="E19" s="123" t="s">
        <v>347</v>
      </c>
      <c r="F19" s="123">
        <v>5</v>
      </c>
      <c r="G19" s="123" t="s">
        <v>348</v>
      </c>
      <c r="H19" s="123">
        <v>5</v>
      </c>
      <c r="I19" s="123" t="s">
        <v>348</v>
      </c>
      <c r="J19" s="123">
        <v>4</v>
      </c>
      <c r="K19" s="123" t="s">
        <v>347</v>
      </c>
      <c r="L19" s="123">
        <v>4</v>
      </c>
      <c r="M19" s="123" t="s">
        <v>348</v>
      </c>
      <c r="N19" s="124">
        <f t="shared" si="0"/>
        <v>4.1428571428571432</v>
      </c>
      <c r="O19" s="125">
        <f t="shared" si="1"/>
        <v>2.9</v>
      </c>
      <c r="P19" s="123">
        <v>3</v>
      </c>
      <c r="Q19" s="123" t="s">
        <v>349</v>
      </c>
      <c r="R19" s="123">
        <v>5</v>
      </c>
      <c r="S19" s="123" t="s">
        <v>348</v>
      </c>
      <c r="T19" s="123">
        <v>5</v>
      </c>
      <c r="U19" s="123" t="s">
        <v>348</v>
      </c>
      <c r="V19" s="123">
        <v>1</v>
      </c>
      <c r="W19" s="123" t="s">
        <v>348</v>
      </c>
      <c r="X19" s="125">
        <f t="shared" si="2"/>
        <v>0.77</v>
      </c>
      <c r="Y19" s="123">
        <v>4</v>
      </c>
      <c r="Z19" s="123" t="s">
        <v>347</v>
      </c>
      <c r="AA19" s="123">
        <v>4</v>
      </c>
      <c r="AB19" s="123" t="s">
        <v>347</v>
      </c>
      <c r="AC19" s="123">
        <v>4</v>
      </c>
      <c r="AD19" s="123" t="s">
        <v>347</v>
      </c>
      <c r="AE19" s="125">
        <f t="shared" si="3"/>
        <v>0.2</v>
      </c>
      <c r="AF19" s="99">
        <f t="shared" si="4"/>
        <v>77.400000000000006</v>
      </c>
      <c r="AG19" s="95" t="str">
        <f t="shared" si="5"/>
        <v>BUY</v>
      </c>
      <c r="AH19" s="95" t="str">
        <f t="shared" si="6"/>
        <v>OK</v>
      </c>
      <c r="AI19" s="95" t="str">
        <f t="shared" si="7"/>
        <v>OK</v>
      </c>
      <c r="AJ19" s="95" t="str">
        <f t="shared" si="8"/>
        <v>OK</v>
      </c>
      <c r="AK19" s="95" t="str">
        <f t="shared" si="9"/>
        <v>OK</v>
      </c>
      <c r="AL19" s="127" t="s">
        <v>358</v>
      </c>
      <c r="AM19" s="127" t="s">
        <v>370</v>
      </c>
      <c r="AN19" s="123"/>
      <c r="AO19" s="95"/>
      <c r="AP19" s="123" t="str">
        <f t="shared" si="10"/>
        <v/>
      </c>
      <c r="AQ19" s="123"/>
      <c r="AR19" s="95"/>
      <c r="AS19" s="131" t="str">
        <f t="shared" si="11"/>
        <v/>
      </c>
    </row>
    <row r="20" spans="1:45" ht="15" customHeight="1" x14ac:dyDescent="0.15">
      <c r="A20" s="64" t="s">
        <v>119</v>
      </c>
      <c r="B20" s="121" t="s">
        <v>120</v>
      </c>
      <c r="C20" s="122">
        <v>46278</v>
      </c>
      <c r="D20" s="123">
        <v>3</v>
      </c>
      <c r="E20" s="123" t="s">
        <v>347</v>
      </c>
      <c r="F20" s="123">
        <v>4</v>
      </c>
      <c r="G20" s="123" t="s">
        <v>347</v>
      </c>
      <c r="H20" s="123">
        <v>5</v>
      </c>
      <c r="I20" s="123" t="s">
        <v>348</v>
      </c>
      <c r="J20" s="123">
        <v>4</v>
      </c>
      <c r="K20" s="123" t="s">
        <v>347</v>
      </c>
      <c r="L20" s="123">
        <v>2</v>
      </c>
      <c r="M20" s="123" t="s">
        <v>347</v>
      </c>
      <c r="N20" s="124">
        <f t="shared" si="0"/>
        <v>3.6428571428571437</v>
      </c>
      <c r="O20" s="125">
        <f t="shared" si="1"/>
        <v>2.5500000000000003</v>
      </c>
      <c r="P20" s="123">
        <v>4</v>
      </c>
      <c r="Q20" s="123" t="s">
        <v>347</v>
      </c>
      <c r="R20" s="123">
        <v>5</v>
      </c>
      <c r="S20" s="123" t="s">
        <v>348</v>
      </c>
      <c r="T20" s="123">
        <v>3</v>
      </c>
      <c r="U20" s="123" t="s">
        <v>347</v>
      </c>
      <c r="V20" s="123">
        <v>3</v>
      </c>
      <c r="W20" s="123" t="s">
        <v>347</v>
      </c>
      <c r="X20" s="125">
        <f t="shared" si="2"/>
        <v>0.95</v>
      </c>
      <c r="Y20" s="123">
        <v>3</v>
      </c>
      <c r="Z20" s="123" t="s">
        <v>347</v>
      </c>
      <c r="AA20" s="123">
        <v>4</v>
      </c>
      <c r="AB20" s="123" t="s">
        <v>347</v>
      </c>
      <c r="AC20" s="123">
        <v>3</v>
      </c>
      <c r="AD20" s="123" t="s">
        <v>349</v>
      </c>
      <c r="AE20" s="125">
        <f t="shared" si="3"/>
        <v>0.17</v>
      </c>
      <c r="AF20" s="99">
        <f t="shared" si="4"/>
        <v>73.400000000000006</v>
      </c>
      <c r="AG20" s="95" t="str">
        <f t="shared" si="5"/>
        <v>BUY</v>
      </c>
      <c r="AH20" s="95" t="str">
        <f t="shared" si="6"/>
        <v>OK</v>
      </c>
      <c r="AI20" s="95" t="str">
        <f t="shared" si="7"/>
        <v>OK</v>
      </c>
      <c r="AJ20" s="95" t="str">
        <f t="shared" si="8"/>
        <v>OK</v>
      </c>
      <c r="AK20" s="95" t="str">
        <f t="shared" si="9"/>
        <v>OK</v>
      </c>
      <c r="AL20" s="127" t="s">
        <v>371</v>
      </c>
      <c r="AM20" s="127" t="s">
        <v>372</v>
      </c>
      <c r="AN20" s="128">
        <v>23059000000</v>
      </c>
      <c r="AO20" s="129">
        <v>20058000000</v>
      </c>
      <c r="AP20" s="123" t="str">
        <f t="shared" si="10"/>
        <v>OK</v>
      </c>
      <c r="AQ20" s="130">
        <v>1.167</v>
      </c>
      <c r="AR20" s="125">
        <v>1.115</v>
      </c>
      <c r="AS20" s="131" t="str">
        <f t="shared" si="11"/>
        <v>Increased</v>
      </c>
    </row>
    <row r="21" spans="1:45" ht="15" customHeight="1" outlineLevel="1" x14ac:dyDescent="0.15">
      <c r="A21" s="64" t="s">
        <v>264</v>
      </c>
      <c r="B21" s="121" t="s">
        <v>373</v>
      </c>
      <c r="C21" s="122">
        <v>46245</v>
      </c>
      <c r="D21" s="123">
        <v>1</v>
      </c>
      <c r="E21" s="123" t="s">
        <v>348</v>
      </c>
      <c r="F21" s="123">
        <v>3</v>
      </c>
      <c r="G21" s="123" t="s">
        <v>347</v>
      </c>
      <c r="H21" s="123">
        <v>4</v>
      </c>
      <c r="I21" s="123" t="s">
        <v>347</v>
      </c>
      <c r="J21" s="123">
        <v>4</v>
      </c>
      <c r="K21" s="123" t="s">
        <v>347</v>
      </c>
      <c r="L21" s="123">
        <v>1</v>
      </c>
      <c r="M21" s="123" t="s">
        <v>348</v>
      </c>
      <c r="N21" s="124">
        <f t="shared" si="0"/>
        <v>2.5</v>
      </c>
      <c r="O21" s="125">
        <f t="shared" si="1"/>
        <v>1.75</v>
      </c>
      <c r="P21" s="123"/>
      <c r="Q21" s="123"/>
      <c r="R21" s="123"/>
      <c r="S21" s="123"/>
      <c r="T21" s="123"/>
      <c r="U21" s="123"/>
      <c r="V21" s="123"/>
      <c r="W21" s="123"/>
      <c r="X21" s="125" t="str">
        <f t="shared" si="2"/>
        <v/>
      </c>
      <c r="Y21" s="123"/>
      <c r="Z21" s="123"/>
      <c r="AA21" s="123"/>
      <c r="AB21" s="123"/>
      <c r="AC21" s="123"/>
      <c r="AD21" s="123"/>
      <c r="AE21" s="125" t="str">
        <f t="shared" si="3"/>
        <v/>
      </c>
      <c r="AF21" s="99" t="str">
        <f t="shared" si="4"/>
        <v/>
      </c>
      <c r="AG21" s="95" t="str">
        <f t="shared" si="5"/>
        <v/>
      </c>
      <c r="AH21" s="95" t="str">
        <f t="shared" si="6"/>
        <v>FAIL</v>
      </c>
      <c r="AI21" s="95" t="str">
        <f t="shared" si="7"/>
        <v>REVIEW</v>
      </c>
      <c r="AJ21" s="95" t="str">
        <f t="shared" si="8"/>
        <v>AVOID</v>
      </c>
      <c r="AK21" s="95" t="str">
        <f t="shared" si="9"/>
        <v>OK</v>
      </c>
      <c r="AL21" s="127" t="s">
        <v>374</v>
      </c>
      <c r="AM21" s="127" t="s">
        <v>375</v>
      </c>
      <c r="AN21" s="123"/>
      <c r="AO21" s="95"/>
      <c r="AP21" s="123" t="str">
        <f t="shared" si="10"/>
        <v/>
      </c>
      <c r="AQ21" s="123"/>
      <c r="AR21" s="95"/>
      <c r="AS21" s="131" t="str">
        <f t="shared" si="11"/>
        <v/>
      </c>
    </row>
    <row r="22" spans="1:45" ht="15" customHeight="1" outlineLevel="1" x14ac:dyDescent="0.15">
      <c r="A22" s="64" t="s">
        <v>245</v>
      </c>
      <c r="B22" s="121" t="s">
        <v>376</v>
      </c>
      <c r="C22" s="122">
        <v>46245</v>
      </c>
      <c r="D22" s="123">
        <v>1</v>
      </c>
      <c r="E22" s="123" t="s">
        <v>348</v>
      </c>
      <c r="F22" s="123">
        <v>1</v>
      </c>
      <c r="G22" s="123" t="s">
        <v>348</v>
      </c>
      <c r="H22" s="123">
        <v>2</v>
      </c>
      <c r="I22" s="123" t="s">
        <v>347</v>
      </c>
      <c r="J22" s="123">
        <v>1</v>
      </c>
      <c r="K22" s="123" t="s">
        <v>348</v>
      </c>
      <c r="L22" s="123">
        <v>1</v>
      </c>
      <c r="M22" s="123" t="s">
        <v>348</v>
      </c>
      <c r="N22" s="124">
        <f t="shared" si="0"/>
        <v>1.2142857142857142</v>
      </c>
      <c r="O22" s="125">
        <f t="shared" si="1"/>
        <v>0.84999999999999987</v>
      </c>
      <c r="P22" s="123"/>
      <c r="Q22" s="123"/>
      <c r="R22" s="123"/>
      <c r="S22" s="123"/>
      <c r="T22" s="123"/>
      <c r="U22" s="123"/>
      <c r="V22" s="123"/>
      <c r="W22" s="123"/>
      <c r="X22" s="125" t="str">
        <f t="shared" si="2"/>
        <v/>
      </c>
      <c r="Y22" s="123"/>
      <c r="Z22" s="123"/>
      <c r="AA22" s="123"/>
      <c r="AB22" s="123"/>
      <c r="AC22" s="123"/>
      <c r="AD22" s="123"/>
      <c r="AE22" s="125" t="str">
        <f t="shared" si="3"/>
        <v/>
      </c>
      <c r="AF22" s="99" t="str">
        <f t="shared" si="4"/>
        <v/>
      </c>
      <c r="AG22" s="95" t="str">
        <f t="shared" si="5"/>
        <v/>
      </c>
      <c r="AH22" s="95" t="str">
        <f t="shared" si="6"/>
        <v>FAIL</v>
      </c>
      <c r="AI22" s="95" t="str">
        <f t="shared" si="7"/>
        <v>REVIEW</v>
      </c>
      <c r="AJ22" s="95" t="str">
        <f t="shared" si="8"/>
        <v>AVOID</v>
      </c>
      <c r="AK22" s="95" t="str">
        <f t="shared" si="9"/>
        <v>OK</v>
      </c>
      <c r="AL22" s="127" t="s">
        <v>377</v>
      </c>
      <c r="AM22" s="127" t="s">
        <v>378</v>
      </c>
      <c r="AN22" s="123"/>
      <c r="AO22" s="95"/>
      <c r="AP22" s="123" t="str">
        <f t="shared" si="10"/>
        <v/>
      </c>
      <c r="AQ22" s="123"/>
      <c r="AR22" s="95"/>
      <c r="AS22" s="131" t="str">
        <f t="shared" si="11"/>
        <v/>
      </c>
    </row>
    <row r="23" spans="1:45" ht="15" customHeight="1" x14ac:dyDescent="0.15">
      <c r="A23" s="64" t="s">
        <v>252</v>
      </c>
      <c r="B23" s="121" t="s">
        <v>379</v>
      </c>
      <c r="C23" s="122">
        <v>46276</v>
      </c>
      <c r="D23" s="123">
        <v>4</v>
      </c>
      <c r="E23" s="123" t="s">
        <v>347</v>
      </c>
      <c r="F23" s="123">
        <v>1</v>
      </c>
      <c r="G23" s="123" t="s">
        <v>347</v>
      </c>
      <c r="H23" s="123">
        <v>4</v>
      </c>
      <c r="I23" s="123" t="s">
        <v>347</v>
      </c>
      <c r="J23" s="123">
        <v>4</v>
      </c>
      <c r="K23" s="123" t="s">
        <v>347</v>
      </c>
      <c r="L23" s="123">
        <v>2</v>
      </c>
      <c r="M23" s="123" t="s">
        <v>347</v>
      </c>
      <c r="N23" s="124">
        <f t="shared" si="0"/>
        <v>3.0714285714285721</v>
      </c>
      <c r="O23" s="125">
        <f t="shared" si="1"/>
        <v>2.1500000000000004</v>
      </c>
      <c r="P23" s="123"/>
      <c r="Q23" s="123"/>
      <c r="R23" s="123"/>
      <c r="S23" s="123"/>
      <c r="T23" s="123"/>
      <c r="U23" s="123"/>
      <c r="V23" s="123"/>
      <c r="W23" s="123"/>
      <c r="X23" s="125" t="str">
        <f t="shared" si="2"/>
        <v/>
      </c>
      <c r="Y23" s="123"/>
      <c r="Z23" s="123"/>
      <c r="AA23" s="123"/>
      <c r="AB23" s="123"/>
      <c r="AC23" s="123"/>
      <c r="AD23" s="123"/>
      <c r="AE23" s="125" t="str">
        <f t="shared" si="3"/>
        <v/>
      </c>
      <c r="AF23" s="99" t="str">
        <f t="shared" si="4"/>
        <v/>
      </c>
      <c r="AG23" s="95" t="str">
        <f t="shared" si="5"/>
        <v/>
      </c>
      <c r="AH23" s="95" t="str">
        <f t="shared" si="6"/>
        <v>OK</v>
      </c>
      <c r="AI23" s="95" t="str">
        <f t="shared" si="7"/>
        <v>REVIEW</v>
      </c>
      <c r="AJ23" s="95" t="str">
        <f t="shared" si="8"/>
        <v>AVOID</v>
      </c>
      <c r="AK23" s="95" t="str">
        <f t="shared" si="9"/>
        <v>OK</v>
      </c>
      <c r="AL23" s="127" t="s">
        <v>377</v>
      </c>
      <c r="AM23" s="127" t="s">
        <v>380</v>
      </c>
      <c r="AN23" s="123"/>
      <c r="AO23" s="95"/>
      <c r="AP23" s="123" t="str">
        <f t="shared" si="10"/>
        <v/>
      </c>
      <c r="AQ23" s="123"/>
      <c r="AR23" s="95"/>
      <c r="AS23" s="131" t="str">
        <f t="shared" si="11"/>
        <v/>
      </c>
    </row>
    <row r="24" spans="1:45" ht="15" customHeight="1" outlineLevel="1" x14ac:dyDescent="0.15">
      <c r="A24" s="64" t="s">
        <v>260</v>
      </c>
      <c r="B24" s="121" t="s">
        <v>381</v>
      </c>
      <c r="C24" s="122">
        <v>46245</v>
      </c>
      <c r="D24" s="123">
        <v>2</v>
      </c>
      <c r="E24" s="123" t="s">
        <v>349</v>
      </c>
      <c r="F24" s="123">
        <v>2</v>
      </c>
      <c r="G24" s="123" t="s">
        <v>347</v>
      </c>
      <c r="H24" s="123">
        <v>3</v>
      </c>
      <c r="I24" s="123" t="s">
        <v>347</v>
      </c>
      <c r="J24" s="123">
        <v>2</v>
      </c>
      <c r="K24" s="123" t="s">
        <v>347</v>
      </c>
      <c r="L24" s="123">
        <v>1</v>
      </c>
      <c r="M24" s="123" t="s">
        <v>348</v>
      </c>
      <c r="N24" s="124">
        <f t="shared" si="0"/>
        <v>2.0714285714285716</v>
      </c>
      <c r="O24" s="125">
        <f t="shared" si="1"/>
        <v>1.45</v>
      </c>
      <c r="P24" s="123"/>
      <c r="Q24" s="123"/>
      <c r="R24" s="123"/>
      <c r="S24" s="123"/>
      <c r="T24" s="123"/>
      <c r="U24" s="123"/>
      <c r="V24" s="123"/>
      <c r="W24" s="123"/>
      <c r="X24" s="125" t="str">
        <f t="shared" si="2"/>
        <v/>
      </c>
      <c r="Y24" s="123"/>
      <c r="Z24" s="123"/>
      <c r="AA24" s="123"/>
      <c r="AB24" s="123"/>
      <c r="AC24" s="123"/>
      <c r="AD24" s="123"/>
      <c r="AE24" s="125" t="str">
        <f t="shared" si="3"/>
        <v/>
      </c>
      <c r="AF24" s="99" t="str">
        <f t="shared" si="4"/>
        <v/>
      </c>
      <c r="AG24" s="95" t="str">
        <f t="shared" si="5"/>
        <v/>
      </c>
      <c r="AH24" s="95" t="str">
        <f t="shared" si="6"/>
        <v>FAIL</v>
      </c>
      <c r="AI24" s="95" t="str">
        <f t="shared" si="7"/>
        <v>REVIEW</v>
      </c>
      <c r="AJ24" s="95" t="str">
        <f t="shared" si="8"/>
        <v>AVOID</v>
      </c>
      <c r="AK24" s="95" t="str">
        <f t="shared" si="9"/>
        <v>OK</v>
      </c>
      <c r="AL24" s="127" t="s">
        <v>377</v>
      </c>
      <c r="AM24" s="127" t="s">
        <v>382</v>
      </c>
      <c r="AN24" s="123"/>
      <c r="AO24" s="95"/>
      <c r="AP24" s="123" t="str">
        <f t="shared" si="10"/>
        <v/>
      </c>
      <c r="AQ24" s="123"/>
      <c r="AR24" s="95"/>
      <c r="AS24" s="131" t="str">
        <f t="shared" si="11"/>
        <v/>
      </c>
    </row>
    <row r="25" spans="1:45" ht="15" customHeight="1" outlineLevel="1" x14ac:dyDescent="0.15">
      <c r="A25" s="64" t="s">
        <v>269</v>
      </c>
      <c r="B25" s="121" t="s">
        <v>383</v>
      </c>
      <c r="C25" s="122">
        <v>46245</v>
      </c>
      <c r="D25" s="123">
        <v>3</v>
      </c>
      <c r="E25" s="123" t="s">
        <v>347</v>
      </c>
      <c r="F25" s="123">
        <v>2</v>
      </c>
      <c r="G25" s="123" t="s">
        <v>348</v>
      </c>
      <c r="H25" s="123">
        <v>3</v>
      </c>
      <c r="I25" s="123" t="s">
        <v>347</v>
      </c>
      <c r="J25" s="123">
        <v>3</v>
      </c>
      <c r="K25" s="123" t="s">
        <v>347</v>
      </c>
      <c r="L25" s="123">
        <v>2</v>
      </c>
      <c r="M25" s="123" t="s">
        <v>348</v>
      </c>
      <c r="N25" s="124">
        <f t="shared" si="0"/>
        <v>2.6428571428571432</v>
      </c>
      <c r="O25" s="125">
        <f t="shared" si="1"/>
        <v>1.85</v>
      </c>
      <c r="P25" s="123"/>
      <c r="Q25" s="123"/>
      <c r="R25" s="123"/>
      <c r="S25" s="123"/>
      <c r="T25" s="123"/>
      <c r="U25" s="123"/>
      <c r="V25" s="123"/>
      <c r="W25" s="123"/>
      <c r="X25" s="125" t="str">
        <f t="shared" si="2"/>
        <v/>
      </c>
      <c r="Y25" s="123"/>
      <c r="Z25" s="123"/>
      <c r="AA25" s="123"/>
      <c r="AB25" s="123"/>
      <c r="AC25" s="123"/>
      <c r="AD25" s="123"/>
      <c r="AE25" s="125" t="str">
        <f t="shared" si="3"/>
        <v/>
      </c>
      <c r="AF25" s="99" t="str">
        <f t="shared" si="4"/>
        <v/>
      </c>
      <c r="AG25" s="95" t="str">
        <f t="shared" si="5"/>
        <v/>
      </c>
      <c r="AH25" s="95" t="str">
        <f t="shared" si="6"/>
        <v>FAIL</v>
      </c>
      <c r="AI25" s="95" t="str">
        <f t="shared" si="7"/>
        <v>OK</v>
      </c>
      <c r="AJ25" s="95" t="str">
        <f t="shared" si="8"/>
        <v>AVOID</v>
      </c>
      <c r="AK25" s="95" t="str">
        <f t="shared" si="9"/>
        <v>OK</v>
      </c>
      <c r="AL25" s="127" t="s">
        <v>377</v>
      </c>
      <c r="AM25" s="127" t="s">
        <v>382</v>
      </c>
      <c r="AN25" s="123"/>
      <c r="AO25" s="95"/>
      <c r="AP25" s="123" t="str">
        <f t="shared" si="10"/>
        <v/>
      </c>
      <c r="AQ25" s="123"/>
      <c r="AR25" s="95"/>
      <c r="AS25" s="131" t="str">
        <f t="shared" si="11"/>
        <v/>
      </c>
    </row>
    <row r="26" spans="1:45" ht="15" customHeight="1" outlineLevel="1" x14ac:dyDescent="0.15">
      <c r="A26" s="64" t="s">
        <v>240</v>
      </c>
      <c r="B26" s="121" t="s">
        <v>384</v>
      </c>
      <c r="C26" s="122">
        <v>46245</v>
      </c>
      <c r="D26" s="123">
        <v>2</v>
      </c>
      <c r="E26" s="123" t="s">
        <v>347</v>
      </c>
      <c r="F26" s="123">
        <v>1</v>
      </c>
      <c r="G26" s="123" t="s">
        <v>348</v>
      </c>
      <c r="H26" s="123">
        <v>2</v>
      </c>
      <c r="I26" s="123" t="s">
        <v>347</v>
      </c>
      <c r="J26" s="123">
        <v>2</v>
      </c>
      <c r="K26" s="123" t="s">
        <v>347</v>
      </c>
      <c r="L26" s="123">
        <v>2</v>
      </c>
      <c r="M26" s="123" t="s">
        <v>347</v>
      </c>
      <c r="N26" s="124">
        <f t="shared" si="0"/>
        <v>1.7857142857142858</v>
      </c>
      <c r="O26" s="125">
        <f t="shared" si="1"/>
        <v>1.25</v>
      </c>
      <c r="P26" s="123"/>
      <c r="Q26" s="123"/>
      <c r="R26" s="123"/>
      <c r="S26" s="123"/>
      <c r="T26" s="123"/>
      <c r="U26" s="123"/>
      <c r="V26" s="123"/>
      <c r="W26" s="123"/>
      <c r="X26" s="125" t="str">
        <f t="shared" si="2"/>
        <v/>
      </c>
      <c r="Y26" s="123"/>
      <c r="Z26" s="123"/>
      <c r="AA26" s="123"/>
      <c r="AB26" s="123"/>
      <c r="AC26" s="123"/>
      <c r="AD26" s="123"/>
      <c r="AE26" s="125" t="str">
        <f t="shared" si="3"/>
        <v/>
      </c>
      <c r="AF26" s="99" t="str">
        <f t="shared" si="4"/>
        <v/>
      </c>
      <c r="AG26" s="95" t="str">
        <f t="shared" si="5"/>
        <v/>
      </c>
      <c r="AH26" s="95" t="str">
        <f t="shared" si="6"/>
        <v>FAIL</v>
      </c>
      <c r="AI26" s="95" t="str">
        <f t="shared" si="7"/>
        <v>REVIEW</v>
      </c>
      <c r="AJ26" s="95" t="str">
        <f t="shared" si="8"/>
        <v>AVOID</v>
      </c>
      <c r="AK26" s="95" t="str">
        <f t="shared" si="9"/>
        <v>OK</v>
      </c>
      <c r="AL26" s="127" t="s">
        <v>385</v>
      </c>
      <c r="AM26" s="127" t="s">
        <v>386</v>
      </c>
      <c r="AN26" s="123"/>
      <c r="AO26" s="95"/>
      <c r="AP26" s="123" t="str">
        <f t="shared" si="10"/>
        <v/>
      </c>
      <c r="AQ26" s="123"/>
      <c r="AR26" s="95"/>
      <c r="AS26" s="131" t="str">
        <f t="shared" si="11"/>
        <v/>
      </c>
    </row>
    <row r="27" spans="1:45" ht="15" customHeight="1" outlineLevel="1" x14ac:dyDescent="0.15">
      <c r="A27" s="64" t="s">
        <v>241</v>
      </c>
      <c r="B27" s="121" t="s">
        <v>387</v>
      </c>
      <c r="C27" s="122">
        <v>46245</v>
      </c>
      <c r="D27" s="123">
        <v>2</v>
      </c>
      <c r="E27" s="123" t="s">
        <v>348</v>
      </c>
      <c r="F27" s="123">
        <v>2</v>
      </c>
      <c r="G27" s="123" t="s">
        <v>347</v>
      </c>
      <c r="H27" s="123">
        <v>2</v>
      </c>
      <c r="I27" s="123" t="s">
        <v>347</v>
      </c>
      <c r="J27" s="123">
        <v>2</v>
      </c>
      <c r="K27" s="123" t="s">
        <v>347</v>
      </c>
      <c r="L27" s="123">
        <v>1</v>
      </c>
      <c r="M27" s="123" t="s">
        <v>348</v>
      </c>
      <c r="N27" s="124">
        <f t="shared" si="0"/>
        <v>1.8571428571428574</v>
      </c>
      <c r="O27" s="125">
        <f t="shared" si="1"/>
        <v>1.3</v>
      </c>
      <c r="P27" s="123"/>
      <c r="Q27" s="123"/>
      <c r="R27" s="123"/>
      <c r="S27" s="123"/>
      <c r="T27" s="123"/>
      <c r="U27" s="123"/>
      <c r="V27" s="123"/>
      <c r="W27" s="123"/>
      <c r="X27" s="125" t="str">
        <f t="shared" si="2"/>
        <v/>
      </c>
      <c r="Y27" s="123"/>
      <c r="Z27" s="123"/>
      <c r="AA27" s="123"/>
      <c r="AB27" s="123"/>
      <c r="AC27" s="123"/>
      <c r="AD27" s="123"/>
      <c r="AE27" s="125" t="str">
        <f t="shared" si="3"/>
        <v/>
      </c>
      <c r="AF27" s="99" t="str">
        <f t="shared" si="4"/>
        <v/>
      </c>
      <c r="AG27" s="95" t="str">
        <f t="shared" si="5"/>
        <v/>
      </c>
      <c r="AH27" s="95" t="str">
        <f t="shared" si="6"/>
        <v>FAIL</v>
      </c>
      <c r="AI27" s="95" t="str">
        <f t="shared" si="7"/>
        <v>REVIEW</v>
      </c>
      <c r="AJ27" s="95" t="str">
        <f t="shared" si="8"/>
        <v>AVOID</v>
      </c>
      <c r="AK27" s="95" t="str">
        <f t="shared" si="9"/>
        <v>OK</v>
      </c>
      <c r="AL27" s="127" t="s">
        <v>385</v>
      </c>
      <c r="AM27" s="127" t="s">
        <v>388</v>
      </c>
      <c r="AN27" s="123"/>
      <c r="AO27" s="95"/>
      <c r="AP27" s="123" t="str">
        <f t="shared" si="10"/>
        <v/>
      </c>
      <c r="AQ27" s="123"/>
      <c r="AR27" s="95"/>
      <c r="AS27" s="131" t="str">
        <f t="shared" si="11"/>
        <v/>
      </c>
    </row>
    <row r="28" spans="1:45" ht="15" customHeight="1" x14ac:dyDescent="0.15">
      <c r="A28" s="64" t="s">
        <v>262</v>
      </c>
      <c r="B28" s="121" t="s">
        <v>389</v>
      </c>
      <c r="C28" s="122">
        <v>46276</v>
      </c>
      <c r="D28" s="123">
        <v>2</v>
      </c>
      <c r="E28" s="123" t="s">
        <v>347</v>
      </c>
      <c r="F28" s="123">
        <v>2</v>
      </c>
      <c r="G28" s="123" t="s">
        <v>347</v>
      </c>
      <c r="H28" s="123">
        <v>5</v>
      </c>
      <c r="I28" s="123" t="s">
        <v>348</v>
      </c>
      <c r="J28" s="123">
        <v>5</v>
      </c>
      <c r="K28" s="123" t="s">
        <v>348</v>
      </c>
      <c r="L28" s="123">
        <v>2</v>
      </c>
      <c r="M28" s="123" t="s">
        <v>347</v>
      </c>
      <c r="N28" s="124">
        <f t="shared" si="0"/>
        <v>3.0714285714285716</v>
      </c>
      <c r="O28" s="95">
        <f t="shared" si="1"/>
        <v>2.15</v>
      </c>
      <c r="P28" s="123"/>
      <c r="Q28" s="123"/>
      <c r="R28" s="123"/>
      <c r="S28" s="123"/>
      <c r="T28" s="123"/>
      <c r="U28" s="123"/>
      <c r="V28" s="123"/>
      <c r="W28" s="123"/>
      <c r="X28" s="67" t="str">
        <f t="shared" si="2"/>
        <v/>
      </c>
      <c r="Y28" s="123"/>
      <c r="Z28" s="123"/>
      <c r="AA28" s="123"/>
      <c r="AB28" s="123"/>
      <c r="AC28" s="123"/>
      <c r="AD28" s="123"/>
      <c r="AE28" s="67" t="str">
        <f t="shared" si="3"/>
        <v/>
      </c>
      <c r="AF28" s="95" t="str">
        <f t="shared" si="4"/>
        <v/>
      </c>
      <c r="AG28" s="95" t="str">
        <f t="shared" si="5"/>
        <v/>
      </c>
      <c r="AH28" s="95" t="str">
        <f t="shared" si="6"/>
        <v>OK</v>
      </c>
      <c r="AI28" s="95" t="str">
        <f t="shared" si="7"/>
        <v>OK</v>
      </c>
      <c r="AJ28" s="95" t="str">
        <f t="shared" si="8"/>
        <v>AVOID</v>
      </c>
      <c r="AK28" s="95" t="str">
        <f t="shared" si="9"/>
        <v>OK</v>
      </c>
      <c r="AL28" s="127" t="s">
        <v>385</v>
      </c>
      <c r="AM28" s="127" t="s">
        <v>390</v>
      </c>
      <c r="AN28" s="123"/>
      <c r="AO28" s="95"/>
      <c r="AP28" s="123" t="str">
        <f t="shared" si="10"/>
        <v/>
      </c>
      <c r="AQ28" s="123"/>
      <c r="AR28" s="95"/>
      <c r="AS28" s="132" t="str">
        <f t="shared" si="11"/>
        <v/>
      </c>
    </row>
    <row r="29" spans="1:45" ht="15" customHeight="1" outlineLevel="1" x14ac:dyDescent="0.15">
      <c r="A29" s="64" t="s">
        <v>246</v>
      </c>
      <c r="B29" s="121" t="s">
        <v>391</v>
      </c>
      <c r="C29" s="122">
        <v>46245</v>
      </c>
      <c r="D29" s="123">
        <v>2</v>
      </c>
      <c r="E29" s="123" t="s">
        <v>347</v>
      </c>
      <c r="F29" s="123">
        <v>2</v>
      </c>
      <c r="G29" s="123" t="s">
        <v>347</v>
      </c>
      <c r="H29" s="123">
        <v>3</v>
      </c>
      <c r="I29" s="123" t="s">
        <v>347</v>
      </c>
      <c r="J29" s="123">
        <v>3</v>
      </c>
      <c r="K29" s="123" t="s">
        <v>347</v>
      </c>
      <c r="L29" s="123">
        <v>2</v>
      </c>
      <c r="M29" s="123" t="s">
        <v>348</v>
      </c>
      <c r="N29" s="124">
        <f t="shared" si="0"/>
        <v>2.3571428571428572</v>
      </c>
      <c r="O29" s="95">
        <f t="shared" si="1"/>
        <v>1.65</v>
      </c>
      <c r="P29" s="123"/>
      <c r="Q29" s="123"/>
      <c r="R29" s="123"/>
      <c r="S29" s="123"/>
      <c r="T29" s="123"/>
      <c r="U29" s="123"/>
      <c r="V29" s="123"/>
      <c r="W29" s="123"/>
      <c r="X29" s="67" t="str">
        <f t="shared" si="2"/>
        <v/>
      </c>
      <c r="Y29" s="123"/>
      <c r="Z29" s="123"/>
      <c r="AA29" s="123"/>
      <c r="AB29" s="123"/>
      <c r="AC29" s="123"/>
      <c r="AD29" s="123"/>
      <c r="AE29" s="67" t="str">
        <f t="shared" si="3"/>
        <v/>
      </c>
      <c r="AF29" s="95" t="str">
        <f t="shared" si="4"/>
        <v/>
      </c>
      <c r="AG29" s="95" t="str">
        <f t="shared" si="5"/>
        <v/>
      </c>
      <c r="AH29" s="95" t="str">
        <f t="shared" si="6"/>
        <v>FAIL</v>
      </c>
      <c r="AI29" s="95" t="str">
        <f t="shared" si="7"/>
        <v>OK</v>
      </c>
      <c r="AJ29" s="95" t="str">
        <f t="shared" si="8"/>
        <v>AVOID</v>
      </c>
      <c r="AK29" s="95" t="str">
        <f t="shared" si="9"/>
        <v>OK</v>
      </c>
      <c r="AL29" s="127" t="s">
        <v>358</v>
      </c>
      <c r="AM29" s="127" t="s">
        <v>392</v>
      </c>
      <c r="AN29" s="123"/>
      <c r="AO29" s="95"/>
      <c r="AP29" s="123" t="str">
        <f t="shared" si="10"/>
        <v/>
      </c>
      <c r="AQ29" s="123"/>
      <c r="AR29" s="95"/>
      <c r="AS29" s="132" t="str">
        <f t="shared" si="11"/>
        <v/>
      </c>
    </row>
    <row r="30" spans="1:45" ht="15" customHeight="1" outlineLevel="1" x14ac:dyDescent="0.15">
      <c r="A30" s="64" t="s">
        <v>250</v>
      </c>
      <c r="B30" s="121" t="s">
        <v>393</v>
      </c>
      <c r="C30" s="122">
        <v>46245</v>
      </c>
      <c r="D30" s="123">
        <v>2</v>
      </c>
      <c r="E30" s="123" t="s">
        <v>347</v>
      </c>
      <c r="F30" s="123">
        <v>1</v>
      </c>
      <c r="G30" s="123" t="s">
        <v>348</v>
      </c>
      <c r="H30" s="123">
        <v>3</v>
      </c>
      <c r="I30" s="123" t="s">
        <v>347</v>
      </c>
      <c r="J30" s="123">
        <v>2</v>
      </c>
      <c r="K30" s="123" t="s">
        <v>347</v>
      </c>
      <c r="L30" s="123">
        <v>3</v>
      </c>
      <c r="M30" s="123" t="s">
        <v>347</v>
      </c>
      <c r="N30" s="124">
        <f t="shared" si="0"/>
        <v>2.1428571428571428</v>
      </c>
      <c r="O30" s="95">
        <f t="shared" si="1"/>
        <v>1.5</v>
      </c>
      <c r="P30" s="123"/>
      <c r="Q30" s="123"/>
      <c r="R30" s="123"/>
      <c r="S30" s="123"/>
      <c r="T30" s="123"/>
      <c r="U30" s="123"/>
      <c r="V30" s="123"/>
      <c r="W30" s="123"/>
      <c r="X30" s="67" t="str">
        <f t="shared" si="2"/>
        <v/>
      </c>
      <c r="Y30" s="123"/>
      <c r="Z30" s="123"/>
      <c r="AA30" s="123"/>
      <c r="AB30" s="123"/>
      <c r="AC30" s="123"/>
      <c r="AD30" s="123"/>
      <c r="AE30" s="67" t="str">
        <f t="shared" si="3"/>
        <v/>
      </c>
      <c r="AF30" s="95" t="str">
        <f t="shared" si="4"/>
        <v/>
      </c>
      <c r="AG30" s="95" t="str">
        <f t="shared" si="5"/>
        <v/>
      </c>
      <c r="AH30" s="95" t="str">
        <f t="shared" si="6"/>
        <v>FAIL</v>
      </c>
      <c r="AI30" s="95" t="str">
        <f t="shared" si="7"/>
        <v>REVIEW</v>
      </c>
      <c r="AJ30" s="95" t="str">
        <f t="shared" si="8"/>
        <v>AVOID</v>
      </c>
      <c r="AK30" s="95" t="str">
        <f t="shared" si="9"/>
        <v>OK</v>
      </c>
      <c r="AL30" s="127" t="s">
        <v>358</v>
      </c>
      <c r="AM30" s="127" t="s">
        <v>394</v>
      </c>
      <c r="AN30" s="123"/>
      <c r="AO30" s="95"/>
      <c r="AP30" s="123" t="str">
        <f t="shared" si="10"/>
        <v/>
      </c>
      <c r="AQ30" s="123"/>
      <c r="AR30" s="95"/>
      <c r="AS30" s="132" t="str">
        <f t="shared" si="11"/>
        <v/>
      </c>
    </row>
    <row r="31" spans="1:45" ht="15" customHeight="1" outlineLevel="1" x14ac:dyDescent="0.15">
      <c r="A31" s="64" t="s">
        <v>259</v>
      </c>
      <c r="B31" s="121" t="s">
        <v>395</v>
      </c>
      <c r="C31" s="122">
        <v>46245</v>
      </c>
      <c r="D31" s="123">
        <v>1</v>
      </c>
      <c r="E31" s="123" t="s">
        <v>348</v>
      </c>
      <c r="F31" s="123">
        <v>2</v>
      </c>
      <c r="G31" s="123" t="s">
        <v>347</v>
      </c>
      <c r="H31" s="123">
        <v>3</v>
      </c>
      <c r="I31" s="123" t="s">
        <v>347</v>
      </c>
      <c r="J31" s="123">
        <v>3</v>
      </c>
      <c r="K31" s="123" t="s">
        <v>347</v>
      </c>
      <c r="L31" s="123">
        <v>1</v>
      </c>
      <c r="M31" s="123" t="s">
        <v>348</v>
      </c>
      <c r="N31" s="124">
        <f t="shared" si="0"/>
        <v>1.9285714285714288</v>
      </c>
      <c r="O31" s="95">
        <f t="shared" si="1"/>
        <v>1.35</v>
      </c>
      <c r="P31" s="123"/>
      <c r="Q31" s="123"/>
      <c r="R31" s="123"/>
      <c r="S31" s="123"/>
      <c r="T31" s="123"/>
      <c r="U31" s="123"/>
      <c r="V31" s="123"/>
      <c r="W31" s="123"/>
      <c r="X31" s="67" t="str">
        <f t="shared" si="2"/>
        <v/>
      </c>
      <c r="Y31" s="123"/>
      <c r="Z31" s="123"/>
      <c r="AA31" s="123"/>
      <c r="AB31" s="123"/>
      <c r="AC31" s="123"/>
      <c r="AD31" s="123"/>
      <c r="AE31" s="67" t="str">
        <f t="shared" si="3"/>
        <v/>
      </c>
      <c r="AF31" s="95" t="str">
        <f t="shared" si="4"/>
        <v/>
      </c>
      <c r="AG31" s="95" t="str">
        <f t="shared" si="5"/>
        <v/>
      </c>
      <c r="AH31" s="95" t="str">
        <f t="shared" si="6"/>
        <v>FAIL</v>
      </c>
      <c r="AI31" s="95" t="str">
        <f t="shared" si="7"/>
        <v>REVIEW</v>
      </c>
      <c r="AJ31" s="95" t="str">
        <f t="shared" si="8"/>
        <v>AVOID</v>
      </c>
      <c r="AK31" s="95" t="str">
        <f t="shared" si="9"/>
        <v>OK</v>
      </c>
      <c r="AL31" s="127" t="s">
        <v>358</v>
      </c>
      <c r="AM31" s="127" t="s">
        <v>396</v>
      </c>
      <c r="AN31" s="123"/>
      <c r="AO31" s="95"/>
      <c r="AP31" s="123" t="str">
        <f t="shared" si="10"/>
        <v/>
      </c>
      <c r="AQ31" s="123"/>
      <c r="AR31" s="95"/>
      <c r="AS31" s="132" t="str">
        <f t="shared" si="11"/>
        <v/>
      </c>
    </row>
    <row r="32" spans="1:45" ht="15" customHeight="1" x14ac:dyDescent="0.15">
      <c r="A32" s="64" t="s">
        <v>273</v>
      </c>
      <c r="B32" s="121" t="s">
        <v>397</v>
      </c>
      <c r="C32" s="122">
        <v>46278</v>
      </c>
      <c r="D32" s="123">
        <v>4</v>
      </c>
      <c r="E32" s="123" t="s">
        <v>347</v>
      </c>
      <c r="F32" s="123">
        <v>3</v>
      </c>
      <c r="G32" s="123" t="s">
        <v>347</v>
      </c>
      <c r="H32" s="123">
        <v>5</v>
      </c>
      <c r="I32" s="123" t="s">
        <v>348</v>
      </c>
      <c r="J32" s="123">
        <v>4</v>
      </c>
      <c r="K32" s="123" t="s">
        <v>347</v>
      </c>
      <c r="L32" s="123">
        <v>4</v>
      </c>
      <c r="M32" s="123" t="s">
        <v>347</v>
      </c>
      <c r="N32" s="124">
        <f t="shared" si="0"/>
        <v>4</v>
      </c>
      <c r="O32" s="95">
        <f t="shared" si="1"/>
        <v>2.8</v>
      </c>
      <c r="P32" s="123"/>
      <c r="Q32" s="123"/>
      <c r="R32" s="123"/>
      <c r="S32" s="123"/>
      <c r="T32" s="123"/>
      <c r="U32" s="123"/>
      <c r="V32" s="123"/>
      <c r="W32" s="123"/>
      <c r="X32" s="67" t="str">
        <f t="shared" si="2"/>
        <v/>
      </c>
      <c r="Y32" s="123"/>
      <c r="Z32" s="123"/>
      <c r="AA32" s="123"/>
      <c r="AB32" s="123"/>
      <c r="AC32" s="123"/>
      <c r="AD32" s="123"/>
      <c r="AE32" s="67" t="str">
        <f t="shared" si="3"/>
        <v/>
      </c>
      <c r="AF32" s="95" t="str">
        <f t="shared" si="4"/>
        <v/>
      </c>
      <c r="AG32" s="95" t="str">
        <f t="shared" si="5"/>
        <v/>
      </c>
      <c r="AH32" s="95" t="str">
        <f t="shared" si="6"/>
        <v>OK</v>
      </c>
      <c r="AI32" s="95" t="str">
        <f t="shared" si="7"/>
        <v>OK</v>
      </c>
      <c r="AJ32" s="95" t="str">
        <f t="shared" si="8"/>
        <v>OK</v>
      </c>
      <c r="AK32" s="95" t="str">
        <f t="shared" si="9"/>
        <v>OK</v>
      </c>
      <c r="AL32" s="127" t="s">
        <v>358</v>
      </c>
      <c r="AM32" s="127" t="s">
        <v>394</v>
      </c>
      <c r="AN32" s="123"/>
      <c r="AO32" s="95"/>
      <c r="AP32" s="123" t="str">
        <f t="shared" si="10"/>
        <v/>
      </c>
      <c r="AQ32" s="123"/>
      <c r="AR32" s="95"/>
      <c r="AS32" s="132" t="str">
        <f t="shared" si="11"/>
        <v/>
      </c>
    </row>
    <row r="33" spans="1:45" ht="15" customHeight="1" x14ac:dyDescent="0.15">
      <c r="A33" s="64" t="s">
        <v>242</v>
      </c>
      <c r="B33" s="121" t="s">
        <v>398</v>
      </c>
      <c r="C33" s="122">
        <v>46245</v>
      </c>
      <c r="D33" s="123">
        <v>4</v>
      </c>
      <c r="E33" s="123" t="s">
        <v>348</v>
      </c>
      <c r="F33" s="123">
        <v>4</v>
      </c>
      <c r="G33" s="123" t="s">
        <v>348</v>
      </c>
      <c r="H33" s="123">
        <v>4</v>
      </c>
      <c r="I33" s="123" t="s">
        <v>348</v>
      </c>
      <c r="J33" s="123">
        <v>3</v>
      </c>
      <c r="K33" s="123" t="s">
        <v>347</v>
      </c>
      <c r="L33" s="123">
        <v>3</v>
      </c>
      <c r="M33" s="123" t="s">
        <v>348</v>
      </c>
      <c r="N33" s="124">
        <f t="shared" si="0"/>
        <v>3.714285714285714</v>
      </c>
      <c r="O33" s="95">
        <f t="shared" si="1"/>
        <v>2.5999999999999996</v>
      </c>
      <c r="P33" s="123"/>
      <c r="Q33" s="123"/>
      <c r="R33" s="123"/>
      <c r="S33" s="123"/>
      <c r="T33" s="123"/>
      <c r="U33" s="123"/>
      <c r="V33" s="123"/>
      <c r="W33" s="123"/>
      <c r="X33" s="67" t="str">
        <f t="shared" si="2"/>
        <v/>
      </c>
      <c r="Y33" s="123"/>
      <c r="Z33" s="123"/>
      <c r="AA33" s="123"/>
      <c r="AB33" s="123"/>
      <c r="AC33" s="123"/>
      <c r="AD33" s="123"/>
      <c r="AE33" s="67" t="str">
        <f t="shared" si="3"/>
        <v/>
      </c>
      <c r="AF33" s="95" t="str">
        <f t="shared" si="4"/>
        <v/>
      </c>
      <c r="AG33" s="95" t="str">
        <f t="shared" si="5"/>
        <v/>
      </c>
      <c r="AH33" s="95" t="str">
        <f t="shared" si="6"/>
        <v>OK</v>
      </c>
      <c r="AI33" s="95" t="str">
        <f t="shared" si="7"/>
        <v>OK</v>
      </c>
      <c r="AJ33" s="95" t="str">
        <f t="shared" si="8"/>
        <v>OK</v>
      </c>
      <c r="AK33" s="95" t="str">
        <f t="shared" si="9"/>
        <v>OK</v>
      </c>
      <c r="AL33" s="127" t="s">
        <v>360</v>
      </c>
      <c r="AM33" s="127" t="s">
        <v>399</v>
      </c>
      <c r="AN33" s="123"/>
      <c r="AO33" s="95"/>
      <c r="AP33" s="123" t="str">
        <f t="shared" si="10"/>
        <v/>
      </c>
      <c r="AQ33" s="123"/>
      <c r="AR33" s="95"/>
      <c r="AS33" s="132" t="str">
        <f t="shared" si="11"/>
        <v/>
      </c>
    </row>
    <row r="34" spans="1:45" ht="15" customHeight="1" x14ac:dyDescent="0.15">
      <c r="A34" s="64" t="s">
        <v>249</v>
      </c>
      <c r="B34" s="121" t="s">
        <v>400</v>
      </c>
      <c r="C34" s="122">
        <v>46278</v>
      </c>
      <c r="D34" s="123">
        <v>5</v>
      </c>
      <c r="E34" s="123" t="s">
        <v>347</v>
      </c>
      <c r="F34" s="123">
        <v>2</v>
      </c>
      <c r="G34" s="123" t="s">
        <v>347</v>
      </c>
      <c r="H34" s="123">
        <v>5</v>
      </c>
      <c r="I34" s="123" t="s">
        <v>348</v>
      </c>
      <c r="J34" s="123">
        <v>4</v>
      </c>
      <c r="K34" s="123" t="s">
        <v>348</v>
      </c>
      <c r="L34" s="123">
        <v>3</v>
      </c>
      <c r="M34" s="123" t="s">
        <v>347</v>
      </c>
      <c r="N34" s="124">
        <f t="shared" si="0"/>
        <v>3.9285714285714288</v>
      </c>
      <c r="O34" s="95">
        <f t="shared" si="1"/>
        <v>2.75</v>
      </c>
      <c r="P34" s="123"/>
      <c r="Q34" s="123"/>
      <c r="R34" s="123"/>
      <c r="S34" s="123"/>
      <c r="T34" s="123"/>
      <c r="U34" s="123"/>
      <c r="V34" s="123"/>
      <c r="W34" s="123"/>
      <c r="X34" s="67" t="str">
        <f t="shared" si="2"/>
        <v/>
      </c>
      <c r="Y34" s="123"/>
      <c r="Z34" s="123"/>
      <c r="AA34" s="123"/>
      <c r="AB34" s="123"/>
      <c r="AC34" s="123"/>
      <c r="AD34" s="123"/>
      <c r="AE34" s="67" t="str">
        <f t="shared" si="3"/>
        <v/>
      </c>
      <c r="AF34" s="95" t="str">
        <f t="shared" si="4"/>
        <v/>
      </c>
      <c r="AG34" s="95" t="str">
        <f t="shared" si="5"/>
        <v/>
      </c>
      <c r="AH34" s="95" t="str">
        <f t="shared" si="6"/>
        <v>OK</v>
      </c>
      <c r="AI34" s="95" t="str">
        <f t="shared" si="7"/>
        <v>OK</v>
      </c>
      <c r="AJ34" s="95" t="str">
        <f t="shared" si="8"/>
        <v>OK</v>
      </c>
      <c r="AK34" s="95" t="str">
        <f t="shared" si="9"/>
        <v>OK</v>
      </c>
      <c r="AL34" s="127" t="s">
        <v>360</v>
      </c>
      <c r="AM34" s="127" t="s">
        <v>399</v>
      </c>
      <c r="AN34" s="123"/>
      <c r="AO34" s="95"/>
      <c r="AP34" s="123" t="str">
        <f t="shared" si="10"/>
        <v/>
      </c>
      <c r="AQ34" s="123"/>
      <c r="AR34" s="95"/>
      <c r="AS34" s="132" t="str">
        <f t="shared" si="11"/>
        <v/>
      </c>
    </row>
    <row r="35" spans="1:45" ht="15" customHeight="1" outlineLevel="1" x14ac:dyDescent="0.15">
      <c r="A35" s="64" t="s">
        <v>277</v>
      </c>
      <c r="B35" s="121" t="s">
        <v>401</v>
      </c>
      <c r="C35" s="122">
        <v>46245</v>
      </c>
      <c r="D35" s="123">
        <v>1</v>
      </c>
      <c r="E35" s="123" t="s">
        <v>348</v>
      </c>
      <c r="F35" s="123">
        <v>1</v>
      </c>
      <c r="G35" s="123" t="s">
        <v>348</v>
      </c>
      <c r="H35" s="123">
        <v>2</v>
      </c>
      <c r="I35" s="123" t="s">
        <v>347</v>
      </c>
      <c r="J35" s="123">
        <v>2</v>
      </c>
      <c r="K35" s="123" t="s">
        <v>347</v>
      </c>
      <c r="L35" s="123">
        <v>1</v>
      </c>
      <c r="M35" s="123" t="s">
        <v>348</v>
      </c>
      <c r="N35" s="124">
        <f t="shared" ref="N35:N60" si="12">IF(COUNT(D35,F35,H35,J35,L35)=0,"",(D35*0.2+F35*0.15+H35*0.15+J35*0.1+L35*0.1)/(IF(D35&lt;&gt;"",0.2,0)+IF(F35&lt;&gt;"",0.15,0)+IF(H35&lt;&gt;"",0.15,0)+IF(J35&lt;&gt;"",0.1,0)+IF(L35&lt;&gt;"",0.1,0)))</f>
        <v>1.357142857142857</v>
      </c>
      <c r="O35" s="95">
        <f t="shared" ref="O35:O60" si="13">IF(COUNT(D35,F35,H35,J35,L35)=0,"",D35*0.2+F35*0.15+H35*0.15+J35*0.1+L35*0.1)</f>
        <v>0.94999999999999984</v>
      </c>
      <c r="P35" s="123"/>
      <c r="Q35" s="123"/>
      <c r="R35" s="123"/>
      <c r="S35" s="123"/>
      <c r="T35" s="123"/>
      <c r="U35" s="123"/>
      <c r="V35" s="123"/>
      <c r="W35" s="123"/>
      <c r="X35" s="67" t="str">
        <f t="shared" ref="X35:X60" si="14">IF(COUNT(P35,R35,T35,V35)=0,"",P35*0.08+R35*0.06+T35*0.03+V35*0.08)</f>
        <v/>
      </c>
      <c r="Y35" s="123"/>
      <c r="Z35" s="123"/>
      <c r="AA35" s="123"/>
      <c r="AB35" s="123"/>
      <c r="AC35" s="123"/>
      <c r="AD35" s="123"/>
      <c r="AE35" s="67" t="str">
        <f t="shared" ref="AE35:AE60" si="15">IF(COUNT(Y35,AA35,AC35)=0,"",Y35*0.02+AA35*0.02+AC35*0.01)</f>
        <v/>
      </c>
      <c r="AF35" s="95" t="str">
        <f t="shared" ref="AF35:AF66" si="16">IF(OR(COUNT(D35,F35,H35,J35,L35)&lt;5,COUNT(P35,R35,T35,V35)&lt;4,COUNT(Y35,AA35,AC35)&lt;3),"",(O35+X35+AE35)*20)</f>
        <v/>
      </c>
      <c r="AG35" s="95" t="str">
        <f t="shared" ref="AG35:AG66" si="17">IF(AF35="","",IF(AJ35="AVOID","AVOID",IF(AF35&gt;=80,IF(AH35="FAIL","WATCH LIST",IF(AK35="CAP AT BUY","BUY","STRONG BUY")),IF(AF35&gt;=65,IF(AH35="FAIL","WATCH LIST","BUY"),IF(AF35&gt;=50,"WATCH LIST",IF(AF35&gt;=35,"AVOID","PASS"))))))</f>
        <v/>
      </c>
      <c r="AH35" s="95" t="str">
        <f t="shared" ref="AH35:AH60" si="18">IF(N35="","",IF(N35&lt;3,"FAIL","OK"))</f>
        <v>FAIL</v>
      </c>
      <c r="AI35" s="95" t="str">
        <f t="shared" ref="AI35:AI60" si="19">IF(COUNT(D35:L35)=0,"",IF(COUNTIF(D35:L35,1)&gt;0,"REVIEW","OK"))</f>
        <v>REVIEW</v>
      </c>
      <c r="AJ35" s="95" t="str">
        <f t="shared" ref="AJ35:AJ60" si="20">IF(COUNT(D35:L35)=0,"",IF(COUNTIF(D35:L35,"&lt;=2")&gt;=2,"AVOID","OK"))</f>
        <v>AVOID</v>
      </c>
      <c r="AK35" s="95" t="str">
        <f t="shared" ref="AK35:AK60" si="21">IF(COUNTA(E35:M35)=0,"",IF(COUNTIF(E35:M35,"L")&gt;=2,"CAP AT BUY","OK"))</f>
        <v>OK</v>
      </c>
      <c r="AL35" s="127" t="s">
        <v>360</v>
      </c>
      <c r="AM35" s="127" t="s">
        <v>399</v>
      </c>
      <c r="AN35" s="123"/>
      <c r="AO35" s="95"/>
      <c r="AP35" s="123" t="str">
        <f t="shared" ref="AP35:AP66" si="22">IF(OR(AN35="",AO35=""),"",IF(AN35&gt;AO35,"OK","LOW CONF"))</f>
        <v/>
      </c>
      <c r="AQ35" s="123"/>
      <c r="AR35" s="95"/>
      <c r="AS35" s="132" t="str">
        <f t="shared" ref="AS35:AS66" si="23">IF(OR(AQ35="",AR35=""),"",IF(AQ35&lt;AR35,"Decreased",IF(AQ35&gt;AR35,"Increased","Flat")))</f>
        <v/>
      </c>
    </row>
    <row r="36" spans="1:45" ht="15" customHeight="1" x14ac:dyDescent="0.15">
      <c r="A36" s="64" t="s">
        <v>283</v>
      </c>
      <c r="B36" s="121" t="s">
        <v>402</v>
      </c>
      <c r="C36" s="122">
        <v>46278</v>
      </c>
      <c r="D36" s="123">
        <v>4</v>
      </c>
      <c r="E36" s="123" t="s">
        <v>347</v>
      </c>
      <c r="F36" s="123">
        <v>3</v>
      </c>
      <c r="G36" s="123" t="s">
        <v>347</v>
      </c>
      <c r="H36" s="123">
        <v>4</v>
      </c>
      <c r="I36" s="123" t="s">
        <v>347</v>
      </c>
      <c r="J36" s="123">
        <v>4</v>
      </c>
      <c r="K36" s="123" t="s">
        <v>348</v>
      </c>
      <c r="L36" s="123">
        <v>4</v>
      </c>
      <c r="M36" s="123" t="s">
        <v>347</v>
      </c>
      <c r="N36" s="124">
        <f t="shared" si="12"/>
        <v>3.785714285714286</v>
      </c>
      <c r="O36" s="95">
        <f t="shared" si="13"/>
        <v>2.65</v>
      </c>
      <c r="P36" s="123"/>
      <c r="Q36" s="123"/>
      <c r="R36" s="123"/>
      <c r="S36" s="123"/>
      <c r="T36" s="123"/>
      <c r="U36" s="123"/>
      <c r="V36" s="123"/>
      <c r="W36" s="123"/>
      <c r="X36" s="67" t="str">
        <f t="shared" si="14"/>
        <v/>
      </c>
      <c r="Y36" s="123"/>
      <c r="Z36" s="123"/>
      <c r="AA36" s="123"/>
      <c r="AB36" s="123"/>
      <c r="AC36" s="123"/>
      <c r="AD36" s="123"/>
      <c r="AE36" s="67" t="str">
        <f t="shared" si="15"/>
        <v/>
      </c>
      <c r="AF36" s="95" t="str">
        <f t="shared" si="16"/>
        <v/>
      </c>
      <c r="AG36" s="95" t="str">
        <f t="shared" si="17"/>
        <v/>
      </c>
      <c r="AH36" s="95" t="str">
        <f t="shared" si="18"/>
        <v>OK</v>
      </c>
      <c r="AI36" s="95" t="str">
        <f t="shared" si="19"/>
        <v>OK</v>
      </c>
      <c r="AJ36" s="95" t="str">
        <f t="shared" si="20"/>
        <v>OK</v>
      </c>
      <c r="AK36" s="95" t="str">
        <f t="shared" si="21"/>
        <v>OK</v>
      </c>
      <c r="AL36" s="127" t="s">
        <v>360</v>
      </c>
      <c r="AM36" s="127" t="s">
        <v>399</v>
      </c>
      <c r="AN36" s="123"/>
      <c r="AO36" s="95"/>
      <c r="AP36" s="123" t="str">
        <f t="shared" si="22"/>
        <v/>
      </c>
      <c r="AQ36" s="123"/>
      <c r="AR36" s="95"/>
      <c r="AS36" s="132" t="str">
        <f t="shared" si="23"/>
        <v/>
      </c>
    </row>
    <row r="37" spans="1:45" ht="15" customHeight="1" outlineLevel="1" x14ac:dyDescent="0.15">
      <c r="A37" s="64" t="s">
        <v>266</v>
      </c>
      <c r="B37" s="121" t="s">
        <v>403</v>
      </c>
      <c r="C37" s="122">
        <v>46246</v>
      </c>
      <c r="D37" s="123">
        <v>1</v>
      </c>
      <c r="E37" s="123" t="s">
        <v>348</v>
      </c>
      <c r="F37" s="123">
        <v>1</v>
      </c>
      <c r="G37" s="123" t="s">
        <v>348</v>
      </c>
      <c r="H37" s="123">
        <v>3</v>
      </c>
      <c r="I37" s="123" t="s">
        <v>347</v>
      </c>
      <c r="J37" s="123">
        <v>2</v>
      </c>
      <c r="K37" s="123" t="s">
        <v>347</v>
      </c>
      <c r="L37" s="123">
        <v>1</v>
      </c>
      <c r="M37" s="123" t="s">
        <v>348</v>
      </c>
      <c r="N37" s="124">
        <f t="shared" si="12"/>
        <v>1.5714285714285716</v>
      </c>
      <c r="O37" s="95">
        <f t="shared" si="13"/>
        <v>1.1000000000000001</v>
      </c>
      <c r="P37" s="123"/>
      <c r="Q37" s="123"/>
      <c r="R37" s="123"/>
      <c r="S37" s="123"/>
      <c r="T37" s="123"/>
      <c r="U37" s="123"/>
      <c r="V37" s="123"/>
      <c r="W37" s="123"/>
      <c r="X37" s="67" t="str">
        <f t="shared" si="14"/>
        <v/>
      </c>
      <c r="Y37" s="123"/>
      <c r="Z37" s="123"/>
      <c r="AA37" s="123"/>
      <c r="AB37" s="123"/>
      <c r="AC37" s="123"/>
      <c r="AD37" s="123"/>
      <c r="AE37" s="67" t="str">
        <f t="shared" si="15"/>
        <v/>
      </c>
      <c r="AF37" s="95" t="str">
        <f t="shared" si="16"/>
        <v/>
      </c>
      <c r="AG37" s="95" t="str">
        <f t="shared" si="17"/>
        <v/>
      </c>
      <c r="AH37" s="95" t="str">
        <f t="shared" si="18"/>
        <v>FAIL</v>
      </c>
      <c r="AI37" s="95" t="str">
        <f t="shared" si="19"/>
        <v>REVIEW</v>
      </c>
      <c r="AJ37" s="95" t="str">
        <f t="shared" si="20"/>
        <v>AVOID</v>
      </c>
      <c r="AK37" s="95" t="str">
        <f t="shared" si="21"/>
        <v>OK</v>
      </c>
      <c r="AL37" s="127" t="s">
        <v>360</v>
      </c>
      <c r="AM37" s="127" t="s">
        <v>361</v>
      </c>
      <c r="AN37" s="123"/>
      <c r="AO37" s="95"/>
      <c r="AP37" s="123" t="str">
        <f t="shared" si="22"/>
        <v/>
      </c>
      <c r="AQ37" s="123"/>
      <c r="AR37" s="95"/>
      <c r="AS37" s="132" t="str">
        <f t="shared" si="23"/>
        <v/>
      </c>
    </row>
    <row r="38" spans="1:45" ht="15" customHeight="1" outlineLevel="1" x14ac:dyDescent="0.15">
      <c r="A38" s="64" t="s">
        <v>281</v>
      </c>
      <c r="B38" s="121" t="s">
        <v>404</v>
      </c>
      <c r="C38" s="122">
        <v>46246</v>
      </c>
      <c r="D38" s="123">
        <v>3</v>
      </c>
      <c r="E38" s="123" t="s">
        <v>347</v>
      </c>
      <c r="F38" s="123">
        <v>3</v>
      </c>
      <c r="G38" s="123" t="s">
        <v>347</v>
      </c>
      <c r="H38" s="123">
        <v>3</v>
      </c>
      <c r="I38" s="123" t="s">
        <v>347</v>
      </c>
      <c r="J38" s="123">
        <v>2</v>
      </c>
      <c r="K38" s="123" t="s">
        <v>347</v>
      </c>
      <c r="L38" s="123">
        <v>3</v>
      </c>
      <c r="M38" s="123" t="s">
        <v>347</v>
      </c>
      <c r="N38" s="124">
        <f t="shared" si="12"/>
        <v>2.8571428571428572</v>
      </c>
      <c r="O38" s="95">
        <f t="shared" si="13"/>
        <v>2</v>
      </c>
      <c r="P38" s="123"/>
      <c r="Q38" s="123"/>
      <c r="R38" s="123"/>
      <c r="S38" s="123"/>
      <c r="T38" s="123"/>
      <c r="U38" s="123"/>
      <c r="V38" s="123"/>
      <c r="W38" s="123"/>
      <c r="X38" s="67" t="str">
        <f t="shared" si="14"/>
        <v/>
      </c>
      <c r="Y38" s="123"/>
      <c r="Z38" s="123"/>
      <c r="AA38" s="123"/>
      <c r="AB38" s="123"/>
      <c r="AC38" s="123"/>
      <c r="AD38" s="123"/>
      <c r="AE38" s="67" t="str">
        <f t="shared" si="15"/>
        <v/>
      </c>
      <c r="AF38" s="95" t="str">
        <f t="shared" si="16"/>
        <v/>
      </c>
      <c r="AG38" s="95" t="str">
        <f t="shared" si="17"/>
        <v/>
      </c>
      <c r="AH38" s="95" t="str">
        <f t="shared" si="18"/>
        <v>FAIL</v>
      </c>
      <c r="AI38" s="95" t="str">
        <f t="shared" si="19"/>
        <v>OK</v>
      </c>
      <c r="AJ38" s="95" t="str">
        <f t="shared" si="20"/>
        <v>OK</v>
      </c>
      <c r="AK38" s="95" t="str">
        <f t="shared" si="21"/>
        <v>OK</v>
      </c>
      <c r="AL38" s="127" t="s">
        <v>360</v>
      </c>
      <c r="AM38" s="127" t="s">
        <v>405</v>
      </c>
      <c r="AN38" s="123"/>
      <c r="AO38" s="95"/>
      <c r="AP38" s="123" t="str">
        <f t="shared" si="22"/>
        <v/>
      </c>
      <c r="AQ38" s="123"/>
      <c r="AR38" s="95"/>
      <c r="AS38" s="132" t="str">
        <f t="shared" si="23"/>
        <v/>
      </c>
    </row>
    <row r="39" spans="1:45" ht="15" customHeight="1" outlineLevel="1" x14ac:dyDescent="0.15">
      <c r="A39" s="64" t="s">
        <v>258</v>
      </c>
      <c r="B39" s="121" t="s">
        <v>406</v>
      </c>
      <c r="C39" s="122">
        <v>46246</v>
      </c>
      <c r="D39" s="123">
        <v>2</v>
      </c>
      <c r="E39" s="123" t="s">
        <v>349</v>
      </c>
      <c r="F39" s="123">
        <v>4</v>
      </c>
      <c r="G39" s="123" t="s">
        <v>348</v>
      </c>
      <c r="H39" s="123">
        <v>3</v>
      </c>
      <c r="I39" s="123" t="s">
        <v>347</v>
      </c>
      <c r="J39" s="123">
        <v>2</v>
      </c>
      <c r="K39" s="123" t="s">
        <v>347</v>
      </c>
      <c r="L39" s="123">
        <v>1</v>
      </c>
      <c r="M39" s="123" t="s">
        <v>348</v>
      </c>
      <c r="N39" s="124">
        <f t="shared" si="12"/>
        <v>2.5</v>
      </c>
      <c r="O39" s="95">
        <f t="shared" si="13"/>
        <v>1.75</v>
      </c>
      <c r="P39" s="123"/>
      <c r="Q39" s="123"/>
      <c r="R39" s="123"/>
      <c r="S39" s="123"/>
      <c r="T39" s="123"/>
      <c r="U39" s="123"/>
      <c r="V39" s="123"/>
      <c r="W39" s="123"/>
      <c r="X39" s="67" t="str">
        <f t="shared" si="14"/>
        <v/>
      </c>
      <c r="Y39" s="123"/>
      <c r="Z39" s="123"/>
      <c r="AA39" s="123"/>
      <c r="AB39" s="123"/>
      <c r="AC39" s="123"/>
      <c r="AD39" s="123"/>
      <c r="AE39" s="67" t="str">
        <f t="shared" si="15"/>
        <v/>
      </c>
      <c r="AF39" s="95" t="str">
        <f t="shared" si="16"/>
        <v/>
      </c>
      <c r="AG39" s="95" t="str">
        <f t="shared" si="17"/>
        <v/>
      </c>
      <c r="AH39" s="95" t="str">
        <f t="shared" si="18"/>
        <v>FAIL</v>
      </c>
      <c r="AI39" s="95" t="str">
        <f t="shared" si="19"/>
        <v>REVIEW</v>
      </c>
      <c r="AJ39" s="95" t="str">
        <f t="shared" si="20"/>
        <v>AVOID</v>
      </c>
      <c r="AK39" s="95" t="str">
        <f t="shared" si="21"/>
        <v>OK</v>
      </c>
      <c r="AL39" s="127" t="s">
        <v>360</v>
      </c>
      <c r="AM39" s="127" t="s">
        <v>405</v>
      </c>
      <c r="AN39" s="123"/>
      <c r="AO39" s="95"/>
      <c r="AP39" s="123" t="str">
        <f t="shared" si="22"/>
        <v/>
      </c>
      <c r="AQ39" s="123"/>
      <c r="AR39" s="95"/>
      <c r="AS39" s="132" t="str">
        <f t="shared" si="23"/>
        <v/>
      </c>
    </row>
    <row r="40" spans="1:45" ht="15" customHeight="1" outlineLevel="1" x14ac:dyDescent="0.15">
      <c r="A40" s="64" t="s">
        <v>236</v>
      </c>
      <c r="B40" s="121" t="s">
        <v>407</v>
      </c>
      <c r="C40" s="122">
        <v>46246</v>
      </c>
      <c r="D40" s="123">
        <v>1</v>
      </c>
      <c r="E40" s="123" t="s">
        <v>348</v>
      </c>
      <c r="F40" s="123">
        <v>1</v>
      </c>
      <c r="G40" s="123" t="s">
        <v>348</v>
      </c>
      <c r="H40" s="123">
        <v>2</v>
      </c>
      <c r="I40" s="123" t="s">
        <v>347</v>
      </c>
      <c r="J40" s="123">
        <v>2</v>
      </c>
      <c r="K40" s="123" t="s">
        <v>347</v>
      </c>
      <c r="L40" s="123">
        <v>1</v>
      </c>
      <c r="M40" s="123" t="s">
        <v>348</v>
      </c>
      <c r="N40" s="124">
        <f t="shared" si="12"/>
        <v>1.357142857142857</v>
      </c>
      <c r="O40" s="95">
        <f t="shared" si="13"/>
        <v>0.94999999999999984</v>
      </c>
      <c r="P40" s="123"/>
      <c r="Q40" s="123"/>
      <c r="R40" s="123"/>
      <c r="S40" s="123"/>
      <c r="T40" s="123"/>
      <c r="U40" s="123"/>
      <c r="V40" s="123"/>
      <c r="W40" s="123"/>
      <c r="X40" s="67" t="str">
        <f t="shared" si="14"/>
        <v/>
      </c>
      <c r="Y40" s="123"/>
      <c r="Z40" s="123"/>
      <c r="AA40" s="123"/>
      <c r="AB40" s="123"/>
      <c r="AC40" s="123"/>
      <c r="AD40" s="123"/>
      <c r="AE40" s="67" t="str">
        <f t="shared" si="15"/>
        <v/>
      </c>
      <c r="AF40" s="95" t="str">
        <f t="shared" si="16"/>
        <v/>
      </c>
      <c r="AG40" s="95" t="str">
        <f t="shared" si="17"/>
        <v/>
      </c>
      <c r="AH40" s="95" t="str">
        <f t="shared" si="18"/>
        <v>FAIL</v>
      </c>
      <c r="AI40" s="95" t="str">
        <f t="shared" si="19"/>
        <v>REVIEW</v>
      </c>
      <c r="AJ40" s="95" t="str">
        <f t="shared" si="20"/>
        <v>AVOID</v>
      </c>
      <c r="AK40" s="95" t="str">
        <f t="shared" si="21"/>
        <v>OK</v>
      </c>
      <c r="AL40" s="127" t="s">
        <v>360</v>
      </c>
      <c r="AM40" s="127" t="s">
        <v>408</v>
      </c>
      <c r="AN40" s="123"/>
      <c r="AO40" s="95"/>
      <c r="AP40" s="123" t="str">
        <f t="shared" si="22"/>
        <v/>
      </c>
      <c r="AQ40" s="123"/>
      <c r="AR40" s="95"/>
      <c r="AS40" s="132" t="str">
        <f t="shared" si="23"/>
        <v/>
      </c>
    </row>
    <row r="41" spans="1:45" ht="15" customHeight="1" outlineLevel="1" x14ac:dyDescent="0.15">
      <c r="A41" s="64" t="s">
        <v>238</v>
      </c>
      <c r="B41" s="121" t="s">
        <v>409</v>
      </c>
      <c r="C41" s="122">
        <v>46246</v>
      </c>
      <c r="D41" s="123">
        <v>2</v>
      </c>
      <c r="E41" s="123" t="s">
        <v>347</v>
      </c>
      <c r="F41" s="123">
        <v>3</v>
      </c>
      <c r="G41" s="123" t="s">
        <v>348</v>
      </c>
      <c r="H41" s="123">
        <v>4</v>
      </c>
      <c r="I41" s="123" t="s">
        <v>347</v>
      </c>
      <c r="J41" s="123">
        <v>3</v>
      </c>
      <c r="K41" s="123" t="s">
        <v>347</v>
      </c>
      <c r="L41" s="123">
        <v>2</v>
      </c>
      <c r="M41" s="123" t="s">
        <v>348</v>
      </c>
      <c r="N41" s="124">
        <f t="shared" si="12"/>
        <v>2.785714285714286</v>
      </c>
      <c r="O41" s="95">
        <f t="shared" si="13"/>
        <v>1.95</v>
      </c>
      <c r="P41" s="123"/>
      <c r="Q41" s="123"/>
      <c r="R41" s="123"/>
      <c r="S41" s="123"/>
      <c r="T41" s="123"/>
      <c r="U41" s="123"/>
      <c r="V41" s="123"/>
      <c r="W41" s="123"/>
      <c r="X41" s="67" t="str">
        <f t="shared" si="14"/>
        <v/>
      </c>
      <c r="Y41" s="123"/>
      <c r="Z41" s="123"/>
      <c r="AA41" s="123"/>
      <c r="AB41" s="123"/>
      <c r="AC41" s="123"/>
      <c r="AD41" s="123"/>
      <c r="AE41" s="67" t="str">
        <f t="shared" si="15"/>
        <v/>
      </c>
      <c r="AF41" s="95" t="str">
        <f t="shared" si="16"/>
        <v/>
      </c>
      <c r="AG41" s="95" t="str">
        <f t="shared" si="17"/>
        <v/>
      </c>
      <c r="AH41" s="95" t="str">
        <f t="shared" si="18"/>
        <v>FAIL</v>
      </c>
      <c r="AI41" s="95" t="str">
        <f t="shared" si="19"/>
        <v>OK</v>
      </c>
      <c r="AJ41" s="95" t="str">
        <f t="shared" si="20"/>
        <v>AVOID</v>
      </c>
      <c r="AK41" s="95" t="str">
        <f t="shared" si="21"/>
        <v>OK</v>
      </c>
      <c r="AL41" s="127" t="s">
        <v>360</v>
      </c>
      <c r="AM41" s="127" t="s">
        <v>410</v>
      </c>
      <c r="AN41" s="123"/>
      <c r="AO41" s="95"/>
      <c r="AP41" s="123" t="str">
        <f t="shared" si="22"/>
        <v/>
      </c>
      <c r="AQ41" s="123"/>
      <c r="AR41" s="95"/>
      <c r="AS41" s="132" t="str">
        <f t="shared" si="23"/>
        <v/>
      </c>
    </row>
    <row r="42" spans="1:45" ht="15" customHeight="1" x14ac:dyDescent="0.15">
      <c r="A42" s="64" t="s">
        <v>256</v>
      </c>
      <c r="B42" s="121" t="s">
        <v>411</v>
      </c>
      <c r="C42" s="122">
        <v>46246</v>
      </c>
      <c r="D42" s="123">
        <v>4</v>
      </c>
      <c r="E42" s="123" t="s">
        <v>348</v>
      </c>
      <c r="F42" s="123">
        <v>3</v>
      </c>
      <c r="G42" s="123" t="s">
        <v>348</v>
      </c>
      <c r="H42" s="123">
        <v>3</v>
      </c>
      <c r="I42" s="123" t="s">
        <v>347</v>
      </c>
      <c r="J42" s="123">
        <v>3</v>
      </c>
      <c r="K42" s="123" t="s">
        <v>347</v>
      </c>
      <c r="L42" s="123">
        <v>4</v>
      </c>
      <c r="M42" s="123" t="s">
        <v>348</v>
      </c>
      <c r="N42" s="124">
        <f t="shared" si="12"/>
        <v>3.4285714285714288</v>
      </c>
      <c r="O42" s="95">
        <f t="shared" si="13"/>
        <v>2.4</v>
      </c>
      <c r="P42" s="123"/>
      <c r="Q42" s="123"/>
      <c r="R42" s="123"/>
      <c r="S42" s="123"/>
      <c r="T42" s="123"/>
      <c r="U42" s="123"/>
      <c r="V42" s="123"/>
      <c r="W42" s="123"/>
      <c r="X42" s="67" t="str">
        <f t="shared" si="14"/>
        <v/>
      </c>
      <c r="Y42" s="123"/>
      <c r="Z42" s="123"/>
      <c r="AA42" s="123"/>
      <c r="AB42" s="123"/>
      <c r="AC42" s="123"/>
      <c r="AD42" s="123"/>
      <c r="AE42" s="67" t="str">
        <f t="shared" si="15"/>
        <v/>
      </c>
      <c r="AF42" s="95" t="str">
        <f t="shared" si="16"/>
        <v/>
      </c>
      <c r="AG42" s="95" t="str">
        <f t="shared" si="17"/>
        <v/>
      </c>
      <c r="AH42" s="95" t="str">
        <f t="shared" si="18"/>
        <v>OK</v>
      </c>
      <c r="AI42" s="95" t="str">
        <f t="shared" si="19"/>
        <v>OK</v>
      </c>
      <c r="AJ42" s="95" t="str">
        <f t="shared" si="20"/>
        <v>OK</v>
      </c>
      <c r="AK42" s="95" t="str">
        <f t="shared" si="21"/>
        <v>OK</v>
      </c>
      <c r="AL42" s="127" t="s">
        <v>360</v>
      </c>
      <c r="AM42" s="127" t="s">
        <v>410</v>
      </c>
      <c r="AN42" s="123"/>
      <c r="AO42" s="95"/>
      <c r="AP42" s="123" t="str">
        <f t="shared" si="22"/>
        <v/>
      </c>
      <c r="AQ42" s="123"/>
      <c r="AR42" s="95"/>
      <c r="AS42" s="132" t="str">
        <f t="shared" si="23"/>
        <v/>
      </c>
    </row>
    <row r="43" spans="1:45" ht="15" customHeight="1" x14ac:dyDescent="0.15">
      <c r="A43" s="64" t="s">
        <v>143</v>
      </c>
      <c r="B43" s="121" t="s">
        <v>144</v>
      </c>
      <c r="C43" s="122">
        <v>46278</v>
      </c>
      <c r="D43" s="123">
        <v>4</v>
      </c>
      <c r="E43" s="123" t="s">
        <v>347</v>
      </c>
      <c r="F43" s="123">
        <v>5</v>
      </c>
      <c r="G43" s="123" t="s">
        <v>347</v>
      </c>
      <c r="H43" s="123">
        <v>5</v>
      </c>
      <c r="I43" s="123" t="s">
        <v>347</v>
      </c>
      <c r="J43" s="123">
        <v>4</v>
      </c>
      <c r="K43" s="123" t="s">
        <v>347</v>
      </c>
      <c r="L43" s="123">
        <v>2</v>
      </c>
      <c r="M43" s="123" t="s">
        <v>347</v>
      </c>
      <c r="N43" s="124">
        <f t="shared" si="12"/>
        <v>4.1428571428571432</v>
      </c>
      <c r="O43" s="95">
        <f t="shared" si="13"/>
        <v>2.9</v>
      </c>
      <c r="P43" s="123">
        <v>5</v>
      </c>
      <c r="Q43" s="123" t="s">
        <v>348</v>
      </c>
      <c r="R43" s="123">
        <v>5</v>
      </c>
      <c r="S43" s="123" t="s">
        <v>349</v>
      </c>
      <c r="T43" s="123">
        <v>3</v>
      </c>
      <c r="U43" s="123" t="s">
        <v>347</v>
      </c>
      <c r="V43" s="123">
        <v>4</v>
      </c>
      <c r="W43" s="123" t="s">
        <v>347</v>
      </c>
      <c r="X43" s="67">
        <f t="shared" si="14"/>
        <v>1.1099999999999999</v>
      </c>
      <c r="Y43" s="123">
        <v>5</v>
      </c>
      <c r="Z43" s="123" t="s">
        <v>347</v>
      </c>
      <c r="AA43" s="123">
        <v>4</v>
      </c>
      <c r="AB43" s="123" t="s">
        <v>347</v>
      </c>
      <c r="AC43" s="123">
        <v>2</v>
      </c>
      <c r="AD43" s="123" t="s">
        <v>347</v>
      </c>
      <c r="AE43" s="67">
        <f t="shared" si="15"/>
        <v>0.19999999999999998</v>
      </c>
      <c r="AF43" s="95">
        <f t="shared" si="16"/>
        <v>84.2</v>
      </c>
      <c r="AG43" s="95" t="str">
        <f t="shared" si="17"/>
        <v>STRONG BUY</v>
      </c>
      <c r="AH43" s="95" t="str">
        <f t="shared" si="18"/>
        <v>OK</v>
      </c>
      <c r="AI43" s="95" t="str">
        <f t="shared" si="19"/>
        <v>OK</v>
      </c>
      <c r="AJ43" s="95" t="str">
        <f t="shared" si="20"/>
        <v>OK</v>
      </c>
      <c r="AK43" s="95" t="str">
        <f t="shared" si="21"/>
        <v>OK</v>
      </c>
      <c r="AL43" s="127" t="s">
        <v>367</v>
      </c>
      <c r="AM43" s="127" t="s">
        <v>412</v>
      </c>
      <c r="AN43" s="123"/>
      <c r="AO43" s="95"/>
      <c r="AP43" s="123" t="str">
        <f t="shared" si="22"/>
        <v/>
      </c>
      <c r="AQ43" s="123"/>
      <c r="AR43" s="95"/>
      <c r="AS43" s="132" t="str">
        <f t="shared" si="23"/>
        <v/>
      </c>
    </row>
    <row r="44" spans="1:45" ht="15" customHeight="1" x14ac:dyDescent="0.15">
      <c r="A44" s="64" t="s">
        <v>275</v>
      </c>
      <c r="B44" s="121" t="s">
        <v>413</v>
      </c>
      <c r="C44" s="122">
        <v>46247</v>
      </c>
      <c r="D44" s="123">
        <v>4</v>
      </c>
      <c r="E44" s="123" t="s">
        <v>347</v>
      </c>
      <c r="F44" s="123">
        <v>3</v>
      </c>
      <c r="G44" s="123" t="s">
        <v>347</v>
      </c>
      <c r="H44" s="123">
        <v>3</v>
      </c>
      <c r="I44" s="123" t="s">
        <v>347</v>
      </c>
      <c r="J44" s="123">
        <v>2</v>
      </c>
      <c r="K44" s="123" t="s">
        <v>347</v>
      </c>
      <c r="L44" s="123">
        <v>4</v>
      </c>
      <c r="M44" s="123" t="s">
        <v>347</v>
      </c>
      <c r="N44" s="124">
        <f t="shared" si="12"/>
        <v>3.2857142857142856</v>
      </c>
      <c r="O44" s="95">
        <f t="shared" si="13"/>
        <v>2.2999999999999998</v>
      </c>
      <c r="P44" s="123"/>
      <c r="Q44" s="123"/>
      <c r="R44" s="123"/>
      <c r="S44" s="123"/>
      <c r="T44" s="123"/>
      <c r="U44" s="123"/>
      <c r="V44" s="123"/>
      <c r="W44" s="123"/>
      <c r="X44" s="67" t="str">
        <f t="shared" si="14"/>
        <v/>
      </c>
      <c r="Y44" s="123"/>
      <c r="Z44" s="123"/>
      <c r="AA44" s="123">
        <v>4</v>
      </c>
      <c r="AB44" s="123" t="s">
        <v>347</v>
      </c>
      <c r="AC44" s="123"/>
      <c r="AD44" s="123"/>
      <c r="AE44" s="67">
        <f t="shared" si="15"/>
        <v>0.08</v>
      </c>
      <c r="AF44" s="95" t="str">
        <f t="shared" si="16"/>
        <v/>
      </c>
      <c r="AG44" s="95" t="str">
        <f t="shared" si="17"/>
        <v/>
      </c>
      <c r="AH44" s="95" t="str">
        <f t="shared" si="18"/>
        <v>OK</v>
      </c>
      <c r="AI44" s="95" t="str">
        <f t="shared" si="19"/>
        <v>OK</v>
      </c>
      <c r="AJ44" s="95" t="str">
        <f t="shared" si="20"/>
        <v>OK</v>
      </c>
      <c r="AK44" s="95" t="str">
        <f t="shared" si="21"/>
        <v>OK</v>
      </c>
      <c r="AL44" s="127" t="s">
        <v>367</v>
      </c>
      <c r="AM44" s="127" t="s">
        <v>414</v>
      </c>
      <c r="AN44" s="123"/>
      <c r="AO44" s="95"/>
      <c r="AP44" s="123" t="str">
        <f t="shared" si="22"/>
        <v/>
      </c>
      <c r="AQ44" s="123"/>
      <c r="AR44" s="95"/>
      <c r="AS44" s="132" t="str">
        <f t="shared" si="23"/>
        <v/>
      </c>
    </row>
    <row r="45" spans="1:45" ht="15" customHeight="1" x14ac:dyDescent="0.15">
      <c r="A45" s="64" t="s">
        <v>254</v>
      </c>
      <c r="B45" s="121" t="s">
        <v>415</v>
      </c>
      <c r="C45" s="122">
        <v>46247</v>
      </c>
      <c r="D45" s="123">
        <v>4</v>
      </c>
      <c r="E45" s="123" t="s">
        <v>347</v>
      </c>
      <c r="F45" s="123">
        <v>3</v>
      </c>
      <c r="G45" s="123" t="s">
        <v>347</v>
      </c>
      <c r="H45" s="123">
        <v>4</v>
      </c>
      <c r="I45" s="123" t="s">
        <v>347</v>
      </c>
      <c r="J45" s="123">
        <v>3</v>
      </c>
      <c r="K45" s="123" t="s">
        <v>347</v>
      </c>
      <c r="L45" s="123">
        <v>3</v>
      </c>
      <c r="M45" s="123" t="s">
        <v>347</v>
      </c>
      <c r="N45" s="124">
        <f t="shared" si="12"/>
        <v>3.5000000000000004</v>
      </c>
      <c r="O45" s="95">
        <f t="shared" si="13"/>
        <v>2.4500000000000002</v>
      </c>
      <c r="P45" s="123"/>
      <c r="Q45" s="123"/>
      <c r="R45" s="123"/>
      <c r="S45" s="123"/>
      <c r="T45" s="123"/>
      <c r="U45" s="123"/>
      <c r="V45" s="123"/>
      <c r="W45" s="123"/>
      <c r="X45" s="67" t="str">
        <f t="shared" si="14"/>
        <v/>
      </c>
      <c r="Y45" s="123"/>
      <c r="Z45" s="123"/>
      <c r="AA45" s="123">
        <v>4</v>
      </c>
      <c r="AB45" s="123" t="s">
        <v>347</v>
      </c>
      <c r="AC45" s="123"/>
      <c r="AD45" s="123"/>
      <c r="AE45" s="67">
        <f t="shared" si="15"/>
        <v>0.08</v>
      </c>
      <c r="AF45" s="95" t="str">
        <f t="shared" si="16"/>
        <v/>
      </c>
      <c r="AG45" s="95" t="str">
        <f t="shared" si="17"/>
        <v/>
      </c>
      <c r="AH45" s="95" t="str">
        <f t="shared" si="18"/>
        <v>OK</v>
      </c>
      <c r="AI45" s="95" t="str">
        <f t="shared" si="19"/>
        <v>OK</v>
      </c>
      <c r="AJ45" s="95" t="str">
        <f t="shared" si="20"/>
        <v>OK</v>
      </c>
      <c r="AK45" s="95" t="str">
        <f t="shared" si="21"/>
        <v>OK</v>
      </c>
      <c r="AL45" s="127" t="s">
        <v>367</v>
      </c>
      <c r="AM45" s="127" t="s">
        <v>414</v>
      </c>
      <c r="AN45" s="123"/>
      <c r="AO45" s="95"/>
      <c r="AP45" s="123" t="str">
        <f t="shared" si="22"/>
        <v/>
      </c>
      <c r="AQ45" s="123"/>
      <c r="AR45" s="95"/>
      <c r="AS45" s="132" t="str">
        <f t="shared" si="23"/>
        <v/>
      </c>
    </row>
    <row r="46" spans="1:45" ht="15" customHeight="1" outlineLevel="1" x14ac:dyDescent="0.15">
      <c r="A46" s="64" t="s">
        <v>247</v>
      </c>
      <c r="B46" s="121" t="s">
        <v>416</v>
      </c>
      <c r="C46" s="122">
        <v>46258</v>
      </c>
      <c r="D46" s="123">
        <v>4</v>
      </c>
      <c r="E46" s="123" t="s">
        <v>347</v>
      </c>
      <c r="F46" s="123">
        <v>2</v>
      </c>
      <c r="G46" s="123" t="s">
        <v>347</v>
      </c>
      <c r="H46" s="123">
        <v>3</v>
      </c>
      <c r="I46" s="123" t="s">
        <v>347</v>
      </c>
      <c r="J46" s="123">
        <v>2</v>
      </c>
      <c r="K46" s="123" t="s">
        <v>347</v>
      </c>
      <c r="L46" s="123">
        <v>3</v>
      </c>
      <c r="M46" s="123" t="s">
        <v>347</v>
      </c>
      <c r="N46" s="124">
        <f t="shared" si="12"/>
        <v>2.9285714285714284</v>
      </c>
      <c r="O46" s="95">
        <f t="shared" si="13"/>
        <v>2.0499999999999998</v>
      </c>
      <c r="P46" s="123"/>
      <c r="Q46" s="123"/>
      <c r="R46" s="123"/>
      <c r="S46" s="123"/>
      <c r="T46" s="123"/>
      <c r="U46" s="123"/>
      <c r="V46" s="123"/>
      <c r="W46" s="123"/>
      <c r="X46" s="67" t="str">
        <f t="shared" si="14"/>
        <v/>
      </c>
      <c r="Y46" s="123"/>
      <c r="Z46" s="123"/>
      <c r="AA46" s="123"/>
      <c r="AB46" s="123"/>
      <c r="AC46" s="123"/>
      <c r="AD46" s="123"/>
      <c r="AE46" s="67" t="str">
        <f t="shared" si="15"/>
        <v/>
      </c>
      <c r="AF46" s="95" t="str">
        <f t="shared" si="16"/>
        <v/>
      </c>
      <c r="AG46" s="95" t="str">
        <f t="shared" si="17"/>
        <v/>
      </c>
      <c r="AH46" s="95" t="str">
        <f t="shared" si="18"/>
        <v>FAIL</v>
      </c>
      <c r="AI46" s="95" t="str">
        <f t="shared" si="19"/>
        <v>OK</v>
      </c>
      <c r="AJ46" s="95" t="str">
        <f t="shared" si="20"/>
        <v>AVOID</v>
      </c>
      <c r="AK46" s="95" t="str">
        <f t="shared" si="21"/>
        <v>OK</v>
      </c>
      <c r="AL46" s="127" t="s">
        <v>417</v>
      </c>
      <c r="AM46" s="127" t="s">
        <v>418</v>
      </c>
      <c r="AN46" s="123"/>
      <c r="AO46" s="95"/>
      <c r="AP46" s="123" t="str">
        <f t="shared" si="22"/>
        <v/>
      </c>
      <c r="AQ46" s="123"/>
      <c r="AR46" s="95"/>
      <c r="AS46" s="132" t="str">
        <f t="shared" si="23"/>
        <v/>
      </c>
    </row>
    <row r="47" spans="1:45" ht="15" customHeight="1" x14ac:dyDescent="0.15">
      <c r="A47" s="64" t="s">
        <v>146</v>
      </c>
      <c r="B47" s="121" t="s">
        <v>147</v>
      </c>
      <c r="C47" s="122">
        <v>46278</v>
      </c>
      <c r="D47" s="123">
        <v>4</v>
      </c>
      <c r="E47" s="123" t="s">
        <v>347</v>
      </c>
      <c r="F47" s="123">
        <v>4</v>
      </c>
      <c r="G47" s="123" t="s">
        <v>347</v>
      </c>
      <c r="H47" s="123">
        <v>5</v>
      </c>
      <c r="I47" s="123" t="s">
        <v>347</v>
      </c>
      <c r="J47" s="123">
        <v>4</v>
      </c>
      <c r="K47" s="123" t="s">
        <v>347</v>
      </c>
      <c r="L47" s="123">
        <v>4</v>
      </c>
      <c r="M47" s="123" t="s">
        <v>347</v>
      </c>
      <c r="N47" s="124">
        <f t="shared" si="12"/>
        <v>4.2142857142857144</v>
      </c>
      <c r="O47" s="95">
        <f t="shared" si="13"/>
        <v>2.9499999999999997</v>
      </c>
      <c r="P47" s="123">
        <v>5</v>
      </c>
      <c r="Q47" s="123" t="s">
        <v>348</v>
      </c>
      <c r="R47" s="123">
        <v>5</v>
      </c>
      <c r="S47" s="123" t="s">
        <v>349</v>
      </c>
      <c r="T47" s="123">
        <v>1</v>
      </c>
      <c r="U47" s="123" t="s">
        <v>347</v>
      </c>
      <c r="V47" s="123">
        <v>4</v>
      </c>
      <c r="W47" s="123" t="s">
        <v>347</v>
      </c>
      <c r="X47" s="67">
        <f t="shared" si="14"/>
        <v>1.05</v>
      </c>
      <c r="Y47" s="123">
        <v>4</v>
      </c>
      <c r="Z47" s="123" t="s">
        <v>347</v>
      </c>
      <c r="AA47" s="123">
        <v>4</v>
      </c>
      <c r="AB47" s="123" t="s">
        <v>347</v>
      </c>
      <c r="AC47" s="123">
        <v>3</v>
      </c>
      <c r="AD47" s="123" t="s">
        <v>347</v>
      </c>
      <c r="AE47" s="67">
        <f t="shared" si="15"/>
        <v>0.19</v>
      </c>
      <c r="AF47" s="95">
        <f t="shared" si="16"/>
        <v>83.800000000000011</v>
      </c>
      <c r="AG47" s="95" t="str">
        <f t="shared" si="17"/>
        <v>STRONG BUY</v>
      </c>
      <c r="AH47" s="95" t="str">
        <f t="shared" si="18"/>
        <v>OK</v>
      </c>
      <c r="AI47" s="95" t="str">
        <f t="shared" si="19"/>
        <v>OK</v>
      </c>
      <c r="AJ47" s="95" t="str">
        <f t="shared" si="20"/>
        <v>OK</v>
      </c>
      <c r="AK47" s="95" t="str">
        <f t="shared" si="21"/>
        <v>OK</v>
      </c>
      <c r="AL47" s="127" t="s">
        <v>417</v>
      </c>
      <c r="AM47" s="127" t="s">
        <v>418</v>
      </c>
      <c r="AN47" s="123"/>
      <c r="AO47" s="95"/>
      <c r="AP47" s="123" t="str">
        <f t="shared" si="22"/>
        <v/>
      </c>
      <c r="AQ47" s="123"/>
      <c r="AR47" s="95"/>
      <c r="AS47" s="132" t="str">
        <f t="shared" si="23"/>
        <v/>
      </c>
    </row>
    <row r="48" spans="1:45" ht="15" customHeight="1" x14ac:dyDescent="0.15">
      <c r="A48" s="64" t="s">
        <v>285</v>
      </c>
      <c r="B48" s="121" t="s">
        <v>419</v>
      </c>
      <c r="C48" s="122">
        <v>46276</v>
      </c>
      <c r="D48" s="123">
        <v>4</v>
      </c>
      <c r="E48" s="123" t="s">
        <v>347</v>
      </c>
      <c r="F48" s="123">
        <v>4</v>
      </c>
      <c r="G48" s="123" t="s">
        <v>347</v>
      </c>
      <c r="H48" s="123"/>
      <c r="I48" s="123"/>
      <c r="J48" s="123"/>
      <c r="K48" s="123"/>
      <c r="L48" s="123">
        <v>4</v>
      </c>
      <c r="M48" s="123" t="s">
        <v>347</v>
      </c>
      <c r="N48" s="124">
        <f t="shared" si="12"/>
        <v>4</v>
      </c>
      <c r="O48" s="125">
        <f t="shared" si="13"/>
        <v>1.7999999999999998</v>
      </c>
      <c r="P48" s="123"/>
      <c r="Q48" s="123"/>
      <c r="R48" s="123"/>
      <c r="S48" s="123"/>
      <c r="T48" s="123"/>
      <c r="U48" s="123"/>
      <c r="V48" s="123"/>
      <c r="W48" s="123"/>
      <c r="X48" s="125" t="str">
        <f t="shared" si="14"/>
        <v/>
      </c>
      <c r="Y48" s="123"/>
      <c r="Z48" s="123"/>
      <c r="AA48" s="123"/>
      <c r="AB48" s="123"/>
      <c r="AC48" s="123"/>
      <c r="AD48" s="123"/>
      <c r="AE48" s="125" t="str">
        <f t="shared" si="15"/>
        <v/>
      </c>
      <c r="AF48" s="95" t="str">
        <f t="shared" si="16"/>
        <v/>
      </c>
      <c r="AG48" s="95" t="str">
        <f t="shared" si="17"/>
        <v/>
      </c>
      <c r="AH48" s="95" t="str">
        <f t="shared" si="18"/>
        <v>OK</v>
      </c>
      <c r="AI48" s="95" t="str">
        <f t="shared" si="19"/>
        <v>OK</v>
      </c>
      <c r="AJ48" s="95" t="str">
        <f t="shared" si="20"/>
        <v>OK</v>
      </c>
      <c r="AK48" s="95" t="str">
        <f t="shared" si="21"/>
        <v>OK</v>
      </c>
      <c r="AL48" s="127" t="s">
        <v>377</v>
      </c>
      <c r="AM48" s="127" t="s">
        <v>382</v>
      </c>
      <c r="AN48" s="123"/>
      <c r="AO48" s="95"/>
      <c r="AP48" s="123" t="str">
        <f t="shared" si="22"/>
        <v/>
      </c>
      <c r="AQ48" s="123"/>
      <c r="AR48" s="95"/>
      <c r="AS48" s="132" t="str">
        <f t="shared" si="23"/>
        <v/>
      </c>
    </row>
    <row r="49" spans="1:45" ht="15" customHeight="1" x14ac:dyDescent="0.15">
      <c r="A49" s="64" t="s">
        <v>287</v>
      </c>
      <c r="B49" s="121" t="s">
        <v>420</v>
      </c>
      <c r="C49" s="122">
        <v>46278</v>
      </c>
      <c r="D49" s="123">
        <v>3</v>
      </c>
      <c r="E49" s="123" t="s">
        <v>347</v>
      </c>
      <c r="F49" s="123">
        <v>2</v>
      </c>
      <c r="G49" s="123" t="s">
        <v>347</v>
      </c>
      <c r="H49" s="123">
        <v>5</v>
      </c>
      <c r="I49" s="123" t="s">
        <v>348</v>
      </c>
      <c r="J49" s="123">
        <v>4</v>
      </c>
      <c r="K49" s="123" t="s">
        <v>347</v>
      </c>
      <c r="L49" s="123">
        <v>4</v>
      </c>
      <c r="M49" s="123" t="s">
        <v>347</v>
      </c>
      <c r="N49" s="124">
        <f t="shared" si="12"/>
        <v>3.5000000000000004</v>
      </c>
      <c r="O49" s="95">
        <f t="shared" si="13"/>
        <v>2.4500000000000002</v>
      </c>
      <c r="P49" s="123">
        <v>5</v>
      </c>
      <c r="Q49" s="123" t="s">
        <v>348</v>
      </c>
      <c r="R49" s="123">
        <v>3</v>
      </c>
      <c r="S49" s="123" t="s">
        <v>349</v>
      </c>
      <c r="T49" s="123">
        <v>1</v>
      </c>
      <c r="U49" s="123" t="s">
        <v>347</v>
      </c>
      <c r="V49" s="123">
        <v>4</v>
      </c>
      <c r="W49" s="123" t="s">
        <v>347</v>
      </c>
      <c r="X49" s="67">
        <f t="shared" si="14"/>
        <v>0.93000000000000016</v>
      </c>
      <c r="Y49" s="123">
        <v>2</v>
      </c>
      <c r="Z49" s="123" t="s">
        <v>347</v>
      </c>
      <c r="AA49" s="123">
        <v>5</v>
      </c>
      <c r="AB49" s="123" t="s">
        <v>347</v>
      </c>
      <c r="AC49" s="123">
        <v>2</v>
      </c>
      <c r="AD49" s="123" t="s">
        <v>347</v>
      </c>
      <c r="AE49" s="67">
        <f t="shared" si="15"/>
        <v>0.16</v>
      </c>
      <c r="AF49" s="95">
        <f t="shared" si="16"/>
        <v>70.800000000000011</v>
      </c>
      <c r="AG49" s="95" t="str">
        <f t="shared" si="17"/>
        <v>BUY</v>
      </c>
      <c r="AH49" s="95" t="str">
        <f t="shared" si="18"/>
        <v>OK</v>
      </c>
      <c r="AI49" s="95" t="str">
        <f t="shared" si="19"/>
        <v>OK</v>
      </c>
      <c r="AJ49" s="95" t="str">
        <f t="shared" si="20"/>
        <v>OK</v>
      </c>
      <c r="AK49" s="95" t="str">
        <f t="shared" si="21"/>
        <v>OK</v>
      </c>
      <c r="AL49" s="127" t="s">
        <v>353</v>
      </c>
      <c r="AM49" s="127" t="s">
        <v>421</v>
      </c>
      <c r="AN49" s="123"/>
      <c r="AO49" s="95"/>
      <c r="AP49" s="123" t="str">
        <f t="shared" si="22"/>
        <v/>
      </c>
      <c r="AQ49" s="123"/>
      <c r="AR49" s="95"/>
      <c r="AS49" s="132" t="str">
        <f t="shared" si="23"/>
        <v/>
      </c>
    </row>
    <row r="50" spans="1:45" ht="15" customHeight="1" x14ac:dyDescent="0.15">
      <c r="A50" s="64" t="s">
        <v>289</v>
      </c>
      <c r="B50" s="121" t="s">
        <v>422</v>
      </c>
      <c r="C50" s="122">
        <v>46278</v>
      </c>
      <c r="D50" s="123">
        <v>4</v>
      </c>
      <c r="E50" s="123" t="s">
        <v>347</v>
      </c>
      <c r="F50" s="123">
        <v>3</v>
      </c>
      <c r="G50" s="123" t="s">
        <v>347</v>
      </c>
      <c r="H50" s="123">
        <v>4</v>
      </c>
      <c r="I50" s="123" t="s">
        <v>347</v>
      </c>
      <c r="J50" s="123">
        <v>3</v>
      </c>
      <c r="K50" s="123" t="s">
        <v>347</v>
      </c>
      <c r="L50" s="123">
        <v>3</v>
      </c>
      <c r="M50" s="123" t="s">
        <v>347</v>
      </c>
      <c r="N50" s="124">
        <f t="shared" si="12"/>
        <v>3.5000000000000004</v>
      </c>
      <c r="O50" s="95">
        <f t="shared" si="13"/>
        <v>2.4500000000000002</v>
      </c>
      <c r="P50" s="123">
        <v>4</v>
      </c>
      <c r="Q50" s="123" t="s">
        <v>347</v>
      </c>
      <c r="R50" s="123">
        <v>3</v>
      </c>
      <c r="S50" s="123" t="s">
        <v>349</v>
      </c>
      <c r="T50" s="123">
        <v>5</v>
      </c>
      <c r="U50" s="123" t="s">
        <v>347</v>
      </c>
      <c r="V50" s="123">
        <v>4</v>
      </c>
      <c r="W50" s="123" t="s">
        <v>347</v>
      </c>
      <c r="X50" s="67">
        <f t="shared" si="14"/>
        <v>0.97</v>
      </c>
      <c r="Y50" s="123">
        <v>5</v>
      </c>
      <c r="Z50" s="123" t="s">
        <v>347</v>
      </c>
      <c r="AA50" s="123">
        <v>4</v>
      </c>
      <c r="AB50" s="123" t="s">
        <v>347</v>
      </c>
      <c r="AC50" s="123">
        <v>2</v>
      </c>
      <c r="AD50" s="123" t="s">
        <v>347</v>
      </c>
      <c r="AE50" s="67">
        <f t="shared" si="15"/>
        <v>0.19999999999999998</v>
      </c>
      <c r="AF50" s="95">
        <f t="shared" si="16"/>
        <v>72.400000000000006</v>
      </c>
      <c r="AG50" s="95" t="str">
        <f t="shared" si="17"/>
        <v>BUY</v>
      </c>
      <c r="AH50" s="95" t="str">
        <f t="shared" si="18"/>
        <v>OK</v>
      </c>
      <c r="AI50" s="95" t="str">
        <f t="shared" si="19"/>
        <v>OK</v>
      </c>
      <c r="AJ50" s="95" t="str">
        <f t="shared" si="20"/>
        <v>OK</v>
      </c>
      <c r="AK50" s="95" t="str">
        <f t="shared" si="21"/>
        <v>OK</v>
      </c>
      <c r="AL50" s="127" t="s">
        <v>377</v>
      </c>
      <c r="AM50" s="127" t="s">
        <v>382</v>
      </c>
      <c r="AN50" s="123"/>
      <c r="AO50" s="95"/>
      <c r="AP50" s="123" t="str">
        <f t="shared" si="22"/>
        <v/>
      </c>
      <c r="AQ50" s="123"/>
      <c r="AR50" s="95"/>
      <c r="AS50" s="132" t="str">
        <f t="shared" si="23"/>
        <v/>
      </c>
    </row>
    <row r="51" spans="1:45" ht="15" customHeight="1" x14ac:dyDescent="0.15">
      <c r="A51" s="64" t="s">
        <v>149</v>
      </c>
      <c r="B51" s="121" t="s">
        <v>423</v>
      </c>
      <c r="C51" s="122">
        <v>46297</v>
      </c>
      <c r="D51" s="123">
        <v>4</v>
      </c>
      <c r="E51" s="123" t="s">
        <v>347</v>
      </c>
      <c r="F51" s="123">
        <v>4</v>
      </c>
      <c r="G51" s="123" t="s">
        <v>347</v>
      </c>
      <c r="H51" s="123">
        <v>4</v>
      </c>
      <c r="I51" s="123" t="s">
        <v>347</v>
      </c>
      <c r="J51" s="123">
        <v>5</v>
      </c>
      <c r="K51" s="123" t="s">
        <v>347</v>
      </c>
      <c r="L51" s="123">
        <v>5</v>
      </c>
      <c r="M51" s="123" t="s">
        <v>347</v>
      </c>
      <c r="N51" s="124">
        <f t="shared" si="12"/>
        <v>4.2857142857142856</v>
      </c>
      <c r="O51" s="95">
        <f t="shared" si="13"/>
        <v>3</v>
      </c>
      <c r="P51" s="123">
        <v>4</v>
      </c>
      <c r="Q51" s="123" t="s">
        <v>347</v>
      </c>
      <c r="R51" s="123">
        <v>2</v>
      </c>
      <c r="S51" s="123" t="s">
        <v>349</v>
      </c>
      <c r="T51" s="123">
        <v>4</v>
      </c>
      <c r="U51" s="123" t="s">
        <v>347</v>
      </c>
      <c r="V51" s="123">
        <v>4</v>
      </c>
      <c r="W51" s="123" t="s">
        <v>347</v>
      </c>
      <c r="X51" s="67">
        <f t="shared" si="14"/>
        <v>0.88000000000000012</v>
      </c>
      <c r="Y51" s="123">
        <v>5</v>
      </c>
      <c r="Z51" s="123" t="s">
        <v>347</v>
      </c>
      <c r="AA51" s="123">
        <v>4</v>
      </c>
      <c r="AB51" s="123" t="s">
        <v>347</v>
      </c>
      <c r="AC51" s="123">
        <v>2</v>
      </c>
      <c r="AD51" s="123" t="s">
        <v>347</v>
      </c>
      <c r="AE51" s="67">
        <f t="shared" si="15"/>
        <v>0.19999999999999998</v>
      </c>
      <c r="AF51" s="95">
        <f t="shared" si="16"/>
        <v>81.599999999999994</v>
      </c>
      <c r="AG51" s="95" t="str">
        <f t="shared" si="17"/>
        <v>STRONG BUY</v>
      </c>
      <c r="AH51" s="95" t="str">
        <f t="shared" si="18"/>
        <v>OK</v>
      </c>
      <c r="AI51" s="95" t="str">
        <f t="shared" si="19"/>
        <v>OK</v>
      </c>
      <c r="AJ51" s="95" t="str">
        <f t="shared" si="20"/>
        <v>OK</v>
      </c>
      <c r="AK51" s="95" t="str">
        <f t="shared" si="21"/>
        <v>OK</v>
      </c>
      <c r="AL51" s="127" t="s">
        <v>353</v>
      </c>
      <c r="AM51" s="127" t="s">
        <v>424</v>
      </c>
      <c r="AN51" s="123"/>
      <c r="AO51" s="95"/>
      <c r="AP51" s="123" t="str">
        <f t="shared" si="22"/>
        <v/>
      </c>
      <c r="AQ51" s="123"/>
      <c r="AR51" s="95"/>
      <c r="AS51" s="132" t="str">
        <f t="shared" si="23"/>
        <v/>
      </c>
    </row>
    <row r="52" spans="1:45" ht="15" customHeight="1" x14ac:dyDescent="0.15">
      <c r="A52" s="64"/>
      <c r="B52" s="121"/>
      <c r="C52" s="122"/>
      <c r="D52" s="123"/>
      <c r="E52" s="123"/>
      <c r="F52" s="123"/>
      <c r="G52" s="123"/>
      <c r="H52" s="123"/>
      <c r="I52" s="123"/>
      <c r="J52" s="123"/>
      <c r="K52" s="123"/>
      <c r="L52" s="123"/>
      <c r="M52" s="123"/>
      <c r="N52" s="124" t="str">
        <f t="shared" si="12"/>
        <v/>
      </c>
      <c r="O52" s="95" t="str">
        <f t="shared" si="13"/>
        <v/>
      </c>
      <c r="P52" s="123"/>
      <c r="Q52" s="123"/>
      <c r="R52" s="123"/>
      <c r="S52" s="123"/>
      <c r="T52" s="123"/>
      <c r="U52" s="123"/>
      <c r="V52" s="123"/>
      <c r="W52" s="123"/>
      <c r="X52" s="67" t="str">
        <f t="shared" si="14"/>
        <v/>
      </c>
      <c r="Y52" s="123"/>
      <c r="Z52" s="123"/>
      <c r="AA52" s="123"/>
      <c r="AB52" s="123"/>
      <c r="AC52" s="123"/>
      <c r="AD52" s="123"/>
      <c r="AE52" s="67" t="str">
        <f t="shared" si="15"/>
        <v/>
      </c>
      <c r="AF52" s="95" t="str">
        <f t="shared" si="16"/>
        <v/>
      </c>
      <c r="AG52" s="95" t="str">
        <f t="shared" si="17"/>
        <v/>
      </c>
      <c r="AH52" s="95" t="str">
        <f t="shared" si="18"/>
        <v/>
      </c>
      <c r="AI52" s="95" t="str">
        <f t="shared" si="19"/>
        <v/>
      </c>
      <c r="AJ52" s="95" t="str">
        <f t="shared" si="20"/>
        <v/>
      </c>
      <c r="AK52" s="95" t="str">
        <f t="shared" si="21"/>
        <v/>
      </c>
      <c r="AL52" s="127"/>
      <c r="AM52" s="127"/>
      <c r="AN52" s="123"/>
      <c r="AO52" s="95"/>
      <c r="AP52" s="123" t="str">
        <f t="shared" si="22"/>
        <v/>
      </c>
      <c r="AQ52" s="123"/>
      <c r="AR52" s="95"/>
      <c r="AS52" s="132" t="str">
        <f t="shared" si="23"/>
        <v/>
      </c>
    </row>
    <row r="53" spans="1:45" ht="15" customHeight="1" x14ac:dyDescent="0.15">
      <c r="A53" s="64"/>
      <c r="B53" s="121"/>
      <c r="C53" s="122"/>
      <c r="D53" s="123"/>
      <c r="E53" s="123"/>
      <c r="F53" s="123"/>
      <c r="G53" s="123"/>
      <c r="H53" s="123"/>
      <c r="I53" s="123"/>
      <c r="J53" s="123"/>
      <c r="K53" s="123"/>
      <c r="L53" s="123"/>
      <c r="M53" s="123"/>
      <c r="N53" s="124" t="str">
        <f t="shared" si="12"/>
        <v/>
      </c>
      <c r="O53" s="95" t="str">
        <f t="shared" si="13"/>
        <v/>
      </c>
      <c r="P53" s="123"/>
      <c r="Q53" s="123"/>
      <c r="R53" s="123"/>
      <c r="S53" s="123"/>
      <c r="T53" s="123"/>
      <c r="U53" s="123"/>
      <c r="V53" s="123"/>
      <c r="W53" s="123"/>
      <c r="X53" s="67" t="str">
        <f t="shared" si="14"/>
        <v/>
      </c>
      <c r="Y53" s="123"/>
      <c r="Z53" s="123"/>
      <c r="AA53" s="123"/>
      <c r="AB53" s="123"/>
      <c r="AC53" s="123"/>
      <c r="AD53" s="123"/>
      <c r="AE53" s="67" t="str">
        <f t="shared" si="15"/>
        <v/>
      </c>
      <c r="AF53" s="95" t="str">
        <f t="shared" si="16"/>
        <v/>
      </c>
      <c r="AG53" s="95" t="str">
        <f t="shared" si="17"/>
        <v/>
      </c>
      <c r="AH53" s="95" t="str">
        <f t="shared" si="18"/>
        <v/>
      </c>
      <c r="AI53" s="95" t="str">
        <f t="shared" si="19"/>
        <v/>
      </c>
      <c r="AJ53" s="95" t="str">
        <f t="shared" si="20"/>
        <v/>
      </c>
      <c r="AK53" s="95" t="str">
        <f t="shared" si="21"/>
        <v/>
      </c>
      <c r="AL53" s="127"/>
      <c r="AM53" s="127"/>
      <c r="AN53" s="123"/>
      <c r="AO53" s="95"/>
      <c r="AP53" s="123" t="str">
        <f t="shared" si="22"/>
        <v/>
      </c>
      <c r="AQ53" s="123"/>
      <c r="AR53" s="95"/>
      <c r="AS53" s="132" t="str">
        <f t="shared" si="23"/>
        <v/>
      </c>
    </row>
    <row r="54" spans="1:45" ht="15" customHeight="1" x14ac:dyDescent="0.15">
      <c r="A54" s="64"/>
      <c r="B54" s="121"/>
      <c r="C54" s="122"/>
      <c r="D54" s="123"/>
      <c r="E54" s="123"/>
      <c r="F54" s="123"/>
      <c r="G54" s="123"/>
      <c r="H54" s="123"/>
      <c r="I54" s="123"/>
      <c r="J54" s="123"/>
      <c r="K54" s="123"/>
      <c r="L54" s="123"/>
      <c r="M54" s="123"/>
      <c r="N54" s="124" t="str">
        <f t="shared" si="12"/>
        <v/>
      </c>
      <c r="O54" s="95" t="str">
        <f t="shared" si="13"/>
        <v/>
      </c>
      <c r="P54" s="123"/>
      <c r="Q54" s="123"/>
      <c r="R54" s="123"/>
      <c r="S54" s="123"/>
      <c r="T54" s="123"/>
      <c r="U54" s="123"/>
      <c r="V54" s="123"/>
      <c r="W54" s="123"/>
      <c r="X54" s="67" t="str">
        <f t="shared" si="14"/>
        <v/>
      </c>
      <c r="Y54" s="123"/>
      <c r="Z54" s="123"/>
      <c r="AA54" s="123"/>
      <c r="AB54" s="123"/>
      <c r="AC54" s="123"/>
      <c r="AD54" s="123"/>
      <c r="AE54" s="67" t="str">
        <f t="shared" si="15"/>
        <v/>
      </c>
      <c r="AF54" s="95" t="str">
        <f t="shared" si="16"/>
        <v/>
      </c>
      <c r="AG54" s="95" t="str">
        <f t="shared" si="17"/>
        <v/>
      </c>
      <c r="AH54" s="95" t="str">
        <f t="shared" si="18"/>
        <v/>
      </c>
      <c r="AI54" s="95" t="str">
        <f t="shared" si="19"/>
        <v/>
      </c>
      <c r="AJ54" s="95" t="str">
        <f t="shared" si="20"/>
        <v/>
      </c>
      <c r="AK54" s="95" t="str">
        <f t="shared" si="21"/>
        <v/>
      </c>
      <c r="AL54" s="127"/>
      <c r="AM54" s="127"/>
      <c r="AN54" s="123"/>
      <c r="AO54" s="95"/>
      <c r="AP54" s="123" t="str">
        <f t="shared" si="22"/>
        <v/>
      </c>
      <c r="AQ54" s="123"/>
      <c r="AR54" s="95"/>
      <c r="AS54" s="132" t="str">
        <f t="shared" si="23"/>
        <v/>
      </c>
    </row>
    <row r="55" spans="1:45" ht="15" customHeight="1" x14ac:dyDescent="0.15">
      <c r="A55" s="64"/>
      <c r="B55" s="121"/>
      <c r="C55" s="122"/>
      <c r="D55" s="123"/>
      <c r="E55" s="123"/>
      <c r="F55" s="123"/>
      <c r="G55" s="123"/>
      <c r="H55" s="123"/>
      <c r="I55" s="123"/>
      <c r="J55" s="123"/>
      <c r="K55" s="123"/>
      <c r="L55" s="123"/>
      <c r="M55" s="123"/>
      <c r="N55" s="124" t="str">
        <f t="shared" si="12"/>
        <v/>
      </c>
      <c r="O55" s="95" t="str">
        <f t="shared" si="13"/>
        <v/>
      </c>
      <c r="P55" s="123"/>
      <c r="Q55" s="123"/>
      <c r="R55" s="123"/>
      <c r="S55" s="123"/>
      <c r="T55" s="123"/>
      <c r="U55" s="123"/>
      <c r="V55" s="123"/>
      <c r="W55" s="123"/>
      <c r="X55" s="67" t="str">
        <f t="shared" si="14"/>
        <v/>
      </c>
      <c r="Y55" s="123"/>
      <c r="Z55" s="123"/>
      <c r="AA55" s="123"/>
      <c r="AB55" s="123"/>
      <c r="AC55" s="123"/>
      <c r="AD55" s="123"/>
      <c r="AE55" s="67" t="str">
        <f t="shared" si="15"/>
        <v/>
      </c>
      <c r="AF55" s="95" t="str">
        <f t="shared" si="16"/>
        <v/>
      </c>
      <c r="AG55" s="95" t="str">
        <f t="shared" si="17"/>
        <v/>
      </c>
      <c r="AH55" s="95" t="str">
        <f t="shared" si="18"/>
        <v/>
      </c>
      <c r="AI55" s="95" t="str">
        <f t="shared" si="19"/>
        <v/>
      </c>
      <c r="AJ55" s="95" t="str">
        <f t="shared" si="20"/>
        <v/>
      </c>
      <c r="AK55" s="95" t="str">
        <f t="shared" si="21"/>
        <v/>
      </c>
      <c r="AL55" s="127"/>
      <c r="AM55" s="127"/>
      <c r="AN55" s="123"/>
      <c r="AO55" s="95"/>
      <c r="AP55" s="123" t="str">
        <f t="shared" si="22"/>
        <v/>
      </c>
      <c r="AQ55" s="123"/>
      <c r="AR55" s="95"/>
      <c r="AS55" s="132" t="str">
        <f t="shared" si="23"/>
        <v/>
      </c>
    </row>
    <row r="56" spans="1:45" ht="15" customHeight="1" x14ac:dyDescent="0.15">
      <c r="A56" s="64"/>
      <c r="B56" s="121"/>
      <c r="C56" s="122"/>
      <c r="D56" s="123"/>
      <c r="E56" s="123"/>
      <c r="F56" s="123"/>
      <c r="G56" s="123"/>
      <c r="H56" s="123"/>
      <c r="I56" s="123"/>
      <c r="J56" s="123"/>
      <c r="K56" s="123"/>
      <c r="L56" s="123"/>
      <c r="M56" s="123"/>
      <c r="N56" s="124" t="str">
        <f t="shared" si="12"/>
        <v/>
      </c>
      <c r="O56" s="95" t="str">
        <f t="shared" si="13"/>
        <v/>
      </c>
      <c r="P56" s="123"/>
      <c r="Q56" s="123"/>
      <c r="R56" s="123"/>
      <c r="S56" s="123"/>
      <c r="T56" s="123"/>
      <c r="U56" s="123"/>
      <c r="V56" s="123"/>
      <c r="W56" s="123"/>
      <c r="X56" s="67" t="str">
        <f t="shared" si="14"/>
        <v/>
      </c>
      <c r="Y56" s="123"/>
      <c r="Z56" s="123"/>
      <c r="AA56" s="123"/>
      <c r="AB56" s="123"/>
      <c r="AC56" s="123"/>
      <c r="AD56" s="123"/>
      <c r="AE56" s="67" t="str">
        <f t="shared" si="15"/>
        <v/>
      </c>
      <c r="AF56" s="95" t="str">
        <f t="shared" si="16"/>
        <v/>
      </c>
      <c r="AG56" s="95" t="str">
        <f t="shared" si="17"/>
        <v/>
      </c>
      <c r="AH56" s="95" t="str">
        <f t="shared" si="18"/>
        <v/>
      </c>
      <c r="AI56" s="95" t="str">
        <f t="shared" si="19"/>
        <v/>
      </c>
      <c r="AJ56" s="95" t="str">
        <f t="shared" si="20"/>
        <v/>
      </c>
      <c r="AK56" s="95" t="str">
        <f t="shared" si="21"/>
        <v/>
      </c>
      <c r="AL56" s="127"/>
      <c r="AM56" s="127"/>
      <c r="AN56" s="123"/>
      <c r="AO56" s="95"/>
      <c r="AP56" s="123" t="str">
        <f t="shared" si="22"/>
        <v/>
      </c>
      <c r="AQ56" s="123"/>
      <c r="AR56" s="95"/>
      <c r="AS56" s="132" t="str">
        <f t="shared" si="23"/>
        <v/>
      </c>
    </row>
    <row r="57" spans="1:45" ht="15" customHeight="1" x14ac:dyDescent="0.15">
      <c r="A57" s="64"/>
      <c r="B57" s="121"/>
      <c r="C57" s="122"/>
      <c r="D57" s="123"/>
      <c r="E57" s="123"/>
      <c r="F57" s="123"/>
      <c r="G57" s="123"/>
      <c r="H57" s="123"/>
      <c r="I57" s="123"/>
      <c r="J57" s="123"/>
      <c r="K57" s="123"/>
      <c r="L57" s="123"/>
      <c r="M57" s="123"/>
      <c r="N57" s="124" t="str">
        <f t="shared" si="12"/>
        <v/>
      </c>
      <c r="O57" s="95" t="str">
        <f t="shared" si="13"/>
        <v/>
      </c>
      <c r="P57" s="123"/>
      <c r="Q57" s="123"/>
      <c r="R57" s="123"/>
      <c r="S57" s="123"/>
      <c r="T57" s="123"/>
      <c r="U57" s="123"/>
      <c r="V57" s="123"/>
      <c r="W57" s="123"/>
      <c r="X57" s="67" t="str">
        <f t="shared" si="14"/>
        <v/>
      </c>
      <c r="Y57" s="123"/>
      <c r="Z57" s="123"/>
      <c r="AA57" s="123"/>
      <c r="AB57" s="123"/>
      <c r="AC57" s="123"/>
      <c r="AD57" s="123"/>
      <c r="AE57" s="67" t="str">
        <f t="shared" si="15"/>
        <v/>
      </c>
      <c r="AF57" s="95" t="str">
        <f t="shared" si="16"/>
        <v/>
      </c>
      <c r="AG57" s="95" t="str">
        <f t="shared" si="17"/>
        <v/>
      </c>
      <c r="AH57" s="95" t="str">
        <f t="shared" si="18"/>
        <v/>
      </c>
      <c r="AI57" s="95" t="str">
        <f t="shared" si="19"/>
        <v/>
      </c>
      <c r="AJ57" s="95" t="str">
        <f t="shared" si="20"/>
        <v/>
      </c>
      <c r="AK57" s="95" t="str">
        <f t="shared" si="21"/>
        <v/>
      </c>
      <c r="AL57" s="127"/>
      <c r="AM57" s="127"/>
      <c r="AN57" s="123"/>
      <c r="AO57" s="95"/>
      <c r="AP57" s="123" t="str">
        <f t="shared" si="22"/>
        <v/>
      </c>
      <c r="AQ57" s="123"/>
      <c r="AR57" s="95"/>
      <c r="AS57" s="132" t="str">
        <f t="shared" si="23"/>
        <v/>
      </c>
    </row>
    <row r="58" spans="1:45" ht="15" customHeight="1" x14ac:dyDescent="0.15">
      <c r="A58" s="64"/>
      <c r="B58" s="121"/>
      <c r="C58" s="122"/>
      <c r="D58" s="123"/>
      <c r="E58" s="123"/>
      <c r="F58" s="123"/>
      <c r="G58" s="123"/>
      <c r="H58" s="123"/>
      <c r="I58" s="123"/>
      <c r="J58" s="123"/>
      <c r="K58" s="123"/>
      <c r="L58" s="123"/>
      <c r="M58" s="123"/>
      <c r="N58" s="124" t="str">
        <f t="shared" si="12"/>
        <v/>
      </c>
      <c r="O58" s="95" t="str">
        <f t="shared" si="13"/>
        <v/>
      </c>
      <c r="P58" s="123"/>
      <c r="Q58" s="123"/>
      <c r="R58" s="123"/>
      <c r="S58" s="123"/>
      <c r="T58" s="123"/>
      <c r="U58" s="123"/>
      <c r="V58" s="123"/>
      <c r="W58" s="123"/>
      <c r="X58" s="67" t="str">
        <f t="shared" si="14"/>
        <v/>
      </c>
      <c r="Y58" s="123"/>
      <c r="Z58" s="123"/>
      <c r="AA58" s="123"/>
      <c r="AB58" s="123"/>
      <c r="AC58" s="123"/>
      <c r="AD58" s="123"/>
      <c r="AE58" s="67" t="str">
        <f t="shared" si="15"/>
        <v/>
      </c>
      <c r="AF58" s="95" t="str">
        <f t="shared" si="16"/>
        <v/>
      </c>
      <c r="AG58" s="95" t="str">
        <f t="shared" si="17"/>
        <v/>
      </c>
      <c r="AH58" s="95" t="str">
        <f t="shared" si="18"/>
        <v/>
      </c>
      <c r="AI58" s="95" t="str">
        <f t="shared" si="19"/>
        <v/>
      </c>
      <c r="AJ58" s="95" t="str">
        <f t="shared" si="20"/>
        <v/>
      </c>
      <c r="AK58" s="95" t="str">
        <f t="shared" si="21"/>
        <v/>
      </c>
      <c r="AL58" s="127"/>
      <c r="AM58" s="127"/>
      <c r="AN58" s="123"/>
      <c r="AO58" s="95"/>
      <c r="AP58" s="123" t="str">
        <f t="shared" si="22"/>
        <v/>
      </c>
      <c r="AQ58" s="123"/>
      <c r="AR58" s="95"/>
      <c r="AS58" s="132" t="str">
        <f t="shared" si="23"/>
        <v/>
      </c>
    </row>
    <row r="59" spans="1:45" ht="15" customHeight="1" x14ac:dyDescent="0.15">
      <c r="A59" s="64"/>
      <c r="B59" s="121"/>
      <c r="C59" s="122"/>
      <c r="D59" s="123"/>
      <c r="E59" s="123"/>
      <c r="F59" s="123"/>
      <c r="G59" s="123"/>
      <c r="H59" s="123"/>
      <c r="I59" s="123"/>
      <c r="J59" s="123"/>
      <c r="K59" s="123"/>
      <c r="L59" s="123"/>
      <c r="M59" s="123"/>
      <c r="N59" s="124" t="str">
        <f t="shared" si="12"/>
        <v/>
      </c>
      <c r="O59" s="95" t="str">
        <f t="shared" si="13"/>
        <v/>
      </c>
      <c r="P59" s="123"/>
      <c r="Q59" s="123"/>
      <c r="R59" s="123"/>
      <c r="S59" s="123"/>
      <c r="T59" s="123"/>
      <c r="U59" s="123"/>
      <c r="V59" s="123"/>
      <c r="W59" s="123"/>
      <c r="X59" s="67" t="str">
        <f t="shared" si="14"/>
        <v/>
      </c>
      <c r="Y59" s="123"/>
      <c r="Z59" s="123"/>
      <c r="AA59" s="123"/>
      <c r="AB59" s="123"/>
      <c r="AC59" s="123"/>
      <c r="AD59" s="123"/>
      <c r="AE59" s="67" t="str">
        <f t="shared" si="15"/>
        <v/>
      </c>
      <c r="AF59" s="95" t="str">
        <f t="shared" si="16"/>
        <v/>
      </c>
      <c r="AG59" s="95" t="str">
        <f t="shared" si="17"/>
        <v/>
      </c>
      <c r="AH59" s="95" t="str">
        <f t="shared" si="18"/>
        <v/>
      </c>
      <c r="AI59" s="95" t="str">
        <f t="shared" si="19"/>
        <v/>
      </c>
      <c r="AJ59" s="95" t="str">
        <f t="shared" si="20"/>
        <v/>
      </c>
      <c r="AK59" s="95" t="str">
        <f t="shared" si="21"/>
        <v/>
      </c>
      <c r="AL59" s="127"/>
      <c r="AM59" s="127"/>
      <c r="AN59" s="123"/>
      <c r="AO59" s="95"/>
      <c r="AP59" s="123" t="str">
        <f t="shared" si="22"/>
        <v/>
      </c>
      <c r="AQ59" s="123"/>
      <c r="AR59" s="95"/>
      <c r="AS59" s="132" t="str">
        <f t="shared" si="23"/>
        <v/>
      </c>
    </row>
    <row r="60" spans="1:45" ht="15" customHeight="1" x14ac:dyDescent="0.15">
      <c r="A60" s="64"/>
      <c r="B60" s="121"/>
      <c r="C60" s="122"/>
      <c r="D60" s="123"/>
      <c r="E60" s="123"/>
      <c r="F60" s="123"/>
      <c r="G60" s="123"/>
      <c r="H60" s="123"/>
      <c r="I60" s="123"/>
      <c r="J60" s="123"/>
      <c r="K60" s="123"/>
      <c r="L60" s="123"/>
      <c r="M60" s="123"/>
      <c r="N60" s="124" t="str">
        <f t="shared" si="12"/>
        <v/>
      </c>
      <c r="O60" s="95" t="str">
        <f t="shared" si="13"/>
        <v/>
      </c>
      <c r="P60" s="123"/>
      <c r="Q60" s="123"/>
      <c r="R60" s="123"/>
      <c r="S60" s="123"/>
      <c r="T60" s="123"/>
      <c r="U60" s="123"/>
      <c r="V60" s="123"/>
      <c r="W60" s="123"/>
      <c r="X60" s="67" t="str">
        <f t="shared" si="14"/>
        <v/>
      </c>
      <c r="Y60" s="123"/>
      <c r="Z60" s="123"/>
      <c r="AA60" s="123"/>
      <c r="AB60" s="123"/>
      <c r="AC60" s="123"/>
      <c r="AD60" s="123"/>
      <c r="AE60" s="67" t="str">
        <f t="shared" si="15"/>
        <v/>
      </c>
      <c r="AF60" s="95" t="str">
        <f t="shared" si="16"/>
        <v/>
      </c>
      <c r="AG60" s="95" t="str">
        <f t="shared" si="17"/>
        <v/>
      </c>
      <c r="AH60" s="95" t="str">
        <f t="shared" si="18"/>
        <v/>
      </c>
      <c r="AI60" s="95" t="str">
        <f t="shared" si="19"/>
        <v/>
      </c>
      <c r="AJ60" s="95" t="str">
        <f t="shared" si="20"/>
        <v/>
      </c>
      <c r="AK60" s="95" t="str">
        <f t="shared" si="21"/>
        <v/>
      </c>
      <c r="AL60" s="127"/>
      <c r="AM60" s="127"/>
      <c r="AN60" s="123"/>
      <c r="AO60" s="95"/>
      <c r="AP60" s="123" t="str">
        <f t="shared" si="22"/>
        <v/>
      </c>
      <c r="AQ60" s="123"/>
      <c r="AR60" s="95"/>
      <c r="AS60" s="132" t="str">
        <f t="shared" si="23"/>
        <v/>
      </c>
    </row>
    <row r="61" spans="1:45" ht="13.5" customHeight="1" x14ac:dyDescent="0.15">
      <c r="AM61" s="133"/>
    </row>
    <row r="62" spans="1:45" ht="15.75" customHeight="1" x14ac:dyDescent="0.2">
      <c r="A62" s="134">
        <f>SUBTOTAL(103,A3:A60)</f>
        <v>49</v>
      </c>
      <c r="B62" s="113" t="s">
        <v>306</v>
      </c>
    </row>
    <row r="63" spans="1:45" ht="13.5" customHeight="1" x14ac:dyDescent="0.2">
      <c r="C63" s="135"/>
    </row>
    <row r="64" spans="1:45" ht="13.5" customHeight="1" x14ac:dyDescent="0.2">
      <c r="C64" s="135"/>
    </row>
  </sheetData>
  <autoFilter ref="A2:AS62" xr:uid="{00000000-0009-0000-0000-000006000000}"/>
  <mergeCells count="6">
    <mergeCell ref="AN1:AS1"/>
    <mergeCell ref="D1:O1"/>
    <mergeCell ref="P1:X1"/>
    <mergeCell ref="Y1:AE1"/>
    <mergeCell ref="AH1:AK1"/>
    <mergeCell ref="AL1:AM1"/>
  </mergeCells>
  <conditionalFormatting sqref="N3:N60">
    <cfRule type="cellIs" dxfId="84" priority="13" operator="greaterThanOrEqual">
      <formula>3</formula>
    </cfRule>
  </conditionalFormatting>
  <conditionalFormatting sqref="AG3:AG60">
    <cfRule type="cellIs" dxfId="83" priority="2" operator="equal">
      <formula>"STRONG BUY"</formula>
    </cfRule>
    <cfRule type="cellIs" dxfId="82" priority="3" operator="equal">
      <formula>"BUY"</formula>
    </cfRule>
    <cfRule type="cellIs" dxfId="81" priority="4" operator="equal">
      <formula>"WATCH LIST"</formula>
    </cfRule>
    <cfRule type="cellIs" dxfId="80" priority="5" operator="equal">
      <formula>"AVOID"</formula>
    </cfRule>
    <cfRule type="cellIs" dxfId="79" priority="6" operator="equal">
      <formula>"PASS"</formula>
    </cfRule>
  </conditionalFormatting>
  <conditionalFormatting sqref="AH3:AH60">
    <cfRule type="cellIs" dxfId="78" priority="7" operator="equal">
      <formula>"FAIL"</formula>
    </cfRule>
    <cfRule type="cellIs" dxfId="77" priority="8" operator="equal">
      <formula>"OK"</formula>
    </cfRule>
  </conditionalFormatting>
  <conditionalFormatting sqref="AI3:AI60">
    <cfRule type="cellIs" dxfId="76" priority="11" operator="equal">
      <formula>"REVIEW"</formula>
    </cfRule>
  </conditionalFormatting>
  <conditionalFormatting sqref="AJ3:AJ60">
    <cfRule type="cellIs" dxfId="75" priority="9" operator="equal">
      <formula>"AVOID"</formula>
    </cfRule>
    <cfRule type="cellIs" dxfId="74" priority="10" operator="equal">
      <formula>"OK"</formula>
    </cfRule>
  </conditionalFormatting>
  <conditionalFormatting sqref="AK3:AK60">
    <cfRule type="cellIs" dxfId="73" priority="12" operator="equal">
      <formula>"CAP AT BUY"</formula>
    </cfRule>
  </conditionalFormatting>
  <conditionalFormatting sqref="AP3:AP60">
    <cfRule type="cellIs" dxfId="72" priority="14" operator="equal">
      <formula>"LOW CONF"</formula>
    </cfRule>
    <cfRule type="cellIs" dxfId="71" priority="15" operator="equal">
      <formula>"OK"</formula>
    </cfRule>
  </conditionalFormatting>
  <conditionalFormatting sqref="AS3:AS60">
    <cfRule type="cellIs" dxfId="70" priority="16" operator="equal">
      <formula>"Increased"</formula>
    </cfRule>
    <cfRule type="cellIs" dxfId="69" priority="17" operator="equal">
      <formula>"Decreased"</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6"/>
  <sheetViews>
    <sheetView showGridLines="0" zoomScaleNormal="100" workbookViewId="0">
      <pane xSplit="2" ySplit="2" topLeftCell="C25" activePane="bottomRight" state="frozen"/>
      <selection pane="topRight" activeCell="C1" sqref="C1"/>
      <selection pane="bottomLeft" activeCell="A3" sqref="A3"/>
      <selection pane="bottomRight" activeCell="E40" activeCellId="13" sqref="E9 E11 E21 E22 E23 E24 E26 E27 E30 E31 E35 E37 E39 E40"/>
    </sheetView>
  </sheetViews>
  <sheetFormatPr baseColWidth="10" defaultColWidth="8.6640625" defaultRowHeight="15" x14ac:dyDescent="0.2"/>
  <cols>
    <col min="1" max="1" width="8" customWidth="1"/>
    <col min="2" max="2" width="24.83203125" customWidth="1"/>
    <col min="3" max="3" width="9" style="27" customWidth="1"/>
    <col min="4" max="5" width="8.6640625" style="27"/>
    <col min="6" max="6" width="12.5" style="27" customWidth="1"/>
    <col min="7" max="7" width="13.33203125" style="27" customWidth="1"/>
    <col min="8" max="8" width="11.1640625" customWidth="1"/>
    <col min="9" max="9" width="10.83203125" style="27" hidden="1" customWidth="1"/>
    <col min="10" max="10" width="9" style="27" customWidth="1"/>
    <col min="11" max="11" width="8.5" style="27" customWidth="1"/>
    <col min="12" max="12" width="7.83203125" style="27" customWidth="1"/>
    <col min="13" max="13" width="6.83203125" style="27" customWidth="1"/>
    <col min="14" max="14" width="8" style="27" customWidth="1"/>
    <col min="15" max="15" width="7.5" style="27" customWidth="1"/>
    <col min="16" max="16" width="10.5" style="27" customWidth="1"/>
    <col min="18" max="18" width="28" customWidth="1"/>
    <col min="19" max="19" width="12.83203125" customWidth="1"/>
  </cols>
  <sheetData>
    <row r="1" spans="1:19" ht="15" customHeight="1" x14ac:dyDescent="0.2">
      <c r="A1" s="136" t="s">
        <v>425</v>
      </c>
      <c r="B1" s="136"/>
      <c r="C1" s="137"/>
      <c r="D1" s="137"/>
      <c r="E1" s="137"/>
      <c r="F1" s="137"/>
      <c r="G1" s="137"/>
      <c r="H1" s="136"/>
      <c r="I1" s="137"/>
      <c r="J1" s="137"/>
      <c r="K1" s="137"/>
      <c r="L1" s="137"/>
      <c r="M1" s="137"/>
      <c r="N1" s="137"/>
      <c r="O1" s="137"/>
      <c r="P1" s="137"/>
      <c r="Q1" s="136"/>
      <c r="R1" s="136"/>
      <c r="S1" s="136"/>
    </row>
    <row r="2" spans="1:19" ht="68.25" customHeight="1" x14ac:dyDescent="0.2">
      <c r="A2" s="138" t="s">
        <v>82</v>
      </c>
      <c r="B2" s="138" t="s">
        <v>296</v>
      </c>
      <c r="C2" s="138" t="s">
        <v>426</v>
      </c>
      <c r="D2" s="138" t="s">
        <v>427</v>
      </c>
      <c r="E2" s="138" t="s">
        <v>428</v>
      </c>
      <c r="F2" s="138" t="s">
        <v>429</v>
      </c>
      <c r="G2" s="138" t="s">
        <v>430</v>
      </c>
      <c r="H2" s="138" t="s">
        <v>431</v>
      </c>
      <c r="I2" s="138" t="s">
        <v>432</v>
      </c>
      <c r="J2" s="138" t="s">
        <v>433</v>
      </c>
      <c r="K2" s="138" t="s">
        <v>434</v>
      </c>
      <c r="L2" s="138" t="s">
        <v>435</v>
      </c>
      <c r="M2" s="138" t="s">
        <v>436</v>
      </c>
      <c r="N2" s="138" t="s">
        <v>437</v>
      </c>
      <c r="O2" s="138" t="s">
        <v>438</v>
      </c>
      <c r="P2" s="138" t="s">
        <v>439</v>
      </c>
      <c r="Q2" s="138" t="s">
        <v>440</v>
      </c>
      <c r="R2" s="138" t="s">
        <v>441</v>
      </c>
      <c r="S2" s="138" t="s">
        <v>442</v>
      </c>
    </row>
    <row r="3" spans="1:19" ht="15" customHeight="1" x14ac:dyDescent="0.2">
      <c r="A3" s="139" t="str">
        <f>IF(Scoring!A3="","",Scoring!A3)</f>
        <v>MU</v>
      </c>
      <c r="B3" s="140" t="str">
        <f>IF(Scoring!B3="","",Scoring!B3)</f>
        <v>Micron Technology</v>
      </c>
      <c r="C3" s="139" t="str">
        <f>IF(Scoring!AG3="","",IF(OR(Scoring!AG3="STRONG BUY",Scoring!AG3="BUY"),"PASS","FAIL"))</f>
        <v>PASS</v>
      </c>
      <c r="D3" s="139" t="str">
        <f>IF(Scoring!AH3="","",IF(Scoring!AH3="OK","PASS","FAIL"))</f>
        <v>PASS</v>
      </c>
      <c r="E3" s="139" t="str">
        <f>IF(Scoring!AI3="","",IF(Scoring!AI3="OK","PASS","FAIL — mandatory review required"))</f>
        <v>PASS</v>
      </c>
      <c r="F3" s="139"/>
      <c r="G3" s="139"/>
      <c r="H3" s="140" t="str">
        <f t="shared" ref="H3:H34" si="0">IF(OR(F3="",G3=""),"",IF(AND(F3="Y",G3="Y"),"Standard initial size","50% of normal initial size + 90-day technical review"))</f>
        <v/>
      </c>
      <c r="I3" s="139"/>
      <c r="J3" s="139"/>
      <c r="K3" s="141" t="str">
        <f t="shared" ref="K3:K34" si="1">IF(I3="","",IF(I3="N","PASS",IF(J3="Y","PASS — risk documented in thesis","FAIL — undocumented binary risk")))</f>
        <v/>
      </c>
      <c r="L3" s="139" t="str">
        <f>IF('Implied-Return Calculator'!S4="","",'Implied-Return Calculator'!S4)</f>
        <v/>
      </c>
      <c r="M3" s="139" t="str">
        <f>IF('Implied-Return Calculator'!T4="","",'Implied-Return Calculator'!T4)</f>
        <v/>
      </c>
      <c r="N3" s="139" t="str">
        <f>IF('Implied-Return Calculator'!U4="","",'Implied-Return Calculator'!U4)</f>
        <v/>
      </c>
      <c r="O3" s="139"/>
      <c r="P3" s="139"/>
      <c r="Q3" s="141" t="str">
        <f t="shared" ref="Q3:Q34" si="2">IF(OR(O3="",P3=""),"",IF(O3&lt;=50,"PASS — within ceiling",IF(AND(P3&gt;0.3,M3="PASS"),"PASS — growth+bear case exception met","FAIL — exceeds 50x, exception not met")))</f>
        <v/>
      </c>
      <c r="R3" s="140" t="str">
        <f t="shared" ref="R3:R34" si="3">IF(OR(C3="",D3="",E3="",K3="",L3="",M3="",N3="",Q3=""),"",IF(AND(C3="PASS",D3="PASS",LEFT(E3,4)="PASS",LEFT(K3,4)="PASS",L3="PASS",M3="PASS",N3="OK",LEFT(Q3,4)="PASS"),"YES","NO — see failing rule(s)"))</f>
        <v/>
      </c>
      <c r="S3" s="140" t="str">
        <f t="shared" ref="S3:S34" si="4">IF(R3="","",IF(R3="YES","Initiate: "&amp;H3,"DO NOT ENTER — resolve failing Entry Rule(s) above first"))</f>
        <v/>
      </c>
    </row>
    <row r="4" spans="1:19" ht="15" customHeight="1" x14ac:dyDescent="0.2">
      <c r="A4" s="139" t="str">
        <f>IF(Scoring!A4="","",Scoring!A4)</f>
        <v>AVGO</v>
      </c>
      <c r="B4" s="140" t="str">
        <f>IF(Scoring!B4="","",Scoring!B4)</f>
        <v>Broadcom Inc.</v>
      </c>
      <c r="C4" s="139" t="str">
        <f>IF(Scoring!AG4="","",IF(OR(Scoring!AG4="STRONG BUY",Scoring!AG4="BUY"),"PASS","FAIL"))</f>
        <v>PASS</v>
      </c>
      <c r="D4" s="139" t="str">
        <f>IF(Scoring!AH4="","",IF(Scoring!AH4="OK","PASS","FAIL"))</f>
        <v>PASS</v>
      </c>
      <c r="E4" s="139" t="str">
        <f>IF(Scoring!AI4="","",IF(Scoring!AI4="OK","PASS","FAIL — mandatory review required"))</f>
        <v>PASS</v>
      </c>
      <c r="F4" s="139"/>
      <c r="G4" s="139"/>
      <c r="H4" s="140" t="str">
        <f t="shared" si="0"/>
        <v/>
      </c>
      <c r="I4" s="139"/>
      <c r="J4" s="139"/>
      <c r="K4" s="141" t="str">
        <f t="shared" si="1"/>
        <v/>
      </c>
      <c r="L4" s="139" t="str">
        <f>IF('Implied-Return Calculator'!S5="","",'Implied-Return Calculator'!S5)</f>
        <v/>
      </c>
      <c r="M4" s="139" t="str">
        <f>IF('Implied-Return Calculator'!T5="","",'Implied-Return Calculator'!T5)</f>
        <v/>
      </c>
      <c r="N4" s="139" t="str">
        <f>IF('Implied-Return Calculator'!U5="","",'Implied-Return Calculator'!U5)</f>
        <v/>
      </c>
      <c r="O4" s="139"/>
      <c r="P4" s="139"/>
      <c r="Q4" s="141" t="str">
        <f t="shared" si="2"/>
        <v/>
      </c>
      <c r="R4" s="140" t="str">
        <f t="shared" si="3"/>
        <v/>
      </c>
      <c r="S4" s="140" t="str">
        <f t="shared" si="4"/>
        <v/>
      </c>
    </row>
    <row r="5" spans="1:19" ht="15" customHeight="1" x14ac:dyDescent="0.2">
      <c r="A5" s="139" t="str">
        <f>IF(Scoring!A5="","",Scoring!A5)</f>
        <v>PLTR</v>
      </c>
      <c r="B5" s="140" t="str">
        <f>IF(Scoring!B5="","",Scoring!B5)</f>
        <v>Palantir Technologies</v>
      </c>
      <c r="C5" s="139" t="str">
        <f>IF(Scoring!AG5="","",IF(OR(Scoring!AG5="STRONG BUY",Scoring!AG5="BUY"),"PASS","FAIL"))</f>
        <v>PASS</v>
      </c>
      <c r="D5" s="139" t="str">
        <f>IF(Scoring!AH5="","",IF(Scoring!AH5="OK","PASS","FAIL"))</f>
        <v>PASS</v>
      </c>
      <c r="E5" s="139" t="str">
        <f>IF(Scoring!AI5="","",IF(Scoring!AI5="OK","PASS","FAIL — mandatory review required"))</f>
        <v>PASS</v>
      </c>
      <c r="F5" s="139"/>
      <c r="G5" s="139"/>
      <c r="H5" s="140" t="str">
        <f t="shared" si="0"/>
        <v/>
      </c>
      <c r="I5" s="139"/>
      <c r="J5" s="139"/>
      <c r="K5" s="141" t="str">
        <f t="shared" si="1"/>
        <v/>
      </c>
      <c r="L5" s="139" t="str">
        <f>IF('Implied-Return Calculator'!S6="","",'Implied-Return Calculator'!S6)</f>
        <v/>
      </c>
      <c r="M5" s="139" t="str">
        <f>IF('Implied-Return Calculator'!T6="","",'Implied-Return Calculator'!T6)</f>
        <v/>
      </c>
      <c r="N5" s="139" t="str">
        <f>IF('Implied-Return Calculator'!U6="","",'Implied-Return Calculator'!U6)</f>
        <v/>
      </c>
      <c r="O5" s="139"/>
      <c r="P5" s="139"/>
      <c r="Q5" s="141" t="str">
        <f t="shared" si="2"/>
        <v/>
      </c>
      <c r="R5" s="140" t="str">
        <f t="shared" si="3"/>
        <v/>
      </c>
      <c r="S5" s="140" t="str">
        <f t="shared" si="4"/>
        <v/>
      </c>
    </row>
    <row r="6" spans="1:19" ht="15" customHeight="1" x14ac:dyDescent="0.2">
      <c r="A6" s="139" t="str">
        <f>IF(Scoring!A6="","",Scoring!A6)</f>
        <v>NVDA</v>
      </c>
      <c r="B6" s="140" t="str">
        <f>IF(Scoring!B6="","",Scoring!B6)</f>
        <v>NVIDIA Corporation</v>
      </c>
      <c r="C6" s="139" t="str">
        <f>IF(Scoring!AG6="","",IF(OR(Scoring!AG6="STRONG BUY",Scoring!AG6="BUY"),"PASS","FAIL"))</f>
        <v>PASS</v>
      </c>
      <c r="D6" s="139" t="str">
        <f>IF(Scoring!AH6="","",IF(Scoring!AH6="OK","PASS","FAIL"))</f>
        <v>PASS</v>
      </c>
      <c r="E6" s="139" t="str">
        <f>IF(Scoring!AI6="","",IF(Scoring!AI6="OK","PASS","FAIL — mandatory review required"))</f>
        <v>PASS</v>
      </c>
      <c r="F6" s="139"/>
      <c r="G6" s="139"/>
      <c r="H6" s="140" t="str">
        <f t="shared" si="0"/>
        <v/>
      </c>
      <c r="I6" s="139"/>
      <c r="J6" s="139"/>
      <c r="K6" s="141" t="str">
        <f t="shared" si="1"/>
        <v/>
      </c>
      <c r="L6" s="139" t="str">
        <f>IF('Implied-Return Calculator'!S7="","",'Implied-Return Calculator'!S7)</f>
        <v/>
      </c>
      <c r="M6" s="139" t="str">
        <f>IF('Implied-Return Calculator'!T7="","",'Implied-Return Calculator'!T7)</f>
        <v/>
      </c>
      <c r="N6" s="139" t="str">
        <f>IF('Implied-Return Calculator'!U7="","",'Implied-Return Calculator'!U7)</f>
        <v/>
      </c>
      <c r="O6" s="139"/>
      <c r="P6" s="139"/>
      <c r="Q6" s="141" t="str">
        <f t="shared" si="2"/>
        <v/>
      </c>
      <c r="R6" s="140" t="str">
        <f t="shared" si="3"/>
        <v/>
      </c>
      <c r="S6" s="140" t="str">
        <f t="shared" si="4"/>
        <v/>
      </c>
    </row>
    <row r="7" spans="1:19" ht="15" customHeight="1" x14ac:dyDescent="0.2">
      <c r="A7" s="139" t="str">
        <f>IF(Scoring!A7="","",Scoring!A7)</f>
        <v>VRTX</v>
      </c>
      <c r="B7" s="140" t="str">
        <f>IF(Scoring!B7="","",Scoring!B7)</f>
        <v>Vertex Pharmaceuticals</v>
      </c>
      <c r="C7" s="139" t="str">
        <f>IF(Scoring!AG7="","",IF(OR(Scoring!AG7="STRONG BUY",Scoring!AG7="BUY"),"PASS","FAIL"))</f>
        <v>PASS</v>
      </c>
      <c r="D7" s="139" t="str">
        <f>IF(Scoring!AH7="","",IF(Scoring!AH7="OK","PASS","FAIL"))</f>
        <v>PASS</v>
      </c>
      <c r="E7" s="139" t="str">
        <f>IF(Scoring!AI7="","",IF(Scoring!AI7="OK","PASS","FAIL — mandatory review required"))</f>
        <v>PASS</v>
      </c>
      <c r="F7" s="139"/>
      <c r="G7" s="139"/>
      <c r="H7" s="140" t="str">
        <f t="shared" si="0"/>
        <v/>
      </c>
      <c r="I7" s="139"/>
      <c r="J7" s="139"/>
      <c r="K7" s="141" t="str">
        <f t="shared" si="1"/>
        <v/>
      </c>
      <c r="L7" s="139" t="str">
        <f>IF('Implied-Return Calculator'!S8="","",'Implied-Return Calculator'!S8)</f>
        <v/>
      </c>
      <c r="M7" s="139" t="str">
        <f>IF('Implied-Return Calculator'!T8="","",'Implied-Return Calculator'!T8)</f>
        <v/>
      </c>
      <c r="N7" s="139" t="str">
        <f>IF('Implied-Return Calculator'!U8="","",'Implied-Return Calculator'!U8)</f>
        <v/>
      </c>
      <c r="O7" s="139"/>
      <c r="P7" s="139"/>
      <c r="Q7" s="141" t="str">
        <f t="shared" si="2"/>
        <v/>
      </c>
      <c r="R7" s="140" t="str">
        <f t="shared" si="3"/>
        <v/>
      </c>
      <c r="S7" s="140" t="str">
        <f t="shared" si="4"/>
        <v/>
      </c>
    </row>
    <row r="8" spans="1:19" ht="15" customHeight="1" x14ac:dyDescent="0.2">
      <c r="A8" s="139" t="str">
        <f>IF(Scoring!A8="","",Scoring!A8)</f>
        <v>PLD</v>
      </c>
      <c r="B8" s="140" t="str">
        <f>IF(Scoring!B8="","",Scoring!B8)</f>
        <v>Prologis Inc. (REIT-adapted)</v>
      </c>
      <c r="C8" s="139" t="str">
        <f>IF(Scoring!AG8="","",IF(OR(Scoring!AG8="STRONG BUY",Scoring!AG8="BUY"),"PASS","FAIL"))</f>
        <v>PASS</v>
      </c>
      <c r="D8" s="139" t="str">
        <f>IF(Scoring!AH8="","",IF(Scoring!AH8="OK","PASS","FAIL"))</f>
        <v>PASS</v>
      </c>
      <c r="E8" s="139" t="str">
        <f>IF(Scoring!AI8="","",IF(Scoring!AI8="OK","PASS","FAIL — mandatory review required"))</f>
        <v>PASS</v>
      </c>
      <c r="F8" s="139"/>
      <c r="G8" s="139"/>
      <c r="H8" s="140" t="str">
        <f t="shared" si="0"/>
        <v/>
      </c>
      <c r="I8" s="139"/>
      <c r="J8" s="139"/>
      <c r="K8" s="141" t="str">
        <f t="shared" si="1"/>
        <v/>
      </c>
      <c r="L8" s="139" t="str">
        <f>IF('Implied-Return Calculator'!S9="","",'Implied-Return Calculator'!S9)</f>
        <v/>
      </c>
      <c r="M8" s="139" t="str">
        <f>IF('Implied-Return Calculator'!T9="","",'Implied-Return Calculator'!T9)</f>
        <v/>
      </c>
      <c r="N8" s="139" t="str">
        <f>IF('Implied-Return Calculator'!U9="","",'Implied-Return Calculator'!U9)</f>
        <v/>
      </c>
      <c r="O8" s="139"/>
      <c r="P8" s="139"/>
      <c r="Q8" s="141" t="str">
        <f t="shared" si="2"/>
        <v/>
      </c>
      <c r="R8" s="140" t="str">
        <f t="shared" si="3"/>
        <v/>
      </c>
      <c r="S8" s="140" t="str">
        <f t="shared" si="4"/>
        <v/>
      </c>
    </row>
    <row r="9" spans="1:19" ht="15" customHeight="1" x14ac:dyDescent="0.2">
      <c r="A9" s="139" t="str">
        <f>IF(Scoring!A9="","",Scoring!A9)</f>
        <v>SFM</v>
      </c>
      <c r="B9" s="140" t="str">
        <f>IF(Scoring!B9="","",Scoring!B9)</f>
        <v>Sprouts Farmers Market</v>
      </c>
      <c r="C9" s="139" t="str">
        <f>IF(Scoring!AG9="","",IF(OR(Scoring!AG9="STRONG BUY",Scoring!AG9="BUY"),"PASS","FAIL"))</f>
        <v/>
      </c>
      <c r="D9" s="139" t="str">
        <f>IF(Scoring!AH9="","",IF(Scoring!AH9="OK","PASS","FAIL"))</f>
        <v>FAIL</v>
      </c>
      <c r="E9" s="141" t="str">
        <f>IF(Scoring!AI9="","",IF(Scoring!AI9="OK","PASS","FAIL — mandatory review required"))</f>
        <v>FAIL — mandatory review required</v>
      </c>
      <c r="F9" s="139"/>
      <c r="G9" s="139"/>
      <c r="H9" s="140" t="str">
        <f t="shared" si="0"/>
        <v/>
      </c>
      <c r="I9" s="139"/>
      <c r="J9" s="139"/>
      <c r="K9" s="141" t="str">
        <f t="shared" si="1"/>
        <v/>
      </c>
      <c r="L9" s="139" t="str">
        <f>IF('Implied-Return Calculator'!S10="","",'Implied-Return Calculator'!S10)</f>
        <v/>
      </c>
      <c r="M9" s="139" t="str">
        <f>IF('Implied-Return Calculator'!T10="","",'Implied-Return Calculator'!T10)</f>
        <v/>
      </c>
      <c r="N9" s="139" t="str">
        <f>IF('Implied-Return Calculator'!U10="","",'Implied-Return Calculator'!U10)</f>
        <v/>
      </c>
      <c r="O9" s="139"/>
      <c r="P9" s="139"/>
      <c r="Q9" s="141" t="str">
        <f t="shared" si="2"/>
        <v/>
      </c>
      <c r="R9" s="140" t="str">
        <f t="shared" si="3"/>
        <v/>
      </c>
      <c r="S9" s="140" t="str">
        <f t="shared" si="4"/>
        <v/>
      </c>
    </row>
    <row r="10" spans="1:19" ht="15" customHeight="1" x14ac:dyDescent="0.2">
      <c r="A10" s="139" t="str">
        <f>IF(Scoring!A10="","",Scoring!A10)</f>
        <v>ONON</v>
      </c>
      <c r="B10" s="140" t="str">
        <f>IF(Scoring!B10="","",Scoring!B10)</f>
        <v>On Holding AG</v>
      </c>
      <c r="C10" s="139" t="str">
        <f>IF(Scoring!AG10="","",IF(OR(Scoring!AG10="STRONG BUY",Scoring!AG10="BUY"),"PASS","FAIL"))</f>
        <v/>
      </c>
      <c r="D10" s="139" t="str">
        <f>IF(Scoring!AH10="","",IF(Scoring!AH10="OK","PASS","FAIL"))</f>
        <v>FAIL</v>
      </c>
      <c r="E10" s="139" t="str">
        <f>IF(Scoring!AI10="","",IF(Scoring!AI10="OK","PASS","FAIL — mandatory review required"))</f>
        <v>PASS</v>
      </c>
      <c r="F10" s="139"/>
      <c r="G10" s="139"/>
      <c r="H10" s="140" t="str">
        <f t="shared" si="0"/>
        <v/>
      </c>
      <c r="I10" s="139"/>
      <c r="J10" s="139"/>
      <c r="K10" s="141" t="str">
        <f t="shared" si="1"/>
        <v/>
      </c>
      <c r="L10" s="139" t="str">
        <f>IF('Implied-Return Calculator'!S11="","",'Implied-Return Calculator'!S11)</f>
        <v/>
      </c>
      <c r="M10" s="139" t="str">
        <f>IF('Implied-Return Calculator'!T11="","",'Implied-Return Calculator'!T11)</f>
        <v/>
      </c>
      <c r="N10" s="139" t="str">
        <f>IF('Implied-Return Calculator'!U11="","",'Implied-Return Calculator'!U11)</f>
        <v/>
      </c>
      <c r="O10" s="139"/>
      <c r="P10" s="139"/>
      <c r="Q10" s="141" t="str">
        <f t="shared" si="2"/>
        <v/>
      </c>
      <c r="R10" s="140" t="str">
        <f t="shared" si="3"/>
        <v/>
      </c>
      <c r="S10" s="140" t="str">
        <f t="shared" si="4"/>
        <v/>
      </c>
    </row>
    <row r="11" spans="1:19" ht="15" customHeight="1" x14ac:dyDescent="0.2">
      <c r="A11" s="139" t="str">
        <f>IF(Scoring!A11="","",Scoring!A11)</f>
        <v>TSLA</v>
      </c>
      <c r="B11" s="140" t="str">
        <f>IF(Scoring!B11="","",Scoring!B11)</f>
        <v>Tesla Inc.</v>
      </c>
      <c r="C11" s="139" t="str">
        <f>IF(Scoring!AG11="","",IF(OR(Scoring!AG11="STRONG BUY",Scoring!AG11="BUY"),"PASS","FAIL"))</f>
        <v/>
      </c>
      <c r="D11" s="139" t="str">
        <f>IF(Scoring!AH11="","",IF(Scoring!AH11="OK","PASS","FAIL"))</f>
        <v>FAIL</v>
      </c>
      <c r="E11" s="141" t="str">
        <f>IF(Scoring!AI11="","",IF(Scoring!AI11="OK","PASS","FAIL — mandatory review required"))</f>
        <v>FAIL — mandatory review required</v>
      </c>
      <c r="F11" s="139"/>
      <c r="G11" s="139"/>
      <c r="H11" s="140" t="str">
        <f t="shared" si="0"/>
        <v/>
      </c>
      <c r="I11" s="139"/>
      <c r="J11" s="139"/>
      <c r="K11" s="141" t="str">
        <f t="shared" si="1"/>
        <v/>
      </c>
      <c r="L11" s="139" t="str">
        <f>IF('Implied-Return Calculator'!S12="","",'Implied-Return Calculator'!S12)</f>
        <v/>
      </c>
      <c r="M11" s="139" t="str">
        <f>IF('Implied-Return Calculator'!T12="","",'Implied-Return Calculator'!T12)</f>
        <v/>
      </c>
      <c r="N11" s="139" t="str">
        <f>IF('Implied-Return Calculator'!U12="","",'Implied-Return Calculator'!U12)</f>
        <v/>
      </c>
      <c r="O11" s="139"/>
      <c r="P11" s="139"/>
      <c r="Q11" s="141" t="str">
        <f t="shared" si="2"/>
        <v/>
      </c>
      <c r="R11" s="140" t="str">
        <f t="shared" si="3"/>
        <v/>
      </c>
      <c r="S11" s="140" t="str">
        <f t="shared" si="4"/>
        <v/>
      </c>
    </row>
    <row r="12" spans="1:19" ht="15" customHeight="1" x14ac:dyDescent="0.2">
      <c r="A12" s="139" t="str">
        <f>IF(Scoring!A12="","",Scoring!A12)</f>
        <v>ADBE</v>
      </c>
      <c r="B12" s="140" t="str">
        <f>IF(Scoring!B12="","",Scoring!B12)</f>
        <v>Adobe Inc.</v>
      </c>
      <c r="C12" s="139" t="str">
        <f>IF(Scoring!AG12="","",IF(OR(Scoring!AG12="STRONG BUY",Scoring!AG12="BUY"),"PASS","FAIL"))</f>
        <v>PASS</v>
      </c>
      <c r="D12" s="139" t="str">
        <f>IF(Scoring!AH12="","",IF(Scoring!AH12="OK","PASS","FAIL"))</f>
        <v>PASS</v>
      </c>
      <c r="E12" s="139" t="str">
        <f>IF(Scoring!AI12="","",IF(Scoring!AI12="OK","PASS","FAIL — mandatory review required"))</f>
        <v>PASS</v>
      </c>
      <c r="F12" s="139"/>
      <c r="G12" s="139"/>
      <c r="H12" s="140" t="str">
        <f t="shared" si="0"/>
        <v/>
      </c>
      <c r="I12" s="139"/>
      <c r="J12" s="139"/>
      <c r="K12" s="141" t="str">
        <f t="shared" si="1"/>
        <v/>
      </c>
      <c r="L12" s="139" t="str">
        <f>IF('Implied-Return Calculator'!S13="","",'Implied-Return Calculator'!S13)</f>
        <v/>
      </c>
      <c r="M12" s="139" t="str">
        <f>IF('Implied-Return Calculator'!T13="","",'Implied-Return Calculator'!T13)</f>
        <v/>
      </c>
      <c r="N12" s="139" t="str">
        <f>IF('Implied-Return Calculator'!U13="","",'Implied-Return Calculator'!U13)</f>
        <v/>
      </c>
      <c r="O12" s="139"/>
      <c r="P12" s="139"/>
      <c r="Q12" s="141" t="str">
        <f t="shared" si="2"/>
        <v/>
      </c>
      <c r="R12" s="140" t="str">
        <f t="shared" si="3"/>
        <v/>
      </c>
      <c r="S12" s="140" t="str">
        <f t="shared" si="4"/>
        <v/>
      </c>
    </row>
    <row r="13" spans="1:19" ht="15" customHeight="1" x14ac:dyDescent="0.2">
      <c r="A13" s="139" t="str">
        <f>IF(Scoring!A13="","",Scoring!A13)</f>
        <v>ANET</v>
      </c>
      <c r="B13" s="140" t="str">
        <f>IF(Scoring!B13="","",Scoring!B13)</f>
        <v>Arista Networks</v>
      </c>
      <c r="C13" s="139" t="str">
        <f>IF(Scoring!AG13="","",IF(OR(Scoring!AG13="STRONG BUY",Scoring!AG13="BUY"),"PASS","FAIL"))</f>
        <v>PASS</v>
      </c>
      <c r="D13" s="139" t="str">
        <f>IF(Scoring!AH13="","",IF(Scoring!AH13="OK","PASS","FAIL"))</f>
        <v>PASS</v>
      </c>
      <c r="E13" s="139" t="str">
        <f>IF(Scoring!AI13="","",IF(Scoring!AI13="OK","PASS","FAIL — mandatory review required"))</f>
        <v>PASS</v>
      </c>
      <c r="F13" s="139"/>
      <c r="G13" s="139"/>
      <c r="H13" s="140" t="str">
        <f t="shared" si="0"/>
        <v/>
      </c>
      <c r="I13" s="139"/>
      <c r="J13" s="139"/>
      <c r="K13" s="141" t="str">
        <f t="shared" si="1"/>
        <v/>
      </c>
      <c r="L13" s="139" t="str">
        <f>IF('Implied-Return Calculator'!S14="","",'Implied-Return Calculator'!S14)</f>
        <v/>
      </c>
      <c r="M13" s="139" t="str">
        <f>IF('Implied-Return Calculator'!T14="","",'Implied-Return Calculator'!T14)</f>
        <v/>
      </c>
      <c r="N13" s="139" t="str">
        <f>IF('Implied-Return Calculator'!U14="","",'Implied-Return Calculator'!U14)</f>
        <v/>
      </c>
      <c r="O13" s="139"/>
      <c r="P13" s="139"/>
      <c r="Q13" s="141" t="str">
        <f t="shared" si="2"/>
        <v/>
      </c>
      <c r="R13" s="140" t="str">
        <f t="shared" si="3"/>
        <v/>
      </c>
      <c r="S13" s="140" t="str">
        <f t="shared" si="4"/>
        <v/>
      </c>
    </row>
    <row r="14" spans="1:19" ht="15" customHeight="1" x14ac:dyDescent="0.2">
      <c r="A14" s="139" t="str">
        <f>IF(Scoring!A14="","",Scoring!A14)</f>
        <v>ASML</v>
      </c>
      <c r="B14" s="140" t="str">
        <f>IF(Scoring!B14="","",Scoring!B14)</f>
        <v>ASML Holding</v>
      </c>
      <c r="C14" s="139" t="str">
        <f>IF(Scoring!AG14="","",IF(OR(Scoring!AG14="STRONG BUY",Scoring!AG14="BUY"),"PASS","FAIL"))</f>
        <v>PASS</v>
      </c>
      <c r="D14" s="139" t="str">
        <f>IF(Scoring!AH14="","",IF(Scoring!AH14="OK","PASS","FAIL"))</f>
        <v>PASS</v>
      </c>
      <c r="E14" s="139" t="str">
        <f>IF(Scoring!AI14="","",IF(Scoring!AI14="OK","PASS","FAIL — mandatory review required"))</f>
        <v>PASS</v>
      </c>
      <c r="F14" s="139"/>
      <c r="G14" s="139"/>
      <c r="H14" s="140" t="str">
        <f t="shared" si="0"/>
        <v/>
      </c>
      <c r="I14" s="139"/>
      <c r="J14" s="139"/>
      <c r="K14" s="141" t="str">
        <f t="shared" si="1"/>
        <v/>
      </c>
      <c r="L14" s="139" t="str">
        <f>IF('Implied-Return Calculator'!S15="","",'Implied-Return Calculator'!S15)</f>
        <v/>
      </c>
      <c r="M14" s="139" t="str">
        <f>IF('Implied-Return Calculator'!T15="","",'Implied-Return Calculator'!T15)</f>
        <v/>
      </c>
      <c r="N14" s="139" t="str">
        <f>IF('Implied-Return Calculator'!U15="","",'Implied-Return Calculator'!U15)</f>
        <v/>
      </c>
      <c r="O14" s="139"/>
      <c r="P14" s="139"/>
      <c r="Q14" s="141" t="str">
        <f t="shared" si="2"/>
        <v/>
      </c>
      <c r="R14" s="140" t="str">
        <f t="shared" si="3"/>
        <v/>
      </c>
      <c r="S14" s="140" t="str">
        <f t="shared" si="4"/>
        <v/>
      </c>
    </row>
    <row r="15" spans="1:19" ht="15" customHeight="1" x14ac:dyDescent="0.2">
      <c r="A15" s="139" t="str">
        <f>IF(Scoring!A15="","",Scoring!A15)</f>
        <v>CRWD</v>
      </c>
      <c r="B15" s="140" t="str">
        <f>IF(Scoring!B15="","",Scoring!B15)</f>
        <v>CrowdStrike Holdings</v>
      </c>
      <c r="C15" s="139" t="str">
        <f>IF(Scoring!AG15="","",IF(OR(Scoring!AG15="STRONG BUY",Scoring!AG15="BUY"),"PASS","FAIL"))</f>
        <v>FAIL</v>
      </c>
      <c r="D15" s="139" t="str">
        <f>IF(Scoring!AH15="","",IF(Scoring!AH15="OK","PASS","FAIL"))</f>
        <v>PASS</v>
      </c>
      <c r="E15" s="139" t="str">
        <f>IF(Scoring!AI15="","",IF(Scoring!AI15="OK","PASS","FAIL — mandatory review required"))</f>
        <v>PASS</v>
      </c>
      <c r="F15" s="139"/>
      <c r="G15" s="139"/>
      <c r="H15" s="140" t="str">
        <f t="shared" si="0"/>
        <v/>
      </c>
      <c r="I15" s="139"/>
      <c r="J15" s="139"/>
      <c r="K15" s="141" t="str">
        <f t="shared" si="1"/>
        <v/>
      </c>
      <c r="L15" s="139" t="str">
        <f>IF('Implied-Return Calculator'!S16="","",'Implied-Return Calculator'!S16)</f>
        <v/>
      </c>
      <c r="M15" s="139" t="str">
        <f>IF('Implied-Return Calculator'!T16="","",'Implied-Return Calculator'!T16)</f>
        <v/>
      </c>
      <c r="N15" s="139" t="str">
        <f>IF('Implied-Return Calculator'!U16="","",'Implied-Return Calculator'!U16)</f>
        <v/>
      </c>
      <c r="O15" s="139"/>
      <c r="P15" s="139"/>
      <c r="Q15" s="141" t="str">
        <f t="shared" si="2"/>
        <v/>
      </c>
      <c r="R15" s="140" t="str">
        <f t="shared" si="3"/>
        <v/>
      </c>
      <c r="S15" s="140" t="str">
        <f t="shared" si="4"/>
        <v/>
      </c>
    </row>
    <row r="16" spans="1:19" ht="15" customHeight="1" x14ac:dyDescent="0.2">
      <c r="A16" s="139" t="str">
        <f>IF(Scoring!A16="","",Scoring!A16)</f>
        <v>KLAC</v>
      </c>
      <c r="B16" s="140" t="str">
        <f>IF(Scoring!B16="","",Scoring!B16)</f>
        <v>KLA Corporation</v>
      </c>
      <c r="C16" s="139" t="str">
        <f>IF(Scoring!AG16="","",IF(OR(Scoring!AG16="STRONG BUY",Scoring!AG16="BUY"),"PASS","FAIL"))</f>
        <v>PASS</v>
      </c>
      <c r="D16" s="139" t="str">
        <f>IF(Scoring!AH16="","",IF(Scoring!AH16="OK","PASS","FAIL"))</f>
        <v>PASS</v>
      </c>
      <c r="E16" s="139" t="str">
        <f>IF(Scoring!AI16="","",IF(Scoring!AI16="OK","PASS","FAIL — mandatory review required"))</f>
        <v>PASS</v>
      </c>
      <c r="F16" s="139"/>
      <c r="G16" s="139"/>
      <c r="H16" s="140" t="str">
        <f t="shared" si="0"/>
        <v/>
      </c>
      <c r="I16" s="139"/>
      <c r="J16" s="139"/>
      <c r="K16" s="141" t="str">
        <f t="shared" si="1"/>
        <v/>
      </c>
      <c r="L16" s="139" t="str">
        <f>IF('Implied-Return Calculator'!S17="","",'Implied-Return Calculator'!S17)</f>
        <v/>
      </c>
      <c r="M16" s="139" t="str">
        <f>IF('Implied-Return Calculator'!T17="","",'Implied-Return Calculator'!T17)</f>
        <v/>
      </c>
      <c r="N16" s="139" t="str">
        <f>IF('Implied-Return Calculator'!U17="","",'Implied-Return Calculator'!U17)</f>
        <v/>
      </c>
      <c r="O16" s="139"/>
      <c r="P16" s="139"/>
      <c r="Q16" s="141" t="str">
        <f t="shared" si="2"/>
        <v/>
      </c>
      <c r="R16" s="140" t="str">
        <f t="shared" si="3"/>
        <v/>
      </c>
      <c r="S16" s="140" t="str">
        <f t="shared" si="4"/>
        <v/>
      </c>
    </row>
    <row r="17" spans="1:19" ht="15" customHeight="1" x14ac:dyDescent="0.2">
      <c r="A17" s="139" t="str">
        <f>IF(Scoring!A17="","",Scoring!A17)</f>
        <v>TSM</v>
      </c>
      <c r="B17" s="140" t="str">
        <f>IF(Scoring!B17="","",Scoring!B17)</f>
        <v>Taiwan Semiconductor Mfg.</v>
      </c>
      <c r="C17" s="139" t="str">
        <f>IF(Scoring!AG17="","",IF(OR(Scoring!AG17="STRONG BUY",Scoring!AG17="BUY"),"PASS","FAIL"))</f>
        <v>PASS</v>
      </c>
      <c r="D17" s="139" t="str">
        <f>IF(Scoring!AH17="","",IF(Scoring!AH17="OK","PASS","FAIL"))</f>
        <v>PASS</v>
      </c>
      <c r="E17" s="139" t="str">
        <f>IF(Scoring!AI17="","",IF(Scoring!AI17="OK","PASS","FAIL — mandatory review required"))</f>
        <v>PASS</v>
      </c>
      <c r="F17" s="139"/>
      <c r="G17" s="139"/>
      <c r="H17" s="140" t="str">
        <f t="shared" si="0"/>
        <v/>
      </c>
      <c r="I17" s="139"/>
      <c r="J17" s="139"/>
      <c r="K17" s="141" t="str">
        <f t="shared" si="1"/>
        <v/>
      </c>
      <c r="L17" s="139" t="str">
        <f>IF('Implied-Return Calculator'!S18="","",'Implied-Return Calculator'!S18)</f>
        <v/>
      </c>
      <c r="M17" s="139" t="str">
        <f>IF('Implied-Return Calculator'!T18="","",'Implied-Return Calculator'!T18)</f>
        <v/>
      </c>
      <c r="N17" s="139" t="str">
        <f>IF('Implied-Return Calculator'!U18="","",'Implied-Return Calculator'!U18)</f>
        <v/>
      </c>
      <c r="O17" s="139"/>
      <c r="P17" s="139"/>
      <c r="Q17" s="141" t="str">
        <f t="shared" si="2"/>
        <v/>
      </c>
      <c r="R17" s="140" t="str">
        <f t="shared" si="3"/>
        <v/>
      </c>
      <c r="S17" s="140" t="str">
        <f t="shared" si="4"/>
        <v/>
      </c>
    </row>
    <row r="18" spans="1:19" ht="15" customHeight="1" x14ac:dyDescent="0.2">
      <c r="A18" s="139" t="str">
        <f>IF(Scoring!A18="","",Scoring!A18)</f>
        <v>VRT</v>
      </c>
      <c r="B18" s="140" t="str">
        <f>IF(Scoring!B18="","",Scoring!B18)</f>
        <v>Vertiv Holdings</v>
      </c>
      <c r="C18" s="139" t="str">
        <f>IF(Scoring!AG18="","",IF(OR(Scoring!AG18="STRONG BUY",Scoring!AG18="BUY"),"PASS","FAIL"))</f>
        <v>PASS</v>
      </c>
      <c r="D18" s="139" t="str">
        <f>IF(Scoring!AH18="","",IF(Scoring!AH18="OK","PASS","FAIL"))</f>
        <v>PASS</v>
      </c>
      <c r="E18" s="139" t="str">
        <f>IF(Scoring!AI18="","",IF(Scoring!AI18="OK","PASS","FAIL — mandatory review required"))</f>
        <v>PASS</v>
      </c>
      <c r="F18" s="139"/>
      <c r="G18" s="139"/>
      <c r="H18" s="140" t="str">
        <f t="shared" si="0"/>
        <v/>
      </c>
      <c r="I18" s="139"/>
      <c r="J18" s="139"/>
      <c r="K18" s="141" t="str">
        <f t="shared" si="1"/>
        <v/>
      </c>
      <c r="L18" s="139" t="str">
        <f>IF('Implied-Return Calculator'!S19="","",'Implied-Return Calculator'!S19)</f>
        <v/>
      </c>
      <c r="M18" s="139" t="str">
        <f>IF('Implied-Return Calculator'!T19="","",'Implied-Return Calculator'!T19)</f>
        <v/>
      </c>
      <c r="N18" s="139" t="str">
        <f>IF('Implied-Return Calculator'!U19="","",'Implied-Return Calculator'!U19)</f>
        <v/>
      </c>
      <c r="O18" s="139"/>
      <c r="P18" s="139"/>
      <c r="Q18" s="141" t="str">
        <f t="shared" si="2"/>
        <v/>
      </c>
      <c r="R18" s="140" t="str">
        <f t="shared" si="3"/>
        <v/>
      </c>
      <c r="S18" s="140" t="str">
        <f t="shared" si="4"/>
        <v/>
      </c>
    </row>
    <row r="19" spans="1:19" ht="15" customHeight="1" x14ac:dyDescent="0.2">
      <c r="A19" s="139" t="str">
        <f>IF(Scoring!A19="","",Scoring!A19)</f>
        <v>COST</v>
      </c>
      <c r="B19" s="140" t="str">
        <f>IF(Scoring!B19="","",Scoring!B19)</f>
        <v>Costco Wholesale Corp.</v>
      </c>
      <c r="C19" s="139" t="str">
        <f>IF(Scoring!AG19="","",IF(OR(Scoring!AG19="STRONG BUY",Scoring!AG19="BUY"),"PASS","FAIL"))</f>
        <v>PASS</v>
      </c>
      <c r="D19" s="139" t="str">
        <f>IF(Scoring!AH19="","",IF(Scoring!AH19="OK","PASS","FAIL"))</f>
        <v>PASS</v>
      </c>
      <c r="E19" s="139" t="str">
        <f>IF(Scoring!AI19="","",IF(Scoring!AI19="OK","PASS","FAIL — mandatory review required"))</f>
        <v>PASS</v>
      </c>
      <c r="F19" s="139" t="s">
        <v>222</v>
      </c>
      <c r="G19" s="139" t="s">
        <v>222</v>
      </c>
      <c r="H19" s="140" t="str">
        <f t="shared" si="0"/>
        <v>Standard initial size</v>
      </c>
      <c r="I19" s="139" t="s">
        <v>224</v>
      </c>
      <c r="J19" s="139"/>
      <c r="K19" s="141" t="str">
        <f t="shared" si="1"/>
        <v>PASS</v>
      </c>
      <c r="L19" s="139" t="str">
        <f>IF('Implied-Return Calculator'!S20="","",'Implied-Return Calculator'!S20)</f>
        <v>FAIL</v>
      </c>
      <c r="M19" s="139" t="str">
        <f>IF('Implied-Return Calculator'!T20="","",'Implied-Return Calculator'!T20)</f>
        <v>PASS</v>
      </c>
      <c r="N19" s="139" t="str">
        <f>IF('Implied-Return Calculator'!U20="","",'Implied-Return Calculator'!U20)</f>
        <v>OK</v>
      </c>
      <c r="O19" s="139">
        <v>61.48</v>
      </c>
      <c r="P19" s="139">
        <v>7.0000000000000007E-2</v>
      </c>
      <c r="Q19" s="141" t="str">
        <f t="shared" si="2"/>
        <v>FAIL — exceeds 50x, exception not met</v>
      </c>
      <c r="R19" s="140" t="str">
        <f t="shared" si="3"/>
        <v>NO — see failing rule(s)</v>
      </c>
      <c r="S19" s="140" t="str">
        <f t="shared" si="4"/>
        <v>DO NOT ENTER — resolve failing Entry Rule(s) above first</v>
      </c>
    </row>
    <row r="20" spans="1:19" ht="15" customHeight="1" x14ac:dyDescent="0.2">
      <c r="A20" s="139" t="str">
        <f>IF(Scoring!A20="","",Scoring!A20)</f>
        <v>V</v>
      </c>
      <c r="B20" s="140" t="str">
        <f>IF(Scoring!B20="","",Scoring!B20)</f>
        <v>Visa Inc.</v>
      </c>
      <c r="C20" s="139" t="str">
        <f>IF(Scoring!AG20="","",IF(OR(Scoring!AG20="STRONG BUY",Scoring!AG20="BUY"),"PASS","FAIL"))</f>
        <v>PASS</v>
      </c>
      <c r="D20" s="139" t="str">
        <f>IF(Scoring!AH20="","",IF(Scoring!AH20="OK","PASS","FAIL"))</f>
        <v>PASS</v>
      </c>
      <c r="E20" s="139" t="str">
        <f>IF(Scoring!AI20="","",IF(Scoring!AI20="OK","PASS","FAIL — mandatory review required"))</f>
        <v>PASS</v>
      </c>
      <c r="F20" s="139" t="s">
        <v>222</v>
      </c>
      <c r="G20" s="139" t="s">
        <v>222</v>
      </c>
      <c r="H20" s="140" t="str">
        <f t="shared" si="0"/>
        <v>Standard initial size</v>
      </c>
      <c r="I20" s="139" t="s">
        <v>222</v>
      </c>
      <c r="J20" s="139" t="s">
        <v>222</v>
      </c>
      <c r="K20" s="141" t="str">
        <f t="shared" si="1"/>
        <v>PASS — risk documented in thesis</v>
      </c>
      <c r="L20" s="139" t="str">
        <f>IF('Implied-Return Calculator'!S21="","",'Implied-Return Calculator'!S21)</f>
        <v>PASS</v>
      </c>
      <c r="M20" s="139" t="str">
        <f>IF('Implied-Return Calculator'!T21="","",'Implied-Return Calculator'!T21)</f>
        <v>PASS</v>
      </c>
      <c r="N20" s="139" t="str">
        <f>IF('Implied-Return Calculator'!U21="","",'Implied-Return Calculator'!U21)</f>
        <v>OK</v>
      </c>
      <c r="O20" s="139">
        <v>34.36</v>
      </c>
      <c r="P20" s="139">
        <v>0.11</v>
      </c>
      <c r="Q20" s="141" t="str">
        <f t="shared" si="2"/>
        <v>PASS — within ceiling</v>
      </c>
      <c r="R20" s="140" t="str">
        <f t="shared" si="3"/>
        <v>YES</v>
      </c>
      <c r="S20" s="140" t="str">
        <f t="shared" si="4"/>
        <v>Initiate: Standard initial size</v>
      </c>
    </row>
    <row r="21" spans="1:19" ht="15" customHeight="1" x14ac:dyDescent="0.2">
      <c r="A21" s="139" t="str">
        <f>IF(Scoring!A21="","",Scoring!A21)</f>
        <v>NEE</v>
      </c>
      <c r="B21" s="140" t="str">
        <f>IF(Scoring!B21="","",Scoring!B21)</f>
        <v>NextEra Energy Inc.</v>
      </c>
      <c r="C21" s="139" t="str">
        <f>IF(Scoring!AG21="","",IF(OR(Scoring!AG21="STRONG BUY",Scoring!AG21="BUY"),"PASS","FAIL"))</f>
        <v/>
      </c>
      <c r="D21" s="139" t="str">
        <f>IF(Scoring!AH21="","",IF(Scoring!AH21="OK","PASS","FAIL"))</f>
        <v>FAIL</v>
      </c>
      <c r="E21" s="141" t="str">
        <f>IF(Scoring!AI21="","",IF(Scoring!AI21="OK","PASS","FAIL — mandatory review required"))</f>
        <v>FAIL — mandatory review required</v>
      </c>
      <c r="F21" s="139"/>
      <c r="G21" s="139"/>
      <c r="H21" s="140" t="str">
        <f t="shared" si="0"/>
        <v/>
      </c>
      <c r="I21" s="139"/>
      <c r="J21" s="139"/>
      <c r="K21" s="141" t="str">
        <f t="shared" si="1"/>
        <v/>
      </c>
      <c r="L21" s="139" t="str">
        <f>IF('Implied-Return Calculator'!S22="","",'Implied-Return Calculator'!S22)</f>
        <v/>
      </c>
      <c r="M21" s="139" t="str">
        <f>IF('Implied-Return Calculator'!T22="","",'Implied-Return Calculator'!T22)</f>
        <v/>
      </c>
      <c r="N21" s="139" t="str">
        <f>IF('Implied-Return Calculator'!U22="","",'Implied-Return Calculator'!U22)</f>
        <v/>
      </c>
      <c r="O21" s="139"/>
      <c r="P21" s="139"/>
      <c r="Q21" s="141" t="str">
        <f t="shared" si="2"/>
        <v/>
      </c>
      <c r="R21" s="140" t="str">
        <f t="shared" si="3"/>
        <v/>
      </c>
      <c r="S21" s="140" t="str">
        <f t="shared" si="4"/>
        <v/>
      </c>
    </row>
    <row r="22" spans="1:19" ht="15" customHeight="1" x14ac:dyDescent="0.2">
      <c r="A22" s="139" t="str">
        <f>IF(Scoring!A22="","",Scoring!A22)</f>
        <v>CRK</v>
      </c>
      <c r="B22" s="140" t="str">
        <f>IF(Scoring!B22="","",Scoring!B22)</f>
        <v>Comstock Resources Inc.</v>
      </c>
      <c r="C22" s="139" t="str">
        <f>IF(Scoring!AG22="","",IF(OR(Scoring!AG22="STRONG BUY",Scoring!AG22="BUY"),"PASS","FAIL"))</f>
        <v/>
      </c>
      <c r="D22" s="139" t="str">
        <f>IF(Scoring!AH22="","",IF(Scoring!AH22="OK","PASS","FAIL"))</f>
        <v>FAIL</v>
      </c>
      <c r="E22" s="141" t="str">
        <f>IF(Scoring!AI22="","",IF(Scoring!AI22="OK","PASS","FAIL — mandatory review required"))</f>
        <v>FAIL — mandatory review required</v>
      </c>
      <c r="F22" s="139"/>
      <c r="G22" s="139"/>
      <c r="H22" s="140" t="str">
        <f t="shared" si="0"/>
        <v/>
      </c>
      <c r="I22" s="139"/>
      <c r="J22" s="139"/>
      <c r="K22" s="141" t="str">
        <f t="shared" si="1"/>
        <v/>
      </c>
      <c r="L22" s="139" t="str">
        <f>IF('Implied-Return Calculator'!S23="","",'Implied-Return Calculator'!S23)</f>
        <v/>
      </c>
      <c r="M22" s="139" t="str">
        <f>IF('Implied-Return Calculator'!T23="","",'Implied-Return Calculator'!T23)</f>
        <v/>
      </c>
      <c r="N22" s="139" t="str">
        <f>IF('Implied-Return Calculator'!U23="","",'Implied-Return Calculator'!U23)</f>
        <v/>
      </c>
      <c r="O22" s="139"/>
      <c r="P22" s="139"/>
      <c r="Q22" s="141" t="str">
        <f t="shared" si="2"/>
        <v/>
      </c>
      <c r="R22" s="140" t="str">
        <f t="shared" si="3"/>
        <v/>
      </c>
      <c r="S22" s="140" t="str">
        <f t="shared" si="4"/>
        <v/>
      </c>
    </row>
    <row r="23" spans="1:19" ht="15" customHeight="1" x14ac:dyDescent="0.2">
      <c r="A23" s="139" t="str">
        <f>IF(Scoring!A23="","",Scoring!A23)</f>
        <v>ET</v>
      </c>
      <c r="B23" s="140" t="str">
        <f>IF(Scoring!B23="","",Scoring!B23)</f>
        <v>Energy Transfer LP</v>
      </c>
      <c r="C23" s="139" t="str">
        <f>IF(Scoring!AG23="","",IF(OR(Scoring!AG23="STRONG BUY",Scoring!AG23="BUY"),"PASS","FAIL"))</f>
        <v/>
      </c>
      <c r="D23" s="139" t="str">
        <f>IF(Scoring!AH23="","",IF(Scoring!AH23="OK","PASS","FAIL"))</f>
        <v>PASS</v>
      </c>
      <c r="E23" s="141" t="str">
        <f>IF(Scoring!AI23="","",IF(Scoring!AI23="OK","PASS","FAIL — mandatory review required"))</f>
        <v>FAIL — mandatory review required</v>
      </c>
      <c r="F23" s="139"/>
      <c r="G23" s="139"/>
      <c r="H23" s="140" t="str">
        <f t="shared" si="0"/>
        <v/>
      </c>
      <c r="I23" s="139"/>
      <c r="J23" s="139"/>
      <c r="K23" s="141" t="str">
        <f t="shared" si="1"/>
        <v/>
      </c>
      <c r="L23" s="139" t="str">
        <f>IF('Implied-Return Calculator'!S24="","",'Implied-Return Calculator'!S24)</f>
        <v/>
      </c>
      <c r="M23" s="139" t="str">
        <f>IF('Implied-Return Calculator'!T24="","",'Implied-Return Calculator'!T24)</f>
        <v/>
      </c>
      <c r="N23" s="139" t="str">
        <f>IF('Implied-Return Calculator'!U24="","",'Implied-Return Calculator'!U24)</f>
        <v/>
      </c>
      <c r="O23" s="139"/>
      <c r="P23" s="139"/>
      <c r="Q23" s="141" t="str">
        <f t="shared" si="2"/>
        <v/>
      </c>
      <c r="R23" s="140" t="str">
        <f t="shared" si="3"/>
        <v/>
      </c>
      <c r="S23" s="140" t="str">
        <f t="shared" si="4"/>
        <v/>
      </c>
    </row>
    <row r="24" spans="1:19" ht="15" customHeight="1" x14ac:dyDescent="0.2">
      <c r="A24" s="139" t="str">
        <f>IF(Scoring!A24="","",Scoring!A24)</f>
        <v>LBRT</v>
      </c>
      <c r="B24" s="140" t="str">
        <f>IF(Scoring!B24="","",Scoring!B24)</f>
        <v>Liberty Energy Inc.</v>
      </c>
      <c r="C24" s="139" t="str">
        <f>IF(Scoring!AG24="","",IF(OR(Scoring!AG24="STRONG BUY",Scoring!AG24="BUY"),"PASS","FAIL"))</f>
        <v/>
      </c>
      <c r="D24" s="139" t="str">
        <f>IF(Scoring!AH24="","",IF(Scoring!AH24="OK","PASS","FAIL"))</f>
        <v>FAIL</v>
      </c>
      <c r="E24" s="141" t="str">
        <f>IF(Scoring!AI24="","",IF(Scoring!AI24="OK","PASS","FAIL — mandatory review required"))</f>
        <v>FAIL — mandatory review required</v>
      </c>
      <c r="F24" s="139"/>
      <c r="G24" s="139"/>
      <c r="H24" s="140" t="str">
        <f t="shared" si="0"/>
        <v/>
      </c>
      <c r="I24" s="139"/>
      <c r="J24" s="139"/>
      <c r="K24" s="141" t="str">
        <f t="shared" si="1"/>
        <v/>
      </c>
      <c r="L24" s="139" t="str">
        <f>IF('Implied-Return Calculator'!S25="","",'Implied-Return Calculator'!S25)</f>
        <v/>
      </c>
      <c r="M24" s="139" t="str">
        <f>IF('Implied-Return Calculator'!T25="","",'Implied-Return Calculator'!T25)</f>
        <v/>
      </c>
      <c r="N24" s="139" t="str">
        <f>IF('Implied-Return Calculator'!U25="","",'Implied-Return Calculator'!U25)</f>
        <v/>
      </c>
      <c r="O24" s="139"/>
      <c r="P24" s="139"/>
      <c r="Q24" s="141" t="str">
        <f t="shared" si="2"/>
        <v/>
      </c>
      <c r="R24" s="140" t="str">
        <f t="shared" si="3"/>
        <v/>
      </c>
      <c r="S24" s="140" t="str">
        <f t="shared" si="4"/>
        <v/>
      </c>
    </row>
    <row r="25" spans="1:19" ht="15" customHeight="1" x14ac:dyDescent="0.2">
      <c r="A25" s="139" t="str">
        <f>IF(Scoring!A25="","",Scoring!A25)</f>
        <v>NOV</v>
      </c>
      <c r="B25" s="140" t="str">
        <f>IF(Scoring!B25="","",Scoring!B25)</f>
        <v>NOV Inc.</v>
      </c>
      <c r="C25" s="139" t="str">
        <f>IF(Scoring!AG25="","",IF(OR(Scoring!AG25="STRONG BUY",Scoring!AG25="BUY"),"PASS","FAIL"))</f>
        <v/>
      </c>
      <c r="D25" s="139" t="str">
        <f>IF(Scoring!AH25="","",IF(Scoring!AH25="OK","PASS","FAIL"))</f>
        <v>FAIL</v>
      </c>
      <c r="E25" s="139" t="str">
        <f>IF(Scoring!AI25="","",IF(Scoring!AI25="OK","PASS","FAIL — mandatory review required"))</f>
        <v>PASS</v>
      </c>
      <c r="F25" s="139"/>
      <c r="G25" s="139"/>
      <c r="H25" s="140" t="str">
        <f t="shared" si="0"/>
        <v/>
      </c>
      <c r="I25" s="139"/>
      <c r="J25" s="139"/>
      <c r="K25" s="141" t="str">
        <f t="shared" si="1"/>
        <v/>
      </c>
      <c r="L25" s="139" t="str">
        <f>IF('Implied-Return Calculator'!S26="","",'Implied-Return Calculator'!S26)</f>
        <v/>
      </c>
      <c r="M25" s="139" t="str">
        <f>IF('Implied-Return Calculator'!T26="","",'Implied-Return Calculator'!T26)</f>
        <v/>
      </c>
      <c r="N25" s="139" t="str">
        <f>IF('Implied-Return Calculator'!U26="","",'Implied-Return Calculator'!U26)</f>
        <v/>
      </c>
      <c r="O25" s="139"/>
      <c r="P25" s="139"/>
      <c r="Q25" s="141" t="str">
        <f t="shared" si="2"/>
        <v/>
      </c>
      <c r="R25" s="140" t="str">
        <f t="shared" si="3"/>
        <v/>
      </c>
      <c r="S25" s="140" t="str">
        <f t="shared" si="4"/>
        <v/>
      </c>
    </row>
    <row r="26" spans="1:19" ht="15" customHeight="1" x14ac:dyDescent="0.2">
      <c r="A26" s="139" t="str">
        <f>IF(Scoring!A26="","",Scoring!A26)</f>
        <v>CE</v>
      </c>
      <c r="B26" s="140" t="str">
        <f>IF(Scoring!B26="","",Scoring!B26)</f>
        <v>Celanese Corp.</v>
      </c>
      <c r="C26" s="139" t="str">
        <f>IF(Scoring!AG26="","",IF(OR(Scoring!AG26="STRONG BUY",Scoring!AG26="BUY"),"PASS","FAIL"))</f>
        <v/>
      </c>
      <c r="D26" s="139" t="str">
        <f>IF(Scoring!AH26="","",IF(Scoring!AH26="OK","PASS","FAIL"))</f>
        <v>FAIL</v>
      </c>
      <c r="E26" s="141" t="str">
        <f>IF(Scoring!AI26="","",IF(Scoring!AI26="OK","PASS","FAIL — mandatory review required"))</f>
        <v>FAIL — mandatory review required</v>
      </c>
      <c r="F26" s="139"/>
      <c r="G26" s="139"/>
      <c r="H26" s="140" t="str">
        <f t="shared" si="0"/>
        <v/>
      </c>
      <c r="I26" s="139"/>
      <c r="J26" s="139"/>
      <c r="K26" s="141" t="str">
        <f t="shared" si="1"/>
        <v/>
      </c>
      <c r="L26" s="139" t="str">
        <f>IF('Implied-Return Calculator'!S27="","",'Implied-Return Calculator'!S27)</f>
        <v/>
      </c>
      <c r="M26" s="139" t="str">
        <f>IF('Implied-Return Calculator'!T27="","",'Implied-Return Calculator'!T27)</f>
        <v/>
      </c>
      <c r="N26" s="139" t="str">
        <f>IF('Implied-Return Calculator'!U27="","",'Implied-Return Calculator'!U27)</f>
        <v/>
      </c>
      <c r="O26" s="139"/>
      <c r="P26" s="139"/>
      <c r="Q26" s="141" t="str">
        <f t="shared" si="2"/>
        <v/>
      </c>
      <c r="R26" s="140" t="str">
        <f t="shared" si="3"/>
        <v/>
      </c>
      <c r="S26" s="140" t="str">
        <f t="shared" si="4"/>
        <v/>
      </c>
    </row>
    <row r="27" spans="1:19" ht="15" customHeight="1" x14ac:dyDescent="0.2">
      <c r="A27" s="139" t="str">
        <f>IF(Scoring!A27="","",Scoring!A27)</f>
        <v>CLF</v>
      </c>
      <c r="B27" s="140" t="str">
        <f>IF(Scoring!B27="","",Scoring!B27)</f>
        <v>Cleveland-Cliffs Inc.</v>
      </c>
      <c r="C27" s="139" t="str">
        <f>IF(Scoring!AG27="","",IF(OR(Scoring!AG27="STRONG BUY",Scoring!AG27="BUY"),"PASS","FAIL"))</f>
        <v/>
      </c>
      <c r="D27" s="139" t="str">
        <f>IF(Scoring!AH27="","",IF(Scoring!AH27="OK","PASS","FAIL"))</f>
        <v>FAIL</v>
      </c>
      <c r="E27" s="141" t="str">
        <f>IF(Scoring!AI27="","",IF(Scoring!AI27="OK","PASS","FAIL — mandatory review required"))</f>
        <v>FAIL — mandatory review required</v>
      </c>
      <c r="F27" s="139"/>
      <c r="G27" s="139"/>
      <c r="H27" s="140" t="str">
        <f t="shared" si="0"/>
        <v/>
      </c>
      <c r="I27" s="139"/>
      <c r="J27" s="139"/>
      <c r="K27" s="141" t="str">
        <f t="shared" si="1"/>
        <v/>
      </c>
      <c r="L27" s="139" t="str">
        <f>IF('Implied-Return Calculator'!S28="","",'Implied-Return Calculator'!S28)</f>
        <v/>
      </c>
      <c r="M27" s="139" t="str">
        <f>IF('Implied-Return Calculator'!T28="","",'Implied-Return Calculator'!T28)</f>
        <v/>
      </c>
      <c r="N27" s="139" t="str">
        <f>IF('Implied-Return Calculator'!U28="","",'Implied-Return Calculator'!U28)</f>
        <v/>
      </c>
      <c r="O27" s="139"/>
      <c r="P27" s="139"/>
      <c r="Q27" s="141" t="str">
        <f t="shared" si="2"/>
        <v/>
      </c>
      <c r="R27" s="140" t="str">
        <f t="shared" si="3"/>
        <v/>
      </c>
      <c r="S27" s="140" t="str">
        <f t="shared" si="4"/>
        <v/>
      </c>
    </row>
    <row r="28" spans="1:19" ht="15" customHeight="1" x14ac:dyDescent="0.2">
      <c r="A28" s="139" t="str">
        <f>IF(Scoring!A28="","",Scoring!A28)</f>
        <v>LIN</v>
      </c>
      <c r="B28" s="140" t="str">
        <f>IF(Scoring!B28="","",Scoring!B28)</f>
        <v>Linde plc</v>
      </c>
      <c r="C28" s="139" t="str">
        <f>IF(Scoring!AG28="","",IF(OR(Scoring!AG28="STRONG BUY",Scoring!AG28="BUY"),"PASS","FAIL"))</f>
        <v/>
      </c>
      <c r="D28" s="139" t="str">
        <f>IF(Scoring!AH28="","",IF(Scoring!AH28="OK","PASS","FAIL"))</f>
        <v>PASS</v>
      </c>
      <c r="E28" s="139" t="str">
        <f>IF(Scoring!AI28="","",IF(Scoring!AI28="OK","PASS","FAIL — mandatory review required"))</f>
        <v>PASS</v>
      </c>
      <c r="F28" s="139"/>
      <c r="G28" s="139"/>
      <c r="H28" s="140" t="str">
        <f t="shared" si="0"/>
        <v/>
      </c>
      <c r="I28" s="139"/>
      <c r="J28" s="139"/>
      <c r="K28" s="141" t="str">
        <f t="shared" si="1"/>
        <v/>
      </c>
      <c r="L28" s="139" t="str">
        <f>IF('Implied-Return Calculator'!S29="","",'Implied-Return Calculator'!S29)</f>
        <v/>
      </c>
      <c r="M28" s="139" t="str">
        <f>IF('Implied-Return Calculator'!T29="","",'Implied-Return Calculator'!T29)</f>
        <v/>
      </c>
      <c r="N28" s="139" t="str">
        <f>IF('Implied-Return Calculator'!U29="","",'Implied-Return Calculator'!U29)</f>
        <v/>
      </c>
      <c r="O28" s="139"/>
      <c r="P28" s="139"/>
      <c r="Q28" s="141" t="str">
        <f t="shared" si="2"/>
        <v/>
      </c>
      <c r="R28" s="140" t="str">
        <f t="shared" si="3"/>
        <v/>
      </c>
      <c r="S28" s="140" t="str">
        <f t="shared" si="4"/>
        <v/>
      </c>
    </row>
    <row r="29" spans="1:19" ht="15" customHeight="1" x14ac:dyDescent="0.2">
      <c r="A29" s="139" t="str">
        <f>IF(Scoring!A29="","",Scoring!A29)</f>
        <v>DEO</v>
      </c>
      <c r="B29" s="140" t="str">
        <f>IF(Scoring!B29="","",Scoring!B29)</f>
        <v>Diageo plc</v>
      </c>
      <c r="C29" s="139" t="str">
        <f>IF(Scoring!AG29="","",IF(OR(Scoring!AG29="STRONG BUY",Scoring!AG29="BUY"),"PASS","FAIL"))</f>
        <v/>
      </c>
      <c r="D29" s="139" t="str">
        <f>IF(Scoring!AH29="","",IF(Scoring!AH29="OK","PASS","FAIL"))</f>
        <v>FAIL</v>
      </c>
      <c r="E29" s="139" t="str">
        <f>IF(Scoring!AI29="","",IF(Scoring!AI29="OK","PASS","FAIL — mandatory review required"))</f>
        <v>PASS</v>
      </c>
      <c r="F29" s="139"/>
      <c r="G29" s="139"/>
      <c r="H29" s="140" t="str">
        <f t="shared" si="0"/>
        <v/>
      </c>
      <c r="I29" s="139"/>
      <c r="J29" s="139"/>
      <c r="K29" s="141" t="str">
        <f t="shared" si="1"/>
        <v/>
      </c>
      <c r="L29" s="139" t="str">
        <f>IF('Implied-Return Calculator'!S30="","",'Implied-Return Calculator'!S30)</f>
        <v/>
      </c>
      <c r="M29" s="139" t="str">
        <f>IF('Implied-Return Calculator'!T30="","",'Implied-Return Calculator'!T30)</f>
        <v/>
      </c>
      <c r="N29" s="139" t="str">
        <f>IF('Implied-Return Calculator'!U30="","",'Implied-Return Calculator'!U30)</f>
        <v/>
      </c>
      <c r="O29" s="139"/>
      <c r="P29" s="139"/>
      <c r="Q29" s="141" t="str">
        <f t="shared" si="2"/>
        <v/>
      </c>
      <c r="R29" s="140" t="str">
        <f t="shared" si="3"/>
        <v/>
      </c>
      <c r="S29" s="140" t="str">
        <f t="shared" si="4"/>
        <v/>
      </c>
    </row>
    <row r="30" spans="1:19" ht="15" customHeight="1" x14ac:dyDescent="0.2">
      <c r="A30" s="139" t="str">
        <f>IF(Scoring!A30="","",Scoring!A30)</f>
        <v>EL</v>
      </c>
      <c r="B30" s="140" t="str">
        <f>IF(Scoring!B30="","",Scoring!B30)</f>
        <v>Estee Lauder Companies</v>
      </c>
      <c r="C30" s="139" t="str">
        <f>IF(Scoring!AG30="","",IF(OR(Scoring!AG30="STRONG BUY",Scoring!AG30="BUY"),"PASS","FAIL"))</f>
        <v/>
      </c>
      <c r="D30" s="139" t="str">
        <f>IF(Scoring!AH30="","",IF(Scoring!AH30="OK","PASS","FAIL"))</f>
        <v>FAIL</v>
      </c>
      <c r="E30" s="141" t="str">
        <f>IF(Scoring!AI30="","",IF(Scoring!AI30="OK","PASS","FAIL — mandatory review required"))</f>
        <v>FAIL — mandatory review required</v>
      </c>
      <c r="F30" s="139"/>
      <c r="G30" s="139"/>
      <c r="H30" s="140" t="str">
        <f t="shared" si="0"/>
        <v/>
      </c>
      <c r="I30" s="139"/>
      <c r="J30" s="139"/>
      <c r="K30" s="141" t="str">
        <f t="shared" si="1"/>
        <v/>
      </c>
      <c r="L30" s="139" t="str">
        <f>IF('Implied-Return Calculator'!S31="","",'Implied-Return Calculator'!S31)</f>
        <v/>
      </c>
      <c r="M30" s="139" t="str">
        <f>IF('Implied-Return Calculator'!T31="","",'Implied-Return Calculator'!T31)</f>
        <v/>
      </c>
      <c r="N30" s="139" t="str">
        <f>IF('Implied-Return Calculator'!U31="","",'Implied-Return Calculator'!U31)</f>
        <v/>
      </c>
      <c r="O30" s="139"/>
      <c r="P30" s="139"/>
      <c r="Q30" s="141" t="str">
        <f t="shared" si="2"/>
        <v/>
      </c>
      <c r="R30" s="140" t="str">
        <f t="shared" si="3"/>
        <v/>
      </c>
      <c r="S30" s="140" t="str">
        <f t="shared" si="4"/>
        <v/>
      </c>
    </row>
    <row r="31" spans="1:19" ht="15" customHeight="1" x14ac:dyDescent="0.2">
      <c r="A31" s="139" t="str">
        <f>IF(Scoring!A31="","",Scoring!A31)</f>
        <v>HRL</v>
      </c>
      <c r="B31" s="140" t="str">
        <f>IF(Scoring!B31="","",Scoring!B31)</f>
        <v>Hormel Foods Corp.</v>
      </c>
      <c r="C31" s="139" t="str">
        <f>IF(Scoring!AG31="","",IF(OR(Scoring!AG31="STRONG BUY",Scoring!AG31="BUY"),"PASS","FAIL"))</f>
        <v/>
      </c>
      <c r="D31" s="139" t="str">
        <f>IF(Scoring!AH31="","",IF(Scoring!AH31="OK","PASS","FAIL"))</f>
        <v>FAIL</v>
      </c>
      <c r="E31" s="141" t="str">
        <f>IF(Scoring!AI31="","",IF(Scoring!AI31="OK","PASS","FAIL — mandatory review required"))</f>
        <v>FAIL — mandatory review required</v>
      </c>
      <c r="F31" s="139"/>
      <c r="G31" s="139"/>
      <c r="H31" s="140" t="str">
        <f t="shared" si="0"/>
        <v/>
      </c>
      <c r="I31" s="139"/>
      <c r="J31" s="139"/>
      <c r="K31" s="141" t="str">
        <f t="shared" si="1"/>
        <v/>
      </c>
      <c r="L31" s="139" t="str">
        <f>IF('Implied-Return Calculator'!S32="","",'Implied-Return Calculator'!S32)</f>
        <v/>
      </c>
      <c r="M31" s="139" t="str">
        <f>IF('Implied-Return Calculator'!T32="","",'Implied-Return Calculator'!T32)</f>
        <v/>
      </c>
      <c r="N31" s="139" t="str">
        <f>IF('Implied-Return Calculator'!U32="","",'Implied-Return Calculator'!U32)</f>
        <v/>
      </c>
      <c r="O31" s="139"/>
      <c r="P31" s="139"/>
      <c r="Q31" s="141" t="str">
        <f t="shared" si="2"/>
        <v/>
      </c>
      <c r="R31" s="140" t="str">
        <f t="shared" si="3"/>
        <v/>
      </c>
      <c r="S31" s="140" t="str">
        <f t="shared" si="4"/>
        <v/>
      </c>
    </row>
    <row r="32" spans="1:19" ht="15" customHeight="1" x14ac:dyDescent="0.2">
      <c r="A32" s="139" t="str">
        <f>IF(Scoring!A32="","",Scoring!A32)</f>
        <v>PG</v>
      </c>
      <c r="B32" s="140" t="str">
        <f>IF(Scoring!B32="","",Scoring!B32)</f>
        <v>Procter &amp; Gamble Co.</v>
      </c>
      <c r="C32" s="139" t="str">
        <f>IF(Scoring!AG32="","",IF(OR(Scoring!AG32="STRONG BUY",Scoring!AG32="BUY"),"PASS","FAIL"))</f>
        <v/>
      </c>
      <c r="D32" s="139" t="str">
        <f>IF(Scoring!AH32="","",IF(Scoring!AH32="OK","PASS","FAIL"))</f>
        <v>PASS</v>
      </c>
      <c r="E32" s="139" t="str">
        <f>IF(Scoring!AI32="","",IF(Scoring!AI32="OK","PASS","FAIL — mandatory review required"))</f>
        <v>PASS</v>
      </c>
      <c r="F32" s="139"/>
      <c r="G32" s="139"/>
      <c r="H32" s="140" t="str">
        <f t="shared" si="0"/>
        <v/>
      </c>
      <c r="I32" s="139"/>
      <c r="J32" s="139"/>
      <c r="K32" s="141" t="str">
        <f t="shared" si="1"/>
        <v/>
      </c>
      <c r="L32" s="139" t="str">
        <f>IF('Implied-Return Calculator'!S33="","",'Implied-Return Calculator'!S33)</f>
        <v/>
      </c>
      <c r="M32" s="139" t="str">
        <f>IF('Implied-Return Calculator'!T33="","",'Implied-Return Calculator'!T33)</f>
        <v/>
      </c>
      <c r="N32" s="139" t="str">
        <f>IF('Implied-Return Calculator'!U33="","",'Implied-Return Calculator'!U33)</f>
        <v/>
      </c>
      <c r="O32" s="139"/>
      <c r="P32" s="139"/>
      <c r="Q32" s="141" t="str">
        <f t="shared" si="2"/>
        <v/>
      </c>
      <c r="R32" s="140" t="str">
        <f t="shared" si="3"/>
        <v/>
      </c>
      <c r="S32" s="140" t="str">
        <f t="shared" si="4"/>
        <v/>
      </c>
    </row>
    <row r="33" spans="1:19" ht="15" customHeight="1" x14ac:dyDescent="0.2">
      <c r="A33" s="139" t="str">
        <f>IF(Scoring!A33="","",Scoring!A33)</f>
        <v>CMG</v>
      </c>
      <c r="B33" s="140" t="str">
        <f>IF(Scoring!B33="","",Scoring!B33)</f>
        <v>Chipotle Mexican Grill</v>
      </c>
      <c r="C33" s="139" t="str">
        <f>IF(Scoring!AG33="","",IF(OR(Scoring!AG33="STRONG BUY",Scoring!AG33="BUY"),"PASS","FAIL"))</f>
        <v/>
      </c>
      <c r="D33" s="139" t="str">
        <f>IF(Scoring!AH33="","",IF(Scoring!AH33="OK","PASS","FAIL"))</f>
        <v>PASS</v>
      </c>
      <c r="E33" s="139" t="str">
        <f>IF(Scoring!AI33="","",IF(Scoring!AI33="OK","PASS","FAIL — mandatory review required"))</f>
        <v>PASS</v>
      </c>
      <c r="F33" s="139"/>
      <c r="G33" s="139"/>
      <c r="H33" s="140" t="str">
        <f t="shared" si="0"/>
        <v/>
      </c>
      <c r="I33" s="139"/>
      <c r="J33" s="139"/>
      <c r="K33" s="141" t="str">
        <f t="shared" si="1"/>
        <v/>
      </c>
      <c r="L33" s="139" t="str">
        <f>IF('Implied-Return Calculator'!S34="","",'Implied-Return Calculator'!S34)</f>
        <v/>
      </c>
      <c r="M33" s="139" t="str">
        <f>IF('Implied-Return Calculator'!T34="","",'Implied-Return Calculator'!T34)</f>
        <v/>
      </c>
      <c r="N33" s="139" t="str">
        <f>IF('Implied-Return Calculator'!U34="","",'Implied-Return Calculator'!U34)</f>
        <v/>
      </c>
      <c r="O33" s="139"/>
      <c r="P33" s="139"/>
      <c r="Q33" s="141" t="str">
        <f t="shared" si="2"/>
        <v/>
      </c>
      <c r="R33" s="140" t="str">
        <f t="shared" si="3"/>
        <v/>
      </c>
      <c r="S33" s="140" t="str">
        <f t="shared" si="4"/>
        <v/>
      </c>
    </row>
    <row r="34" spans="1:19" ht="15" customHeight="1" x14ac:dyDescent="0.2">
      <c r="A34" s="139" t="str">
        <f>IF(Scoring!A34="","",Scoring!A34)</f>
        <v>DPZ</v>
      </c>
      <c r="B34" s="140" t="str">
        <f>IF(Scoring!B34="","",Scoring!B34)</f>
        <v>Domino's Pizza Inc.</v>
      </c>
      <c r="C34" s="139" t="str">
        <f>IF(Scoring!AG34="","",IF(OR(Scoring!AG34="STRONG BUY",Scoring!AG34="BUY"),"PASS","FAIL"))</f>
        <v/>
      </c>
      <c r="D34" s="139" t="str">
        <f>IF(Scoring!AH34="","",IF(Scoring!AH34="OK","PASS","FAIL"))</f>
        <v>PASS</v>
      </c>
      <c r="E34" s="139" t="str">
        <f>IF(Scoring!AI34="","",IF(Scoring!AI34="OK","PASS","FAIL — mandatory review required"))</f>
        <v>PASS</v>
      </c>
      <c r="F34" s="139"/>
      <c r="G34" s="139"/>
      <c r="H34" s="140" t="str">
        <f t="shared" si="0"/>
        <v/>
      </c>
      <c r="I34" s="139"/>
      <c r="J34" s="139"/>
      <c r="K34" s="141" t="str">
        <f t="shared" si="1"/>
        <v/>
      </c>
      <c r="L34" s="139" t="str">
        <f>IF('Implied-Return Calculator'!S35="","",'Implied-Return Calculator'!S35)</f>
        <v/>
      </c>
      <c r="M34" s="139" t="str">
        <f>IF('Implied-Return Calculator'!T35="","",'Implied-Return Calculator'!T35)</f>
        <v/>
      </c>
      <c r="N34" s="139" t="str">
        <f>IF('Implied-Return Calculator'!U35="","",'Implied-Return Calculator'!U35)</f>
        <v/>
      </c>
      <c r="O34" s="139"/>
      <c r="P34" s="139"/>
      <c r="Q34" s="141" t="str">
        <f t="shared" si="2"/>
        <v/>
      </c>
      <c r="R34" s="140" t="str">
        <f t="shared" si="3"/>
        <v/>
      </c>
      <c r="S34" s="140" t="str">
        <f t="shared" si="4"/>
        <v/>
      </c>
    </row>
    <row r="35" spans="1:19" ht="15" customHeight="1" x14ac:dyDescent="0.2">
      <c r="A35" s="139" t="str">
        <f>IF(Scoring!A35="","",Scoring!A35)</f>
        <v>PZZA</v>
      </c>
      <c r="B35" s="140" t="str">
        <f>IF(Scoring!B35="","",Scoring!B35)</f>
        <v>Papa John's Intl.</v>
      </c>
      <c r="C35" s="139" t="str">
        <f>IF(Scoring!AG35="","",IF(OR(Scoring!AG35="STRONG BUY",Scoring!AG35="BUY"),"PASS","FAIL"))</f>
        <v/>
      </c>
      <c r="D35" s="139" t="str">
        <f>IF(Scoring!AH35="","",IF(Scoring!AH35="OK","PASS","FAIL"))</f>
        <v>FAIL</v>
      </c>
      <c r="E35" s="141" t="str">
        <f>IF(Scoring!AI35="","",IF(Scoring!AI35="OK","PASS","FAIL — mandatory review required"))</f>
        <v>FAIL — mandatory review required</v>
      </c>
      <c r="F35" s="139"/>
      <c r="G35" s="139"/>
      <c r="H35" s="140" t="str">
        <f t="shared" ref="H35:H66" si="5">IF(OR(F35="",G35=""),"",IF(AND(F35="Y",G35="Y"),"Standard initial size","50% of normal initial size + 90-day technical review"))</f>
        <v/>
      </c>
      <c r="I35" s="139"/>
      <c r="J35" s="139"/>
      <c r="K35" s="141" t="str">
        <f t="shared" ref="K35:K66" si="6">IF(I35="","",IF(I35="N","PASS",IF(J35="Y","PASS — risk documented in thesis","FAIL — undocumented binary risk")))</f>
        <v/>
      </c>
      <c r="L35" s="139" t="str">
        <f>IF('Implied-Return Calculator'!S36="","",'Implied-Return Calculator'!S36)</f>
        <v/>
      </c>
      <c r="M35" s="139" t="str">
        <f>IF('Implied-Return Calculator'!T36="","",'Implied-Return Calculator'!T36)</f>
        <v/>
      </c>
      <c r="N35" s="139" t="str">
        <f>IF('Implied-Return Calculator'!U36="","",'Implied-Return Calculator'!U36)</f>
        <v/>
      </c>
      <c r="O35" s="139"/>
      <c r="P35" s="139"/>
      <c r="Q35" s="141" t="str">
        <f t="shared" ref="Q35:Q66" si="7">IF(OR(O35="",P35=""),"",IF(O35&lt;=50,"PASS — within ceiling",IF(AND(P35&gt;0.3,M35="PASS"),"PASS — growth+bear case exception met","FAIL — exceeds 50x, exception not met")))</f>
        <v/>
      </c>
      <c r="R35" s="140" t="str">
        <f t="shared" ref="R35:R66" si="8">IF(OR(C35="",D35="",E35="",K35="",L35="",M35="",N35="",Q35=""),"",IF(AND(C35="PASS",D35="PASS",LEFT(E35,4)="PASS",LEFT(K35,4)="PASS",L35="PASS",M35="PASS",N35="OK",LEFT(Q35,4)="PASS"),"YES","NO — see failing rule(s)"))</f>
        <v/>
      </c>
      <c r="S35" s="140" t="str">
        <f t="shared" ref="S35:S66" si="9">IF(R35="","",IF(R35="YES","Initiate: "&amp;H35,"DO NOT ENTER — resolve failing Entry Rule(s) above first"))</f>
        <v/>
      </c>
    </row>
    <row r="36" spans="1:19" ht="15" customHeight="1" x14ac:dyDescent="0.2">
      <c r="A36" s="139" t="str">
        <f>IF(Scoring!A36="","",Scoring!A36)</f>
        <v>YUM</v>
      </c>
      <c r="B36" s="140" t="str">
        <f>IF(Scoring!B36="","",Scoring!B36)</f>
        <v>Yum! Brands Inc.</v>
      </c>
      <c r="C36" s="139" t="str">
        <f>IF(Scoring!AG36="","",IF(OR(Scoring!AG36="STRONG BUY",Scoring!AG36="BUY"),"PASS","FAIL"))</f>
        <v/>
      </c>
      <c r="D36" s="139" t="str">
        <f>IF(Scoring!AH36="","",IF(Scoring!AH36="OK","PASS","FAIL"))</f>
        <v>PASS</v>
      </c>
      <c r="E36" s="139" t="str">
        <f>IF(Scoring!AI36="","",IF(Scoring!AI36="OK","PASS","FAIL — mandatory review required"))</f>
        <v>PASS</v>
      </c>
      <c r="F36" s="139"/>
      <c r="G36" s="139"/>
      <c r="H36" s="140" t="str">
        <f t="shared" si="5"/>
        <v/>
      </c>
      <c r="I36" s="139"/>
      <c r="J36" s="139"/>
      <c r="K36" s="141" t="str">
        <f t="shared" si="6"/>
        <v/>
      </c>
      <c r="L36" s="139" t="str">
        <f>IF('Implied-Return Calculator'!S37="","",'Implied-Return Calculator'!S37)</f>
        <v/>
      </c>
      <c r="M36" s="139" t="str">
        <f>IF('Implied-Return Calculator'!T37="","",'Implied-Return Calculator'!T37)</f>
        <v/>
      </c>
      <c r="N36" s="139" t="str">
        <f>IF('Implied-Return Calculator'!U37="","",'Implied-Return Calculator'!U37)</f>
        <v/>
      </c>
      <c r="O36" s="139"/>
      <c r="P36" s="139"/>
      <c r="Q36" s="141" t="str">
        <f t="shared" si="7"/>
        <v/>
      </c>
      <c r="R36" s="140" t="str">
        <f t="shared" si="8"/>
        <v/>
      </c>
      <c r="S36" s="140" t="str">
        <f t="shared" si="9"/>
        <v/>
      </c>
    </row>
    <row r="37" spans="1:19" ht="15" customHeight="1" x14ac:dyDescent="0.2">
      <c r="A37" s="139" t="str">
        <f>IF(Scoring!A37="","",Scoring!A37)</f>
        <v>NKE</v>
      </c>
      <c r="B37" s="140" t="str">
        <f>IF(Scoring!B37="","",Scoring!B37)</f>
        <v>Nike Inc.</v>
      </c>
      <c r="C37" s="139" t="str">
        <f>IF(Scoring!AG37="","",IF(OR(Scoring!AG37="STRONG BUY",Scoring!AG37="BUY"),"PASS","FAIL"))</f>
        <v/>
      </c>
      <c r="D37" s="139" t="str">
        <f>IF(Scoring!AH37="","",IF(Scoring!AH37="OK","PASS","FAIL"))</f>
        <v>FAIL</v>
      </c>
      <c r="E37" s="141" t="str">
        <f>IF(Scoring!AI37="","",IF(Scoring!AI37="OK","PASS","FAIL — mandatory review required"))</f>
        <v>FAIL — mandatory review required</v>
      </c>
      <c r="F37" s="139"/>
      <c r="G37" s="139"/>
      <c r="H37" s="140" t="str">
        <f t="shared" si="5"/>
        <v/>
      </c>
      <c r="I37" s="139"/>
      <c r="J37" s="139"/>
      <c r="K37" s="141" t="str">
        <f t="shared" si="6"/>
        <v/>
      </c>
      <c r="L37" s="139" t="str">
        <f>IF('Implied-Return Calculator'!S38="","",'Implied-Return Calculator'!S38)</f>
        <v/>
      </c>
      <c r="M37" s="139" t="str">
        <f>IF('Implied-Return Calculator'!T38="","",'Implied-Return Calculator'!T38)</f>
        <v/>
      </c>
      <c r="N37" s="139" t="str">
        <f>IF('Implied-Return Calculator'!U38="","",'Implied-Return Calculator'!U38)</f>
        <v/>
      </c>
      <c r="O37" s="139"/>
      <c r="P37" s="139"/>
      <c r="Q37" s="141" t="str">
        <f t="shared" si="7"/>
        <v/>
      </c>
      <c r="R37" s="140" t="str">
        <f t="shared" si="8"/>
        <v/>
      </c>
      <c r="S37" s="140" t="str">
        <f t="shared" si="9"/>
        <v/>
      </c>
    </row>
    <row r="38" spans="1:19" ht="15" customHeight="1" x14ac:dyDescent="0.2">
      <c r="A38" s="139" t="str">
        <f>IF(Scoring!A38="","",Scoring!A38)</f>
        <v>VFC</v>
      </c>
      <c r="B38" s="140" t="str">
        <f>IF(Scoring!B38="","",Scoring!B38)</f>
        <v>V.F. Corporation</v>
      </c>
      <c r="C38" s="139" t="str">
        <f>IF(Scoring!AG38="","",IF(OR(Scoring!AG38="STRONG BUY",Scoring!AG38="BUY"),"PASS","FAIL"))</f>
        <v/>
      </c>
      <c r="D38" s="139" t="str">
        <f>IF(Scoring!AH38="","",IF(Scoring!AH38="OK","PASS","FAIL"))</f>
        <v>FAIL</v>
      </c>
      <c r="E38" s="139" t="str">
        <f>IF(Scoring!AI38="","",IF(Scoring!AI38="OK","PASS","FAIL — mandatory review required"))</f>
        <v>PASS</v>
      </c>
      <c r="F38" s="139"/>
      <c r="G38" s="139"/>
      <c r="H38" s="140" t="str">
        <f t="shared" si="5"/>
        <v/>
      </c>
      <c r="I38" s="139"/>
      <c r="J38" s="139"/>
      <c r="K38" s="141" t="str">
        <f t="shared" si="6"/>
        <v/>
      </c>
      <c r="L38" s="139" t="str">
        <f>IF('Implied-Return Calculator'!S39="","",'Implied-Return Calculator'!S39)</f>
        <v/>
      </c>
      <c r="M38" s="139" t="str">
        <f>IF('Implied-Return Calculator'!T39="","",'Implied-Return Calculator'!T39)</f>
        <v/>
      </c>
      <c r="N38" s="139" t="str">
        <f>IF('Implied-Return Calculator'!U39="","",'Implied-Return Calculator'!U39)</f>
        <v/>
      </c>
      <c r="O38" s="139"/>
      <c r="P38" s="139"/>
      <c r="Q38" s="141" t="str">
        <f t="shared" si="7"/>
        <v/>
      </c>
      <c r="R38" s="140" t="str">
        <f t="shared" si="8"/>
        <v/>
      </c>
      <c r="S38" s="140" t="str">
        <f t="shared" si="9"/>
        <v/>
      </c>
    </row>
    <row r="39" spans="1:19" ht="15" customHeight="1" x14ac:dyDescent="0.2">
      <c r="A39" s="139" t="str">
        <f>IF(Scoring!A39="","",Scoring!A39)</f>
        <v>GOOS</v>
      </c>
      <c r="B39" s="140" t="str">
        <f>IF(Scoring!B39="","",Scoring!B39)</f>
        <v>Canada Goose Holdings</v>
      </c>
      <c r="C39" s="139" t="str">
        <f>IF(Scoring!AG39="","",IF(OR(Scoring!AG39="STRONG BUY",Scoring!AG39="BUY"),"PASS","FAIL"))</f>
        <v/>
      </c>
      <c r="D39" s="139" t="str">
        <f>IF(Scoring!AH39="","",IF(Scoring!AH39="OK","PASS","FAIL"))</f>
        <v>FAIL</v>
      </c>
      <c r="E39" s="141" t="str">
        <f>IF(Scoring!AI39="","",IF(Scoring!AI39="OK","PASS","FAIL — mandatory review required"))</f>
        <v>FAIL — mandatory review required</v>
      </c>
      <c r="F39" s="139"/>
      <c r="G39" s="139"/>
      <c r="H39" s="140" t="str">
        <f t="shared" si="5"/>
        <v/>
      </c>
      <c r="I39" s="139"/>
      <c r="J39" s="139"/>
      <c r="K39" s="141" t="str">
        <f t="shared" si="6"/>
        <v/>
      </c>
      <c r="L39" s="139" t="str">
        <f>IF('Implied-Return Calculator'!S40="","",'Implied-Return Calculator'!S40)</f>
        <v/>
      </c>
      <c r="M39" s="139" t="str">
        <f>IF('Implied-Return Calculator'!T40="","",'Implied-Return Calculator'!T40)</f>
        <v/>
      </c>
      <c r="N39" s="139" t="str">
        <f>IF('Implied-Return Calculator'!U40="","",'Implied-Return Calculator'!U40)</f>
        <v/>
      </c>
      <c r="O39" s="139"/>
      <c r="P39" s="139"/>
      <c r="Q39" s="141" t="str">
        <f t="shared" si="7"/>
        <v/>
      </c>
      <c r="R39" s="140" t="str">
        <f t="shared" si="8"/>
        <v/>
      </c>
      <c r="S39" s="140" t="str">
        <f t="shared" si="9"/>
        <v/>
      </c>
    </row>
    <row r="40" spans="1:19" ht="15" customHeight="1" x14ac:dyDescent="0.2">
      <c r="A40" s="139" t="str">
        <f>IF(Scoring!A40="","",Scoring!A40)</f>
        <v>AAP</v>
      </c>
      <c r="B40" s="140" t="str">
        <f>IF(Scoring!B40="","",Scoring!B40)</f>
        <v>Advance Auto Parts Inc.</v>
      </c>
      <c r="C40" s="139" t="str">
        <f>IF(Scoring!AG40="","",IF(OR(Scoring!AG40="STRONG BUY",Scoring!AG40="BUY"),"PASS","FAIL"))</f>
        <v/>
      </c>
      <c r="D40" s="139" t="str">
        <f>IF(Scoring!AH40="","",IF(Scoring!AH40="OK","PASS","FAIL"))</f>
        <v>FAIL</v>
      </c>
      <c r="E40" s="141" t="str">
        <f>IF(Scoring!AI40="","",IF(Scoring!AI40="OK","PASS","FAIL — mandatory review required"))</f>
        <v>FAIL — mandatory review required</v>
      </c>
      <c r="F40" s="139"/>
      <c r="G40" s="139"/>
      <c r="H40" s="140" t="str">
        <f t="shared" si="5"/>
        <v/>
      </c>
      <c r="I40" s="139"/>
      <c r="J40" s="139"/>
      <c r="K40" s="141" t="str">
        <f t="shared" si="6"/>
        <v/>
      </c>
      <c r="L40" s="139" t="str">
        <f>IF('Implied-Return Calculator'!S41="","",'Implied-Return Calculator'!S41)</f>
        <v/>
      </c>
      <c r="M40" s="139" t="str">
        <f>IF('Implied-Return Calculator'!T41="","",'Implied-Return Calculator'!T41)</f>
        <v/>
      </c>
      <c r="N40" s="139" t="str">
        <f>IF('Implied-Return Calculator'!U41="","",'Implied-Return Calculator'!U41)</f>
        <v/>
      </c>
      <c r="O40" s="139"/>
      <c r="P40" s="139"/>
      <c r="Q40" s="141" t="str">
        <f t="shared" si="7"/>
        <v/>
      </c>
      <c r="R40" s="140" t="str">
        <f t="shared" si="8"/>
        <v/>
      </c>
      <c r="S40" s="140" t="str">
        <f t="shared" si="9"/>
        <v/>
      </c>
    </row>
    <row r="41" spans="1:19" ht="15" customHeight="1" x14ac:dyDescent="0.2">
      <c r="A41" s="139" t="str">
        <f>IF(Scoring!A41="","",Scoring!A41)</f>
        <v>BABA</v>
      </c>
      <c r="B41" s="140" t="str">
        <f>IF(Scoring!B41="","",Scoring!B41)</f>
        <v>Alibaba Group Holding Ltd.</v>
      </c>
      <c r="C41" s="139" t="str">
        <f>IF(Scoring!AG41="","",IF(OR(Scoring!AG41="STRONG BUY",Scoring!AG41="BUY"),"PASS","FAIL"))</f>
        <v/>
      </c>
      <c r="D41" s="139" t="str">
        <f>IF(Scoring!AH41="","",IF(Scoring!AH41="OK","PASS","FAIL"))</f>
        <v>FAIL</v>
      </c>
      <c r="E41" s="139" t="str">
        <f>IF(Scoring!AI41="","",IF(Scoring!AI41="OK","PASS","FAIL — mandatory review required"))</f>
        <v>PASS</v>
      </c>
      <c r="F41" s="139"/>
      <c r="G41" s="139"/>
      <c r="H41" s="140" t="str">
        <f t="shared" si="5"/>
        <v/>
      </c>
      <c r="I41" s="139"/>
      <c r="J41" s="139"/>
      <c r="K41" s="141" t="str">
        <f t="shared" si="6"/>
        <v/>
      </c>
      <c r="L41" s="139" t="str">
        <f>IF('Implied-Return Calculator'!S42="","",'Implied-Return Calculator'!S42)</f>
        <v/>
      </c>
      <c r="M41" s="139" t="str">
        <f>IF('Implied-Return Calculator'!T42="","",'Implied-Return Calculator'!T42)</f>
        <v/>
      </c>
      <c r="N41" s="139" t="str">
        <f>IF('Implied-Return Calculator'!U42="","",'Implied-Return Calculator'!U42)</f>
        <v/>
      </c>
      <c r="O41" s="139"/>
      <c r="P41" s="139"/>
      <c r="Q41" s="141" t="str">
        <f t="shared" si="7"/>
        <v/>
      </c>
      <c r="R41" s="140" t="str">
        <f t="shared" si="8"/>
        <v/>
      </c>
      <c r="S41" s="140" t="str">
        <f t="shared" si="9"/>
        <v/>
      </c>
    </row>
    <row r="42" spans="1:19" ht="15" customHeight="1" x14ac:dyDescent="0.2">
      <c r="A42" s="139" t="str">
        <f>IF(Scoring!A42="","",Scoring!A42)</f>
        <v>ETSY</v>
      </c>
      <c r="B42" s="140" t="str">
        <f>IF(Scoring!B42="","",Scoring!B42)</f>
        <v>Etsy Inc.</v>
      </c>
      <c r="C42" s="139" t="str">
        <f>IF(Scoring!AG42="","",IF(OR(Scoring!AG42="STRONG BUY",Scoring!AG42="BUY"),"PASS","FAIL"))</f>
        <v/>
      </c>
      <c r="D42" s="139" t="str">
        <f>IF(Scoring!AH42="","",IF(Scoring!AH42="OK","PASS","FAIL"))</f>
        <v>PASS</v>
      </c>
      <c r="E42" s="139" t="str">
        <f>IF(Scoring!AI42="","",IF(Scoring!AI42="OK","PASS","FAIL — mandatory review required"))</f>
        <v>PASS</v>
      </c>
      <c r="F42" s="139"/>
      <c r="G42" s="139"/>
      <c r="H42" s="140" t="str">
        <f t="shared" si="5"/>
        <v/>
      </c>
      <c r="I42" s="139"/>
      <c r="J42" s="139"/>
      <c r="K42" s="141" t="str">
        <f t="shared" si="6"/>
        <v/>
      </c>
      <c r="L42" s="139" t="str">
        <f>IF('Implied-Return Calculator'!S43="","",'Implied-Return Calculator'!S43)</f>
        <v/>
      </c>
      <c r="M42" s="139" t="str">
        <f>IF('Implied-Return Calculator'!T43="","",'Implied-Return Calculator'!T43)</f>
        <v/>
      </c>
      <c r="N42" s="139" t="str">
        <f>IF('Implied-Return Calculator'!U43="","",'Implied-Return Calculator'!U43)</f>
        <v/>
      </c>
      <c r="O42" s="139"/>
      <c r="P42" s="139"/>
      <c r="Q42" s="141" t="str">
        <f t="shared" si="7"/>
        <v/>
      </c>
      <c r="R42" s="140" t="str">
        <f t="shared" si="8"/>
        <v/>
      </c>
      <c r="S42" s="140" t="str">
        <f t="shared" si="9"/>
        <v/>
      </c>
    </row>
    <row r="43" spans="1:19" ht="15" customHeight="1" x14ac:dyDescent="0.2">
      <c r="A43" s="139" t="str">
        <f>IF(Scoring!A43="","",Scoring!A43)</f>
        <v>GE</v>
      </c>
      <c r="B43" s="140" t="str">
        <f>IF(Scoring!B43="","",Scoring!B43)</f>
        <v>GE Aerospace</v>
      </c>
      <c r="C43" s="139" t="str">
        <f>IF(Scoring!AG43="","",IF(OR(Scoring!AG43="STRONG BUY",Scoring!AG43="BUY"),"PASS","FAIL"))</f>
        <v>PASS</v>
      </c>
      <c r="D43" s="139" t="str">
        <f>IF(Scoring!AH43="","",IF(Scoring!AH43="OK","PASS","FAIL"))</f>
        <v>PASS</v>
      </c>
      <c r="E43" s="139" t="str">
        <f>IF(Scoring!AI43="","",IF(Scoring!AI43="OK","PASS","FAIL — mandatory review required"))</f>
        <v>PASS</v>
      </c>
      <c r="F43" s="139" t="s">
        <v>222</v>
      </c>
      <c r="G43" s="139" t="s">
        <v>222</v>
      </c>
      <c r="H43" s="140" t="str">
        <f t="shared" si="5"/>
        <v>Standard initial size</v>
      </c>
      <c r="I43" s="139" t="s">
        <v>224</v>
      </c>
      <c r="J43" s="139"/>
      <c r="K43" s="141" t="str">
        <f t="shared" si="6"/>
        <v>PASS</v>
      </c>
      <c r="L43" s="139" t="str">
        <f>IF('Implied-Return Calculator'!S44="","",'Implied-Return Calculator'!S44)</f>
        <v>PASS</v>
      </c>
      <c r="M43" s="139" t="str">
        <f>IF('Implied-Return Calculator'!T44="","",'Implied-Return Calculator'!T44)</f>
        <v>PASS</v>
      </c>
      <c r="N43" s="139" t="str">
        <f>IF('Implied-Return Calculator'!U44="","",'Implied-Return Calculator'!U44)</f>
        <v>OK</v>
      </c>
      <c r="O43" s="139">
        <v>40.9</v>
      </c>
      <c r="P43" s="139">
        <v>0.14699999999999999</v>
      </c>
      <c r="Q43" s="141" t="str">
        <f t="shared" si="7"/>
        <v>PASS — within ceiling</v>
      </c>
      <c r="R43" s="140" t="str">
        <f t="shared" si="8"/>
        <v>YES</v>
      </c>
      <c r="S43" s="140" t="str">
        <f t="shared" si="9"/>
        <v>Initiate: Standard initial size</v>
      </c>
    </row>
    <row r="44" spans="1:19" ht="15" customHeight="1" x14ac:dyDescent="0.2">
      <c r="A44" s="139" t="str">
        <f>IF(Scoring!A44="","",Scoring!A44)</f>
        <v>PH</v>
      </c>
      <c r="B44" s="140" t="str">
        <f>IF(Scoring!B44="","",Scoring!B44)</f>
        <v>Parker-Hannifin Corporation</v>
      </c>
      <c r="C44" s="139" t="str">
        <f>IF(Scoring!AG44="","",IF(OR(Scoring!AG44="STRONG BUY",Scoring!AG44="BUY"),"PASS","FAIL"))</f>
        <v/>
      </c>
      <c r="D44" s="139" t="str">
        <f>IF(Scoring!AH44="","",IF(Scoring!AH44="OK","PASS","FAIL"))</f>
        <v>PASS</v>
      </c>
      <c r="E44" s="139" t="str">
        <f>IF(Scoring!AI44="","",IF(Scoring!AI44="OK","PASS","FAIL — mandatory review required"))</f>
        <v>PASS</v>
      </c>
      <c r="F44" s="139"/>
      <c r="G44" s="139"/>
      <c r="H44" s="140" t="str">
        <f t="shared" si="5"/>
        <v/>
      </c>
      <c r="I44" s="139"/>
      <c r="J44" s="139"/>
      <c r="K44" s="141" t="str">
        <f t="shared" si="6"/>
        <v/>
      </c>
      <c r="L44" s="139" t="str">
        <f>IF('Implied-Return Calculator'!S45="","",'Implied-Return Calculator'!S45)</f>
        <v/>
      </c>
      <c r="M44" s="139" t="str">
        <f>IF('Implied-Return Calculator'!T45="","",'Implied-Return Calculator'!T45)</f>
        <v/>
      </c>
      <c r="N44" s="139" t="str">
        <f>IF('Implied-Return Calculator'!U45="","",'Implied-Return Calculator'!U45)</f>
        <v/>
      </c>
      <c r="O44" s="139"/>
      <c r="P44" s="139"/>
      <c r="Q44" s="141" t="str">
        <f t="shared" si="7"/>
        <v/>
      </c>
      <c r="R44" s="140" t="str">
        <f t="shared" si="8"/>
        <v/>
      </c>
      <c r="S44" s="140" t="str">
        <f t="shared" si="9"/>
        <v/>
      </c>
    </row>
    <row r="45" spans="1:19" ht="15" customHeight="1" x14ac:dyDescent="0.2">
      <c r="A45" s="139" t="str">
        <f>IF(Scoring!A45="","",Scoring!A45)</f>
        <v>ETN</v>
      </c>
      <c r="B45" s="140" t="str">
        <f>IF(Scoring!B45="","",Scoring!B45)</f>
        <v>Eaton Corporation plc</v>
      </c>
      <c r="C45" s="139" t="str">
        <f>IF(Scoring!AG45="","",IF(OR(Scoring!AG45="STRONG BUY",Scoring!AG45="BUY"),"PASS","FAIL"))</f>
        <v/>
      </c>
      <c r="D45" s="139" t="str">
        <f>IF(Scoring!AH45="","",IF(Scoring!AH45="OK","PASS","FAIL"))</f>
        <v>PASS</v>
      </c>
      <c r="E45" s="139" t="str">
        <f>IF(Scoring!AI45="","",IF(Scoring!AI45="OK","PASS","FAIL — mandatory review required"))</f>
        <v>PASS</v>
      </c>
      <c r="F45" s="139"/>
      <c r="G45" s="139"/>
      <c r="H45" s="140" t="str">
        <f t="shared" si="5"/>
        <v/>
      </c>
      <c r="I45" s="139"/>
      <c r="J45" s="139"/>
      <c r="K45" s="141" t="str">
        <f t="shared" si="6"/>
        <v/>
      </c>
      <c r="L45" s="139" t="str">
        <f>IF('Implied-Return Calculator'!S46="","",'Implied-Return Calculator'!S46)</f>
        <v/>
      </c>
      <c r="M45" s="139" t="str">
        <f>IF('Implied-Return Calculator'!T46="","",'Implied-Return Calculator'!T46)</f>
        <v/>
      </c>
      <c r="N45" s="139" t="str">
        <f>IF('Implied-Return Calculator'!U46="","",'Implied-Return Calculator'!U46)</f>
        <v/>
      </c>
      <c r="O45" s="139"/>
      <c r="P45" s="139"/>
      <c r="Q45" s="141" t="str">
        <f t="shared" si="7"/>
        <v/>
      </c>
      <c r="R45" s="140" t="str">
        <f t="shared" si="8"/>
        <v/>
      </c>
      <c r="S45" s="140" t="str">
        <f t="shared" si="9"/>
        <v/>
      </c>
    </row>
    <row r="46" spans="1:19" ht="15" customHeight="1" x14ac:dyDescent="0.2">
      <c r="A46" s="139" t="str">
        <f>IF(Scoring!A46="","",Scoring!A46)</f>
        <v>DIS</v>
      </c>
      <c r="B46" s="140" t="str">
        <f>IF(Scoring!B46="","",Scoring!B46)</f>
        <v>The Walt Disney Company</v>
      </c>
      <c r="C46" s="139" t="str">
        <f>IF(Scoring!AG46="","",IF(OR(Scoring!AG46="STRONG BUY",Scoring!AG46="BUY"),"PASS","FAIL"))</f>
        <v/>
      </c>
      <c r="D46" s="139" t="str">
        <f>IF(Scoring!AH46="","",IF(Scoring!AH46="OK","PASS","FAIL"))</f>
        <v>FAIL</v>
      </c>
      <c r="E46" s="139" t="str">
        <f>IF(Scoring!AI46="","",IF(Scoring!AI46="OK","PASS","FAIL — mandatory review required"))</f>
        <v>PASS</v>
      </c>
      <c r="F46" s="139"/>
      <c r="G46" s="139"/>
      <c r="H46" s="140" t="str">
        <f t="shared" si="5"/>
        <v/>
      </c>
      <c r="I46" s="139"/>
      <c r="J46" s="139"/>
      <c r="K46" s="141" t="str">
        <f t="shared" si="6"/>
        <v/>
      </c>
      <c r="L46" s="139" t="str">
        <f>IF('Implied-Return Calculator'!S47="","",'Implied-Return Calculator'!S47)</f>
        <v/>
      </c>
      <c r="M46" s="139" t="str">
        <f>IF('Implied-Return Calculator'!T47="","",'Implied-Return Calculator'!T47)</f>
        <v/>
      </c>
      <c r="N46" s="139" t="str">
        <f>IF('Implied-Return Calculator'!U47="","",'Implied-Return Calculator'!U47)</f>
        <v/>
      </c>
      <c r="O46" s="139"/>
      <c r="P46" s="139"/>
      <c r="Q46" s="141" t="str">
        <f t="shared" si="7"/>
        <v/>
      </c>
      <c r="R46" s="140" t="str">
        <f t="shared" si="8"/>
        <v/>
      </c>
      <c r="S46" s="140" t="str">
        <f t="shared" si="9"/>
        <v/>
      </c>
    </row>
    <row r="47" spans="1:19" ht="15" customHeight="1" x14ac:dyDescent="0.2">
      <c r="A47" s="139" t="str">
        <f>IF(Scoring!A47="","",Scoring!A47)</f>
        <v>NFLX</v>
      </c>
      <c r="B47" s="140" t="str">
        <f>IF(Scoring!B47="","",Scoring!B47)</f>
        <v>Netflix, Inc.</v>
      </c>
      <c r="C47" s="139" t="str">
        <f>IF(Scoring!AG47="","",IF(OR(Scoring!AG47="STRONG BUY",Scoring!AG47="BUY"),"PASS","FAIL"))</f>
        <v>PASS</v>
      </c>
      <c r="D47" s="139" t="str">
        <f>IF(Scoring!AH47="","",IF(Scoring!AH47="OK","PASS","FAIL"))</f>
        <v>PASS</v>
      </c>
      <c r="E47" s="139" t="str">
        <f>IF(Scoring!AI47="","",IF(Scoring!AI47="OK","PASS","FAIL — mandatory review required"))</f>
        <v>PASS</v>
      </c>
      <c r="F47" s="139" t="s">
        <v>224</v>
      </c>
      <c r="G47" s="139" t="s">
        <v>224</v>
      </c>
      <c r="H47" s="140" t="str">
        <f t="shared" si="5"/>
        <v>50% of normal initial size + 90-day technical review</v>
      </c>
      <c r="I47" s="139" t="s">
        <v>224</v>
      </c>
      <c r="J47" s="139"/>
      <c r="K47" s="141" t="str">
        <f t="shared" si="6"/>
        <v>PASS</v>
      </c>
      <c r="L47" s="139" t="str">
        <f>IF('Implied-Return Calculator'!S48="","",'Implied-Return Calculator'!S48)</f>
        <v>PASS</v>
      </c>
      <c r="M47" s="139" t="str">
        <f>IF('Implied-Return Calculator'!T48="","",'Implied-Return Calculator'!T48)</f>
        <v>PASS</v>
      </c>
      <c r="N47" s="139" t="str">
        <f>IF('Implied-Return Calculator'!U48="","",'Implied-Return Calculator'!U48)</f>
        <v>OK</v>
      </c>
      <c r="O47" s="139">
        <v>37.799999999999997</v>
      </c>
      <c r="P47" s="139">
        <v>0.15</v>
      </c>
      <c r="Q47" s="141" t="str">
        <f t="shared" si="7"/>
        <v>PASS — within ceiling</v>
      </c>
      <c r="R47" s="140" t="str">
        <f t="shared" si="8"/>
        <v>YES</v>
      </c>
      <c r="S47" s="140" t="str">
        <f t="shared" si="9"/>
        <v>Initiate: 50% of normal initial size + 90-day technical review</v>
      </c>
    </row>
    <row r="48" spans="1:19" ht="15" customHeight="1" x14ac:dyDescent="0.2">
      <c r="A48" s="139" t="str">
        <f>IF(Scoring!A48="","",Scoring!A48)</f>
        <v>KGS</v>
      </c>
      <c r="B48" s="140" t="str">
        <f>IF(Scoring!B48="","",Scoring!B48)</f>
        <v>Kodiak Gas Services, Inc.</v>
      </c>
      <c r="C48" s="139" t="str">
        <f>IF(Scoring!AG48="","",IF(OR(Scoring!AG48="STRONG BUY",Scoring!AG48="BUY"),"PASS","FAIL"))</f>
        <v/>
      </c>
      <c r="D48" s="139" t="str">
        <f>IF(Scoring!AH48="","",IF(Scoring!AH48="OK","PASS","FAIL"))</f>
        <v>PASS</v>
      </c>
      <c r="E48" s="139" t="str">
        <f>IF(Scoring!AI48="","",IF(Scoring!AI48="OK","PASS","FAIL — mandatory review required"))</f>
        <v>PASS</v>
      </c>
      <c r="F48" s="139"/>
      <c r="G48" s="139"/>
      <c r="H48" s="140" t="str">
        <f t="shared" si="5"/>
        <v/>
      </c>
      <c r="I48" s="139"/>
      <c r="J48" s="139"/>
      <c r="K48" s="141" t="str">
        <f t="shared" si="6"/>
        <v/>
      </c>
      <c r="L48" s="139" t="str">
        <f>IF('Implied-Return Calculator'!S49="","",'Implied-Return Calculator'!S49)</f>
        <v/>
      </c>
      <c r="M48" s="139" t="str">
        <f>IF('Implied-Return Calculator'!T49="","",'Implied-Return Calculator'!T49)</f>
        <v/>
      </c>
      <c r="N48" s="139" t="str">
        <f>IF('Implied-Return Calculator'!U49="","",'Implied-Return Calculator'!U49)</f>
        <v/>
      </c>
      <c r="O48" s="139"/>
      <c r="P48" s="139"/>
      <c r="Q48" s="141" t="str">
        <f t="shared" si="7"/>
        <v/>
      </c>
      <c r="R48" s="140" t="str">
        <f t="shared" si="8"/>
        <v/>
      </c>
      <c r="S48" s="140" t="str">
        <f t="shared" si="9"/>
        <v/>
      </c>
    </row>
    <row r="49" spans="1:19" ht="15" customHeight="1" x14ac:dyDescent="0.2">
      <c r="A49" s="139" t="str">
        <f>IF(Scoring!A49="","",Scoring!A49)</f>
        <v>ABT</v>
      </c>
      <c r="B49" s="140" t="str">
        <f>IF(Scoring!B49="","",Scoring!B49)</f>
        <v>Abbott Laboratories</v>
      </c>
      <c r="C49" s="139" t="str">
        <f>IF(Scoring!AG49="","",IF(OR(Scoring!AG49="STRONG BUY",Scoring!AG49="BUY"),"PASS","FAIL"))</f>
        <v>PASS</v>
      </c>
      <c r="D49" s="139" t="str">
        <f>IF(Scoring!AH49="","",IF(Scoring!AH49="OK","PASS","FAIL"))</f>
        <v>PASS</v>
      </c>
      <c r="E49" s="139" t="str">
        <f>IF(Scoring!AI49="","",IF(Scoring!AI49="OK","PASS","FAIL — mandatory review required"))</f>
        <v>PASS</v>
      </c>
      <c r="F49" s="139"/>
      <c r="G49" s="139"/>
      <c r="H49" s="140" t="str">
        <f t="shared" si="5"/>
        <v/>
      </c>
      <c r="I49" s="139"/>
      <c r="J49" s="139"/>
      <c r="K49" s="141" t="str">
        <f t="shared" si="6"/>
        <v/>
      </c>
      <c r="L49" s="139" t="str">
        <f>IF('Implied-Return Calculator'!S50="","",'Implied-Return Calculator'!S50)</f>
        <v/>
      </c>
      <c r="M49" s="139" t="str">
        <f>IF('Implied-Return Calculator'!T50="","",'Implied-Return Calculator'!T50)</f>
        <v/>
      </c>
      <c r="N49" s="139" t="str">
        <f>IF('Implied-Return Calculator'!U50="","",'Implied-Return Calculator'!U50)</f>
        <v/>
      </c>
      <c r="O49" s="139"/>
      <c r="P49" s="139"/>
      <c r="Q49" s="141" t="str">
        <f t="shared" si="7"/>
        <v/>
      </c>
      <c r="R49" s="140" t="str">
        <f t="shared" si="8"/>
        <v/>
      </c>
      <c r="S49" s="140" t="str">
        <f t="shared" si="9"/>
        <v/>
      </c>
    </row>
    <row r="50" spans="1:19" ht="15" customHeight="1" x14ac:dyDescent="0.2">
      <c r="A50" s="139" t="str">
        <f>IF(Scoring!A50="","",Scoring!A50)</f>
        <v>SLB</v>
      </c>
      <c r="B50" s="140" t="str">
        <f>IF(Scoring!B50="","",Scoring!B50)</f>
        <v>SLB N.V.</v>
      </c>
      <c r="C50" s="139" t="str">
        <f>IF(Scoring!AG50="","",IF(OR(Scoring!AG50="STRONG BUY",Scoring!AG50="BUY"),"PASS","FAIL"))</f>
        <v>PASS</v>
      </c>
      <c r="D50" s="139" t="str">
        <f>IF(Scoring!AH50="","",IF(Scoring!AH50="OK","PASS","FAIL"))</f>
        <v>PASS</v>
      </c>
      <c r="E50" s="139" t="str">
        <f>IF(Scoring!AI50="","",IF(Scoring!AI50="OK","PASS","FAIL — mandatory review required"))</f>
        <v>PASS</v>
      </c>
      <c r="F50" s="139" t="s">
        <v>222</v>
      </c>
      <c r="G50" s="139" t="s">
        <v>222</v>
      </c>
      <c r="H50" s="140" t="str">
        <f t="shared" si="5"/>
        <v>Standard initial size</v>
      </c>
      <c r="I50" s="139" t="s">
        <v>224</v>
      </c>
      <c r="J50" s="139"/>
      <c r="K50" s="141" t="str">
        <f t="shared" si="6"/>
        <v>PASS</v>
      </c>
      <c r="L50" s="139" t="str">
        <f>IF('Implied-Return Calculator'!S51="","",'Implied-Return Calculator'!S51)</f>
        <v>FAIL</v>
      </c>
      <c r="M50" s="139" t="str">
        <f>IF('Implied-Return Calculator'!T51="","",'Implied-Return Calculator'!T51)</f>
        <v>FAIL</v>
      </c>
      <c r="N50" s="139" t="str">
        <f>IF('Implied-Return Calculator'!U51="","",'Implied-Return Calculator'!U51)</f>
        <v>OK</v>
      </c>
      <c r="O50" s="139">
        <v>17.7</v>
      </c>
      <c r="P50" s="139">
        <v>4.7E-2</v>
      </c>
      <c r="Q50" s="141" t="str">
        <f t="shared" si="7"/>
        <v>PASS — within ceiling</v>
      </c>
      <c r="R50" s="140" t="str">
        <f t="shared" si="8"/>
        <v>NO — see failing rule(s)</v>
      </c>
      <c r="S50" s="140" t="str">
        <f t="shared" si="9"/>
        <v>DO NOT ENTER — resolve failing Entry Rule(s) above first</v>
      </c>
    </row>
    <row r="51" spans="1:19" ht="15" customHeight="1" x14ac:dyDescent="0.2">
      <c r="A51" s="139" t="str">
        <f>IF(Scoring!A51="","",Scoring!A51)</f>
        <v>VEEV</v>
      </c>
      <c r="B51" s="140" t="str">
        <f>IF(Scoring!B51="","",Scoring!B51)</f>
        <v>Veeva Systems Inc.</v>
      </c>
      <c r="C51" s="139" t="str">
        <f>IF(Scoring!AG51="","",IF(OR(Scoring!AG51="STRONG BUY",Scoring!AG51="BUY"),"PASS","FAIL"))</f>
        <v>PASS</v>
      </c>
      <c r="D51" s="139" t="str">
        <f>IF(Scoring!AH51="","",IF(Scoring!AH51="OK","PASS","FAIL"))</f>
        <v>PASS</v>
      </c>
      <c r="E51" s="139" t="str">
        <f>IF(Scoring!AI51="","",IF(Scoring!AI51="OK","PASS","FAIL — mandatory review required"))</f>
        <v>PASS</v>
      </c>
      <c r="F51" s="139" t="s">
        <v>222</v>
      </c>
      <c r="G51" s="139" t="s">
        <v>222</v>
      </c>
      <c r="H51" s="140" t="str">
        <f t="shared" si="5"/>
        <v>Standard initial size</v>
      </c>
      <c r="I51" s="139" t="s">
        <v>224</v>
      </c>
      <c r="J51" s="139"/>
      <c r="K51" s="141" t="str">
        <f t="shared" si="6"/>
        <v>PASS</v>
      </c>
      <c r="L51" s="139" t="str">
        <f>IF('Implied-Return Calculator'!S52="","",'Implied-Return Calculator'!S52)</f>
        <v>PASS</v>
      </c>
      <c r="M51" s="139" t="str">
        <f>IF('Implied-Return Calculator'!T52="","",'Implied-Return Calculator'!T52)</f>
        <v>PASS</v>
      </c>
      <c r="N51" s="139" t="str">
        <f>IF('Implied-Return Calculator'!U52="","",'Implied-Return Calculator'!U52)</f>
        <v>OK</v>
      </c>
      <c r="O51" s="139">
        <v>40.4</v>
      </c>
      <c r="P51" s="139">
        <v>0.125</v>
      </c>
      <c r="Q51" s="141" t="str">
        <f t="shared" si="7"/>
        <v>PASS — within ceiling</v>
      </c>
      <c r="R51" s="140" t="str">
        <f t="shared" si="8"/>
        <v>YES</v>
      </c>
      <c r="S51" s="140" t="str">
        <f t="shared" si="9"/>
        <v>Initiate: Standard initial size</v>
      </c>
    </row>
    <row r="52" spans="1:19" ht="15" customHeight="1" x14ac:dyDescent="0.2">
      <c r="K52" s="142"/>
      <c r="Q52" s="142"/>
    </row>
    <row r="53" spans="1:19" ht="15" customHeight="1" x14ac:dyDescent="0.2">
      <c r="K53" s="142"/>
      <c r="Q53" s="142"/>
    </row>
    <row r="54" spans="1:19" ht="15" customHeight="1" x14ac:dyDescent="0.2">
      <c r="K54" s="142"/>
      <c r="Q54" s="142"/>
    </row>
    <row r="55" spans="1:19" ht="15" customHeight="1" x14ac:dyDescent="0.2">
      <c r="K55" s="142"/>
      <c r="Q55" s="142"/>
    </row>
    <row r="56" spans="1:19" ht="15" customHeight="1" x14ac:dyDescent="0.2">
      <c r="K56" s="142"/>
      <c r="Q56" s="142"/>
    </row>
    <row r="57" spans="1:19" ht="15" customHeight="1" x14ac:dyDescent="0.2">
      <c r="K57" s="142"/>
      <c r="Q57" s="142"/>
    </row>
    <row r="58" spans="1:19" ht="15" customHeight="1" x14ac:dyDescent="0.2">
      <c r="K58" s="142"/>
      <c r="Q58" s="142"/>
    </row>
    <row r="59" spans="1:19" ht="15" customHeight="1" x14ac:dyDescent="0.2">
      <c r="K59" s="142"/>
      <c r="Q59" s="142"/>
    </row>
    <row r="60" spans="1:19" ht="15" customHeight="1" x14ac:dyDescent="0.2">
      <c r="K60" s="142"/>
      <c r="Q60" s="142"/>
    </row>
    <row r="61" spans="1:19" ht="15" customHeight="1" x14ac:dyDescent="0.2">
      <c r="K61" s="142"/>
      <c r="Q61" s="142"/>
    </row>
    <row r="62" spans="1:19" ht="15" customHeight="1" x14ac:dyDescent="0.2">
      <c r="K62" s="142"/>
      <c r="Q62" s="142"/>
    </row>
    <row r="63" spans="1:19" ht="15" customHeight="1" x14ac:dyDescent="0.2">
      <c r="K63" s="142"/>
      <c r="Q63" s="142"/>
    </row>
    <row r="64" spans="1:19" ht="15" customHeight="1" x14ac:dyDescent="0.2">
      <c r="K64" s="142"/>
      <c r="Q64" s="142"/>
    </row>
    <row r="65" spans="11:17" ht="15" customHeight="1" x14ac:dyDescent="0.2">
      <c r="K65" s="142"/>
      <c r="Q65" s="142"/>
    </row>
    <row r="66" spans="11:17" ht="15" customHeight="1" x14ac:dyDescent="0.2">
      <c r="K66" s="142"/>
      <c r="Q66" s="142"/>
    </row>
  </sheetData>
  <conditionalFormatting sqref="K3:M66">
    <cfRule type="containsText" dxfId="68" priority="2" operator="containsText" text="pass">
      <formula>NOT(ISERROR(SEARCH("pass",K3)))</formula>
    </cfRule>
    <cfRule type="containsText" dxfId="67" priority="3" operator="containsText" text="fail">
      <formula>NOT(ISERROR(SEARCH("fail",K3)))</formula>
    </cfRule>
  </conditionalFormatting>
  <conditionalFormatting sqref="Q3:Q66">
    <cfRule type="containsText" dxfId="66" priority="4" operator="containsText" text="pass">
      <formula>NOT(ISERROR(SEARCH("pass",Q3)))</formula>
    </cfRule>
    <cfRule type="containsText" dxfId="65" priority="5" operator="containsText" text="fail">
      <formula>NOT(ISERROR(SEARCH("fail",Q3)))</formula>
    </cfRule>
  </conditionalFormatting>
  <conditionalFormatting sqref="R3:R122">
    <cfRule type="containsText" dxfId="64" priority="6" operator="containsText" text="yes">
      <formula>NOT(ISERROR(SEARCH("yes",R3)))</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2"/>
  <sheetViews>
    <sheetView showGridLines="0" zoomScaleNormal="100" workbookViewId="0">
      <pane ySplit="2" topLeftCell="A3" activePane="bottomLeft" state="frozen"/>
      <selection pane="bottomLeft" activeCell="N26" sqref="N26"/>
    </sheetView>
  </sheetViews>
  <sheetFormatPr baseColWidth="10" defaultColWidth="8.6640625" defaultRowHeight="15" x14ac:dyDescent="0.2"/>
  <cols>
    <col min="1" max="1" width="7.6640625" customWidth="1"/>
    <col min="2" max="2" width="20" style="142" customWidth="1"/>
    <col min="3" max="3" width="9.33203125" customWidth="1"/>
    <col min="4" max="4" width="13" customWidth="1"/>
    <col min="5" max="5" width="15" customWidth="1"/>
    <col min="6" max="6" width="6.33203125" customWidth="1"/>
    <col min="7" max="8" width="7.6640625" customWidth="1"/>
    <col min="9" max="9" width="8.5" customWidth="1"/>
  </cols>
  <sheetData>
    <row r="1" spans="1:9" ht="42" customHeight="1" x14ac:dyDescent="0.2">
      <c r="A1" s="237" t="s">
        <v>443</v>
      </c>
      <c r="B1" s="237"/>
      <c r="C1" s="237"/>
      <c r="D1" s="237"/>
      <c r="E1" s="237"/>
      <c r="F1" s="237"/>
      <c r="G1" s="237"/>
      <c r="H1" s="237"/>
      <c r="I1" s="237"/>
    </row>
    <row r="2" spans="1:9" ht="25.5" customHeight="1" x14ac:dyDescent="0.2">
      <c r="A2" s="119" t="s">
        <v>82</v>
      </c>
      <c r="B2" s="119" t="s">
        <v>296</v>
      </c>
      <c r="C2" s="119" t="s">
        <v>444</v>
      </c>
      <c r="D2" s="119" t="s">
        <v>445</v>
      </c>
      <c r="E2" s="119" t="s">
        <v>446</v>
      </c>
      <c r="F2" s="119" t="s">
        <v>447</v>
      </c>
      <c r="G2" s="119" t="s">
        <v>448</v>
      </c>
      <c r="H2" s="119" t="s">
        <v>449</v>
      </c>
      <c r="I2" s="119" t="s">
        <v>450</v>
      </c>
    </row>
    <row r="3" spans="1:9" ht="15" customHeight="1" x14ac:dyDescent="0.2">
      <c r="A3" s="123" t="s">
        <v>287</v>
      </c>
      <c r="B3" s="121" t="s">
        <v>420</v>
      </c>
      <c r="C3" s="143">
        <v>99.6</v>
      </c>
      <c r="D3" s="128">
        <v>6961418</v>
      </c>
      <c r="E3" s="144">
        <v>172346.179584</v>
      </c>
      <c r="F3" s="145">
        <v>32.129032000000002</v>
      </c>
      <c r="G3" s="143">
        <v>81.97</v>
      </c>
      <c r="H3" s="143">
        <v>133.34</v>
      </c>
      <c r="I3" s="130">
        <v>2.5299999999999998</v>
      </c>
    </row>
    <row r="4" spans="1:9" ht="15" customHeight="1" x14ac:dyDescent="0.2">
      <c r="A4" s="123" t="s">
        <v>96</v>
      </c>
      <c r="B4" s="121" t="s">
        <v>97</v>
      </c>
      <c r="C4" s="143">
        <v>242.27</v>
      </c>
      <c r="D4" s="128">
        <v>3881488</v>
      </c>
      <c r="E4" s="144">
        <v>94291.484672000006</v>
      </c>
      <c r="F4" s="145">
        <v>13.527081000000001</v>
      </c>
      <c r="G4" s="143">
        <v>190.12</v>
      </c>
      <c r="H4" s="143">
        <v>363.7</v>
      </c>
      <c r="I4" s="130"/>
    </row>
    <row r="5" spans="1:9" ht="15" customHeight="1" x14ac:dyDescent="0.2">
      <c r="A5" s="123" t="s">
        <v>101</v>
      </c>
      <c r="B5" s="121" t="s">
        <v>102</v>
      </c>
      <c r="C5" s="143">
        <v>216.74</v>
      </c>
      <c r="D5" s="128">
        <v>4326938</v>
      </c>
      <c r="E5" s="144">
        <v>273357.84857600002</v>
      </c>
      <c r="F5" s="145">
        <v>68.372240000000005</v>
      </c>
      <c r="G5" s="143">
        <v>114.52</v>
      </c>
      <c r="H5" s="143">
        <v>217.41</v>
      </c>
      <c r="I5" s="130"/>
    </row>
    <row r="6" spans="1:9" ht="15" customHeight="1" x14ac:dyDescent="0.2">
      <c r="A6" s="123" t="s">
        <v>103</v>
      </c>
      <c r="B6" s="121" t="s">
        <v>104</v>
      </c>
      <c r="C6" s="143">
        <v>1780.34</v>
      </c>
      <c r="D6" s="128">
        <v>1203224</v>
      </c>
      <c r="E6" s="144">
        <v>683828.57625599997</v>
      </c>
      <c r="F6" s="145">
        <v>57.784484999999997</v>
      </c>
      <c r="G6" s="143">
        <v>946.11</v>
      </c>
      <c r="H6" s="143">
        <v>1999.96</v>
      </c>
      <c r="I6" s="130">
        <v>0.51</v>
      </c>
    </row>
    <row r="7" spans="1:9" ht="15" customHeight="1" x14ac:dyDescent="0.2">
      <c r="A7" s="123" t="s">
        <v>172</v>
      </c>
      <c r="B7" s="121" t="s">
        <v>173</v>
      </c>
      <c r="C7" s="143">
        <v>361.54</v>
      </c>
      <c r="D7" s="128">
        <v>16467294</v>
      </c>
      <c r="E7" s="144">
        <v>1725858.1852160001</v>
      </c>
      <c r="F7" s="145">
        <v>46.173690000000001</v>
      </c>
      <c r="G7" s="143">
        <v>289.95999999999998</v>
      </c>
      <c r="H7" s="143">
        <v>495</v>
      </c>
      <c r="I7" s="130">
        <v>0.72</v>
      </c>
    </row>
    <row r="8" spans="1:9" ht="15" customHeight="1" x14ac:dyDescent="0.2">
      <c r="A8" s="123" t="s">
        <v>163</v>
      </c>
      <c r="B8" s="121" t="s">
        <v>164</v>
      </c>
      <c r="C8" s="143">
        <v>119.64</v>
      </c>
      <c r="D8" s="128">
        <v>1370867</v>
      </c>
      <c r="E8" s="144"/>
      <c r="F8" s="145">
        <v>11.864966000000001</v>
      </c>
      <c r="G8" s="143">
        <v>93.87</v>
      </c>
      <c r="H8" s="143">
        <v>129.05000000000001</v>
      </c>
      <c r="I8" s="130">
        <v>1.29</v>
      </c>
    </row>
    <row r="9" spans="1:9" ht="15" customHeight="1" x14ac:dyDescent="0.2">
      <c r="A9" s="123" t="s">
        <v>242</v>
      </c>
      <c r="B9" s="121" t="s">
        <v>398</v>
      </c>
      <c r="C9" s="143">
        <v>31.59</v>
      </c>
      <c r="D9" s="128">
        <v>20054983</v>
      </c>
      <c r="E9" s="144">
        <v>39974.555648000001</v>
      </c>
      <c r="F9" s="145">
        <v>28.981650999999999</v>
      </c>
      <c r="G9" s="143">
        <v>28.04</v>
      </c>
      <c r="H9" s="143">
        <v>42.82</v>
      </c>
      <c r="I9" s="130"/>
    </row>
    <row r="10" spans="1:9" ht="15" customHeight="1" x14ac:dyDescent="0.2">
      <c r="A10" s="123" t="s">
        <v>244</v>
      </c>
      <c r="B10" s="121" t="s">
        <v>369</v>
      </c>
      <c r="C10" s="143">
        <v>946.92</v>
      </c>
      <c r="D10" s="128">
        <v>1493334</v>
      </c>
      <c r="E10" s="144">
        <v>419608.03532800003</v>
      </c>
      <c r="F10" s="145">
        <v>45.612717000000004</v>
      </c>
      <c r="G10" s="143">
        <v>844.06</v>
      </c>
      <c r="H10" s="143">
        <v>1096.5</v>
      </c>
      <c r="I10" s="130">
        <v>0.62</v>
      </c>
    </row>
    <row r="11" spans="1:9" ht="15" customHeight="1" x14ac:dyDescent="0.2">
      <c r="A11" s="123" t="s">
        <v>105</v>
      </c>
      <c r="B11" s="121" t="s">
        <v>106</v>
      </c>
      <c r="C11" s="143">
        <v>275.04000000000002</v>
      </c>
      <c r="D11" s="128">
        <v>7041009</v>
      </c>
      <c r="E11" s="144">
        <v>281623.03590399999</v>
      </c>
      <c r="F11" s="145">
        <v>4584.0005000000001</v>
      </c>
      <c r="G11" s="143">
        <v>85.68</v>
      </c>
      <c r="H11" s="143">
        <v>286.99</v>
      </c>
      <c r="I11" s="130"/>
    </row>
    <row r="12" spans="1:9" ht="15" customHeight="1" x14ac:dyDescent="0.2">
      <c r="A12" s="123" t="s">
        <v>249</v>
      </c>
      <c r="B12" s="121" t="s">
        <v>400</v>
      </c>
      <c r="C12" s="143">
        <v>309.36</v>
      </c>
      <c r="D12" s="128">
        <v>612867</v>
      </c>
      <c r="E12" s="144">
        <v>10234.165247999999</v>
      </c>
      <c r="F12" s="145">
        <v>17.537414999999999</v>
      </c>
      <c r="G12" s="143">
        <v>282</v>
      </c>
      <c r="H12" s="143">
        <v>442.35</v>
      </c>
      <c r="I12" s="130">
        <v>2.57</v>
      </c>
    </row>
    <row r="13" spans="1:9" ht="15" customHeight="1" x14ac:dyDescent="0.2">
      <c r="A13" s="123" t="s">
        <v>128</v>
      </c>
      <c r="B13" s="121" t="s">
        <v>129</v>
      </c>
      <c r="C13" s="143">
        <v>154.36000000000001</v>
      </c>
      <c r="D13" s="128">
        <v>241093</v>
      </c>
      <c r="E13" s="144"/>
      <c r="F13" s="145">
        <v>14.888320999999999</v>
      </c>
      <c r="G13" s="143">
        <v>137.16</v>
      </c>
      <c r="H13" s="143">
        <v>167.06</v>
      </c>
      <c r="I13" s="130">
        <v>3.51</v>
      </c>
    </row>
    <row r="14" spans="1:9" ht="15" customHeight="1" x14ac:dyDescent="0.2">
      <c r="A14" s="123" t="s">
        <v>252</v>
      </c>
      <c r="B14" s="121" t="s">
        <v>379</v>
      </c>
      <c r="C14" s="143">
        <v>20.41</v>
      </c>
      <c r="D14" s="128">
        <v>6310471</v>
      </c>
      <c r="E14" s="144">
        <v>70277.742591999995</v>
      </c>
      <c r="F14" s="145">
        <v>13.979450999999999</v>
      </c>
      <c r="G14" s="143">
        <v>16.18</v>
      </c>
      <c r="H14" s="143">
        <v>21.84</v>
      </c>
      <c r="I14" s="130">
        <v>6.56</v>
      </c>
    </row>
    <row r="15" spans="1:9" ht="15" customHeight="1" x14ac:dyDescent="0.2">
      <c r="A15" s="123" t="s">
        <v>254</v>
      </c>
      <c r="B15" s="121" t="s">
        <v>415</v>
      </c>
      <c r="C15" s="143">
        <v>429.65</v>
      </c>
      <c r="D15" s="128">
        <v>1632666</v>
      </c>
      <c r="E15" s="144">
        <v>166876.05350400001</v>
      </c>
      <c r="F15" s="145">
        <v>43.708035000000002</v>
      </c>
      <c r="G15" s="143">
        <v>311.92</v>
      </c>
      <c r="H15" s="143">
        <v>478</v>
      </c>
      <c r="I15" s="130">
        <v>1.02</v>
      </c>
    </row>
    <row r="16" spans="1:9" ht="15" customHeight="1" x14ac:dyDescent="0.2">
      <c r="A16" s="123" t="s">
        <v>256</v>
      </c>
      <c r="B16" s="121" t="s">
        <v>411</v>
      </c>
      <c r="C16" s="143">
        <v>76.709999999999994</v>
      </c>
      <c r="D16" s="128">
        <v>2974813</v>
      </c>
      <c r="E16" s="144">
        <v>7040.5775359999998</v>
      </c>
      <c r="F16" s="145">
        <v>22.429822999999999</v>
      </c>
      <c r="G16" s="143">
        <v>44</v>
      </c>
      <c r="H16" s="143">
        <v>87.974000000000004</v>
      </c>
      <c r="I16" s="130"/>
    </row>
    <row r="17" spans="1:9" ht="15" customHeight="1" x14ac:dyDescent="0.2">
      <c r="A17" s="123" t="s">
        <v>143</v>
      </c>
      <c r="B17" s="121" t="s">
        <v>144</v>
      </c>
      <c r="C17" s="143">
        <v>308.2</v>
      </c>
      <c r="D17" s="128">
        <v>2947220</v>
      </c>
      <c r="E17" s="144">
        <v>319776.784384</v>
      </c>
      <c r="F17" s="145">
        <v>36.344340000000003</v>
      </c>
      <c r="G17" s="143">
        <v>268.91000000000003</v>
      </c>
      <c r="H17" s="143">
        <v>388.84</v>
      </c>
      <c r="I17" s="130">
        <v>0.61</v>
      </c>
    </row>
    <row r="18" spans="1:9" ht="15" customHeight="1" x14ac:dyDescent="0.2">
      <c r="A18" s="123" t="s">
        <v>169</v>
      </c>
      <c r="B18" s="121" t="s">
        <v>170</v>
      </c>
      <c r="C18" s="143">
        <v>69.97</v>
      </c>
      <c r="D18" s="128">
        <v>301323</v>
      </c>
      <c r="E18" s="144"/>
      <c r="F18" s="145">
        <v>24.034523</v>
      </c>
      <c r="G18" s="143">
        <v>63.24</v>
      </c>
      <c r="H18" s="143">
        <v>70.23</v>
      </c>
      <c r="I18" s="130">
        <v>0.56999999999999995</v>
      </c>
    </row>
    <row r="19" spans="1:9" ht="15" customHeight="1" x14ac:dyDescent="0.2">
      <c r="A19" s="123" t="s">
        <v>195</v>
      </c>
      <c r="B19" s="121" t="s">
        <v>196</v>
      </c>
      <c r="C19" s="143">
        <v>56.77</v>
      </c>
      <c r="D19" s="128">
        <v>3335798</v>
      </c>
      <c r="E19" s="144"/>
      <c r="F19" s="145">
        <v>24.629989999999999</v>
      </c>
      <c r="G19" s="143">
        <v>55.1</v>
      </c>
      <c r="H19" s="143">
        <v>59.9</v>
      </c>
      <c r="I19" s="130">
        <v>8.16</v>
      </c>
    </row>
    <row r="20" spans="1:9" ht="15" customHeight="1" x14ac:dyDescent="0.2">
      <c r="A20" s="123" t="s">
        <v>159</v>
      </c>
      <c r="B20" s="121" t="s">
        <v>160</v>
      </c>
      <c r="C20" s="143">
        <v>61.09</v>
      </c>
      <c r="D20" s="128">
        <v>3617727</v>
      </c>
      <c r="E20" s="144">
        <v>225986.3</v>
      </c>
      <c r="F20" s="145">
        <v>28.115189999999998</v>
      </c>
      <c r="G20" s="143">
        <v>53.51</v>
      </c>
      <c r="H20" s="143">
        <v>61.72</v>
      </c>
      <c r="I20" s="130">
        <v>11.05</v>
      </c>
    </row>
    <row r="21" spans="1:9" ht="15" customHeight="1" x14ac:dyDescent="0.2">
      <c r="A21" s="123" t="s">
        <v>285</v>
      </c>
      <c r="B21" s="121" t="s">
        <v>419</v>
      </c>
      <c r="C21" s="143">
        <v>53.47</v>
      </c>
      <c r="D21" s="128">
        <v>823110</v>
      </c>
      <c r="E21" s="144">
        <v>5406.0328959999997</v>
      </c>
      <c r="F21" s="145">
        <v>62.174419999999998</v>
      </c>
      <c r="G21" s="143">
        <v>32.549999999999997</v>
      </c>
      <c r="H21" s="143">
        <v>77.680000000000007</v>
      </c>
      <c r="I21" s="130">
        <v>3.67</v>
      </c>
    </row>
    <row r="22" spans="1:9" ht="15" customHeight="1" x14ac:dyDescent="0.2">
      <c r="A22" s="123" t="s">
        <v>107</v>
      </c>
      <c r="B22" s="121" t="s">
        <v>108</v>
      </c>
      <c r="C22" s="143">
        <v>195.57</v>
      </c>
      <c r="D22" s="128">
        <v>5293176</v>
      </c>
      <c r="E22" s="144">
        <v>255220.12160000001</v>
      </c>
      <c r="F22" s="145">
        <v>53.434424999999997</v>
      </c>
      <c r="G22" s="143">
        <v>99.855000000000004</v>
      </c>
      <c r="H22" s="143">
        <v>307.37</v>
      </c>
      <c r="I22" s="130">
        <v>0.47</v>
      </c>
    </row>
    <row r="23" spans="1:9" ht="15" customHeight="1" x14ac:dyDescent="0.2">
      <c r="A23" s="123" t="s">
        <v>262</v>
      </c>
      <c r="B23" s="121" t="s">
        <v>389</v>
      </c>
      <c r="C23" s="143">
        <v>483.73</v>
      </c>
      <c r="D23" s="128">
        <v>1576874</v>
      </c>
      <c r="E23" s="144">
        <v>222989.94278400001</v>
      </c>
      <c r="F23" s="145">
        <v>31.228536999999999</v>
      </c>
      <c r="G23" s="143">
        <v>387.78</v>
      </c>
      <c r="H23" s="143">
        <v>548.20000000000005</v>
      </c>
      <c r="I23" s="130">
        <v>1.32</v>
      </c>
    </row>
    <row r="24" spans="1:9" ht="15" customHeight="1" x14ac:dyDescent="0.2">
      <c r="A24" s="123" t="s">
        <v>138</v>
      </c>
      <c r="B24" s="121" t="s">
        <v>139</v>
      </c>
      <c r="C24" s="143">
        <v>52.08</v>
      </c>
      <c r="D24" s="128">
        <v>365317</v>
      </c>
      <c r="E24" s="144"/>
      <c r="F24" s="145">
        <v>18.460522000000001</v>
      </c>
      <c r="G24" s="143">
        <v>49.15</v>
      </c>
      <c r="H24" s="143">
        <v>58.47</v>
      </c>
      <c r="I24" s="130"/>
    </row>
    <row r="25" spans="1:9" ht="15" customHeight="1" x14ac:dyDescent="0.2">
      <c r="A25" s="123" t="s">
        <v>109</v>
      </c>
      <c r="B25" s="121" t="s">
        <v>110</v>
      </c>
      <c r="C25" s="143">
        <v>1029</v>
      </c>
      <c r="D25" s="128">
        <v>19765706</v>
      </c>
      <c r="E25" s="144">
        <v>1164234.4570879999</v>
      </c>
      <c r="F25" s="145">
        <v>13.843669999999999</v>
      </c>
      <c r="G25" s="143">
        <v>186.25</v>
      </c>
      <c r="H25" s="143">
        <v>1255</v>
      </c>
      <c r="I25" s="130">
        <v>0.06</v>
      </c>
    </row>
    <row r="26" spans="1:9" ht="15" customHeight="1" x14ac:dyDescent="0.2">
      <c r="A26" s="123" t="s">
        <v>146</v>
      </c>
      <c r="B26" s="121" t="s">
        <v>147</v>
      </c>
      <c r="C26" s="143">
        <v>70.3</v>
      </c>
      <c r="D26" s="128">
        <v>29022504</v>
      </c>
      <c r="E26" s="144">
        <v>292724.96537599998</v>
      </c>
      <c r="F26" s="145">
        <v>22.106918</v>
      </c>
      <c r="G26" s="143">
        <v>65.08</v>
      </c>
      <c r="H26" s="143">
        <v>124.86</v>
      </c>
      <c r="I26" s="130"/>
    </row>
    <row r="27" spans="1:9" ht="15" customHeight="1" x14ac:dyDescent="0.2">
      <c r="A27" s="123" t="s">
        <v>111</v>
      </c>
      <c r="B27" s="121" t="s">
        <v>112</v>
      </c>
      <c r="C27" s="143">
        <v>229.28</v>
      </c>
      <c r="D27" s="128">
        <v>84307452</v>
      </c>
      <c r="E27" s="144">
        <v>5536424.1326080002</v>
      </c>
      <c r="F27" s="145">
        <v>28.986094000000001</v>
      </c>
      <c r="G27" s="143">
        <v>164.27</v>
      </c>
      <c r="H27" s="143">
        <v>243.37</v>
      </c>
      <c r="I27" s="130">
        <v>0.44</v>
      </c>
    </row>
    <row r="28" spans="1:9" ht="15" customHeight="1" x14ac:dyDescent="0.2">
      <c r="A28" s="123" t="s">
        <v>273</v>
      </c>
      <c r="B28" s="121" t="s">
        <v>397</v>
      </c>
      <c r="C28" s="143">
        <v>151.22999999999999</v>
      </c>
      <c r="D28" s="128">
        <v>6145400</v>
      </c>
      <c r="E28" s="144">
        <v>351257.72288000002</v>
      </c>
      <c r="F28" s="145">
        <v>22.84441</v>
      </c>
      <c r="G28" s="143">
        <v>137.62</v>
      </c>
      <c r="H28" s="143">
        <v>167.25</v>
      </c>
      <c r="I28" s="130">
        <v>2.88</v>
      </c>
    </row>
    <row r="29" spans="1:9" ht="15" customHeight="1" x14ac:dyDescent="0.2">
      <c r="A29" s="123" t="s">
        <v>275</v>
      </c>
      <c r="B29" s="121" t="s">
        <v>413</v>
      </c>
      <c r="C29" s="143">
        <v>962.56</v>
      </c>
      <c r="D29" s="128">
        <v>354579</v>
      </c>
      <c r="E29" s="144">
        <v>121390.768128</v>
      </c>
      <c r="F29" s="145">
        <v>33.797752000000003</v>
      </c>
      <c r="G29" s="143">
        <v>717.02</v>
      </c>
      <c r="H29" s="143">
        <v>1099.94</v>
      </c>
      <c r="I29" s="130">
        <v>0.83</v>
      </c>
    </row>
    <row r="30" spans="1:9" ht="15" customHeight="1" x14ac:dyDescent="0.2">
      <c r="A30" s="123" t="s">
        <v>177</v>
      </c>
      <c r="B30" s="121" t="s">
        <v>355</v>
      </c>
      <c r="C30" s="143">
        <v>129.49</v>
      </c>
      <c r="D30" s="128">
        <v>3310448</v>
      </c>
      <c r="E30" s="144">
        <v>125876.11750399999</v>
      </c>
      <c r="F30" s="145">
        <v>28.775556999999999</v>
      </c>
      <c r="G30" s="143">
        <v>111.38</v>
      </c>
      <c r="H30" s="143">
        <v>153.35</v>
      </c>
      <c r="I30" s="130">
        <v>3.31</v>
      </c>
    </row>
    <row r="31" spans="1:9" ht="15" customHeight="1" x14ac:dyDescent="0.2">
      <c r="A31" s="123" t="s">
        <v>113</v>
      </c>
      <c r="B31" s="121" t="s">
        <v>114</v>
      </c>
      <c r="C31" s="143">
        <v>209.05</v>
      </c>
      <c r="D31" s="128">
        <v>37389859</v>
      </c>
      <c r="E31" s="144">
        <v>502359.35948799999</v>
      </c>
      <c r="F31" s="145">
        <v>180.21553</v>
      </c>
      <c r="G31" s="143">
        <v>106.37</v>
      </c>
      <c r="H31" s="143">
        <v>209.58</v>
      </c>
      <c r="I31" s="130"/>
    </row>
    <row r="32" spans="1:9" ht="15" customHeight="1" x14ac:dyDescent="0.2">
      <c r="A32" s="123" t="s">
        <v>134</v>
      </c>
      <c r="B32" s="121" t="s">
        <v>135</v>
      </c>
      <c r="C32" s="143">
        <v>33.04</v>
      </c>
      <c r="D32" s="128">
        <v>17747145</v>
      </c>
      <c r="E32" s="144"/>
      <c r="F32" s="145">
        <v>18.456802</v>
      </c>
      <c r="G32" s="143">
        <v>26.32</v>
      </c>
      <c r="H32" s="143">
        <v>35.31</v>
      </c>
      <c r="I32" s="130">
        <v>3.24</v>
      </c>
    </row>
    <row r="33" spans="1:9" ht="15" customHeight="1" x14ac:dyDescent="0.2">
      <c r="A33" s="123" t="s">
        <v>289</v>
      </c>
      <c r="B33" s="121" t="s">
        <v>422</v>
      </c>
      <c r="C33" s="143">
        <v>48.95</v>
      </c>
      <c r="D33" s="128">
        <v>7578625</v>
      </c>
      <c r="E33" s="144">
        <v>72648.810496000006</v>
      </c>
      <c r="F33" s="145">
        <v>23.647345000000001</v>
      </c>
      <c r="G33" s="143">
        <v>31.64</v>
      </c>
      <c r="H33" s="143">
        <v>60.46</v>
      </c>
      <c r="I33" s="130">
        <v>2.41</v>
      </c>
    </row>
    <row r="34" spans="1:9" ht="15" customHeight="1" x14ac:dyDescent="0.2">
      <c r="A34" s="123" t="s">
        <v>140</v>
      </c>
      <c r="B34" s="121" t="s">
        <v>141</v>
      </c>
      <c r="C34" s="143">
        <v>151.16</v>
      </c>
      <c r="D34" s="128">
        <v>1336750</v>
      </c>
      <c r="E34" s="144">
        <v>100824.6</v>
      </c>
      <c r="F34" s="145">
        <v>24.583378</v>
      </c>
      <c r="G34" s="143">
        <v>107.24</v>
      </c>
      <c r="H34" s="143">
        <v>162.30000000000001</v>
      </c>
      <c r="I34" s="130">
        <v>0.73</v>
      </c>
    </row>
    <row r="35" spans="1:9" ht="15" customHeight="1" x14ac:dyDescent="0.2">
      <c r="A35" s="123" t="s">
        <v>115</v>
      </c>
      <c r="B35" s="121" t="s">
        <v>366</v>
      </c>
      <c r="C35" s="143">
        <v>453.31</v>
      </c>
      <c r="D35" s="128">
        <v>9207499</v>
      </c>
      <c r="E35" s="144">
        <v>2351080.40704</v>
      </c>
      <c r="F35" s="145">
        <v>32.944040000000001</v>
      </c>
      <c r="G35" s="143">
        <v>266.82</v>
      </c>
      <c r="H35" s="143">
        <v>487.47</v>
      </c>
      <c r="I35" s="130">
        <v>0.83</v>
      </c>
    </row>
    <row r="36" spans="1:9" ht="15" customHeight="1" x14ac:dyDescent="0.2">
      <c r="A36" s="123" t="s">
        <v>119</v>
      </c>
      <c r="B36" s="121" t="s">
        <v>120</v>
      </c>
      <c r="C36" s="143">
        <v>385.45</v>
      </c>
      <c r="D36" s="128">
        <v>5826430</v>
      </c>
      <c r="E36" s="144">
        <v>723626.62297599996</v>
      </c>
      <c r="F36" s="145">
        <v>32.804256000000002</v>
      </c>
      <c r="G36" s="143">
        <v>293.89</v>
      </c>
      <c r="H36" s="143">
        <v>386.84</v>
      </c>
      <c r="I36" s="130">
        <v>0.7</v>
      </c>
    </row>
    <row r="37" spans="1:9" ht="15" customHeight="1" x14ac:dyDescent="0.2">
      <c r="A37" s="123" t="s">
        <v>149</v>
      </c>
      <c r="B37" s="121" t="s">
        <v>423</v>
      </c>
      <c r="C37" s="143">
        <v>296.13</v>
      </c>
      <c r="D37" s="128">
        <v>1846000</v>
      </c>
      <c r="E37" s="144">
        <v>47946.067968000003</v>
      </c>
      <c r="F37" s="145">
        <v>48.545901999999998</v>
      </c>
      <c r="G37" s="143">
        <v>148.05000000000001</v>
      </c>
      <c r="H37" s="143">
        <v>302.17</v>
      </c>
      <c r="I37" s="130"/>
    </row>
    <row r="38" spans="1:9" ht="15" customHeight="1" x14ac:dyDescent="0.2">
      <c r="A38" s="123" t="s">
        <v>131</v>
      </c>
      <c r="B38" s="121" t="s">
        <v>132</v>
      </c>
      <c r="C38" s="143">
        <v>52.84</v>
      </c>
      <c r="D38" s="128">
        <v>1592293</v>
      </c>
      <c r="E38" s="144"/>
      <c r="F38" s="145">
        <v>16.372257000000001</v>
      </c>
      <c r="G38" s="143">
        <v>36.61</v>
      </c>
      <c r="H38" s="143">
        <v>56.44</v>
      </c>
      <c r="I38" s="130">
        <v>1.02</v>
      </c>
    </row>
    <row r="39" spans="1:9" ht="15" customHeight="1" x14ac:dyDescent="0.2">
      <c r="A39" s="123" t="s">
        <v>117</v>
      </c>
      <c r="B39" s="121" t="s">
        <v>118</v>
      </c>
      <c r="C39" s="143">
        <v>242.78</v>
      </c>
      <c r="D39" s="128">
        <v>3419680</v>
      </c>
      <c r="E39" s="144">
        <v>93467.426816000007</v>
      </c>
      <c r="F39" s="145">
        <v>54.927599999999998</v>
      </c>
      <c r="G39" s="143">
        <v>147.82</v>
      </c>
      <c r="H39" s="143">
        <v>379.935</v>
      </c>
      <c r="I39" s="130">
        <v>0.1</v>
      </c>
    </row>
    <row r="40" spans="1:9" ht="15" customHeight="1" x14ac:dyDescent="0.2">
      <c r="A40" s="123" t="s">
        <v>174</v>
      </c>
      <c r="B40" s="121" t="s">
        <v>175</v>
      </c>
      <c r="C40" s="143">
        <v>510.08</v>
      </c>
      <c r="D40" s="128">
        <v>1469287</v>
      </c>
      <c r="E40" s="144">
        <v>129285.349376</v>
      </c>
      <c r="F40" s="145">
        <v>29.707628</v>
      </c>
      <c r="G40" s="143">
        <v>402.58</v>
      </c>
      <c r="H40" s="143">
        <v>560.25</v>
      </c>
      <c r="I40" s="130"/>
    </row>
    <row r="41" spans="1:9" ht="15" customHeight="1" x14ac:dyDescent="0.2">
      <c r="A41" s="123" t="s">
        <v>136</v>
      </c>
      <c r="B41" s="121" t="s">
        <v>137</v>
      </c>
      <c r="C41" s="143">
        <v>158.75</v>
      </c>
      <c r="D41" s="128">
        <v>935798</v>
      </c>
      <c r="E41" s="144"/>
      <c r="F41" s="145">
        <v>19.941454</v>
      </c>
      <c r="G41" s="143">
        <v>138.27000000000001</v>
      </c>
      <c r="H41" s="143">
        <v>167.61</v>
      </c>
      <c r="I41" s="130">
        <v>2.37</v>
      </c>
    </row>
    <row r="42" spans="1:9" ht="15" customHeight="1" x14ac:dyDescent="0.2">
      <c r="A42" s="123" t="s">
        <v>283</v>
      </c>
      <c r="B42" s="121" t="s">
        <v>402</v>
      </c>
      <c r="C42" s="143">
        <v>144.82</v>
      </c>
      <c r="D42" s="128">
        <v>3138484</v>
      </c>
      <c r="E42" s="144">
        <v>39521.538048000002</v>
      </c>
      <c r="F42" s="145">
        <v>18.012440000000002</v>
      </c>
      <c r="G42" s="143">
        <v>134.26</v>
      </c>
      <c r="H42" s="143">
        <v>170.14</v>
      </c>
      <c r="I42" s="130">
        <v>2.0699999999999998</v>
      </c>
    </row>
  </sheetData>
  <autoFilter ref="A2:I44" xr:uid="{00000000-0009-0000-0000-000008000000}"/>
  <mergeCells count="1">
    <mergeCell ref="A1:I1"/>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63"/>
  <sheetViews>
    <sheetView showGridLines="0" topLeftCell="A194" zoomScaleNormal="100" workbookViewId="0">
      <selection activeCell="L25" sqref="L25"/>
    </sheetView>
  </sheetViews>
  <sheetFormatPr baseColWidth="10" defaultColWidth="8.6640625" defaultRowHeight="15" x14ac:dyDescent="0.2"/>
  <cols>
    <col min="1" max="1" width="10.83203125" customWidth="1"/>
    <col min="2" max="21" width="5.6640625" customWidth="1"/>
    <col min="22" max="22" width="4.1640625" customWidth="1"/>
    <col min="23" max="40" width="10.1640625" customWidth="1"/>
    <col min="42" max="47" width="4.1640625" customWidth="1"/>
  </cols>
  <sheetData>
    <row r="1" spans="1:47" ht="27" customHeight="1" x14ac:dyDescent="0.2">
      <c r="A1" s="238" t="s">
        <v>451</v>
      </c>
      <c r="B1" s="238"/>
      <c r="C1" s="238"/>
      <c r="D1" s="238"/>
      <c r="E1" s="238"/>
      <c r="F1" s="238"/>
      <c r="G1" s="238"/>
      <c r="H1" s="238"/>
      <c r="I1" s="238"/>
      <c r="J1" s="238"/>
      <c r="K1" s="238"/>
      <c r="L1" s="238"/>
      <c r="M1" s="238"/>
      <c r="N1" s="238"/>
      <c r="O1" s="238"/>
      <c r="P1" s="238"/>
      <c r="Q1" s="238"/>
      <c r="R1" s="238"/>
      <c r="S1" s="238"/>
      <c r="T1" s="238"/>
      <c r="U1" s="238"/>
    </row>
    <row r="2" spans="1:47" ht="15" customHeight="1" x14ac:dyDescent="0.2">
      <c r="A2" s="119" t="s">
        <v>294</v>
      </c>
      <c r="B2" s="119" t="str">
        <f>'Price History'!B2</f>
        <v>ADBE</v>
      </c>
      <c r="C2" s="119" t="str">
        <f>'Price History'!C2</f>
        <v>ANET</v>
      </c>
      <c r="D2" s="119" t="str">
        <f>'Price History'!D2</f>
        <v>ASML</v>
      </c>
      <c r="E2" s="119" t="str">
        <f>'Price History'!E2</f>
        <v>AVGO</v>
      </c>
      <c r="F2" s="119" t="str">
        <f>'Price History'!F2</f>
        <v>CRWD</v>
      </c>
      <c r="G2" s="119" t="str">
        <f>'Price History'!G2</f>
        <v>KLAC</v>
      </c>
      <c r="H2" s="119" t="str">
        <f>'Price History'!H2</f>
        <v>MU</v>
      </c>
      <c r="I2" s="119" t="str">
        <f>'Price History'!I2</f>
        <v>NVDA</v>
      </c>
      <c r="J2" s="119" t="str">
        <f>'Price History'!J2</f>
        <v>PLD</v>
      </c>
      <c r="K2" s="119" t="str">
        <f>'Price History'!K2</f>
        <v>PLTR</v>
      </c>
      <c r="L2" s="119" t="str">
        <f>'Price History'!L2</f>
        <v>TSM</v>
      </c>
      <c r="M2" s="119" t="str">
        <f>'Price History'!M2</f>
        <v>VRT</v>
      </c>
      <c r="N2" s="119" t="str">
        <f>'Price History'!N2</f>
        <v>VRTX</v>
      </c>
      <c r="O2" s="119" t="str">
        <f>'Price History'!O2</f>
        <v>AVUV</v>
      </c>
      <c r="P2" s="119" t="str">
        <f>'Price History'!P2</f>
        <v>DVY</v>
      </c>
      <c r="Q2" s="119" t="str">
        <f>'Price History'!Q2</f>
        <v>HELO</v>
      </c>
      <c r="R2" s="119" t="str">
        <f>'Price History'!R2</f>
        <v>JEPQ</v>
      </c>
      <c r="S2" s="119" t="str">
        <f>'Price History'!S2</f>
        <v>SPMO</v>
      </c>
      <c r="T2" s="119" t="str">
        <f>'Price History'!T2</f>
        <v>VFLO</v>
      </c>
      <c r="U2" s="119" t="str">
        <f>'Price History'!U2</f>
        <v>SCHD</v>
      </c>
      <c r="V2" s="147" t="str">
        <f>'Price History'!V2</f>
        <v>V</v>
      </c>
      <c r="W2" s="148" t="s">
        <v>452</v>
      </c>
      <c r="X2" s="148" t="s">
        <v>453</v>
      </c>
      <c r="Y2" s="148" t="s">
        <v>454</v>
      </c>
      <c r="Z2" s="148" t="s">
        <v>455</v>
      </c>
      <c r="AA2" s="148" t="s">
        <v>456</v>
      </c>
      <c r="AB2" s="148" t="s">
        <v>457</v>
      </c>
      <c r="AC2" s="148" t="s">
        <v>458</v>
      </c>
      <c r="AD2" s="148" t="s">
        <v>459</v>
      </c>
      <c r="AE2" s="148" t="s">
        <v>460</v>
      </c>
      <c r="AF2" s="148" t="s">
        <v>461</v>
      </c>
      <c r="AG2" s="148" t="s">
        <v>462</v>
      </c>
      <c r="AH2" s="148" t="s">
        <v>463</v>
      </c>
      <c r="AI2" s="148" t="s">
        <v>464</v>
      </c>
      <c r="AJ2" s="148" t="s">
        <v>465</v>
      </c>
      <c r="AK2" s="148" t="s">
        <v>466</v>
      </c>
      <c r="AL2" s="148" t="s">
        <v>467</v>
      </c>
      <c r="AM2" s="148" t="s">
        <v>468</v>
      </c>
      <c r="AN2" s="148" t="s">
        <v>469</v>
      </c>
      <c r="AO2" s="147" t="s">
        <v>470</v>
      </c>
      <c r="AP2" s="147" t="str">
        <f>'Price History'!W2</f>
        <v>VYM</v>
      </c>
      <c r="AQ2" s="147" t="str">
        <f>'Price History'!X2</f>
        <v>MLPI</v>
      </c>
      <c r="AR2" s="147" t="str">
        <f>'Price History'!Y2</f>
        <v>JEPI</v>
      </c>
      <c r="AS2" s="147" t="str">
        <f>'Price History'!Z2</f>
        <v>GE</v>
      </c>
      <c r="AT2" s="147" t="str">
        <f>'Price History'!AA2</f>
        <v>NFLX</v>
      </c>
      <c r="AU2" s="147" t="str">
        <f>'Price History'!AB2</f>
        <v>VEEV</v>
      </c>
    </row>
    <row r="3" spans="1:47" ht="15" customHeight="1" x14ac:dyDescent="0.2">
      <c r="A3" s="149">
        <f>IF('Price History'!A4="","",'Price History'!A4)</f>
        <v>45191</v>
      </c>
      <c r="B3" s="150">
        <f>IFERROR(IF(OR(NOT(ISNUMBER('Price History'!B4)),NOT(ISNUMBER('Price History'!B3)),'Price History'!B3=0),"",'Price History'!B4/'Price History'!B3-1),"")</f>
        <v>-3.02331297623325E-2</v>
      </c>
      <c r="C3" s="150">
        <f>IFERROR(IF(OR(NOT(ISNUMBER('Price History'!C4)),NOT(ISNUMBER('Price History'!C3)),'Price History'!C3=0),"",'Price History'!C4/'Price History'!C3-1),"")</f>
        <v>-2.3819835426591607E-2</v>
      </c>
      <c r="D3" s="150">
        <f>IFERROR(IF(OR(NOT(ISNUMBER('Price History'!D4)),NOT(ISNUMBER('Price History'!D3)),'Price History'!D3=0),"",'Price History'!D4/'Price History'!D3-1),"")</f>
        <v>-1.6013470558924991E-2</v>
      </c>
      <c r="E3" s="150">
        <f>IFERROR(IF(OR(NOT(ISNUMBER('Price History'!E4)),NOT(ISNUMBER('Price History'!E3)),'Price History'!E3=0),"",'Price History'!E4/'Price History'!E3-1),"")</f>
        <v>-2.1219512195121859E-2</v>
      </c>
      <c r="F3" s="150">
        <f>IFERROR(IF(OR(NOT(ISNUMBER('Price History'!F4)),NOT(ISNUMBER('Price History'!F3)),'Price History'!F3=0),"",'Price History'!F4/'Price History'!F3-1),"")</f>
        <v>-1.7408123791102459E-2</v>
      </c>
      <c r="G3" s="150">
        <f>IFERROR(IF(OR(NOT(ISNUMBER('Price History'!G4)),NOT(ISNUMBER('Price History'!G3)),'Price History'!G3=0),"",'Price History'!G4/'Price History'!G3-1),"")</f>
        <v>-5.1860202931229837E-3</v>
      </c>
      <c r="H3" s="150">
        <f>IFERROR(IF(OR(NOT(ISNUMBER('Price History'!H4)),NOT(ISNUMBER('Price History'!H3)),'Price History'!H3=0),"",'Price History'!H4/'Price History'!H3-1),"")</f>
        <v>-1.432498914773539E-2</v>
      </c>
      <c r="I3" s="150">
        <f>IFERROR(IF(OR(NOT(ISNUMBER('Price History'!I4)),NOT(ISNUMBER('Price History'!I3)),'Price History'!I3=0),"",'Price History'!I4/'Price History'!I3-1),"")</f>
        <v>-5.2090472926662135E-2</v>
      </c>
      <c r="J3" s="150">
        <f>IFERROR(IF(OR(NOT(ISNUMBER('Price History'!J4)),NOT(ISNUMBER('Price History'!J3)),'Price History'!J3=0),"",'Price History'!J4/'Price History'!J3-1),"")</f>
        <v>-7.3944921316166035E-2</v>
      </c>
      <c r="K3" s="150">
        <f>IFERROR(IF(OR(NOT(ISNUMBER('Price History'!K4)),NOT(ISNUMBER('Price History'!K3)),'Price History'!K3=0),"",'Price History'!K4/'Price History'!K3-1),"")</f>
        <v>-7.8277886497064575E-2</v>
      </c>
      <c r="L3" s="150">
        <f>IFERROR(IF(OR(NOT(ISNUMBER('Price History'!L4)),NOT(ISNUMBER('Price History'!L3)),'Price History'!L3=0),"",'Price History'!L4/'Price History'!L3-1),"")</f>
        <v>-4.0466472303206991E-2</v>
      </c>
      <c r="M3" s="150">
        <f>IFERROR(IF(OR(NOT(ISNUMBER('Price History'!M4)),NOT(ISNUMBER('Price History'!M3)),'Price History'!M3=0),"",'Price History'!M4/'Price History'!M3-1),"")</f>
        <v>-4.4976328248290343E-2</v>
      </c>
      <c r="N3" s="150">
        <f>IFERROR(IF(OR(NOT(ISNUMBER('Price History'!N4)),NOT(ISNUMBER('Price History'!N3)),'Price History'!N3=0),"",'Price History'!N4/'Price History'!N3-1),"")</f>
        <v>1.8056749785038129E-3</v>
      </c>
      <c r="O3" s="150">
        <f>IFERROR(IF(OR(NOT(ISNUMBER('Price History'!O4)),NOT(ISNUMBER('Price History'!O3)),'Price History'!O3=0),"",'Price History'!O4/'Price History'!O3-1),"")</f>
        <v>-2.9212587969725146E-2</v>
      </c>
      <c r="P3" s="150">
        <f>IFERROR(IF(OR(NOT(ISNUMBER('Price History'!P4)),NOT(ISNUMBER('Price History'!P3)),'Price History'!P3=0),"",'Price History'!P4/'Price History'!P3-1),"")</f>
        <v>-2.1373894025251028E-2</v>
      </c>
      <c r="Q3" s="150" t="str">
        <f>IFERROR(IF(OR(NOT(ISNUMBER('Price History'!Q4)),NOT(ISNUMBER('Price History'!Q3)),'Price History'!Q3=0),"",'Price History'!Q4/'Price History'!Q3-1),"")</f>
        <v/>
      </c>
      <c r="R3" s="150">
        <f>IFERROR(IF(OR(NOT(ISNUMBER('Price History'!R4)),NOT(ISNUMBER('Price History'!R3)),'Price History'!R3=0),"",'Price History'!R4/'Price History'!R3-1),"")</f>
        <v>-2.6972157772621852E-2</v>
      </c>
      <c r="S3" s="150">
        <f>IFERROR(IF(OR(NOT(ISNUMBER('Price History'!S4)),NOT(ISNUMBER('Price History'!S3)),'Price History'!S3=0),"",'Price History'!S4/'Price History'!S3-1),"")</f>
        <v>-2.4292903001908783E-2</v>
      </c>
      <c r="T3" s="150">
        <f>IFERROR(IF(OR(NOT(ISNUMBER('Price History'!T4)),NOT(ISNUMBER('Price History'!T3)),'Price History'!T3=0),"",'Price History'!T4/'Price History'!T3-1),"")</f>
        <v>-1.465927099841513E-2</v>
      </c>
      <c r="U3" s="150">
        <f>IFERROR(IF(OR(NOT(ISNUMBER('Price History'!U4)),NOT(ISNUMBER('Price History'!U3)),'Price History'!U3=0),"",'Price History'!U4/'Price History'!U3-1),"")</f>
        <v>-2.2935779816513735E-2</v>
      </c>
      <c r="V3" s="151">
        <f>IFERROR(IF(OR(NOT(ISNUMBER('Price History'!V4)),NOT(ISNUMBER('Price History'!V3)),'Price History'!V3=0),"",'Price History'!V4/'Price History'!V3-1),"")</f>
        <v>-2.482705937274543E-2</v>
      </c>
      <c r="W3" s="152">
        <f>IFERROR('Price History'!B3+(INDEX('Price History'!B:B,MATCH(9.99E+307,'Returns (Calc)'!$A:$A)+1)-'Price History'!B3)*(ROW()-3)/(MATCH(9.99E+307,'Returns (Calc)'!$A:$A)-3),"")</f>
        <v>528.89</v>
      </c>
      <c r="X3" s="152">
        <f>IFERROR('Price History'!C3+(INDEX('Price History'!C:C,MATCH(9.99E+307,'Returns (Calc)'!$A:$A)+1)-'Price History'!C3)*(ROW()-3)/(MATCH(9.99E+307,'Returns (Calc)'!$A:$A)-3),"")</f>
        <v>46.18</v>
      </c>
      <c r="Y3" s="152">
        <f>IFERROR('Price History'!D3+(INDEX('Price History'!D:D,MATCH(9.99E+307,'Returns (Calc)'!$A:$A)+1)-'Price History'!D3)*(ROW()-3)/(MATCH(9.99E+307,'Returns (Calc)'!$A:$A)-3),"")</f>
        <v>582.01</v>
      </c>
      <c r="Z3" s="152">
        <f>IFERROR('Price History'!E3+(INDEX('Price History'!E:E,MATCH(9.99E+307,'Returns (Calc)'!$A:$A)+1)-'Price History'!E3)*(ROW()-3)/(MATCH(9.99E+307,'Returns (Calc)'!$A:$A)-3),"")</f>
        <v>82</v>
      </c>
      <c r="AA3" s="152">
        <f>IFERROR('Price History'!F3+(INDEX('Price History'!F:F,MATCH(9.99E+307,'Returns (Calc)'!$A:$A)+1)-'Price History'!F3)*(ROW()-3)/(MATCH(9.99E+307,'Returns (Calc)'!$A:$A)-3),"")</f>
        <v>41.36</v>
      </c>
      <c r="AB3" s="152">
        <f>IFERROR('Price History'!G3+(INDEX('Price History'!G:G,MATCH(9.99E+307,'Returns (Calc)'!$A:$A)+1)-'Price History'!G3)*(ROW()-3)/(MATCH(9.99E+307,'Returns (Calc)'!$A:$A)-3),"")</f>
        <v>44.35</v>
      </c>
      <c r="AC3" s="152">
        <f>IFERROR('Price History'!H3+(INDEX('Price History'!H:H,MATCH(9.99E+307,'Returns (Calc)'!$A:$A)+1)-'Price History'!H3)*(ROW()-3)/(MATCH(9.99E+307,'Returns (Calc)'!$A:$A)-3),"")</f>
        <v>69.11</v>
      </c>
      <c r="AD3" s="152">
        <f>IFERROR('Price History'!I3+(INDEX('Price History'!I:I,MATCH(9.99E+307,'Returns (Calc)'!$A:$A)+1)-'Price History'!I3)*(ROW()-3)/(MATCH(9.99E+307,'Returns (Calc)'!$A:$A)-3),"")</f>
        <v>43.77</v>
      </c>
      <c r="AE3" s="152">
        <f>IFERROR('Price History'!J3+(INDEX('Price History'!J:J,MATCH(9.99E+307,'Returns (Calc)'!$A:$A)+1)-'Price History'!J3)*(ROW()-3)/(MATCH(9.99E+307,'Returns (Calc)'!$A:$A)-3),"")</f>
        <v>111.84</v>
      </c>
      <c r="AF3" s="152">
        <f>IFERROR('Price History'!K3+(INDEX('Price History'!K:K,MATCH(9.99E+307,'Returns (Calc)'!$A:$A)+1)-'Price History'!K3)*(ROW()-3)/(MATCH(9.99E+307,'Returns (Calc)'!$A:$A)-3),"")</f>
        <v>15.33</v>
      </c>
      <c r="AG3" s="152">
        <f>IFERROR('Price History'!L3+(INDEX('Price History'!L:L,MATCH(9.99E+307,'Returns (Calc)'!$A:$A)+1)-'Price History'!L3)*(ROW()-3)/(MATCH(9.99E+307,'Returns (Calc)'!$A:$A)-3),"")</f>
        <v>85.75</v>
      </c>
      <c r="AH3" s="152">
        <f>IFERROR('Price History'!M3+(INDEX('Price History'!M:M,MATCH(9.99E+307,'Returns (Calc)'!$A:$A)+1)-'Price History'!M3)*(ROW()-3)/(MATCH(9.99E+307,'Returns (Calc)'!$A:$A)-3),"")</f>
        <v>38.020000000000003</v>
      </c>
      <c r="AI3" s="152">
        <f>IFERROR('Price History'!N3+(INDEX('Price History'!N:N,MATCH(9.99E+307,'Returns (Calc)'!$A:$A)+1)-'Price History'!N3)*(ROW()-3)/(MATCH(9.99E+307,'Returns (Calc)'!$A:$A)-3),"")</f>
        <v>348.9</v>
      </c>
      <c r="AJ3" s="152">
        <f>IFERROR('Price History'!O3+(INDEX('Price History'!O:O,MATCH(9.99E+307,'Returns (Calc)'!$A:$A)+1)-'Price History'!O3)*(ROW()-3)/(MATCH(9.99E+307,'Returns (Calc)'!$A:$A)-3),"")</f>
        <v>75.31</v>
      </c>
      <c r="AK3" s="152">
        <f>IFERROR('Price History'!Q3+(INDEX('Price History'!Q:Q,MATCH(9.99E+307,'Returns (Calc)'!$A:$A)+1)-'Price History'!Q3)*(ROW()-3)/(MATCH(9.99E+307,'Returns (Calc)'!$A:$A)-3),"")</f>
        <v>0</v>
      </c>
      <c r="AL3" s="152">
        <f>IFERROR('Price History'!R3+(INDEX('Price History'!R:R,MATCH(9.99E+307,'Returns (Calc)'!$A:$A)+1)-'Price History'!R3)*(ROW()-3)/(MATCH(9.99E+307,'Returns (Calc)'!$A:$A)-3),"")</f>
        <v>34.479999999999997</v>
      </c>
      <c r="AM3" s="152">
        <f>IFERROR('Price History'!S3+(INDEX('Price History'!S:S,MATCH(9.99E+307,'Returns (Calc)'!$A:$A)+1)-'Price History'!S3)*(ROW()-3)/(MATCH(9.99E+307,'Returns (Calc)'!$A:$A)-3),"")</f>
        <v>57.63</v>
      </c>
      <c r="AN3" s="152">
        <f>IFERROR('Price History'!T3+(INDEX('Price History'!T:T,MATCH(9.99E+307,'Returns (Calc)'!$A:$A)+1)-'Price History'!T3)*(ROW()-3)/(MATCH(9.99E+307,'Returns (Calc)'!$A:$A)-3),"")</f>
        <v>25.24</v>
      </c>
      <c r="AO3" s="153">
        <f>IFERROR('Price History'!V3+(INDEX('Price History'!V:V,MATCH(9.99E+307,'Returns (Calc)'!$A:$A)+1)-'Price History'!V3)*(ROW()-3)/(MATCH(9.99E+307,'Returns (Calc)'!$A:$A)-3),"")</f>
        <v>235.63</v>
      </c>
      <c r="AP3" s="151">
        <f>IFERROR(IF(OR(NOT(ISNUMBER('Price History'!W4)),NOT(ISNUMBER('Price History'!W3)),'Price History'!W3=0),"",'Price History'!W4/'Price History'!W3-1),"")</f>
        <v>-2.1807485546201488E-2</v>
      </c>
      <c r="AQ3" s="151" t="str">
        <f>IFERROR(IF(OR(NOT(ISNUMBER('Price History'!X4)),NOT(ISNUMBER('Price History'!X3)),'Price History'!X3=0),"",'Price History'!X4/'Price History'!X3-1),"")</f>
        <v/>
      </c>
      <c r="AR3" s="151">
        <f>IFERROR(IF(OR(NOT(ISNUMBER('Price History'!Y4)),NOT(ISNUMBER('Price History'!Y3)),'Price History'!Y3=0),"",'Price History'!Y4/'Price History'!Y3-1),"")</f>
        <v>-1.8736988202636917E-2</v>
      </c>
      <c r="AS3" s="151">
        <f>IFERROR(IF(OR(NOT(ISNUMBER('Price History'!Z4)),NOT(ISNUMBER('Price History'!Z3)),'Price History'!Z3=0),"",'Price History'!Z4/'Price History'!Z3-1),"")</f>
        <v>-3.6722540802823223E-2</v>
      </c>
      <c r="AT3" s="151">
        <f>IFERROR(IF(OR(NOT(ISNUMBER('Price History'!AA4)),NOT(ISNUMBER('Price History'!AA3)),'Price History'!AA3=0),"",'Price History'!AA4/'Price History'!AA3-1),"")</f>
        <v>-4.3083900226757343E-2</v>
      </c>
      <c r="AU3" s="151">
        <f>IFERROR(IF(OR(NOT(ISNUMBER('Price History'!AB4)),NOT(ISNUMBER('Price History'!AB3)),'Price History'!AB3=0),"",'Price History'!AB4/'Price History'!AB3-1),"")</f>
        <v>-2.8084780632505635E-2</v>
      </c>
    </row>
    <row r="4" spans="1:47" ht="15" customHeight="1" x14ac:dyDescent="0.2">
      <c r="A4" s="149">
        <f>IF('Price History'!A5="","",'Price History'!A5)</f>
        <v>45198</v>
      </c>
      <c r="B4" s="150">
        <f>IFERROR(IF(OR(NOT(ISNUMBER('Price History'!B5)),NOT(ISNUMBER('Price History'!B4)),'Price History'!B4=0),"",'Price History'!B5/'Price History'!B4-1),"")</f>
        <v>-5.849093390524418E-3</v>
      </c>
      <c r="C4" s="150">
        <f>IFERROR(IF(OR(NOT(ISNUMBER('Price History'!C5)),NOT(ISNUMBER('Price History'!C4)),'Price History'!C4=0),"",'Price History'!C5/'Price History'!C4-1),"")</f>
        <v>1.9964507542147292E-2</v>
      </c>
      <c r="D4" s="150">
        <f>IFERROR(IF(OR(NOT(ISNUMBER('Price History'!D5)),NOT(ISNUMBER('Price History'!D4)),'Price History'!D4=0),"",'Price History'!D5/'Price History'!D4-1),"")</f>
        <v>2.6541409837783636E-3</v>
      </c>
      <c r="E4" s="150">
        <f>IFERROR(IF(OR(NOT(ISNUMBER('Price History'!E5)),NOT(ISNUMBER('Price History'!E4)),'Price History'!E4=0),"",'Price History'!E5/'Price History'!E4-1),"")</f>
        <v>1.8689259905306788E-3</v>
      </c>
      <c r="F4" s="150">
        <f>IFERROR(IF(OR(NOT(ISNUMBER('Price History'!F5)),NOT(ISNUMBER('Price History'!F4)),'Price History'!F4=0),"",'Price History'!F5/'Price History'!F4-1),"")</f>
        <v>2.9773622047244208E-2</v>
      </c>
      <c r="G4" s="150">
        <f>IFERROR(IF(OR(NOT(ISNUMBER('Price History'!G5)),NOT(ISNUMBER('Price History'!G4)),'Price History'!G4=0),"",'Price History'!G5/'Price History'!G4-1),"")</f>
        <v>1.5185856754306393E-2</v>
      </c>
      <c r="H4" s="150">
        <f>IFERROR(IF(OR(NOT(ISNUMBER('Price History'!H5)),NOT(ISNUMBER('Price History'!H4)),'Price History'!H4=0),"",'Price History'!H5/'Price History'!H4-1),"")</f>
        <v>-1.2331180270111597E-2</v>
      </c>
      <c r="I4" s="150">
        <f>IFERROR(IF(OR(NOT(ISNUMBER('Price History'!I5)),NOT(ISNUMBER('Price History'!I4)),'Price History'!I4=0),"",'Price History'!I5/'Price History'!I4-1),"")</f>
        <v>4.5312123403229654E-2</v>
      </c>
      <c r="J4" s="150">
        <f>IFERROR(IF(OR(NOT(ISNUMBER('Price History'!J5)),NOT(ISNUMBER('Price History'!J4)),'Price History'!J4=0),"",'Price History'!J5/'Price History'!J4-1),"")</f>
        <v>-1.6317466447813067E-2</v>
      </c>
      <c r="K4" s="150">
        <f>IFERROR(IF(OR(NOT(ISNUMBER('Price History'!K5)),NOT(ISNUMBER('Price History'!K4)),'Price History'!K4=0),"",'Price History'!K5/'Price History'!K4-1),"")</f>
        <v>0.13234253361641901</v>
      </c>
      <c r="L4" s="150">
        <f>IFERROR(IF(OR(NOT(ISNUMBER('Price History'!L5)),NOT(ISNUMBER('Price History'!L4)),'Price History'!L4=0),"",'Price History'!L5/'Price History'!L4-1),"")</f>
        <v>1.4705882352941124E-2</v>
      </c>
      <c r="M4" s="150">
        <f>IFERROR(IF(OR(NOT(ISNUMBER('Price History'!M5)),NOT(ISNUMBER('Price History'!M4)),'Price History'!M4=0),"",'Price History'!M5/'Price History'!M4-1),"")</f>
        <v>2.0655466813549905E-2</v>
      </c>
      <c r="N4" s="150">
        <f>IFERROR(IF(OR(NOT(ISNUMBER('Price History'!N5)),NOT(ISNUMBER('Price History'!N4)),'Price History'!N4=0),"",'Price History'!N5/'Price History'!N4-1),"")</f>
        <v>-5.1211627042027086E-3</v>
      </c>
      <c r="O4" s="150">
        <f>IFERROR(IF(OR(NOT(ISNUMBER('Price History'!O5)),NOT(ISNUMBER('Price History'!O4)),'Price History'!O4=0),"",'Price History'!O5/'Price History'!O4-1),"")</f>
        <v>1.6413623307345082E-2</v>
      </c>
      <c r="P4" s="150">
        <f>IFERROR(IF(OR(NOT(ISNUMBER('Price History'!P5)),NOT(ISNUMBER('Price History'!P4)),'Price History'!P4=0),"",'Price History'!P5/'Price History'!P4-1),"")</f>
        <v>-1.8793173506704508E-2</v>
      </c>
      <c r="Q4" s="150" t="str">
        <f>IFERROR(IF(OR(NOT(ISNUMBER('Price History'!Q5)),NOT(ISNUMBER('Price History'!Q4)),'Price History'!Q4=0),"",'Price History'!Q5/'Price History'!Q4-1),"")</f>
        <v/>
      </c>
      <c r="R4" s="150">
        <f>IFERROR(IF(OR(NOT(ISNUMBER('Price History'!R5)),NOT(ISNUMBER('Price History'!R4)),'Price History'!R4=0),"",'Price History'!R5/'Price History'!R4-1),"")</f>
        <v>5.9612518628915367E-4</v>
      </c>
      <c r="S4" s="150">
        <f>IFERROR(IF(OR(NOT(ISNUMBER('Price History'!S5)),NOT(ISNUMBER('Price History'!S4)),'Price History'!S4=0),"",'Price History'!S5/'Price History'!S4-1),"")</f>
        <v>-3.0232971723278546E-3</v>
      </c>
      <c r="T4" s="150">
        <f>IFERROR(IF(OR(NOT(ISNUMBER('Price History'!T5)),NOT(ISNUMBER('Price History'!T4)),'Price History'!T4=0),"",'Price History'!T5/'Price History'!T4-1),"")</f>
        <v>2.8146361077603377E-3</v>
      </c>
      <c r="U4" s="150">
        <f>IFERROR(IF(OR(NOT(ISNUMBER('Price History'!U5)),NOT(ISNUMBER('Price History'!U4)),'Price History'!U4=0),"",'Price History'!U5/'Price History'!U4-1),"")</f>
        <v>-7.5117370892018309E-3</v>
      </c>
      <c r="V4" s="151">
        <f>IFERROR(IF(OR(NOT(ISNUMBER('Price History'!V5)),NOT(ISNUMBER('Price History'!V4)),'Price History'!V4=0),"",'Price History'!V5/'Price History'!V4-1),"")</f>
        <v>-2.1585864740186311E-2</v>
      </c>
      <c r="W4" s="152">
        <f>IFERROR('Price History'!B3+(INDEX('Price History'!B:B,MATCH(9.99E+307,'Returns (Calc)'!$A:$A)+1)-'Price History'!B3)*(ROW()-3)/(MATCH(9.99E+307,'Returns (Calc)'!$A:$A)-3),"")</f>
        <v>527.08735849056598</v>
      </c>
      <c r="X4" s="152">
        <f>IFERROR('Price History'!C3+(INDEX('Price History'!C:C,MATCH(9.99E+307,'Returns (Calc)'!$A:$A)+1)-'Price History'!C3)*(ROW()-3)/(MATCH(9.99E+307,'Returns (Calc)'!$A:$A)-3),"")</f>
        <v>47.252704402515725</v>
      </c>
      <c r="Y4" s="152">
        <f>IFERROR('Price History'!D3+(INDEX('Price History'!D:D,MATCH(9.99E+307,'Returns (Calc)'!$A:$A)+1)-'Price History'!D3)*(ROW()-3)/(MATCH(9.99E+307,'Returns (Calc)'!$A:$A)-3),"")</f>
        <v>589.54666666666662</v>
      </c>
      <c r="Z4" s="152">
        <f>IFERROR('Price History'!E3+(INDEX('Price History'!E:E,MATCH(9.99E+307,'Returns (Calc)'!$A:$A)+1)-'Price History'!E3)*(ROW()-3)/(MATCH(9.99E+307,'Returns (Calc)'!$A:$A)-3),"")</f>
        <v>83.758113207547169</v>
      </c>
      <c r="AA4" s="152">
        <f>IFERROR('Price History'!F3+(INDEX('Price History'!F:F,MATCH(9.99E+307,'Returns (Calc)'!$A:$A)+1)-'Price History'!F3)*(ROW()-3)/(MATCH(9.99E+307,'Returns (Calc)'!$A:$A)-3),"")</f>
        <v>42.829685534591192</v>
      </c>
      <c r="AB4" s="152">
        <f>IFERROR('Price History'!G3+(INDEX('Price History'!G:G,MATCH(9.99E+307,'Returns (Calc)'!$A:$A)+1)-'Price History'!G3)*(ROW()-3)/(MATCH(9.99E+307,'Returns (Calc)'!$A:$A)-3),"")</f>
        <v>45.301069182389938</v>
      </c>
      <c r="AC4" s="152">
        <f>IFERROR('Price History'!H3+(INDEX('Price History'!H:H,MATCH(9.99E+307,'Returns (Calc)'!$A:$A)+1)-'Price History'!H3)*(ROW()-3)/(MATCH(9.99E+307,'Returns (Calc)'!$A:$A)-3),"")</f>
        <v>75.147044025157228</v>
      </c>
      <c r="AD4" s="152">
        <f>IFERROR('Price History'!I3+(INDEX('Price History'!I:I,MATCH(9.99E+307,'Returns (Calc)'!$A:$A)+1)-'Price History'!I3)*(ROW()-3)/(MATCH(9.99E+307,'Returns (Calc)'!$A:$A)-3),"")</f>
        <v>44.936729559748429</v>
      </c>
      <c r="AE4" s="152">
        <f>IFERROR('Price History'!J3+(INDEX('Price History'!J:J,MATCH(9.99E+307,'Returns (Calc)'!$A:$A)+1)-'Price History'!J3)*(ROW()-3)/(MATCH(9.99E+307,'Returns (Calc)'!$A:$A)-3),"")</f>
        <v>111.95100628930818</v>
      </c>
      <c r="AF4" s="152">
        <f>IFERROR('Price History'!K3+(INDEX('Price History'!K:K,MATCH(9.99E+307,'Returns (Calc)'!$A:$A)+1)-'Price History'!K3)*(ROW()-3)/(MATCH(9.99E+307,'Returns (Calc)'!$A:$A)-3),"")</f>
        <v>16.548364779874213</v>
      </c>
      <c r="AG4" s="152">
        <f>IFERROR('Price History'!L3+(INDEX('Price History'!L:L,MATCH(9.99E+307,'Returns (Calc)'!$A:$A)+1)-'Price History'!L3)*(ROW()-3)/(MATCH(9.99E+307,'Returns (Calc)'!$A:$A)-3),"")</f>
        <v>88.061698113207541</v>
      </c>
      <c r="AH4" s="152">
        <f>IFERROR('Price History'!M3+(INDEX('Price History'!M:M,MATCH(9.99E+307,'Returns (Calc)'!$A:$A)+1)-'Price History'!M3)*(ROW()-3)/(MATCH(9.99E+307,'Returns (Calc)'!$A:$A)-3),"")</f>
        <v>39.307798742138367</v>
      </c>
      <c r="AI4" s="152">
        <f>IFERROR('Price History'!N3+(INDEX('Price History'!N:N,MATCH(9.99E+307,'Returns (Calc)'!$A:$A)+1)-'Price History'!N3)*(ROW()-3)/(MATCH(9.99E+307,'Returns (Calc)'!$A:$A)-3),"")</f>
        <v>349.91371069182389</v>
      </c>
      <c r="AJ4" s="152">
        <f>IFERROR('Price History'!O3+(INDEX('Price History'!O:O,MATCH(9.99E+307,'Returns (Calc)'!$A:$A)+1)-'Price History'!O3)*(ROW()-3)/(MATCH(9.99E+307,'Returns (Calc)'!$A:$A)-3),"")</f>
        <v>75.58880503144654</v>
      </c>
      <c r="AK4" s="152">
        <f>IFERROR('Price History'!Q3+(INDEX('Price History'!Q:Q,MATCH(9.99E+307,'Returns (Calc)'!$A:$A)+1)-'Price History'!Q3)*(ROW()-3)/(MATCH(9.99E+307,'Returns (Calc)'!$A:$A)-3),"")</f>
        <v>0.440062893081761</v>
      </c>
      <c r="AL4" s="152">
        <f>IFERROR('Price History'!R3+(INDEX('Price History'!R:R,MATCH(9.99E+307,'Returns (Calc)'!$A:$A)+1)-'Price History'!R3)*(ROW()-3)/(MATCH(9.99E+307,'Returns (Calc)'!$A:$A)-3),"")</f>
        <v>34.647358490566035</v>
      </c>
      <c r="AM4" s="152">
        <f>IFERROR('Price History'!S3+(INDEX('Price History'!S:S,MATCH(9.99E+307,'Returns (Calc)'!$A:$A)+1)-'Price History'!S3)*(ROW()-3)/(MATCH(9.99E+307,'Returns (Calc)'!$A:$A)-3),"")</f>
        <v>58.218238993710692</v>
      </c>
      <c r="AN4" s="152">
        <f>IFERROR('Price History'!T3+(INDEX('Price History'!T:T,MATCH(9.99E+307,'Returns (Calc)'!$A:$A)+1)-'Price History'!T3)*(ROW()-3)/(MATCH(9.99E+307,'Returns (Calc)'!$A:$A)-3),"")</f>
        <v>25.413584905660375</v>
      </c>
      <c r="AO4" s="153">
        <f>IFERROR('Price History'!V3+(INDEX('Price History'!V:V,MATCH(9.99E+307,'Returns (Calc)'!$A:$A)+1)-'Price History'!V3)*(ROW()-3)/(MATCH(9.99E+307,'Returns (Calc)'!$A:$A)-3),"")</f>
        <v>236.5722641509434</v>
      </c>
      <c r="AP4" s="151">
        <f>IFERROR(IF(OR(NOT(ISNUMBER('Price History'!W5)),NOT(ISNUMBER('Price History'!W4)),'Price History'!W4=0),"",'Price History'!W5/'Price History'!W4-1),"")</f>
        <v>-1.2754043965159778E-2</v>
      </c>
      <c r="AQ4" s="151" t="str">
        <f>IFERROR(IF(OR(NOT(ISNUMBER('Price History'!X5)),NOT(ISNUMBER('Price History'!X4)),'Price History'!X4=0),"",'Price History'!X5/'Price History'!X4-1),"")</f>
        <v/>
      </c>
      <c r="AR4" s="151">
        <f>IFERROR(IF(OR(NOT(ISNUMBER('Price History'!Y5)),NOT(ISNUMBER('Price History'!Y4)),'Price History'!Y4=0),"",'Price History'!Y5/'Price History'!Y4-1),"")</f>
        <v>-1.1079679396511E-2</v>
      </c>
      <c r="AS4" s="151">
        <f>IFERROR(IF(OR(NOT(ISNUMBER('Price History'!Z5)),NOT(ISNUMBER('Price History'!Z4)),'Price History'!Z4=0),"",'Price History'!Z5/'Price History'!Z4-1),"")</f>
        <v>-5.6096164854034791E-3</v>
      </c>
      <c r="AT4" s="151">
        <f>IFERROR(IF(OR(NOT(ISNUMBER('Price History'!AA5)),NOT(ISNUMBER('Price History'!AA4)),'Price History'!AA4=0),"",'Price History'!AA5/'Price History'!AA4-1),"")</f>
        <v>-5.7925223802001158E-3</v>
      </c>
      <c r="AU4" s="151">
        <f>IFERROR(IF(OR(NOT(ISNUMBER('Price History'!AB5)),NOT(ISNUMBER('Price History'!AB4)),'Price History'!AB4=0),"",'Price History'!AB5/'Price History'!AB4-1),"")</f>
        <v>1.5260411538839946E-3</v>
      </c>
    </row>
    <row r="5" spans="1:47" ht="15" customHeight="1" x14ac:dyDescent="0.2">
      <c r="A5" s="149">
        <f>IF('Price History'!A6="","",'Price History'!A6)</f>
        <v>45205</v>
      </c>
      <c r="B5" s="150">
        <f>IFERROR(IF(OR(NOT(ISNUMBER('Price History'!B6)),NOT(ISNUMBER('Price History'!B5)),'Price History'!B5=0),"",'Price History'!B6/'Price History'!B5-1),"")</f>
        <v>3.2908413414394877E-2</v>
      </c>
      <c r="C5" s="150">
        <f>IFERROR(IF(OR(NOT(ISNUMBER('Price History'!C6)),NOT(ISNUMBER('Price History'!C5)),'Price History'!C5=0),"",'Price History'!C6/'Price History'!C5-1),"")</f>
        <v>5.5023923444976086E-2</v>
      </c>
      <c r="D5" s="150">
        <f>IFERROR(IF(OR(NOT(ISNUMBER('Price History'!D6)),NOT(ISNUMBER('Price History'!D5)),'Price History'!D5=0),"",'Price History'!D6/'Price History'!D5-1),"")</f>
        <v>1.4768116194423753E-2</v>
      </c>
      <c r="E5" s="150">
        <f>IFERROR(IF(OR(NOT(ISNUMBER('Price History'!E6)),NOT(ISNUMBER('Price History'!E5)),'Price History'!E5=0),"",'Price History'!E6/'Price History'!E5-1),"")</f>
        <v>1.7659495087675614E-2</v>
      </c>
      <c r="F5" s="150">
        <f>IFERROR(IF(OR(NOT(ISNUMBER('Price History'!F6)),NOT(ISNUMBER('Price History'!F5)),'Price History'!F5=0),"",'Price History'!F6/'Price History'!F5-1),"")</f>
        <v>5.5436081242532964E-2</v>
      </c>
      <c r="G5" s="150">
        <f>IFERROR(IF(OR(NOT(ISNUMBER('Price History'!G6)),NOT(ISNUMBER('Price History'!G5)),'Price History'!G5=0),"",'Price History'!G6/'Price History'!G5-1),"")</f>
        <v>2.031703505246707E-2</v>
      </c>
      <c r="H5" s="150">
        <f>IFERROR(IF(OR(NOT(ISNUMBER('Price History'!H6)),NOT(ISNUMBER('Price History'!H5)),'Price History'!H5=0),"",'Price History'!H6/'Price History'!H5-1),"")</f>
        <v>3.0023781212841882E-2</v>
      </c>
      <c r="I5" s="150">
        <f>IFERROR(IF(OR(NOT(ISNUMBER('Price History'!I6)),NOT(ISNUMBER('Price History'!I5)),'Price History'!I5=0),"",'Price History'!I6/'Price History'!I5-1),"")</f>
        <v>5.210975328568157E-2</v>
      </c>
      <c r="J5" s="150">
        <f>IFERROR(IF(OR(NOT(ISNUMBER('Price History'!J6)),NOT(ISNUMBER('Price History'!J5)),'Price History'!J5=0),"",'Price History'!J6/'Price History'!J5-1),"")</f>
        <v>-2.9446407538280317E-2</v>
      </c>
      <c r="K5" s="150">
        <f>IFERROR(IF(OR(NOT(ISNUMBER('Price History'!K6)),NOT(ISNUMBER('Price History'!K5)),'Price History'!K5=0),"",'Price History'!K6/'Price History'!K5-1),"")</f>
        <v>3.8124999999999964E-2</v>
      </c>
      <c r="L5" s="150">
        <f>IFERROR(IF(OR(NOT(ISNUMBER('Price History'!L6)),NOT(ISNUMBER('Price History'!L5)),'Price History'!L5=0),"",'Price History'!L6/'Price History'!L5-1),"")</f>
        <v>2.7548209366391241E-2</v>
      </c>
      <c r="M5" s="150">
        <f>IFERROR(IF(OR(NOT(ISNUMBER('Price History'!M6)),NOT(ISNUMBER('Price History'!M5)),'Price History'!M5=0),"",'Price History'!M6/'Price History'!M5-1),"")</f>
        <v>6.907717215326481E-2</v>
      </c>
      <c r="N5" s="150">
        <f>IFERROR(IF(OR(NOT(ISNUMBER('Price History'!N6)),NOT(ISNUMBER('Price History'!N5)),'Price History'!N5=0),"",'Price History'!N6/'Price History'!N5-1),"")</f>
        <v>3.7039167193880562E-2</v>
      </c>
      <c r="O5" s="150">
        <f>IFERROR(IF(OR(NOT(ISNUMBER('Price History'!O6)),NOT(ISNUMBER('Price History'!O5)),'Price History'!O5=0),"",'Price History'!O6/'Price History'!O5-1),"")</f>
        <v>-3.0143991387431179E-2</v>
      </c>
      <c r="P5" s="150">
        <f>IFERROR(IF(OR(NOT(ISNUMBER('Price History'!P6)),NOT(ISNUMBER('Price History'!P5)),'Price History'!P5=0),"",'Price History'!P6/'Price History'!P5-1),"")</f>
        <v>-2.2259033026193253E-2</v>
      </c>
      <c r="Q5" s="150">
        <f>IFERROR(IF(OR(NOT(ISNUMBER('Price History'!Q6)),NOT(ISNUMBER('Price History'!Q5)),'Price History'!Q5=0),"",'Price History'!Q6/'Price History'!Q5-1),"")</f>
        <v>3.2719836400818547E-3</v>
      </c>
      <c r="R5" s="150">
        <f>IFERROR(IF(OR(NOT(ISNUMBER('Price History'!R6)),NOT(ISNUMBER('Price History'!R5)),'Price History'!R5=0),"",'Price History'!R6/'Price History'!R5-1),"")</f>
        <v>1.3106940720881699E-2</v>
      </c>
      <c r="S5" s="150">
        <f>IFERROR(IF(OR(NOT(ISNUMBER('Price History'!S6)),NOT(ISNUMBER('Price History'!S5)),'Price History'!S5=0),"",'Price History'!S6/'Price History'!S5-1),"")</f>
        <v>1.1059579022475896E-2</v>
      </c>
      <c r="T5" s="150">
        <f>IFERROR(IF(OR(NOT(ISNUMBER('Price History'!T6)),NOT(ISNUMBER('Price History'!T5)),'Price History'!T5=0),"",'Price History'!T6/'Price History'!T5-1),"")</f>
        <v>-1.8845228548516557E-2</v>
      </c>
      <c r="U5" s="150">
        <f>IFERROR(IF(OR(NOT(ISNUMBER('Price History'!U6)),NOT(ISNUMBER('Price History'!U5)),'Price History'!U5=0),"",'Price History'!U6/'Price History'!U5-1),"")</f>
        <v>-1.6083254493850507E-2</v>
      </c>
      <c r="V5" s="151">
        <f>IFERROR(IF(OR(NOT(ISNUMBER('Price History'!V6)),NOT(ISNUMBER('Price History'!V5)),'Price History'!V5=0),"",'Price History'!V6/'Price History'!V5-1),"")</f>
        <v>2.1884174005871504E-2</v>
      </c>
      <c r="W5" s="152">
        <f>IFERROR('Price History'!B3+(INDEX('Price History'!B:B,MATCH(9.99E+307,'Returns (Calc)'!$A:$A)+1)-'Price History'!B3)*(ROW()-3)/(MATCH(9.99E+307,'Returns (Calc)'!$A:$A)-3),"")</f>
        <v>525.28471698113208</v>
      </c>
      <c r="X5" s="152">
        <f>IFERROR('Price History'!C3+(INDEX('Price History'!C:C,MATCH(9.99E+307,'Returns (Calc)'!$A:$A)+1)-'Price History'!C3)*(ROW()-3)/(MATCH(9.99E+307,'Returns (Calc)'!$A:$A)-3),"")</f>
        <v>48.325408805031444</v>
      </c>
      <c r="Y5" s="152">
        <f>IFERROR('Price History'!D3+(INDEX('Price History'!D:D,MATCH(9.99E+307,'Returns (Calc)'!$A:$A)+1)-'Price History'!D3)*(ROW()-3)/(MATCH(9.99E+307,'Returns (Calc)'!$A:$A)-3),"")</f>
        <v>597.08333333333337</v>
      </c>
      <c r="Z5" s="152">
        <f>IFERROR('Price History'!E3+(INDEX('Price History'!E:E,MATCH(9.99E+307,'Returns (Calc)'!$A:$A)+1)-'Price History'!E3)*(ROW()-3)/(MATCH(9.99E+307,'Returns (Calc)'!$A:$A)-3),"")</f>
        <v>85.516226415094337</v>
      </c>
      <c r="AA5" s="152">
        <f>IFERROR('Price History'!F3+(INDEX('Price History'!F:F,MATCH(9.99E+307,'Returns (Calc)'!$A:$A)+1)-'Price History'!F3)*(ROW()-3)/(MATCH(9.99E+307,'Returns (Calc)'!$A:$A)-3),"")</f>
        <v>44.299371069182392</v>
      </c>
      <c r="AB5" s="152">
        <f>IFERROR('Price History'!G3+(INDEX('Price History'!G:G,MATCH(9.99E+307,'Returns (Calc)'!$A:$A)+1)-'Price History'!G3)*(ROW()-3)/(MATCH(9.99E+307,'Returns (Calc)'!$A:$A)-3),"")</f>
        <v>46.252138364779874</v>
      </c>
      <c r="AC5" s="152">
        <f>IFERROR('Price History'!H3+(INDEX('Price History'!H:H,MATCH(9.99E+307,'Returns (Calc)'!$A:$A)+1)-'Price History'!H3)*(ROW()-3)/(MATCH(9.99E+307,'Returns (Calc)'!$A:$A)-3),"")</f>
        <v>81.184088050314472</v>
      </c>
      <c r="AD5" s="152">
        <f>IFERROR('Price History'!I3+(INDEX('Price History'!I:I,MATCH(9.99E+307,'Returns (Calc)'!$A:$A)+1)-'Price History'!I3)*(ROW()-3)/(MATCH(9.99E+307,'Returns (Calc)'!$A:$A)-3),"")</f>
        <v>46.103459119496861</v>
      </c>
      <c r="AE5" s="152">
        <f>IFERROR('Price History'!J3+(INDEX('Price History'!J:J,MATCH(9.99E+307,'Returns (Calc)'!$A:$A)+1)-'Price History'!J3)*(ROW()-3)/(MATCH(9.99E+307,'Returns (Calc)'!$A:$A)-3),"")</f>
        <v>112.06201257861636</v>
      </c>
      <c r="AF5" s="152">
        <f>IFERROR('Price History'!K3+(INDEX('Price History'!K:K,MATCH(9.99E+307,'Returns (Calc)'!$A:$A)+1)-'Price History'!K3)*(ROW()-3)/(MATCH(9.99E+307,'Returns (Calc)'!$A:$A)-3),"")</f>
        <v>17.766729559748427</v>
      </c>
      <c r="AG5" s="152">
        <f>IFERROR('Price History'!L3+(INDEX('Price History'!L:L,MATCH(9.99E+307,'Returns (Calc)'!$A:$A)+1)-'Price History'!L3)*(ROW()-3)/(MATCH(9.99E+307,'Returns (Calc)'!$A:$A)-3),"")</f>
        <v>90.373396226415096</v>
      </c>
      <c r="AH5" s="152">
        <f>IFERROR('Price History'!M3+(INDEX('Price History'!M:M,MATCH(9.99E+307,'Returns (Calc)'!$A:$A)+1)-'Price History'!M3)*(ROW()-3)/(MATCH(9.99E+307,'Returns (Calc)'!$A:$A)-3),"")</f>
        <v>40.59559748427673</v>
      </c>
      <c r="AI5" s="152">
        <f>IFERROR('Price History'!N3+(INDEX('Price History'!N:N,MATCH(9.99E+307,'Returns (Calc)'!$A:$A)+1)-'Price History'!N3)*(ROW()-3)/(MATCH(9.99E+307,'Returns (Calc)'!$A:$A)-3),"")</f>
        <v>350.92742138364775</v>
      </c>
      <c r="AJ5" s="152">
        <f>IFERROR('Price History'!O3+(INDEX('Price History'!O:O,MATCH(9.99E+307,'Returns (Calc)'!$A:$A)+1)-'Price History'!O3)*(ROW()-3)/(MATCH(9.99E+307,'Returns (Calc)'!$A:$A)-3),"")</f>
        <v>75.867610062893078</v>
      </c>
      <c r="AK5" s="152">
        <f>IFERROR('Price History'!Q3+(INDEX('Price History'!Q:Q,MATCH(9.99E+307,'Returns (Calc)'!$A:$A)+1)-'Price History'!Q3)*(ROW()-3)/(MATCH(9.99E+307,'Returns (Calc)'!$A:$A)-3),"")</f>
        <v>0.88012578616352199</v>
      </c>
      <c r="AL5" s="152">
        <f>IFERROR('Price History'!R3+(INDEX('Price History'!R:R,MATCH(9.99E+307,'Returns (Calc)'!$A:$A)+1)-'Price History'!R3)*(ROW()-3)/(MATCH(9.99E+307,'Returns (Calc)'!$A:$A)-3),"")</f>
        <v>34.814716981132072</v>
      </c>
      <c r="AM5" s="152">
        <f>IFERROR('Price History'!S3+(INDEX('Price History'!S:S,MATCH(9.99E+307,'Returns (Calc)'!$A:$A)+1)-'Price History'!S3)*(ROW()-3)/(MATCH(9.99E+307,'Returns (Calc)'!$A:$A)-3),"")</f>
        <v>58.806477987421388</v>
      </c>
      <c r="AN5" s="152">
        <f>IFERROR('Price History'!T3+(INDEX('Price History'!T:T,MATCH(9.99E+307,'Returns (Calc)'!$A:$A)+1)-'Price History'!T3)*(ROW()-3)/(MATCH(9.99E+307,'Returns (Calc)'!$A:$A)-3),"")</f>
        <v>25.587169811320752</v>
      </c>
      <c r="AO5" s="153">
        <f>IFERROR('Price History'!V3+(INDEX('Price History'!V:V,MATCH(9.99E+307,'Returns (Calc)'!$A:$A)+1)-'Price History'!V3)*(ROW()-3)/(MATCH(9.99E+307,'Returns (Calc)'!$A:$A)-3),"")</f>
        <v>237.5145283018868</v>
      </c>
      <c r="AP5" s="151">
        <f>IFERROR(IF(OR(NOT(ISNUMBER('Price History'!W6)),NOT(ISNUMBER('Price History'!W5)),'Price History'!W5=0),"",'Price History'!W6/'Price History'!W5-1),"")</f>
        <v>-1.9430732065959355E-2</v>
      </c>
      <c r="AQ5" s="151" t="str">
        <f>IFERROR(IF(OR(NOT(ISNUMBER('Price History'!X6)),NOT(ISNUMBER('Price History'!X5)),'Price History'!X5=0),"",'Price History'!X6/'Price History'!X5-1),"")</f>
        <v/>
      </c>
      <c r="AR5" s="151">
        <f>IFERROR(IF(OR(NOT(ISNUMBER('Price History'!Y6)),NOT(ISNUMBER('Price History'!Y5)),'Price History'!Y5=0),"",'Price History'!Y6/'Price History'!Y5-1),"")</f>
        <v>-3.5756853396902155E-3</v>
      </c>
      <c r="AS5" s="151">
        <f>IFERROR(IF(OR(NOT(ISNUMBER('Price History'!Z6)),NOT(ISNUMBER('Price History'!Z5)),'Price History'!Z5=0),"",'Price History'!Z6/'Price History'!Z5-1),"")</f>
        <v>8.4043288049735487E-3</v>
      </c>
      <c r="AT5" s="151">
        <f>IFERROR(IF(OR(NOT(ISNUMBER('Price History'!AA6)),NOT(ISNUMBER('Price History'!AA5)),'Price History'!AA5=0),"",'Price History'!AA6/'Price History'!AA5-1),"")</f>
        <v>1.0328389830508433E-2</v>
      </c>
      <c r="AU5" s="151">
        <f>IFERROR(IF(OR(NOT(ISNUMBER('Price History'!AB6)),NOT(ISNUMBER('Price History'!AB5)),'Price History'!AB5=0),"",'Price History'!AB6/'Price History'!AB5-1),"")</f>
        <v>3.022855738510688E-2</v>
      </c>
    </row>
    <row r="6" spans="1:47" ht="15" customHeight="1" x14ac:dyDescent="0.2">
      <c r="A6" s="149">
        <f>IF('Price History'!A7="","",'Price History'!A7)</f>
        <v>45212</v>
      </c>
      <c r="B6" s="150">
        <f>IFERROR(IF(OR(NOT(ISNUMBER('Price History'!B7)),NOT(ISNUMBER('Price History'!B6)),'Price History'!B6=0),"",'Price History'!B7/'Price History'!B6-1),"")</f>
        <v>4.1922989291410362E-2</v>
      </c>
      <c r="C6" s="150">
        <f>IFERROR(IF(OR(NOT(ISNUMBER('Price History'!C7)),NOT(ISNUMBER('Price History'!C6)),'Price History'!C6=0),"",'Price History'!C7/'Price History'!C6-1),"")</f>
        <v>-2.1645021645021578E-2</v>
      </c>
      <c r="D6" s="150">
        <f>IFERROR(IF(OR(NOT(ISNUMBER('Price History'!D7)),NOT(ISNUMBER('Price History'!D6)),'Price History'!D6=0),"",'Price History'!D7/'Price History'!D6-1),"")</f>
        <v>4.0158574885442722E-3</v>
      </c>
      <c r="E6" s="150">
        <f>IFERROR(IF(OR(NOT(ISNUMBER('Price History'!E7)),NOT(ISNUMBER('Price History'!E6)),'Price History'!E6=0),"",'Price History'!E7/'Price History'!E6-1),"")</f>
        <v>4.4849077355493039E-2</v>
      </c>
      <c r="F6" s="150">
        <f>IFERROR(IF(OR(NOT(ISNUMBER('Price History'!F7)),NOT(ISNUMBER('Price History'!F6)),'Price History'!F6=0),"",'Price History'!F7/'Price History'!F6-1),"")</f>
        <v>5.1165949739642169E-2</v>
      </c>
      <c r="G6" s="150">
        <f>IFERROR(IF(OR(NOT(ISNUMBER('Price History'!G7)),NOT(ISNUMBER('Price History'!G6)),'Price History'!G6=0),"",'Price History'!G7/'Price History'!G6-1),"")</f>
        <v>4.0262582056892704E-2</v>
      </c>
      <c r="H6" s="150">
        <f>IFERROR(IF(OR(NOT(ISNUMBER('Price History'!H7)),NOT(ISNUMBER('Price History'!H6)),'Price History'!H6=0),"",'Price History'!H7/'Price History'!H6-1),"")</f>
        <v>-1.067821067821062E-2</v>
      </c>
      <c r="I6" s="150">
        <f>IFERROR(IF(OR(NOT(ISNUMBER('Price History'!I7)),NOT(ISNUMBER('Price History'!I6)),'Price History'!I6=0),"",'Price History'!I7/'Price History'!I6-1),"")</f>
        <v>-6.5746219592374144E-3</v>
      </c>
      <c r="J6" s="150">
        <f>IFERROR(IF(OR(NOT(ISNUMBER('Price History'!J7)),NOT(ISNUMBER('Price History'!J6)),'Price History'!J6=0),"",'Price History'!J7/'Price History'!J6-1),"")</f>
        <v>6.8770226537218093E-3</v>
      </c>
      <c r="K6" s="150">
        <f>IFERROR(IF(OR(NOT(ISNUMBER('Price History'!K7)),NOT(ISNUMBER('Price History'!K6)),'Price History'!K6=0),"",'Price History'!K7/'Price History'!K6-1),"")</f>
        <v>4.5153521974714117E-2</v>
      </c>
      <c r="L6" s="150">
        <f>IFERROR(IF(OR(NOT(ISNUMBER('Price History'!L7)),NOT(ISNUMBER('Price History'!L6)),'Price History'!L6=0),"",'Price History'!L7/'Price History'!L6-1),"")</f>
        <v>1.3171698333138915E-2</v>
      </c>
      <c r="M6" s="150">
        <f>IFERROR(IF(OR(NOT(ISNUMBER('Price History'!M7)),NOT(ISNUMBER('Price History'!M6)),'Price History'!M6=0),"",'Price History'!M7/'Price History'!M6-1),"")</f>
        <v>-1.6910651186269443E-2</v>
      </c>
      <c r="N6" s="150">
        <f>IFERROR(IF(OR(NOT(ISNUMBER('Price History'!N7)),NOT(ISNUMBER('Price History'!N6)),'Price History'!N6=0),"",'Price History'!N7/'Price History'!N6-1),"")</f>
        <v>2.8783761299983279E-2</v>
      </c>
      <c r="O6" s="150">
        <f>IFERROR(IF(OR(NOT(ISNUMBER('Price History'!O7)),NOT(ISNUMBER('Price History'!O6)),'Price History'!O6=0),"",'Price History'!O7/'Price History'!O6-1),"")</f>
        <v>2.6363257943666785E-3</v>
      </c>
      <c r="P6" s="150">
        <f>IFERROR(IF(OR(NOT(ISNUMBER('Price History'!P7)),NOT(ISNUMBER('Price History'!P6)),'Price History'!P6=0),"",'Price History'!P7/'Price History'!P6-1),"")</f>
        <v>1.365946632782733E-2</v>
      </c>
      <c r="Q6" s="150">
        <f>IFERROR(IF(OR(NOT(ISNUMBER('Price History'!Q7)),NOT(ISNUMBER('Price History'!Q6)),'Price History'!Q6=0),"",'Price History'!Q7/'Price History'!Q6-1),"")</f>
        <v>3.4651447207501018E-3</v>
      </c>
      <c r="R6" s="150">
        <f>IFERROR(IF(OR(NOT(ISNUMBER('Price History'!R7)),NOT(ISNUMBER('Price History'!R6)),'Price History'!R6=0),"",'Price History'!R7/'Price History'!R6-1),"")</f>
        <v>2.646280505733678E-3</v>
      </c>
      <c r="S6" s="150">
        <f>IFERROR(IF(OR(NOT(ISNUMBER('Price History'!S7)),NOT(ISNUMBER('Price History'!S6)),'Price History'!S6=0),"",'Price History'!S7/'Price History'!S6-1),"")</f>
        <v>5.6457304163726185E-3</v>
      </c>
      <c r="T6" s="150">
        <f>IFERROR(IF(OR(NOT(ISNUMBER('Price History'!T7)),NOT(ISNUMBER('Price History'!T6)),'Price History'!T6=0),"",'Price History'!T7/'Price History'!T6-1),"")</f>
        <v>1.4303228442991367E-2</v>
      </c>
      <c r="U6" s="150">
        <f>IFERROR(IF(OR(NOT(ISNUMBER('Price History'!U7)),NOT(ISNUMBER('Price History'!U6)),'Price History'!U6=0),"",'Price History'!U7/'Price History'!U6-1),"")</f>
        <v>1.0096153846153921E-2</v>
      </c>
      <c r="V6" s="151">
        <f>IFERROR(IF(OR(NOT(ISNUMBER('Price History'!V7)),NOT(ISNUMBER('Price History'!V6)),'Price History'!V6=0),"",'Price History'!V7/'Price History'!V6-1),"")</f>
        <v>1.1186558718551343E-2</v>
      </c>
      <c r="W6" s="152">
        <f>IFERROR('Price History'!B3+(INDEX('Price History'!B:B,MATCH(9.99E+307,'Returns (Calc)'!$A:$A)+1)-'Price History'!B3)*(ROW()-3)/(MATCH(9.99E+307,'Returns (Calc)'!$A:$A)-3),"")</f>
        <v>523.48207547169807</v>
      </c>
      <c r="X6" s="152">
        <f>IFERROR('Price History'!C3+(INDEX('Price History'!C:C,MATCH(9.99E+307,'Returns (Calc)'!$A:$A)+1)-'Price History'!C3)*(ROW()-3)/(MATCH(9.99E+307,'Returns (Calc)'!$A:$A)-3),"")</f>
        <v>49.398113207547169</v>
      </c>
      <c r="Y6" s="152">
        <f>IFERROR('Price History'!D3+(INDEX('Price History'!D:D,MATCH(9.99E+307,'Returns (Calc)'!$A:$A)+1)-'Price History'!D3)*(ROW()-3)/(MATCH(9.99E+307,'Returns (Calc)'!$A:$A)-3),"")</f>
        <v>604.62</v>
      </c>
      <c r="Z6" s="152">
        <f>IFERROR('Price History'!E3+(INDEX('Price History'!E:E,MATCH(9.99E+307,'Returns (Calc)'!$A:$A)+1)-'Price History'!E3)*(ROW()-3)/(MATCH(9.99E+307,'Returns (Calc)'!$A:$A)-3),"")</f>
        <v>87.274339622641506</v>
      </c>
      <c r="AA6" s="152">
        <f>IFERROR('Price History'!F3+(INDEX('Price History'!F:F,MATCH(9.99E+307,'Returns (Calc)'!$A:$A)+1)-'Price History'!F3)*(ROW()-3)/(MATCH(9.99E+307,'Returns (Calc)'!$A:$A)-3),"")</f>
        <v>45.769056603773585</v>
      </c>
      <c r="AB6" s="152">
        <f>IFERROR('Price History'!G3+(INDEX('Price History'!G:G,MATCH(9.99E+307,'Returns (Calc)'!$A:$A)+1)-'Price History'!G3)*(ROW()-3)/(MATCH(9.99E+307,'Returns (Calc)'!$A:$A)-3),"")</f>
        <v>47.203207547169811</v>
      </c>
      <c r="AC6" s="152">
        <f>IFERROR('Price History'!H3+(INDEX('Price History'!H:H,MATCH(9.99E+307,'Returns (Calc)'!$A:$A)+1)-'Price History'!H3)*(ROW()-3)/(MATCH(9.99E+307,'Returns (Calc)'!$A:$A)-3),"")</f>
        <v>87.221132075471701</v>
      </c>
      <c r="AD6" s="152">
        <f>IFERROR('Price History'!I3+(INDEX('Price History'!I:I,MATCH(9.99E+307,'Returns (Calc)'!$A:$A)+1)-'Price History'!I3)*(ROW()-3)/(MATCH(9.99E+307,'Returns (Calc)'!$A:$A)-3),"")</f>
        <v>47.270188679245287</v>
      </c>
      <c r="AE6" s="152">
        <f>IFERROR('Price History'!J3+(INDEX('Price History'!J:J,MATCH(9.99E+307,'Returns (Calc)'!$A:$A)+1)-'Price History'!J3)*(ROW()-3)/(MATCH(9.99E+307,'Returns (Calc)'!$A:$A)-3),"")</f>
        <v>112.17301886792453</v>
      </c>
      <c r="AF6" s="152">
        <f>IFERROR('Price History'!K3+(INDEX('Price History'!K:K,MATCH(9.99E+307,'Returns (Calc)'!$A:$A)+1)-'Price History'!K3)*(ROW()-3)/(MATCH(9.99E+307,'Returns (Calc)'!$A:$A)-3),"")</f>
        <v>18.985094339622641</v>
      </c>
      <c r="AG6" s="152">
        <f>IFERROR('Price History'!L3+(INDEX('Price History'!L:L,MATCH(9.99E+307,'Returns (Calc)'!$A:$A)+1)-'Price History'!L3)*(ROW()-3)/(MATCH(9.99E+307,'Returns (Calc)'!$A:$A)-3),"")</f>
        <v>92.685094339622637</v>
      </c>
      <c r="AH6" s="152">
        <f>IFERROR('Price History'!M3+(INDEX('Price History'!M:M,MATCH(9.99E+307,'Returns (Calc)'!$A:$A)+1)-'Price History'!M3)*(ROW()-3)/(MATCH(9.99E+307,'Returns (Calc)'!$A:$A)-3),"")</f>
        <v>41.883396226415094</v>
      </c>
      <c r="AI6" s="152">
        <f>IFERROR('Price History'!N3+(INDEX('Price History'!N:N,MATCH(9.99E+307,'Returns (Calc)'!$A:$A)+1)-'Price History'!N3)*(ROW()-3)/(MATCH(9.99E+307,'Returns (Calc)'!$A:$A)-3),"")</f>
        <v>351.94113207547167</v>
      </c>
      <c r="AJ6" s="152">
        <f>IFERROR('Price History'!O3+(INDEX('Price History'!O:O,MATCH(9.99E+307,'Returns (Calc)'!$A:$A)+1)-'Price History'!O3)*(ROW()-3)/(MATCH(9.99E+307,'Returns (Calc)'!$A:$A)-3),"")</f>
        <v>76.146415094339631</v>
      </c>
      <c r="AK6" s="152">
        <f>IFERROR('Price History'!Q3+(INDEX('Price History'!Q:Q,MATCH(9.99E+307,'Returns (Calc)'!$A:$A)+1)-'Price History'!Q3)*(ROW()-3)/(MATCH(9.99E+307,'Returns (Calc)'!$A:$A)-3),"")</f>
        <v>1.320188679245283</v>
      </c>
      <c r="AL6" s="152">
        <f>IFERROR('Price History'!R3+(INDEX('Price History'!R:R,MATCH(9.99E+307,'Returns (Calc)'!$A:$A)+1)-'Price History'!R3)*(ROW()-3)/(MATCH(9.99E+307,'Returns (Calc)'!$A:$A)-3),"")</f>
        <v>34.98207547169811</v>
      </c>
      <c r="AM6" s="152">
        <f>IFERROR('Price History'!S3+(INDEX('Price History'!S:S,MATCH(9.99E+307,'Returns (Calc)'!$A:$A)+1)-'Price History'!S3)*(ROW()-3)/(MATCH(9.99E+307,'Returns (Calc)'!$A:$A)-3),"")</f>
        <v>59.394716981132078</v>
      </c>
      <c r="AN6" s="152">
        <f>IFERROR('Price History'!T3+(INDEX('Price History'!T:T,MATCH(9.99E+307,'Returns (Calc)'!$A:$A)+1)-'Price History'!T3)*(ROW()-3)/(MATCH(9.99E+307,'Returns (Calc)'!$A:$A)-3),"")</f>
        <v>25.760754716981129</v>
      </c>
      <c r="AO6" s="153">
        <f>IFERROR('Price History'!V3+(INDEX('Price History'!V:V,MATCH(9.99E+307,'Returns (Calc)'!$A:$A)+1)-'Price History'!V3)*(ROW()-3)/(MATCH(9.99E+307,'Returns (Calc)'!$A:$A)-3),"")</f>
        <v>238.45679245283017</v>
      </c>
      <c r="AP6" s="151">
        <f>IFERROR(IF(OR(NOT(ISNUMBER('Price History'!W7)),NOT(ISNUMBER('Price History'!W6)),'Price History'!W6=0),"",'Price History'!W7/'Price History'!W6-1),"")</f>
        <v>1.1353898886032665E-2</v>
      </c>
      <c r="AQ6" s="151" t="str">
        <f>IFERROR(IF(OR(NOT(ISNUMBER('Price History'!X7)),NOT(ISNUMBER('Price History'!X6)),'Price History'!X6=0),"",'Price History'!X7/'Price History'!X6-1),"")</f>
        <v/>
      </c>
      <c r="AR6" s="151">
        <f>IFERROR(IF(OR(NOT(ISNUMBER('Price History'!Y7)),NOT(ISNUMBER('Price History'!Y6)),'Price History'!Y6=0),"",'Price History'!Y7/'Price History'!Y6-1),"")</f>
        <v>8.612440191387627E-3</v>
      </c>
      <c r="AS6" s="151">
        <f>IFERROR(IF(OR(NOT(ISNUMBER('Price History'!Z7)),NOT(ISNUMBER('Price History'!Z6)),'Price History'!Z6=0),"",'Price History'!Z7/'Price History'!Z6-1),"")</f>
        <v>-1.8837766868364025E-2</v>
      </c>
      <c r="AT6" s="151">
        <f>IFERROR(IF(OR(NOT(ISNUMBER('Price History'!AA7)),NOT(ISNUMBER('Price History'!AA6)),'Price History'!AA6=0),"",'Price History'!AA7/'Price History'!AA6-1),"")</f>
        <v>-6.7627785058977707E-2</v>
      </c>
      <c r="AU6" s="151">
        <f>IFERROR(IF(OR(NOT(ISNUMBER('Price History'!AB7)),NOT(ISNUMBER('Price History'!AB6)),'Price History'!AB6=0),"",'Price History'!AB7/'Price History'!AB6-1),"")</f>
        <v>3.1059160305343614E-2</v>
      </c>
    </row>
    <row r="7" spans="1:47" ht="15" customHeight="1" x14ac:dyDescent="0.2">
      <c r="A7" s="149">
        <f>IF('Price History'!A8="","",'Price History'!A8)</f>
        <v>45219</v>
      </c>
      <c r="B7" s="150">
        <f>IFERROR(IF(OR(NOT(ISNUMBER('Price History'!B8)),NOT(ISNUMBER('Price History'!B7)),'Price History'!B7=0),"",'Price History'!B8/'Price History'!B7-1),"")</f>
        <v>-1.4213863984255282E-2</v>
      </c>
      <c r="C7" s="150">
        <f>IFERROR(IF(OR(NOT(ISNUMBER('Price History'!C8)),NOT(ISNUMBER('Price History'!C7)),'Price History'!C7=0),"",'Price History'!C8/'Price History'!C7-1),"")</f>
        <v>-1.9595448798988668E-2</v>
      </c>
      <c r="D7" s="150">
        <f>IFERROR(IF(OR(NOT(ISNUMBER('Price History'!D8)),NOT(ISNUMBER('Price History'!D7)),'Price History'!D7=0),"",'Price History'!D8/'Price History'!D7-1),"")</f>
        <v>-3.2767550382031607E-2</v>
      </c>
      <c r="E7" s="150">
        <f>IFERROR(IF(OR(NOT(ISNUMBER('Price History'!E8)),NOT(ISNUMBER('Price History'!E7)),'Price History'!E7=0),"",'Price History'!E8/'Price History'!E7-1),"")</f>
        <v>-3.3450292397660841E-2</v>
      </c>
      <c r="F7" s="150">
        <f>IFERROR(IF(OR(NOT(ISNUMBER('Price History'!F8)),NOT(ISNUMBER('Price History'!F7)),'Price History'!F7=0),"",'Price History'!F8/'Price History'!F7-1),"")</f>
        <v>-3.7475769976308415E-2</v>
      </c>
      <c r="G7" s="150">
        <f>IFERROR(IF(OR(NOT(ISNUMBER('Price History'!G8)),NOT(ISNUMBER('Price History'!G7)),'Price History'!G7=0),"",'Price History'!G8/'Price History'!G7-1),"")</f>
        <v>-5.006310475389153E-2</v>
      </c>
      <c r="H7" s="150">
        <f>IFERROR(IF(OR(NOT(ISNUMBER('Price History'!H8)),NOT(ISNUMBER('Price History'!H7)),'Price History'!H7=0),"",'Price History'!H8/'Price History'!H7-1),"")</f>
        <v>-2.87339556592765E-2</v>
      </c>
      <c r="I7" s="150">
        <f>IFERROR(IF(OR(NOT(ISNUMBER('Price History'!I8)),NOT(ISNUMBER('Price History'!I7)),'Price History'!I7=0),"",'Price History'!I8/'Price History'!I7-1),"")</f>
        <v>-8.9786013677476295E-2</v>
      </c>
      <c r="J7" s="150">
        <f>IFERROR(IF(OR(NOT(ISNUMBER('Price History'!J8)),NOT(ISNUMBER('Price History'!J7)),'Price History'!J7=0),"",'Price History'!J8/'Price History'!J7-1),"")</f>
        <v>-6.588991562876656E-2</v>
      </c>
      <c r="K7" s="150">
        <f>IFERROR(IF(OR(NOT(ISNUMBER('Price History'!K8)),NOT(ISNUMBER('Price History'!K7)),'Price History'!K7=0),"",'Price History'!K8/'Price History'!K7-1),"")</f>
        <v>-7.2004608294930827E-2</v>
      </c>
      <c r="L7" s="150">
        <f>IFERROR(IF(OR(NOT(ISNUMBER('Price History'!L8)),NOT(ISNUMBER('Price History'!L7)),'Price History'!L7=0),"",'Price History'!L8/'Price History'!L7-1),"")</f>
        <v>9.3189139438565327E-3</v>
      </c>
      <c r="M7" s="150">
        <f>IFERROR(IF(OR(NOT(ISNUMBER('Price History'!M8)),NOT(ISNUMBER('Price History'!M7)),'Price History'!M7=0),"",'Price History'!M8/'Price History'!M7-1),"")</f>
        <v>-6.0333761232349237E-2</v>
      </c>
      <c r="N7" s="150">
        <f>IFERROR(IF(OR(NOT(ISNUMBER('Price History'!N8)),NOT(ISNUMBER('Price History'!N7)),'Price History'!N7=0),"",'Price History'!N8/'Price History'!N7-1),"")</f>
        <v>-2.4636118598382661E-2</v>
      </c>
      <c r="O7" s="150">
        <f>IFERROR(IF(OR(NOT(ISNUMBER('Price History'!O8)),NOT(ISNUMBER('Price History'!O7)),'Price History'!O7=0),"",'Price History'!O8/'Price History'!O7-1),"")</f>
        <v>-1.6745087185164764E-2</v>
      </c>
      <c r="P7" s="150">
        <f>IFERROR(IF(OR(NOT(ISNUMBER('Price History'!P8)),NOT(ISNUMBER('Price History'!P7)),'Price History'!P7=0),"",'Price History'!P8/'Price History'!P7-1),"")</f>
        <v>-1.9011804032173951E-2</v>
      </c>
      <c r="Q7" s="150">
        <f>IFERROR(IF(OR(NOT(ISNUMBER('Price History'!Q8)),NOT(ISNUMBER('Price History'!Q7)),'Price History'!Q7=0),"",'Price History'!Q8/'Price History'!Q7-1),"")</f>
        <v>-1.137517773715202E-2</v>
      </c>
      <c r="R7" s="150">
        <f>IFERROR(IF(OR(NOT(ISNUMBER('Price History'!R8)),NOT(ISNUMBER('Price History'!R7)),'Price History'!R7=0),"",'Price History'!R8/'Price History'!R7-1),"")</f>
        <v>-1.9648093841642233E-2</v>
      </c>
      <c r="S7" s="150">
        <f>IFERROR(IF(OR(NOT(ISNUMBER('Price History'!S8)),NOT(ISNUMBER('Price History'!S7)),'Price History'!S7=0),"",'Price History'!S8/'Price History'!S7-1),"")</f>
        <v>-2.8947368421052611E-2</v>
      </c>
      <c r="T7" s="150">
        <f>IFERROR(IF(OR(NOT(ISNUMBER('Price History'!T8)),NOT(ISNUMBER('Price History'!T7)),'Price History'!T7=0),"",'Price History'!T8/'Price History'!T7-1),"")</f>
        <v>-1.248992747784039E-2</v>
      </c>
      <c r="U7" s="150">
        <f>IFERROR(IF(OR(NOT(ISNUMBER('Price History'!U8)),NOT(ISNUMBER('Price History'!U7)),'Price History'!U7=0),"",'Price History'!U8/'Price History'!U7-1),"")</f>
        <v>-1.4754878629224311E-2</v>
      </c>
      <c r="V7" s="151">
        <f>IFERROR(IF(OR(NOT(ISNUMBER('Price History'!V8)),NOT(ISNUMBER('Price History'!V7)),'Price History'!V7=0),"",'Price History'!V8/'Price History'!V7-1),"")</f>
        <v>-1.8036244673066193E-2</v>
      </c>
      <c r="W7" s="152">
        <f>IFERROR('Price History'!B3+(INDEX('Price History'!B:B,MATCH(9.99E+307,'Returns (Calc)'!$A:$A)+1)-'Price History'!B3)*(ROW()-3)/(MATCH(9.99E+307,'Returns (Calc)'!$A:$A)-3),"")</f>
        <v>521.67943396226417</v>
      </c>
      <c r="X7" s="152">
        <f>IFERROR('Price History'!C3+(INDEX('Price History'!C:C,MATCH(9.99E+307,'Returns (Calc)'!$A:$A)+1)-'Price History'!C3)*(ROW()-3)/(MATCH(9.99E+307,'Returns (Calc)'!$A:$A)-3),"")</f>
        <v>50.470817610062895</v>
      </c>
      <c r="Y7" s="152">
        <f>IFERROR('Price History'!D3+(INDEX('Price History'!D:D,MATCH(9.99E+307,'Returns (Calc)'!$A:$A)+1)-'Price History'!D3)*(ROW()-3)/(MATCH(9.99E+307,'Returns (Calc)'!$A:$A)-3),"")</f>
        <v>612.15666666666664</v>
      </c>
      <c r="Z7" s="152">
        <f>IFERROR('Price History'!E3+(INDEX('Price History'!E:E,MATCH(9.99E+307,'Returns (Calc)'!$A:$A)+1)-'Price History'!E3)*(ROW()-3)/(MATCH(9.99E+307,'Returns (Calc)'!$A:$A)-3),"")</f>
        <v>89.032452830188674</v>
      </c>
      <c r="AA7" s="152">
        <f>IFERROR('Price History'!F3+(INDEX('Price History'!F:F,MATCH(9.99E+307,'Returns (Calc)'!$A:$A)+1)-'Price History'!F3)*(ROW()-3)/(MATCH(9.99E+307,'Returns (Calc)'!$A:$A)-3),"")</f>
        <v>47.238742138364778</v>
      </c>
      <c r="AB7" s="152">
        <f>IFERROR('Price History'!G3+(INDEX('Price History'!G:G,MATCH(9.99E+307,'Returns (Calc)'!$A:$A)+1)-'Price History'!G3)*(ROW()-3)/(MATCH(9.99E+307,'Returns (Calc)'!$A:$A)-3),"")</f>
        <v>48.154276729559747</v>
      </c>
      <c r="AC7" s="152">
        <f>IFERROR('Price History'!H3+(INDEX('Price History'!H:H,MATCH(9.99E+307,'Returns (Calc)'!$A:$A)+1)-'Price History'!H3)*(ROW()-3)/(MATCH(9.99E+307,'Returns (Calc)'!$A:$A)-3),"")</f>
        <v>93.25817610062893</v>
      </c>
      <c r="AD7" s="152">
        <f>IFERROR('Price History'!I3+(INDEX('Price History'!I:I,MATCH(9.99E+307,'Returns (Calc)'!$A:$A)+1)-'Price History'!I3)*(ROW()-3)/(MATCH(9.99E+307,'Returns (Calc)'!$A:$A)-3),"")</f>
        <v>48.436918238993712</v>
      </c>
      <c r="AE7" s="152">
        <f>IFERROR('Price History'!J3+(INDEX('Price History'!J:J,MATCH(9.99E+307,'Returns (Calc)'!$A:$A)+1)-'Price History'!J3)*(ROW()-3)/(MATCH(9.99E+307,'Returns (Calc)'!$A:$A)-3),"")</f>
        <v>112.2840251572327</v>
      </c>
      <c r="AF7" s="152">
        <f>IFERROR('Price History'!K3+(INDEX('Price History'!K:K,MATCH(9.99E+307,'Returns (Calc)'!$A:$A)+1)-'Price History'!K3)*(ROW()-3)/(MATCH(9.99E+307,'Returns (Calc)'!$A:$A)-3),"")</f>
        <v>20.203459119496856</v>
      </c>
      <c r="AG7" s="152">
        <f>IFERROR('Price History'!L3+(INDEX('Price History'!L:L,MATCH(9.99E+307,'Returns (Calc)'!$A:$A)+1)-'Price History'!L3)*(ROW()-3)/(MATCH(9.99E+307,'Returns (Calc)'!$A:$A)-3),"")</f>
        <v>94.996792452830192</v>
      </c>
      <c r="AH7" s="152">
        <f>IFERROR('Price History'!M3+(INDEX('Price History'!M:M,MATCH(9.99E+307,'Returns (Calc)'!$A:$A)+1)-'Price History'!M3)*(ROW()-3)/(MATCH(9.99E+307,'Returns (Calc)'!$A:$A)-3),"")</f>
        <v>43.171194968553465</v>
      </c>
      <c r="AI7" s="152">
        <f>IFERROR('Price History'!N3+(INDEX('Price History'!N:N,MATCH(9.99E+307,'Returns (Calc)'!$A:$A)+1)-'Price History'!N3)*(ROW()-3)/(MATCH(9.99E+307,'Returns (Calc)'!$A:$A)-3),"")</f>
        <v>352.95484276729559</v>
      </c>
      <c r="AJ7" s="152">
        <f>IFERROR('Price History'!O3+(INDEX('Price History'!O:O,MATCH(9.99E+307,'Returns (Calc)'!$A:$A)+1)-'Price History'!O3)*(ROW()-3)/(MATCH(9.99E+307,'Returns (Calc)'!$A:$A)-3),"")</f>
        <v>76.425220125786169</v>
      </c>
      <c r="AK7" s="152">
        <f>IFERROR('Price History'!Q3+(INDEX('Price History'!Q:Q,MATCH(9.99E+307,'Returns (Calc)'!$A:$A)+1)-'Price History'!Q3)*(ROW()-3)/(MATCH(9.99E+307,'Returns (Calc)'!$A:$A)-3),"")</f>
        <v>1.760251572327044</v>
      </c>
      <c r="AL7" s="152">
        <f>IFERROR('Price History'!R3+(INDEX('Price History'!R:R,MATCH(9.99E+307,'Returns (Calc)'!$A:$A)+1)-'Price History'!R3)*(ROW()-3)/(MATCH(9.99E+307,'Returns (Calc)'!$A:$A)-3),"")</f>
        <v>35.149433962264148</v>
      </c>
      <c r="AM7" s="152">
        <f>IFERROR('Price History'!S3+(INDEX('Price History'!S:S,MATCH(9.99E+307,'Returns (Calc)'!$A:$A)+1)-'Price History'!S3)*(ROW()-3)/(MATCH(9.99E+307,'Returns (Calc)'!$A:$A)-3),"")</f>
        <v>59.982955974842767</v>
      </c>
      <c r="AN7" s="152">
        <f>IFERROR('Price History'!T3+(INDEX('Price History'!T:T,MATCH(9.99E+307,'Returns (Calc)'!$A:$A)+1)-'Price History'!T3)*(ROW()-3)/(MATCH(9.99E+307,'Returns (Calc)'!$A:$A)-3),"")</f>
        <v>25.934339622641509</v>
      </c>
      <c r="AO7" s="153">
        <f>IFERROR('Price History'!V3+(INDEX('Price History'!V:V,MATCH(9.99E+307,'Returns (Calc)'!$A:$A)+1)-'Price History'!V3)*(ROW()-3)/(MATCH(9.99E+307,'Returns (Calc)'!$A:$A)-3),"")</f>
        <v>239.39905660377357</v>
      </c>
      <c r="AP7" s="151">
        <f>IFERROR(IF(OR(NOT(ISNUMBER('Price History'!W8)),NOT(ISNUMBER('Price History'!W7)),'Price History'!W7=0),"",'Price History'!W8/'Price History'!W7-1),"")</f>
        <v>-1.2179622961237091E-2</v>
      </c>
      <c r="AQ7" s="151" t="str">
        <f>IFERROR(IF(OR(NOT(ISNUMBER('Price History'!X8)),NOT(ISNUMBER('Price History'!X7)),'Price History'!X7=0),"",'Price History'!X8/'Price History'!X7-1),"")</f>
        <v/>
      </c>
      <c r="AR7" s="151">
        <f>IFERROR(IF(OR(NOT(ISNUMBER('Price History'!Y8)),NOT(ISNUMBER('Price History'!Y7)),'Price History'!Y7=0),"",'Price History'!Y8/'Price History'!Y7-1),"")</f>
        <v>-1.4705882352941124E-2</v>
      </c>
      <c r="AS7" s="151">
        <f>IFERROR(IF(OR(NOT(ISNUMBER('Price History'!Z8)),NOT(ISNUMBER('Price History'!Z7)),'Price History'!Z7=0),"",'Price History'!Z8/'Price History'!Z7-1),"")</f>
        <v>-3.0137305096579081E-2</v>
      </c>
      <c r="AT7" s="151">
        <f>IFERROR(IF(OR(NOT(ISNUMBER('Price History'!AA8)),NOT(ISNUMBER('Price History'!AA7)),'Price History'!AA7=0),"",'Price History'!AA8/'Price History'!AA7-1),"")</f>
        <v>0.12735451222940686</v>
      </c>
      <c r="AU7" s="151">
        <f>IFERROR(IF(OR(NOT(ISNUMBER('Price History'!AB8)),NOT(ISNUMBER('Price History'!AB7)),'Price History'!AB7=0),"",'Price History'!AB8/'Price History'!AB7-1),"")</f>
        <v>-7.274073388552138E-2</v>
      </c>
    </row>
    <row r="8" spans="1:47" ht="15" customHeight="1" x14ac:dyDescent="0.2">
      <c r="A8" s="149">
        <f>IF('Price History'!A9="","",'Price History'!A9)</f>
        <v>45226</v>
      </c>
      <c r="B8" s="150">
        <f>IFERROR(IF(OR(NOT(ISNUMBER('Price History'!B9)),NOT(ISNUMBER('Price History'!B8)),'Price History'!B8=0),"",'Price History'!B9/'Price History'!B8-1),"")</f>
        <v>-6.0706891452233069E-2</v>
      </c>
      <c r="C8" s="150">
        <f>IFERROR(IF(OR(NOT(ISNUMBER('Price History'!C9)),NOT(ISNUMBER('Price History'!C8)),'Price History'!C8=0),"",'Price History'!C9/'Price History'!C8-1),"")</f>
        <v>-5.3298946915968259E-2</v>
      </c>
      <c r="D8" s="150">
        <f>IFERROR(IF(OR(NOT(ISNUMBER('Price History'!D9)),NOT(ISNUMBER('Price History'!D8)),'Price History'!D8=0),"",'Price History'!D9/'Price History'!D8-1),"")</f>
        <v>1.7071360407167724E-2</v>
      </c>
      <c r="E8" s="150">
        <f>IFERROR(IF(OR(NOT(ISNUMBER('Price History'!E9)),NOT(ISNUMBER('Price History'!E8)),'Price History'!E8=0),"",'Price History'!E9/'Price History'!E8-1),"")</f>
        <v>-1.7909002904162641E-2</v>
      </c>
      <c r="F8" s="150">
        <f>IFERROR(IF(OR(NOT(ISNUMBER('Price History'!F9)),NOT(ISNUMBER('Price History'!F8)),'Price History'!F8=0),"",'Price History'!F9/'Price History'!F8-1),"")</f>
        <v>-3.3117028417990579E-2</v>
      </c>
      <c r="G8" s="150">
        <f>IFERROR(IF(OR(NOT(ISNUMBER('Price History'!G9)),NOT(ISNUMBER('Price History'!G8)),'Price History'!G8=0),"",'Price History'!G9/'Price History'!G8-1),"")</f>
        <v>-9.7431355181576418E-3</v>
      </c>
      <c r="H8" s="150">
        <f>IFERROR(IF(OR(NOT(ISNUMBER('Price History'!H9)),NOT(ISNUMBER('Price History'!H8)),'Price History'!H8=0),"",'Price History'!H9/'Price History'!H8-1),"")</f>
        <v>-2.3426940982129496E-2</v>
      </c>
      <c r="I8" s="150">
        <f>IFERROR(IF(OR(NOT(ISNUMBER('Price History'!I9)),NOT(ISNUMBER('Price History'!I8)),'Price History'!I8=0),"",'Price History'!I9/'Price History'!I8-1),"")</f>
        <v>-2.1328162869607259E-2</v>
      </c>
      <c r="J8" s="150">
        <f>IFERROR(IF(OR(NOT(ISNUMBER('Price History'!J9)),NOT(ISNUMBER('Price History'!J8)),'Price History'!J8=0),"",'Price History'!J9/'Price History'!J8-1),"")</f>
        <v>-4.9892473118279601E-2</v>
      </c>
      <c r="K8" s="150">
        <f>IFERROR(IF(OR(NOT(ISNUMBER('Price History'!K9)),NOT(ISNUMBER('Price History'!K8)),'Price History'!K8=0),"",'Price History'!K9/'Price History'!K8-1),"")</f>
        <v>-6.4556176288019795E-2</v>
      </c>
      <c r="L8" s="150">
        <f>IFERROR(IF(OR(NOT(ISNUMBER('Price History'!L9)),NOT(ISNUMBER('Price History'!L8)),'Price History'!L8=0),"",'Price History'!L9/'Price History'!L8-1),"")</f>
        <v>-5.8246893878946771E-2</v>
      </c>
      <c r="M8" s="150">
        <f>IFERROR(IF(OR(NOT(ISNUMBER('Price History'!M9)),NOT(ISNUMBER('Price History'!M8)),'Price History'!M8=0),"",'Price History'!M9/'Price History'!M8-1),"")</f>
        <v>-8.7431693989070691E-3</v>
      </c>
      <c r="N8" s="150">
        <f>IFERROR(IF(OR(NOT(ISNUMBER('Price History'!N9)),NOT(ISNUMBER('Price History'!N8)),'Price History'!N8=0),"",'Price History'!N9/'Price History'!N8-1),"")</f>
        <v>-1.8183827999779023E-2</v>
      </c>
      <c r="O8" s="150">
        <f>IFERROR(IF(OR(NOT(ISNUMBER('Price History'!O9)),NOT(ISNUMBER('Price History'!O8)),'Price History'!O8=0),"",'Price History'!O9/'Price History'!O8-1),"")</f>
        <v>-1.5482054890921804E-2</v>
      </c>
      <c r="P8" s="150">
        <f>IFERROR(IF(OR(NOT(ISNUMBER('Price History'!P9)),NOT(ISNUMBER('Price History'!P8)),'Price History'!P8=0),"",'Price History'!P9/'Price History'!P8-1),"")</f>
        <v>-1.6079224789692148E-2</v>
      </c>
      <c r="Q8" s="150">
        <f>IFERROR(IF(OR(NOT(ISNUMBER('Price History'!Q9)),NOT(ISNUMBER('Price History'!Q8)),'Price History'!Q8=0),"",'Price History'!Q9/'Price History'!Q8-1),"")</f>
        <v>-1.7259091843024543E-2</v>
      </c>
      <c r="R8" s="150">
        <f>IFERROR(IF(OR(NOT(ISNUMBER('Price History'!R9)),NOT(ISNUMBER('Price History'!R8)),'Price History'!R8=0),"",'Price History'!R9/'Price History'!R8-1),"")</f>
        <v>-2.0939276099312121E-2</v>
      </c>
      <c r="S8" s="150">
        <f>IFERROR(IF(OR(NOT(ISNUMBER('Price History'!S9)),NOT(ISNUMBER('Price History'!S8)),'Price History'!S8=0),"",'Price History'!S9/'Price History'!S8-1),"")</f>
        <v>-2.0234869015356871E-2</v>
      </c>
      <c r="T8" s="150">
        <f>IFERROR(IF(OR(NOT(ISNUMBER('Price History'!T9)),NOT(ISNUMBER('Price History'!T8)),'Price History'!T8=0),"",'Price History'!T9/'Price History'!T8-1),"")</f>
        <v>-3.3047735618115137E-2</v>
      </c>
      <c r="U8" s="150">
        <f>IFERROR(IF(OR(NOT(ISNUMBER('Price History'!U9)),NOT(ISNUMBER('Price History'!U8)),'Price History'!U8=0),"",'Price History'!U9/'Price History'!U8-1),"")</f>
        <v>-3.4299516908212646E-2</v>
      </c>
      <c r="V8" s="151">
        <f>IFERROR(IF(OR(NOT(ISNUMBER('Price History'!V9)),NOT(ISNUMBER('Price History'!V8)),'Price History'!V8=0),"",'Price History'!V9/'Price History'!V8-1),"")</f>
        <v>-1.7622304050499804E-2</v>
      </c>
      <c r="W8" s="152">
        <f>IFERROR('Price History'!B3+(INDEX('Price History'!B:B,MATCH(9.99E+307,'Returns (Calc)'!$A:$A)+1)-'Price History'!B3)*(ROW()-3)/(MATCH(9.99E+307,'Returns (Calc)'!$A:$A)-3),"")</f>
        <v>519.87679245283016</v>
      </c>
      <c r="X8" s="152">
        <f>IFERROR('Price History'!C3+(INDEX('Price History'!C:C,MATCH(9.99E+307,'Returns (Calc)'!$A:$A)+1)-'Price History'!C3)*(ROW()-3)/(MATCH(9.99E+307,'Returns (Calc)'!$A:$A)-3),"")</f>
        <v>51.543522012578613</v>
      </c>
      <c r="Y8" s="152">
        <f>IFERROR('Price History'!D3+(INDEX('Price History'!D:D,MATCH(9.99E+307,'Returns (Calc)'!$A:$A)+1)-'Price History'!D3)*(ROW()-3)/(MATCH(9.99E+307,'Returns (Calc)'!$A:$A)-3),"")</f>
        <v>619.69333333333327</v>
      </c>
      <c r="Z8" s="152">
        <f>IFERROR('Price History'!E3+(INDEX('Price History'!E:E,MATCH(9.99E+307,'Returns (Calc)'!$A:$A)+1)-'Price History'!E3)*(ROW()-3)/(MATCH(9.99E+307,'Returns (Calc)'!$A:$A)-3),"")</f>
        <v>90.790566037735857</v>
      </c>
      <c r="AA8" s="152">
        <f>IFERROR('Price History'!F3+(INDEX('Price History'!F:F,MATCH(9.99E+307,'Returns (Calc)'!$A:$A)+1)-'Price History'!F3)*(ROW()-3)/(MATCH(9.99E+307,'Returns (Calc)'!$A:$A)-3),"")</f>
        <v>48.708427672955978</v>
      </c>
      <c r="AB8" s="152">
        <f>IFERROR('Price History'!G3+(INDEX('Price History'!G:G,MATCH(9.99E+307,'Returns (Calc)'!$A:$A)+1)-'Price History'!G3)*(ROW()-3)/(MATCH(9.99E+307,'Returns (Calc)'!$A:$A)-3),"")</f>
        <v>49.105345911949684</v>
      </c>
      <c r="AC8" s="152">
        <f>IFERROR('Price History'!H3+(INDEX('Price History'!H:H,MATCH(9.99E+307,'Returns (Calc)'!$A:$A)+1)-'Price History'!H3)*(ROW()-3)/(MATCH(9.99E+307,'Returns (Calc)'!$A:$A)-3),"")</f>
        <v>99.295220125786159</v>
      </c>
      <c r="AD8" s="152">
        <f>IFERROR('Price History'!I3+(INDEX('Price History'!I:I,MATCH(9.99E+307,'Returns (Calc)'!$A:$A)+1)-'Price History'!I3)*(ROW()-3)/(MATCH(9.99E+307,'Returns (Calc)'!$A:$A)-3),"")</f>
        <v>49.603647798742145</v>
      </c>
      <c r="AE8" s="152">
        <f>IFERROR('Price History'!J3+(INDEX('Price History'!J:J,MATCH(9.99E+307,'Returns (Calc)'!$A:$A)+1)-'Price History'!J3)*(ROW()-3)/(MATCH(9.99E+307,'Returns (Calc)'!$A:$A)-3),"")</f>
        <v>112.39503144654088</v>
      </c>
      <c r="AF8" s="152">
        <f>IFERROR('Price History'!K3+(INDEX('Price History'!K:K,MATCH(9.99E+307,'Returns (Calc)'!$A:$A)+1)-'Price History'!K3)*(ROW()-3)/(MATCH(9.99E+307,'Returns (Calc)'!$A:$A)-3),"")</f>
        <v>21.42182389937107</v>
      </c>
      <c r="AG8" s="152">
        <f>IFERROR('Price History'!L3+(INDEX('Price History'!L:L,MATCH(9.99E+307,'Returns (Calc)'!$A:$A)+1)-'Price History'!L3)*(ROW()-3)/(MATCH(9.99E+307,'Returns (Calc)'!$A:$A)-3),"")</f>
        <v>97.308490566037733</v>
      </c>
      <c r="AH8" s="152">
        <f>IFERROR('Price History'!M3+(INDEX('Price History'!M:M,MATCH(9.99E+307,'Returns (Calc)'!$A:$A)+1)-'Price History'!M3)*(ROW()-3)/(MATCH(9.99E+307,'Returns (Calc)'!$A:$A)-3),"")</f>
        <v>44.458993710691828</v>
      </c>
      <c r="AI8" s="152">
        <f>IFERROR('Price History'!N3+(INDEX('Price History'!N:N,MATCH(9.99E+307,'Returns (Calc)'!$A:$A)+1)-'Price History'!N3)*(ROW()-3)/(MATCH(9.99E+307,'Returns (Calc)'!$A:$A)-3),"")</f>
        <v>353.96855345911945</v>
      </c>
      <c r="AJ8" s="152">
        <f>IFERROR('Price History'!O3+(INDEX('Price History'!O:O,MATCH(9.99E+307,'Returns (Calc)'!$A:$A)+1)-'Price History'!O3)*(ROW()-3)/(MATCH(9.99E+307,'Returns (Calc)'!$A:$A)-3),"")</f>
        <v>76.704025157232707</v>
      </c>
      <c r="AK8" s="152">
        <f>IFERROR('Price History'!Q3+(INDEX('Price History'!Q:Q,MATCH(9.99E+307,'Returns (Calc)'!$A:$A)+1)-'Price History'!Q3)*(ROW()-3)/(MATCH(9.99E+307,'Returns (Calc)'!$A:$A)-3),"")</f>
        <v>2.2003144654088054</v>
      </c>
      <c r="AL8" s="152">
        <f>IFERROR('Price History'!R3+(INDEX('Price History'!R:R,MATCH(9.99E+307,'Returns (Calc)'!$A:$A)+1)-'Price History'!R3)*(ROW()-3)/(MATCH(9.99E+307,'Returns (Calc)'!$A:$A)-3),"")</f>
        <v>35.316792452830185</v>
      </c>
      <c r="AM8" s="152">
        <f>IFERROR('Price History'!S3+(INDEX('Price History'!S:S,MATCH(9.99E+307,'Returns (Calc)'!$A:$A)+1)-'Price History'!S3)*(ROW()-3)/(MATCH(9.99E+307,'Returns (Calc)'!$A:$A)-3),"")</f>
        <v>60.571194968553463</v>
      </c>
      <c r="AN8" s="152">
        <f>IFERROR('Price History'!T3+(INDEX('Price History'!T:T,MATCH(9.99E+307,'Returns (Calc)'!$A:$A)+1)-'Price History'!T3)*(ROW()-3)/(MATCH(9.99E+307,'Returns (Calc)'!$A:$A)-3),"")</f>
        <v>26.107924528301886</v>
      </c>
      <c r="AO8" s="153">
        <f>IFERROR('Price History'!V3+(INDEX('Price History'!V:V,MATCH(9.99E+307,'Returns (Calc)'!$A:$A)+1)-'Price History'!V3)*(ROW()-3)/(MATCH(9.99E+307,'Returns (Calc)'!$A:$A)-3),"")</f>
        <v>240.34132075471697</v>
      </c>
      <c r="AP8" s="151">
        <f>IFERROR(IF(OR(NOT(ISNUMBER('Price History'!W9)),NOT(ISNUMBER('Price History'!W8)),'Price History'!W8=0),"",'Price History'!W9/'Price History'!W8-1),"")</f>
        <v>-2.4766806046960466E-2</v>
      </c>
      <c r="AQ8" s="151" t="str">
        <f>IFERROR(IF(OR(NOT(ISNUMBER('Price History'!X9)),NOT(ISNUMBER('Price History'!X8)),'Price History'!X8=0),"",'Price History'!X9/'Price History'!X8-1),"")</f>
        <v/>
      </c>
      <c r="AR8" s="151">
        <f>IFERROR(IF(OR(NOT(ISNUMBER('Price History'!Y9)),NOT(ISNUMBER('Price History'!Y8)),'Price History'!Y8=0),"",'Price History'!Y9/'Price History'!Y8-1),"")</f>
        <v>-2.2147327876745337E-2</v>
      </c>
      <c r="AS8" s="151">
        <f>IFERROR(IF(OR(NOT(ISNUMBER('Price History'!Z9)),NOT(ISNUMBER('Price History'!Z8)),'Price History'!Z8=0),"",'Price History'!Z9/'Price History'!Z8-1),"")</f>
        <v>2.5194961007799499E-3</v>
      </c>
      <c r="AT8" s="151">
        <f>IFERROR(IF(OR(NOT(ISNUMBER('Price History'!AA9)),NOT(ISNUMBER('Price History'!AA8)),'Price History'!AA8=0),"",'Price History'!AA9/'Price History'!AA8-1),"")</f>
        <v>-7.7306733167082919E-3</v>
      </c>
      <c r="AU8" s="151">
        <f>IFERROR(IF(OR(NOT(ISNUMBER('Price History'!AB9)),NOT(ISNUMBER('Price History'!AB8)),'Price History'!AB8=0),"",'Price History'!AB9/'Price History'!AB8-1),"")</f>
        <v>-5.4244223763660782E-2</v>
      </c>
    </row>
    <row r="9" spans="1:47" ht="15" customHeight="1" x14ac:dyDescent="0.2">
      <c r="A9" s="149">
        <f>IF('Price History'!A10="","",'Price History'!A10)</f>
        <v>45233</v>
      </c>
      <c r="B9" s="150">
        <f>IFERROR(IF(OR(NOT(ISNUMBER('Price History'!B10)),NOT(ISNUMBER('Price History'!B9)),'Price History'!B9=0),"",'Price History'!B10/'Price History'!B9-1),"")</f>
        <v>0.10930488860899001</v>
      </c>
      <c r="C9" s="150">
        <f>IFERROR(IF(OR(NOT(ISNUMBER('Price History'!C10)),NOT(ISNUMBER('Price History'!C9)),'Price History'!C9=0),"",'Price History'!C10/'Price History'!C9-1),"")</f>
        <v>0.20590238365493763</v>
      </c>
      <c r="D9" s="150">
        <f>IFERROR(IF(OR(NOT(ISNUMBER('Price History'!D10)),NOT(ISNUMBER('Price History'!D9)),'Price History'!D9=0),"",'Price History'!D10/'Price History'!D9-1),"")</f>
        <v>9.1604114539894477E-2</v>
      </c>
      <c r="E9" s="150">
        <f>IFERROR(IF(OR(NOT(ISNUMBER('Price History'!E10)),NOT(ISNUMBER('Price History'!E9)),'Price History'!E9=0),"",'Price History'!E10/'Price History'!E9-1),"")</f>
        <v>5.2858551010350086E-2</v>
      </c>
      <c r="F9" s="150">
        <f>IFERROR(IF(OR(NOT(ISNUMBER('Price History'!F10)),NOT(ISNUMBER('Price History'!F9)),'Price History'!F9=0),"",'Price History'!F10/'Price History'!F9-1),"")</f>
        <v>8.9099745429298771E-2</v>
      </c>
      <c r="G9" s="150">
        <f>IFERROR(IF(OR(NOT(ISNUMBER('Price History'!G10)),NOT(ISNUMBER('Price History'!G9)),'Price History'!G9=0),"",'Price History'!G10/'Price History'!G9-1),"")</f>
        <v>9.1010733452594028E-2</v>
      </c>
      <c r="H9" s="150">
        <f>IFERROR(IF(OR(NOT(ISNUMBER('Price History'!H10)),NOT(ISNUMBER('Price History'!H9)),'Price History'!H9=0),"",'Price History'!H10/'Price History'!H9-1),"")</f>
        <v>0.10564354913117024</v>
      </c>
      <c r="I9" s="150">
        <f>IFERROR(IF(OR(NOT(ISNUMBER('Price History'!I10)),NOT(ISNUMBER('Price History'!I9)),'Price History'!I9=0),"",'Price History'!I10/'Price History'!I9-1),"")</f>
        <v>0.11119366022783539</v>
      </c>
      <c r="J9" s="150">
        <f>IFERROR(IF(OR(NOT(ISNUMBER('Price History'!J10)),NOT(ISNUMBER('Price History'!J9)),'Price History'!J9=0),"",'Price History'!J10/'Price History'!J9-1),"")</f>
        <v>9.4839293798098634E-2</v>
      </c>
      <c r="K9" s="150">
        <f>IFERROR(IF(OR(NOT(ISNUMBER('Price History'!K10)),NOT(ISNUMBER('Price History'!K9)),'Price History'!K9=0),"",'Price History'!K10/'Price History'!K9-1),"")</f>
        <v>0.25348374253483752</v>
      </c>
      <c r="L9" s="150">
        <f>IFERROR(IF(OR(NOT(ISNUMBER('Price History'!L10)),NOT(ISNUMBER('Price History'!L9)),'Price History'!L9=0),"",'Price History'!L10/'Price History'!L9-1),"")</f>
        <v>6.7417090292907211E-2</v>
      </c>
      <c r="M9" s="150">
        <f>IFERROR(IF(OR(NOT(ISNUMBER('Price History'!M10)),NOT(ISNUMBER('Price History'!M9)),'Price History'!M9=0),"",'Price History'!M10/'Price History'!M9-1),"")</f>
        <v>0.11025358324145529</v>
      </c>
      <c r="N9" s="150">
        <f>IFERROR(IF(OR(NOT(ISNUMBER('Price History'!N10)),NOT(ISNUMBER('Price History'!N9)),'Price History'!N9=0),"",'Price History'!N10/'Price History'!N9-1),"")</f>
        <v>5.8883134429182693E-2</v>
      </c>
      <c r="O9" s="150">
        <f>IFERROR(IF(OR(NOT(ISNUMBER('Price History'!O10)),NOT(ISNUMBER('Price History'!O9)),'Price History'!O9=0),"",'Price History'!O10/'Price History'!O9-1),"")</f>
        <v>7.1622587562544471E-2</v>
      </c>
      <c r="P9" s="150">
        <f>IFERROR(IF(OR(NOT(ISNUMBER('Price History'!P10)),NOT(ISNUMBER('Price History'!P9)),'Price History'!P9=0),"",'Price History'!P10/'Price History'!P9-1),"")</f>
        <v>5.8658008658008409E-2</v>
      </c>
      <c r="Q9" s="150">
        <f>IFERROR(IF(OR(NOT(ISNUMBER('Price History'!Q10)),NOT(ISNUMBER('Price History'!Q9)),'Price History'!Q9=0),"",'Price History'!Q10/'Price History'!Q9-1),"")</f>
        <v>4.035124398912826E-2</v>
      </c>
      <c r="R9" s="150">
        <f>IFERROR(IF(OR(NOT(ISNUMBER('Price History'!R10)),NOT(ISNUMBER('Price History'!R9)),'Price History'!R9=0),"",'Price History'!R10/'Price History'!R9-1),"")</f>
        <v>5.7439657806293898E-2</v>
      </c>
      <c r="S9" s="150">
        <f>IFERROR(IF(OR(NOT(ISNUMBER('Price History'!S10)),NOT(ISNUMBER('Price History'!S9)),'Price History'!S9=0),"",'Price History'!S10/'Price History'!S9-1),"")</f>
        <v>5.8454729854324317E-2</v>
      </c>
      <c r="T9" s="150">
        <f>IFERROR(IF(OR(NOT(ISNUMBER('Price History'!T10)),NOT(ISNUMBER('Price History'!T9)),'Price History'!T9=0),"",'Price History'!T10/'Price History'!T9-1),"")</f>
        <v>5.8649789029535881E-2</v>
      </c>
      <c r="U9" s="150">
        <f>IFERROR(IF(OR(NOT(ISNUMBER('Price History'!U10)),NOT(ISNUMBER('Price History'!U9)),'Price History'!U9=0),"",'Price History'!U10/'Price History'!U9-1),"")</f>
        <v>5.002501250625313E-2</v>
      </c>
      <c r="V9" s="151">
        <f>IFERROR(IF(OR(NOT(ISNUMBER('Price History'!V10)),NOT(ISNUMBER('Price History'!V9)),'Price History'!V9=0),"",'Price History'!V10/'Price History'!V9-1),"")</f>
        <v>6.2516733601071017E-2</v>
      </c>
      <c r="W9" s="152">
        <f>IFERROR('Price History'!B3+(INDEX('Price History'!B:B,MATCH(9.99E+307,'Returns (Calc)'!$A:$A)+1)-'Price History'!B3)*(ROW()-3)/(MATCH(9.99E+307,'Returns (Calc)'!$A:$A)-3),"")</f>
        <v>518.07415094339626</v>
      </c>
      <c r="X9" s="152">
        <f>IFERROR('Price History'!C3+(INDEX('Price History'!C:C,MATCH(9.99E+307,'Returns (Calc)'!$A:$A)+1)-'Price History'!C3)*(ROW()-3)/(MATCH(9.99E+307,'Returns (Calc)'!$A:$A)-3),"")</f>
        <v>52.616226415094339</v>
      </c>
      <c r="Y9" s="152">
        <f>IFERROR('Price History'!D3+(INDEX('Price History'!D:D,MATCH(9.99E+307,'Returns (Calc)'!$A:$A)+1)-'Price History'!D3)*(ROW()-3)/(MATCH(9.99E+307,'Returns (Calc)'!$A:$A)-3),"")</f>
        <v>627.23</v>
      </c>
      <c r="Z9" s="152">
        <f>IFERROR('Price History'!E3+(INDEX('Price History'!E:E,MATCH(9.99E+307,'Returns (Calc)'!$A:$A)+1)-'Price History'!E3)*(ROW()-3)/(MATCH(9.99E+307,'Returns (Calc)'!$A:$A)-3),"")</f>
        <v>92.548679245283026</v>
      </c>
      <c r="AA9" s="152">
        <f>IFERROR('Price History'!F3+(INDEX('Price History'!F:F,MATCH(9.99E+307,'Returns (Calc)'!$A:$A)+1)-'Price History'!F3)*(ROW()-3)/(MATCH(9.99E+307,'Returns (Calc)'!$A:$A)-3),"")</f>
        <v>50.17811320754717</v>
      </c>
      <c r="AB9" s="152">
        <f>IFERROR('Price History'!G3+(INDEX('Price History'!G:G,MATCH(9.99E+307,'Returns (Calc)'!$A:$A)+1)-'Price History'!G3)*(ROW()-3)/(MATCH(9.99E+307,'Returns (Calc)'!$A:$A)-3),"")</f>
        <v>50.056415094339627</v>
      </c>
      <c r="AC9" s="152">
        <f>IFERROR('Price History'!H3+(INDEX('Price History'!H:H,MATCH(9.99E+307,'Returns (Calc)'!$A:$A)+1)-'Price History'!H3)*(ROW()-3)/(MATCH(9.99E+307,'Returns (Calc)'!$A:$A)-3),"")</f>
        <v>105.33226415094339</v>
      </c>
      <c r="AD9" s="152">
        <f>IFERROR('Price History'!I3+(INDEX('Price History'!I:I,MATCH(9.99E+307,'Returns (Calc)'!$A:$A)+1)-'Price History'!I3)*(ROW()-3)/(MATCH(9.99E+307,'Returns (Calc)'!$A:$A)-3),"")</f>
        <v>50.77037735849057</v>
      </c>
      <c r="AE9" s="152">
        <f>IFERROR('Price History'!J3+(INDEX('Price History'!J:J,MATCH(9.99E+307,'Returns (Calc)'!$A:$A)+1)-'Price History'!J3)*(ROW()-3)/(MATCH(9.99E+307,'Returns (Calc)'!$A:$A)-3),"")</f>
        <v>112.50603773584906</v>
      </c>
      <c r="AF9" s="152">
        <f>IFERROR('Price History'!K3+(INDEX('Price History'!K:K,MATCH(9.99E+307,'Returns (Calc)'!$A:$A)+1)-'Price History'!K3)*(ROW()-3)/(MATCH(9.99E+307,'Returns (Calc)'!$A:$A)-3),"")</f>
        <v>22.640188679245284</v>
      </c>
      <c r="AG9" s="152">
        <f>IFERROR('Price History'!L3+(INDEX('Price History'!L:L,MATCH(9.99E+307,'Returns (Calc)'!$A:$A)+1)-'Price History'!L3)*(ROW()-3)/(MATCH(9.99E+307,'Returns (Calc)'!$A:$A)-3),"")</f>
        <v>99.620188679245288</v>
      </c>
      <c r="AH9" s="152">
        <f>IFERROR('Price History'!M3+(INDEX('Price History'!M:M,MATCH(9.99E+307,'Returns (Calc)'!$A:$A)+1)-'Price History'!M3)*(ROW()-3)/(MATCH(9.99E+307,'Returns (Calc)'!$A:$A)-3),"")</f>
        <v>45.746792452830192</v>
      </c>
      <c r="AI9" s="152">
        <f>IFERROR('Price History'!N3+(INDEX('Price History'!N:N,MATCH(9.99E+307,'Returns (Calc)'!$A:$A)+1)-'Price History'!N3)*(ROW()-3)/(MATCH(9.99E+307,'Returns (Calc)'!$A:$A)-3),"")</f>
        <v>354.98226415094337</v>
      </c>
      <c r="AJ9" s="152">
        <f>IFERROR('Price History'!O3+(INDEX('Price History'!O:O,MATCH(9.99E+307,'Returns (Calc)'!$A:$A)+1)-'Price History'!O3)*(ROW()-3)/(MATCH(9.99E+307,'Returns (Calc)'!$A:$A)-3),"")</f>
        <v>76.982830188679245</v>
      </c>
      <c r="AK9" s="152">
        <f>IFERROR('Price History'!Q3+(INDEX('Price History'!Q:Q,MATCH(9.99E+307,'Returns (Calc)'!$A:$A)+1)-'Price History'!Q3)*(ROW()-3)/(MATCH(9.99E+307,'Returns (Calc)'!$A:$A)-3),"")</f>
        <v>2.6403773584905661</v>
      </c>
      <c r="AL9" s="152">
        <f>IFERROR('Price History'!R3+(INDEX('Price History'!R:R,MATCH(9.99E+307,'Returns (Calc)'!$A:$A)+1)-'Price History'!R3)*(ROW()-3)/(MATCH(9.99E+307,'Returns (Calc)'!$A:$A)-3),"")</f>
        <v>35.484150943396223</v>
      </c>
      <c r="AM9" s="152">
        <f>IFERROR('Price History'!S3+(INDEX('Price History'!S:S,MATCH(9.99E+307,'Returns (Calc)'!$A:$A)+1)-'Price History'!S3)*(ROW()-3)/(MATCH(9.99E+307,'Returns (Calc)'!$A:$A)-3),"")</f>
        <v>61.159433962264153</v>
      </c>
      <c r="AN9" s="152">
        <f>IFERROR('Price History'!T3+(INDEX('Price History'!T:T,MATCH(9.99E+307,'Returns (Calc)'!$A:$A)+1)-'Price History'!T3)*(ROW()-3)/(MATCH(9.99E+307,'Returns (Calc)'!$A:$A)-3),"")</f>
        <v>26.281509433962263</v>
      </c>
      <c r="AO9" s="153">
        <f>IFERROR('Price History'!V3+(INDEX('Price History'!V:V,MATCH(9.99E+307,'Returns (Calc)'!$A:$A)+1)-'Price History'!V3)*(ROW()-3)/(MATCH(9.99E+307,'Returns (Calc)'!$A:$A)-3),"")</f>
        <v>241.28358490566038</v>
      </c>
      <c r="AP9" s="151">
        <f>IFERROR(IF(OR(NOT(ISNUMBER('Price History'!W10)),NOT(ISNUMBER('Price History'!W9)),'Price History'!W9=0),"",'Price History'!W10/'Price History'!W9-1),"")</f>
        <v>5.1781002638522589E-2</v>
      </c>
      <c r="AQ9" s="151" t="str">
        <f>IFERROR(IF(OR(NOT(ISNUMBER('Price History'!X10)),NOT(ISNUMBER('Price History'!X9)),'Price History'!X9=0),"",'Price History'!X10/'Price History'!X9-1),"")</f>
        <v/>
      </c>
      <c r="AR9" s="151">
        <f>IFERROR(IF(OR(NOT(ISNUMBER('Price History'!Y10)),NOT(ISNUMBER('Price History'!Y9)),'Price History'!Y9=0),"",'Price History'!Y10/'Price History'!Y9-1),"")</f>
        <v>4.7513540128015785E-2</v>
      </c>
      <c r="AS9" s="151">
        <f>IFERROR(IF(OR(NOT(ISNUMBER('Price History'!Z10)),NOT(ISNUMBER('Price History'!Z9)),'Price History'!Z9=0),"",'Price History'!Z10/'Price History'!Z9-1),"")</f>
        <v>2.4174246050741921E-2</v>
      </c>
      <c r="AT9" s="151">
        <f>IFERROR(IF(OR(NOT(ISNUMBER('Price History'!AA10)),NOT(ISNUMBER('Price History'!AA9)),'Price History'!AA9=0),"",'Price History'!AA10/'Price History'!AA9-1),"")</f>
        <v>8.6705202312138852E-2</v>
      </c>
      <c r="AU9" s="151">
        <f>IFERROR(IF(OR(NOT(ISNUMBER('Price History'!AB10)),NOT(ISNUMBER('Price History'!AB9)),'Price History'!AB9=0),"",'Price History'!AB10/'Price History'!AB9-1),"")</f>
        <v>2.6751794005909657E-2</v>
      </c>
    </row>
    <row r="10" spans="1:47" ht="15" customHeight="1" x14ac:dyDescent="0.2">
      <c r="A10" s="149">
        <f>IF('Price History'!A11="","",'Price History'!A11)</f>
        <v>45240</v>
      </c>
      <c r="B10" s="150">
        <f>IFERROR(IF(OR(NOT(ISNUMBER('Price History'!B11)),NOT(ISNUMBER('Price History'!B10)),'Price History'!B10=0),"",'Price History'!B11/'Price History'!B10-1),"")</f>
        <v>5.953943866870115E-2</v>
      </c>
      <c r="C10" s="150">
        <f>IFERROR(IF(OR(NOT(ISNUMBER('Price History'!C11)),NOT(ISNUMBER('Price History'!C10)),'Price History'!C10=0),"",'Price History'!C11/'Price History'!C10-1),"")</f>
        <v>-2.654367469879515E-2</v>
      </c>
      <c r="D10" s="150">
        <f>IFERROR(IF(OR(NOT(ISNUMBER('Price History'!D11)),NOT(ISNUMBER('Price History'!D10)),'Price History'!D10=0),"",'Price History'!D11/'Price History'!D10-1),"")</f>
        <v>2.9383675028651579E-2</v>
      </c>
      <c r="E10" s="150">
        <f>IFERROR(IF(OR(NOT(ISNUMBER('Price History'!E11)),NOT(ISNUMBER('Price History'!E10)),'Price History'!E10=0),"",'Price History'!E11/'Price History'!E10-1),"")</f>
        <v>8.4727911059098826E-2</v>
      </c>
      <c r="F10" s="150">
        <f>IFERROR(IF(OR(NOT(ISNUMBER('Price History'!F11)),NOT(ISNUMBER('Price History'!F10)),'Price History'!F10=0),"",'Price History'!F11/'Price History'!F10-1),"")</f>
        <v>4.2923926901827336E-2</v>
      </c>
      <c r="G10" s="150">
        <f>IFERROR(IF(OR(NOT(ISNUMBER('Price History'!G11)),NOT(ISNUMBER('Price History'!G10)),'Price History'!G10=0),"",'Price History'!G11/'Price History'!G10-1),"")</f>
        <v>6.9276491084238723E-2</v>
      </c>
      <c r="H10" s="150">
        <f>IFERROR(IF(OR(NOT(ISNUMBER('Price History'!H11)),NOT(ISNUMBER('Price History'!H10)),'Price History'!H10=0),"",'Price History'!H11/'Price History'!H10-1),"")</f>
        <v>3.8247566063977834E-2</v>
      </c>
      <c r="I10" s="150">
        <f>IFERROR(IF(OR(NOT(ISNUMBER('Price History'!I11)),NOT(ISNUMBER('Price History'!I10)),'Price History'!I10=0),"",'Price History'!I11/'Price History'!I10-1),"")</f>
        <v>7.3991531089814933E-2</v>
      </c>
      <c r="J10" s="150">
        <f>IFERROR(IF(OR(NOT(ISNUMBER('Price History'!J11)),NOT(ISNUMBER('Price History'!J10)),'Price History'!J10=0),"",'Price History'!J11/'Price History'!J10-1),"")</f>
        <v>-1.8709944180276938E-2</v>
      </c>
      <c r="K10" s="150">
        <f>IFERROR(IF(OR(NOT(ISNUMBER('Price History'!K11)),NOT(ISNUMBER('Price History'!K10)),'Price History'!K10=0),"",'Price History'!K11/'Price History'!K10-1),"")</f>
        <v>4.1291688724192754E-2</v>
      </c>
      <c r="L10" s="150">
        <f>IFERROR(IF(OR(NOT(ISNUMBER('Price History'!L11)),NOT(ISNUMBER('Price History'!L10)),'Price History'!L10=0),"",'Price History'!L11/'Price History'!L10-1),"")</f>
        <v>6.1571606758135999E-2</v>
      </c>
      <c r="M10" s="150">
        <f>IFERROR(IF(OR(NOT(ISNUMBER('Price History'!M11)),NOT(ISNUMBER('Price History'!M10)),'Price History'!M10=0),"",'Price History'!M11/'Price History'!M10-1),"")</f>
        <v>3.4508440913604721E-2</v>
      </c>
      <c r="N10" s="150">
        <f>IFERROR(IF(OR(NOT(ISNUMBER('Price History'!N11)),NOT(ISNUMBER('Price History'!N10)),'Price History'!N10=0),"",'Price History'!N11/'Price History'!N10-1),"")</f>
        <v>-6.7783094098884389E-3</v>
      </c>
      <c r="O10" s="150">
        <f>IFERROR(IF(OR(NOT(ISNUMBER('Price History'!O11)),NOT(ISNUMBER('Price History'!O10)),'Price History'!O10=0),"",'Price History'!O11/'Price History'!O10-1),"")</f>
        <v>-3.415154749199556E-2</v>
      </c>
      <c r="P10" s="150">
        <f>IFERROR(IF(OR(NOT(ISNUMBER('Price History'!P11)),NOT(ISNUMBER('Price History'!P10)),'Price History'!P10=0),"",'Price History'!P11/'Price History'!P10-1),"")</f>
        <v>-2.2592516867716128E-2</v>
      </c>
      <c r="Q10" s="150">
        <f>IFERROR(IF(OR(NOT(ISNUMBER('Price History'!Q11)),NOT(ISNUMBER('Price History'!Q10)),'Price History'!Q10=0),"",'Price History'!Q11/'Price History'!Q10-1),"")</f>
        <v>1.0048231511254002E-2</v>
      </c>
      <c r="R10" s="150">
        <f>IFERROR(IF(OR(NOT(ISNUMBER('Price History'!R11)),NOT(ISNUMBER('Price History'!R10)),'Price History'!R10=0),"",'Price History'!R11/'Price History'!R10-1),"")</f>
        <v>2.080323605894252E-2</v>
      </c>
      <c r="S10" s="150">
        <f>IFERROR(IF(OR(NOT(ISNUMBER('Price History'!S11)),NOT(ISNUMBER('Price History'!S10)),'Price History'!S10=0),"",'Price History'!S11/'Price History'!S10-1),"")</f>
        <v>2.9442508710801452E-2</v>
      </c>
      <c r="T10" s="150">
        <f>IFERROR(IF(OR(NOT(ISNUMBER('Price History'!T11)),NOT(ISNUMBER('Price History'!T10)),'Price History'!T10=0),"",'Price History'!T11/'Price History'!T10-1),"")</f>
        <v>-6.3770426464726526E-3</v>
      </c>
      <c r="U10" s="150">
        <f>IFERROR(IF(OR(NOT(ISNUMBER('Price History'!U11)),NOT(ISNUMBER('Price History'!U10)),'Price History'!U10=0),"",'Price History'!U11/'Price History'!U10-1),"")</f>
        <v>-1.1434016198189512E-2</v>
      </c>
      <c r="V10" s="151">
        <f>IFERROR(IF(OR(NOT(ISNUMBER('Price History'!V11)),NOT(ISNUMBER('Price History'!V10)),'Price History'!V10=0),"",'Price History'!V11/'Price History'!V10-1),"")</f>
        <v>8.9034479862246663E-3</v>
      </c>
      <c r="W10" s="152">
        <f>IFERROR('Price History'!B3+(INDEX('Price History'!B:B,MATCH(9.99E+307,'Returns (Calc)'!$A:$A)+1)-'Price History'!B3)*(ROW()-3)/(MATCH(9.99E+307,'Returns (Calc)'!$A:$A)-3),"")</f>
        <v>516.27150943396225</v>
      </c>
      <c r="X10" s="152">
        <f>IFERROR('Price History'!C3+(INDEX('Price History'!C:C,MATCH(9.99E+307,'Returns (Calc)'!$A:$A)+1)-'Price History'!C3)*(ROW()-3)/(MATCH(9.99E+307,'Returns (Calc)'!$A:$A)-3),"")</f>
        <v>53.688930817610064</v>
      </c>
      <c r="Y10" s="152">
        <f>IFERROR('Price History'!D3+(INDEX('Price History'!D:D,MATCH(9.99E+307,'Returns (Calc)'!$A:$A)+1)-'Price History'!D3)*(ROW()-3)/(MATCH(9.99E+307,'Returns (Calc)'!$A:$A)-3),"")</f>
        <v>634.76666666666665</v>
      </c>
      <c r="Z10" s="152">
        <f>IFERROR('Price History'!E3+(INDEX('Price History'!E:E,MATCH(9.99E+307,'Returns (Calc)'!$A:$A)+1)-'Price History'!E3)*(ROW()-3)/(MATCH(9.99E+307,'Returns (Calc)'!$A:$A)-3),"")</f>
        <v>94.306792452830194</v>
      </c>
      <c r="AA10" s="152">
        <f>IFERROR('Price History'!F3+(INDEX('Price History'!F:F,MATCH(9.99E+307,'Returns (Calc)'!$A:$A)+1)-'Price History'!F3)*(ROW()-3)/(MATCH(9.99E+307,'Returns (Calc)'!$A:$A)-3),"")</f>
        <v>51.647798742138363</v>
      </c>
      <c r="AB10" s="152">
        <f>IFERROR('Price History'!G3+(INDEX('Price History'!G:G,MATCH(9.99E+307,'Returns (Calc)'!$A:$A)+1)-'Price History'!G3)*(ROW()-3)/(MATCH(9.99E+307,'Returns (Calc)'!$A:$A)-3),"")</f>
        <v>51.007484276729564</v>
      </c>
      <c r="AC10" s="152">
        <f>IFERROR('Price History'!H3+(INDEX('Price History'!H:H,MATCH(9.99E+307,'Returns (Calc)'!$A:$A)+1)-'Price History'!H3)*(ROW()-3)/(MATCH(9.99E+307,'Returns (Calc)'!$A:$A)-3),"")</f>
        <v>111.36930817610062</v>
      </c>
      <c r="AD10" s="152">
        <f>IFERROR('Price History'!I3+(INDEX('Price History'!I:I,MATCH(9.99E+307,'Returns (Calc)'!$A:$A)+1)-'Price History'!I3)*(ROW()-3)/(MATCH(9.99E+307,'Returns (Calc)'!$A:$A)-3),"")</f>
        <v>51.937106918238996</v>
      </c>
      <c r="AE10" s="152">
        <f>IFERROR('Price History'!J3+(INDEX('Price History'!J:J,MATCH(9.99E+307,'Returns (Calc)'!$A:$A)+1)-'Price History'!J3)*(ROW()-3)/(MATCH(9.99E+307,'Returns (Calc)'!$A:$A)-3),"")</f>
        <v>112.61704402515724</v>
      </c>
      <c r="AF10" s="152">
        <f>IFERROR('Price History'!K3+(INDEX('Price History'!K:K,MATCH(9.99E+307,'Returns (Calc)'!$A:$A)+1)-'Price History'!K3)*(ROW()-3)/(MATCH(9.99E+307,'Returns (Calc)'!$A:$A)-3),"")</f>
        <v>23.858553459119499</v>
      </c>
      <c r="AG10" s="152">
        <f>IFERROR('Price History'!L3+(INDEX('Price History'!L:L,MATCH(9.99E+307,'Returns (Calc)'!$A:$A)+1)-'Price History'!L3)*(ROW()-3)/(MATCH(9.99E+307,'Returns (Calc)'!$A:$A)-3),"")</f>
        <v>101.93188679245283</v>
      </c>
      <c r="AH10" s="152">
        <f>IFERROR('Price History'!M3+(INDEX('Price History'!M:M,MATCH(9.99E+307,'Returns (Calc)'!$A:$A)+1)-'Price History'!M3)*(ROW()-3)/(MATCH(9.99E+307,'Returns (Calc)'!$A:$A)-3),"")</f>
        <v>47.034591194968556</v>
      </c>
      <c r="AI10" s="152">
        <f>IFERROR('Price History'!N3+(INDEX('Price History'!N:N,MATCH(9.99E+307,'Returns (Calc)'!$A:$A)+1)-'Price History'!N3)*(ROW()-3)/(MATCH(9.99E+307,'Returns (Calc)'!$A:$A)-3),"")</f>
        <v>355.99597484276728</v>
      </c>
      <c r="AJ10" s="152">
        <f>IFERROR('Price History'!O3+(INDEX('Price History'!O:O,MATCH(9.99E+307,'Returns (Calc)'!$A:$A)+1)-'Price History'!O3)*(ROW()-3)/(MATCH(9.99E+307,'Returns (Calc)'!$A:$A)-3),"")</f>
        <v>77.261635220125783</v>
      </c>
      <c r="AK10" s="152">
        <f>IFERROR('Price History'!Q3+(INDEX('Price History'!Q:Q,MATCH(9.99E+307,'Returns (Calc)'!$A:$A)+1)-'Price History'!Q3)*(ROW()-3)/(MATCH(9.99E+307,'Returns (Calc)'!$A:$A)-3),"")</f>
        <v>3.0804402515723268</v>
      </c>
      <c r="AL10" s="152">
        <f>IFERROR('Price History'!R3+(INDEX('Price History'!R:R,MATCH(9.99E+307,'Returns (Calc)'!$A:$A)+1)-'Price History'!R3)*(ROW()-3)/(MATCH(9.99E+307,'Returns (Calc)'!$A:$A)-3),"")</f>
        <v>35.651509433962261</v>
      </c>
      <c r="AM10" s="152">
        <f>IFERROR('Price History'!S3+(INDEX('Price History'!S:S,MATCH(9.99E+307,'Returns (Calc)'!$A:$A)+1)-'Price History'!S3)*(ROW()-3)/(MATCH(9.99E+307,'Returns (Calc)'!$A:$A)-3),"")</f>
        <v>61.747672955974849</v>
      </c>
      <c r="AN10" s="152">
        <f>IFERROR('Price History'!T3+(INDEX('Price History'!T:T,MATCH(9.99E+307,'Returns (Calc)'!$A:$A)+1)-'Price History'!T3)*(ROW()-3)/(MATCH(9.99E+307,'Returns (Calc)'!$A:$A)-3),"")</f>
        <v>26.45509433962264</v>
      </c>
      <c r="AO10" s="153">
        <f>IFERROR('Price History'!V3+(INDEX('Price History'!V:V,MATCH(9.99E+307,'Returns (Calc)'!$A:$A)+1)-'Price History'!V3)*(ROW()-3)/(MATCH(9.99E+307,'Returns (Calc)'!$A:$A)-3),"")</f>
        <v>242.22584905660378</v>
      </c>
      <c r="AP10" s="151">
        <f>IFERROR(IF(OR(NOT(ISNUMBER('Price History'!W11)),NOT(ISNUMBER('Price History'!W10)),'Price History'!W10=0),"",'Price History'!W11/'Price History'!W10-1),"")</f>
        <v>-1.1288805268109159E-2</v>
      </c>
      <c r="AQ10" s="151" t="str">
        <f>IFERROR(IF(OR(NOT(ISNUMBER('Price History'!X11)),NOT(ISNUMBER('Price History'!X10)),'Price History'!X10=0),"",'Price History'!X11/'Price History'!X10-1),"")</f>
        <v/>
      </c>
      <c r="AR10" s="151">
        <f>IFERROR(IF(OR(NOT(ISNUMBER('Price History'!Y11)),NOT(ISNUMBER('Price History'!Y10)),'Price History'!Y10=0),"",'Price History'!Y11/'Price History'!Y10-1),"")</f>
        <v>3.9952996474736935E-3</v>
      </c>
      <c r="AS10" s="151">
        <f>IFERROR(IF(OR(NOT(ISNUMBER('Price History'!Z11)),NOT(ISNUMBER('Price History'!Z10)),'Price History'!Z10=0),"",'Price History'!Z11/'Price History'!Z10-1),"")</f>
        <v>5.8308015891563425E-2</v>
      </c>
      <c r="AT10" s="151">
        <f>IFERROR(IF(OR(NOT(ISNUMBER('Price History'!AA11)),NOT(ISNUMBER('Price History'!AA10)),'Price History'!AA10=0),"",'Price History'!AA11/'Price History'!AA10-1),"")</f>
        <v>3.4227567067530051E-2</v>
      </c>
      <c r="AU10" s="151">
        <f>IFERROR(IF(OR(NOT(ISNUMBER('Price History'!AB11)),NOT(ISNUMBER('Price History'!AB10)),'Price History'!AB10=0),"",'Price History'!AB11/'Price History'!AB10-1),"")</f>
        <v>-0.1516521917878616</v>
      </c>
    </row>
    <row r="11" spans="1:47" ht="15" customHeight="1" x14ac:dyDescent="0.2">
      <c r="A11" s="149">
        <f>IF('Price History'!A12="","",'Price History'!A12)</f>
        <v>45247</v>
      </c>
      <c r="B11" s="150">
        <f>IFERROR(IF(OR(NOT(ISNUMBER('Price History'!B12)),NOT(ISNUMBER('Price History'!B11)),'Price History'!B11=0),"",'Price History'!B12/'Price History'!B11-1),"")</f>
        <v>9.1088711027760283E-3</v>
      </c>
      <c r="C11" s="150">
        <f>IFERROR(IF(OR(NOT(ISNUMBER('Price History'!C12)),NOT(ISNUMBER('Price History'!C11)),'Price History'!C11=0),"",'Price History'!C12/'Price History'!C11-1),"")</f>
        <v>3.7710307484045469E-2</v>
      </c>
      <c r="D11" s="150">
        <f>IFERROR(IF(OR(NOT(ISNUMBER('Price History'!D12)),NOT(ISNUMBER('Price History'!D11)),'Price History'!D11=0),"",'Price History'!D12/'Price History'!D11-1),"")</f>
        <v>3.7513530230400383E-2</v>
      </c>
      <c r="E11" s="150">
        <f>IFERROR(IF(OR(NOT(ISNUMBER('Price History'!E12)),NOT(ISNUMBER('Price History'!E11)),'Price History'!E11=0),"",'Price History'!E12/'Price History'!E11-1),"")</f>
        <v>2.1145754666091365E-2</v>
      </c>
      <c r="F11" s="150">
        <f>IFERROR(IF(OR(NOT(ISNUMBER('Price History'!F12)),NOT(ISNUMBER('Price History'!F11)),'Price History'!F11=0),"",'Price History'!F12/'Price History'!F11-1),"")</f>
        <v>5.4808475957620395E-2</v>
      </c>
      <c r="G11" s="150">
        <f>IFERROR(IF(OR(NOT(ISNUMBER('Price History'!G12)),NOT(ISNUMBER('Price History'!G11)),'Price History'!G11=0),"",'Price History'!G12/'Price History'!G11-1),"")</f>
        <v>2.204331991566022E-2</v>
      </c>
      <c r="H11" s="150">
        <f>IFERROR(IF(OR(NOT(ISNUMBER('Price History'!H12)),NOT(ISNUMBER('Price History'!H11)),'Price History'!H11=0),"",'Price History'!H12/'Price History'!H11-1),"")</f>
        <v>2.920294708640303E-2</v>
      </c>
      <c r="I11" s="150">
        <f>IFERROR(IF(OR(NOT(ISNUMBER('Price History'!I12)),NOT(ISNUMBER('Price History'!I11)),'Price History'!I11=0),"",'Price History'!I12/'Price History'!I11-1),"")</f>
        <v>1.9921145465864321E-2</v>
      </c>
      <c r="J11" s="150">
        <f>IFERROR(IF(OR(NOT(ISNUMBER('Price History'!J12)),NOT(ISNUMBER('Price History'!J11)),'Price History'!J11=0),"",'Price History'!J12/'Price History'!J11-1),"")</f>
        <v>5.2775729484883405E-2</v>
      </c>
      <c r="K11" s="150">
        <f>IFERROR(IF(OR(NOT(ISNUMBER('Price History'!K12)),NOT(ISNUMBER('Price History'!K11)),'Price History'!K11=0),"",'Price History'!K12/'Price History'!K11-1),"")</f>
        <v>4.1687849517030751E-2</v>
      </c>
      <c r="L11" s="150">
        <f>IFERROR(IF(OR(NOT(ISNUMBER('Price History'!L12)),NOT(ISNUMBER('Price History'!L11)),'Price History'!L11=0),"",'Price History'!L12/'Price History'!L11-1),"")</f>
        <v>2.2003845332194016E-2</v>
      </c>
      <c r="M11" s="150">
        <f>IFERROR(IF(OR(NOT(ISNUMBER('Price History'!M12)),NOT(ISNUMBER('Price History'!M11)),'Price History'!M11=0),"",'Price History'!M12/'Price History'!M11-1),"")</f>
        <v>3.4797216222702154E-2</v>
      </c>
      <c r="N11" s="150">
        <f>IFERROR(IF(OR(NOT(ISNUMBER('Price History'!N12)),NOT(ISNUMBER('Price History'!N11)),'Price History'!N11=0),"",'Price History'!N12/'Price History'!N11-1),"")</f>
        <v>-6.1956376287970016E-2</v>
      </c>
      <c r="O11" s="150">
        <f>IFERROR(IF(OR(NOT(ISNUMBER('Price History'!O12)),NOT(ISNUMBER('Price History'!O11)),'Price History'!O11=0),"",'Price History'!O12/'Price History'!O11-1),"")</f>
        <v>5.5524861878452958E-2</v>
      </c>
      <c r="P11" s="150">
        <f>IFERROR(IF(OR(NOT(ISNUMBER('Price History'!P12)),NOT(ISNUMBER('Price History'!P11)),'Price History'!P11=0),"",'Price History'!P12/'Price History'!P11-1),"")</f>
        <v>3.5456542202698449E-2</v>
      </c>
      <c r="Q11" s="150">
        <f>IFERROR(IF(OR(NOT(ISNUMBER('Price History'!Q12)),NOT(ISNUMBER('Price History'!Q11)),'Price History'!Q11=0),"",'Price History'!Q12/'Price History'!Q11-1),"")</f>
        <v>1.2932749701551893E-2</v>
      </c>
      <c r="R11" s="150">
        <f>IFERROR(IF(OR(NOT(ISNUMBER('Price History'!R12)),NOT(ISNUMBER('Price History'!R11)),'Price History'!R11=0),"",'Price History'!R12/'Price History'!R11-1),"")</f>
        <v>9.3405038211151759E-3</v>
      </c>
      <c r="S11" s="150">
        <f>IFERROR(IF(OR(NOT(ISNUMBER('Price History'!S12)),NOT(ISNUMBER('Price History'!S11)),'Price History'!S11=0),"",'Price History'!S12/'Price History'!S11-1),"")</f>
        <v>2.1661871721103232E-2</v>
      </c>
      <c r="T11" s="150">
        <f>IFERROR(IF(OR(NOT(ISNUMBER('Price History'!T12)),NOT(ISNUMBER('Price History'!T11)),'Price History'!T11=0),"",'Price History'!T12/'Price History'!T11-1),"")</f>
        <v>2.5671881267549157E-2</v>
      </c>
      <c r="U11" s="150">
        <f>IFERROR(IF(OR(NOT(ISNUMBER('Price History'!U12)),NOT(ISNUMBER('Price History'!U11)),'Price History'!U11=0),"",'Price History'!U12/'Price History'!U11-1),"")</f>
        <v>2.4096385542168752E-2</v>
      </c>
      <c r="V11" s="151">
        <f>IFERROR(IF(OR(NOT(ISNUMBER('Price History'!V12)),NOT(ISNUMBER('Price History'!V11)),'Price History'!V11=0),"",'Price History'!V12/'Price History'!V11-1),"")</f>
        <v>1.7566498772010108E-2</v>
      </c>
      <c r="W11" s="152">
        <f>IFERROR('Price History'!B3+(INDEX('Price History'!B:B,MATCH(9.99E+307,'Returns (Calc)'!$A:$A)+1)-'Price History'!B3)*(ROW()-3)/(MATCH(9.99E+307,'Returns (Calc)'!$A:$A)-3),"")</f>
        <v>514.46886792452824</v>
      </c>
      <c r="X11" s="152">
        <f>IFERROR('Price History'!C3+(INDEX('Price History'!C:C,MATCH(9.99E+307,'Returns (Calc)'!$A:$A)+1)-'Price History'!C3)*(ROW()-3)/(MATCH(9.99E+307,'Returns (Calc)'!$A:$A)-3),"")</f>
        <v>54.761635220125783</v>
      </c>
      <c r="Y11" s="152">
        <f>IFERROR('Price History'!D3+(INDEX('Price History'!D:D,MATCH(9.99E+307,'Returns (Calc)'!$A:$A)+1)-'Price History'!D3)*(ROW()-3)/(MATCH(9.99E+307,'Returns (Calc)'!$A:$A)-3),"")</f>
        <v>642.30333333333328</v>
      </c>
      <c r="Z11" s="152">
        <f>IFERROR('Price History'!E3+(INDEX('Price History'!E:E,MATCH(9.99E+307,'Returns (Calc)'!$A:$A)+1)-'Price History'!E3)*(ROW()-3)/(MATCH(9.99E+307,'Returns (Calc)'!$A:$A)-3),"")</f>
        <v>96.064905660377363</v>
      </c>
      <c r="AA11" s="152">
        <f>IFERROR('Price History'!F3+(INDEX('Price History'!F:F,MATCH(9.99E+307,'Returns (Calc)'!$A:$A)+1)-'Price History'!F3)*(ROW()-3)/(MATCH(9.99E+307,'Returns (Calc)'!$A:$A)-3),"")</f>
        <v>53.117484276729556</v>
      </c>
      <c r="AB11" s="152">
        <f>IFERROR('Price History'!G3+(INDEX('Price History'!G:G,MATCH(9.99E+307,'Returns (Calc)'!$A:$A)+1)-'Price History'!G3)*(ROW()-3)/(MATCH(9.99E+307,'Returns (Calc)'!$A:$A)-3),"")</f>
        <v>51.9585534591195</v>
      </c>
      <c r="AC11" s="152">
        <f>IFERROR('Price History'!H3+(INDEX('Price History'!H:H,MATCH(9.99E+307,'Returns (Calc)'!$A:$A)+1)-'Price History'!H3)*(ROW()-3)/(MATCH(9.99E+307,'Returns (Calc)'!$A:$A)-3),"")</f>
        <v>117.40635220125786</v>
      </c>
      <c r="AD11" s="152">
        <f>IFERROR('Price History'!I3+(INDEX('Price History'!I:I,MATCH(9.99E+307,'Returns (Calc)'!$A:$A)+1)-'Price History'!I3)*(ROW()-3)/(MATCH(9.99E+307,'Returns (Calc)'!$A:$A)-3),"")</f>
        <v>53.103836477987421</v>
      </c>
      <c r="AE11" s="152">
        <f>IFERROR('Price History'!J3+(INDEX('Price History'!J:J,MATCH(9.99E+307,'Returns (Calc)'!$A:$A)+1)-'Price History'!J3)*(ROW()-3)/(MATCH(9.99E+307,'Returns (Calc)'!$A:$A)-3),"")</f>
        <v>112.72805031446541</v>
      </c>
      <c r="AF11" s="152">
        <f>IFERROR('Price History'!K3+(INDEX('Price History'!K:K,MATCH(9.99E+307,'Returns (Calc)'!$A:$A)+1)-'Price History'!K3)*(ROW()-3)/(MATCH(9.99E+307,'Returns (Calc)'!$A:$A)-3),"")</f>
        <v>25.076918238993713</v>
      </c>
      <c r="AG11" s="152">
        <f>IFERROR('Price History'!L3+(INDEX('Price History'!L:L,MATCH(9.99E+307,'Returns (Calc)'!$A:$A)+1)-'Price History'!L3)*(ROW()-3)/(MATCH(9.99E+307,'Returns (Calc)'!$A:$A)-3),"")</f>
        <v>104.24358490566038</v>
      </c>
      <c r="AH11" s="152">
        <f>IFERROR('Price History'!M3+(INDEX('Price History'!M:M,MATCH(9.99E+307,'Returns (Calc)'!$A:$A)+1)-'Price History'!M3)*(ROW()-3)/(MATCH(9.99E+307,'Returns (Calc)'!$A:$A)-3),"")</f>
        <v>48.322389937106919</v>
      </c>
      <c r="AI11" s="152">
        <f>IFERROR('Price History'!N3+(INDEX('Price History'!N:N,MATCH(9.99E+307,'Returns (Calc)'!$A:$A)+1)-'Price History'!N3)*(ROW()-3)/(MATCH(9.99E+307,'Returns (Calc)'!$A:$A)-3),"")</f>
        <v>357.0096855345912</v>
      </c>
      <c r="AJ11" s="152">
        <f>IFERROR('Price History'!O3+(INDEX('Price History'!O:O,MATCH(9.99E+307,'Returns (Calc)'!$A:$A)+1)-'Price History'!O3)*(ROW()-3)/(MATCH(9.99E+307,'Returns (Calc)'!$A:$A)-3),"")</f>
        <v>77.540440251572335</v>
      </c>
      <c r="AK11" s="152">
        <f>IFERROR('Price History'!Q3+(INDEX('Price History'!Q:Q,MATCH(9.99E+307,'Returns (Calc)'!$A:$A)+1)-'Price History'!Q3)*(ROW()-3)/(MATCH(9.99E+307,'Returns (Calc)'!$A:$A)-3),"")</f>
        <v>3.520503144654088</v>
      </c>
      <c r="AL11" s="152">
        <f>IFERROR('Price History'!R3+(INDEX('Price History'!R:R,MATCH(9.99E+307,'Returns (Calc)'!$A:$A)+1)-'Price History'!R3)*(ROW()-3)/(MATCH(9.99E+307,'Returns (Calc)'!$A:$A)-3),"")</f>
        <v>35.818867924528298</v>
      </c>
      <c r="AM11" s="152">
        <f>IFERROR('Price History'!S3+(INDEX('Price History'!S:S,MATCH(9.99E+307,'Returns (Calc)'!$A:$A)+1)-'Price History'!S3)*(ROW()-3)/(MATCH(9.99E+307,'Returns (Calc)'!$A:$A)-3),"")</f>
        <v>62.335911949685539</v>
      </c>
      <c r="AN11" s="152">
        <f>IFERROR('Price History'!T3+(INDEX('Price History'!T:T,MATCH(9.99E+307,'Returns (Calc)'!$A:$A)+1)-'Price History'!T3)*(ROW()-3)/(MATCH(9.99E+307,'Returns (Calc)'!$A:$A)-3),"")</f>
        <v>26.628679245283017</v>
      </c>
      <c r="AO11" s="153">
        <f>IFERROR('Price History'!V3+(INDEX('Price History'!V:V,MATCH(9.99E+307,'Returns (Calc)'!$A:$A)+1)-'Price History'!V3)*(ROW()-3)/(MATCH(9.99E+307,'Returns (Calc)'!$A:$A)-3),"")</f>
        <v>243.16811320754715</v>
      </c>
      <c r="AP11" s="151">
        <f>IFERROR(IF(OR(NOT(ISNUMBER('Price History'!W12)),NOT(ISNUMBER('Price History'!W11)),'Price History'!W11=0),"",'Price History'!W12/'Price History'!W11-1),"")</f>
        <v>2.5584099799133009E-2</v>
      </c>
      <c r="AQ11" s="151" t="str">
        <f>IFERROR(IF(OR(NOT(ISNUMBER('Price History'!X12)),NOT(ISNUMBER('Price History'!X11)),'Price History'!X11=0),"",'Price History'!X12/'Price History'!X11-1),"")</f>
        <v/>
      </c>
      <c r="AR11" s="151">
        <f>IFERROR(IF(OR(NOT(ISNUMBER('Price History'!Y12)),NOT(ISNUMBER('Price History'!Y11)),'Price History'!Y11=0),"",'Price History'!Y12/'Price History'!Y11-1),"")</f>
        <v>8.6610486891387506E-3</v>
      </c>
      <c r="AS11" s="151">
        <f>IFERROR(IF(OR(NOT(ISNUMBER('Price History'!Z12)),NOT(ISNUMBER('Price History'!Z11)),'Price History'!Z11=0),"",'Price History'!Z12/'Price History'!Z11-1),"")</f>
        <v>4.041073203047385E-2</v>
      </c>
      <c r="AT11" s="151">
        <f>IFERROR(IF(OR(NOT(ISNUMBER('Price History'!AA12)),NOT(ISNUMBER('Price History'!AA11)),'Price History'!AA11=0),"",'Price History'!AA12/'Price History'!AA11-1),"")</f>
        <v>4.1815742397137923E-2</v>
      </c>
      <c r="AU11" s="151">
        <f>IFERROR(IF(OR(NOT(ISNUMBER('Price History'!AB12)),NOT(ISNUMBER('Price History'!AB11)),'Price History'!AB11=0),"",'Price History'!AB12/'Price History'!AB11-1),"")</f>
        <v>6.9420886842742835E-2</v>
      </c>
    </row>
    <row r="12" spans="1:47" ht="15" customHeight="1" x14ac:dyDescent="0.2">
      <c r="A12" s="149">
        <f>IF('Price History'!A13="","",'Price History'!A13)</f>
        <v>45254</v>
      </c>
      <c r="B12" s="150">
        <f>IFERROR(IF(OR(NOT(ISNUMBER('Price History'!B13)),NOT(ISNUMBER('Price History'!B12)),'Price History'!B12=0),"",'Price History'!B13/'Price History'!B12-1),"")</f>
        <v>2.7826635250389975E-2</v>
      </c>
      <c r="C12" s="150">
        <f>IFERROR(IF(OR(NOT(ISNUMBER('Price History'!C13)),NOT(ISNUMBER('Price History'!C12)),'Price History'!C12=0),"",'Price History'!C13/'Price History'!C12-1),"")</f>
        <v>1.7517704062616657E-2</v>
      </c>
      <c r="D12" s="150">
        <f>IFERROR(IF(OR(NOT(ISNUMBER('Price History'!D13)),NOT(ISNUMBER('Price History'!D12)),'Price History'!D12=0),"",'Price History'!D13/'Price History'!D12-1),"")</f>
        <v>7.4222010253963688E-3</v>
      </c>
      <c r="E12" s="150">
        <f>IFERROR(IF(OR(NOT(ISNUMBER('Price History'!E13)),NOT(ISNUMBER('Price History'!E12)),'Price History'!E12=0),"",'Price History'!E13/'Price History'!E12-1),"")</f>
        <v>1.1621764395139955E-3</v>
      </c>
      <c r="F12" s="150">
        <f>IFERROR(IF(OR(NOT(ISNUMBER('Price History'!F13)),NOT(ISNUMBER('Price History'!F12)),'Price History'!F12=0),"",'Price History'!F13/'Price History'!F12-1),"")</f>
        <v>1.7384585667374886E-2</v>
      </c>
      <c r="G12" s="150">
        <f>IFERROR(IF(OR(NOT(ISNUMBER('Price History'!G13)),NOT(ISNUMBER('Price History'!G12)),'Price History'!G12=0),"",'Price History'!G13/'Price History'!G12-1),"")</f>
        <v>2.0442610652663173E-2</v>
      </c>
      <c r="H12" s="150">
        <f>IFERROR(IF(OR(NOT(ISNUMBER('Price History'!H13)),NOT(ISNUMBER('Price History'!H12)),'Price History'!H12=0),"",'Price History'!H13/'Price History'!H12-1),"")</f>
        <v>-8.8507093583234386E-3</v>
      </c>
      <c r="I12" s="150">
        <f>IFERROR(IF(OR(NOT(ISNUMBER('Price History'!I13)),NOT(ISNUMBER('Price History'!I12)),'Price History'!I12=0),"",'Price History'!I13/'Price History'!I12-1),"")</f>
        <v>-3.0925737538148423E-2</v>
      </c>
      <c r="J12" s="150">
        <f>IFERROR(IF(OR(NOT(ISNUMBER('Price History'!J13)),NOT(ISNUMBER('Price History'!J12)),'Price History'!J12=0),"",'Price History'!J13/'Price History'!J12-1),"")</f>
        <v>1.7510506303782369E-2</v>
      </c>
      <c r="K12" s="150">
        <f>IFERROR(IF(OR(NOT(ISNUMBER('Price History'!K13)),NOT(ISNUMBER('Price History'!K12)),'Price History'!K12=0),"",'Price History'!K13/'Price History'!K12-1),"")</f>
        <v>-6.2957540263543166E-2</v>
      </c>
      <c r="L12" s="150">
        <f>IFERROR(IF(OR(NOT(ISNUMBER('Price History'!L13)),NOT(ISNUMBER('Price History'!L12)),'Price History'!L12=0),"",'Price History'!L13/'Price History'!L12-1),"")</f>
        <v>-1.7558528428093689E-2</v>
      </c>
      <c r="M12" s="150">
        <f>IFERROR(IF(OR(NOT(ISNUMBER('Price History'!M13)),NOT(ISNUMBER('Price History'!M12)),'Price History'!M12=0),"",'Price History'!M13/'Price History'!M12-1),"")</f>
        <v>-1.3914656771799483E-2</v>
      </c>
      <c r="N12" s="150">
        <f>IFERROR(IF(OR(NOT(ISNUMBER('Price History'!N13)),NOT(ISNUMBER('Price History'!N12)),'Price History'!N12=0),"",'Price History'!N13/'Price History'!N12-1),"")</f>
        <v>7.2467902995720923E-3</v>
      </c>
      <c r="O12" s="150">
        <f>IFERROR(IF(OR(NOT(ISNUMBER('Price History'!O13)),NOT(ISNUMBER('Price History'!O12)),'Price History'!O12=0),"",'Price History'!O13/'Price History'!O12-1),"")</f>
        <v>1.3085579691196614E-4</v>
      </c>
      <c r="P12" s="150">
        <f>IFERROR(IF(OR(NOT(ISNUMBER('Price History'!P13)),NOT(ISNUMBER('Price History'!P12)),'Price History'!P12=0),"",'Price History'!P13/'Price History'!P12-1),"")</f>
        <v>3.5353535353535026E-3</v>
      </c>
      <c r="Q12" s="150">
        <f>IFERROR(IF(OR(NOT(ISNUMBER('Price History'!Q13)),NOT(ISNUMBER('Price History'!Q12)),'Price History'!Q12=0),"",'Price History'!Q13/'Price History'!Q12-1),"")</f>
        <v>4.3213514044393442E-3</v>
      </c>
      <c r="R12" s="150">
        <f>IFERROR(IF(OR(NOT(ISNUMBER('Price History'!R13)),NOT(ISNUMBER('Price History'!R12)),'Price History'!R12=0),"",'Price History'!R13/'Price History'!R12-1),"")</f>
        <v>5.328098710039475E-3</v>
      </c>
      <c r="S12" s="150">
        <f>IFERROR(IF(OR(NOT(ISNUMBER('Price History'!S13)),NOT(ISNUMBER('Price History'!S12)),'Price History'!S12=0),"",'Price History'!S13/'Price History'!S12-1),"")</f>
        <v>5.4662912042406919E-3</v>
      </c>
      <c r="T12" s="150">
        <f>IFERROR(IF(OR(NOT(ISNUMBER('Price History'!T13)),NOT(ISNUMBER('Price History'!T12)),'Price History'!T12=0),"",'Price History'!T13/'Price History'!T12-1),"")</f>
        <v>7.0394994133751165E-3</v>
      </c>
      <c r="U12" s="150">
        <f>IFERROR(IF(OR(NOT(ISNUMBER('Price History'!U13)),NOT(ISNUMBER('Price History'!U12)),'Price History'!U12=0),"",'Price History'!U13/'Price History'!U12-1),"")</f>
        <v>9.4117647058822307E-3</v>
      </c>
      <c r="V12" s="151">
        <f>IFERROR(IF(OR(NOT(ISNUMBER('Price History'!V13)),NOT(ISNUMBER('Price History'!V12)),'Price History'!V12=0),"",'Price History'!V13/'Price History'!V12-1),"")</f>
        <v>1.9022294947842022E-2</v>
      </c>
      <c r="W12" s="152">
        <f>IFERROR('Price History'!B3+(INDEX('Price History'!B:B,MATCH(9.99E+307,'Returns (Calc)'!$A:$A)+1)-'Price History'!B3)*(ROW()-3)/(MATCH(9.99E+307,'Returns (Calc)'!$A:$A)-3),"")</f>
        <v>512.66622641509434</v>
      </c>
      <c r="X12" s="152">
        <f>IFERROR('Price History'!C3+(INDEX('Price History'!C:C,MATCH(9.99E+307,'Returns (Calc)'!$A:$A)+1)-'Price History'!C3)*(ROW()-3)/(MATCH(9.99E+307,'Returns (Calc)'!$A:$A)-3),"")</f>
        <v>55.834339622641508</v>
      </c>
      <c r="Y12" s="152">
        <f>IFERROR('Price History'!D3+(INDEX('Price History'!D:D,MATCH(9.99E+307,'Returns (Calc)'!$A:$A)+1)-'Price History'!D3)*(ROW()-3)/(MATCH(9.99E+307,'Returns (Calc)'!$A:$A)-3),"")</f>
        <v>649.84</v>
      </c>
      <c r="Z12" s="152">
        <f>IFERROR('Price History'!E3+(INDEX('Price History'!E:E,MATCH(9.99E+307,'Returns (Calc)'!$A:$A)+1)-'Price History'!E3)*(ROW()-3)/(MATCH(9.99E+307,'Returns (Calc)'!$A:$A)-3),"")</f>
        <v>97.823018867924532</v>
      </c>
      <c r="AA12" s="152">
        <f>IFERROR('Price History'!F3+(INDEX('Price History'!F:F,MATCH(9.99E+307,'Returns (Calc)'!$A:$A)+1)-'Price History'!F3)*(ROW()-3)/(MATCH(9.99E+307,'Returns (Calc)'!$A:$A)-3),"")</f>
        <v>54.587169811320756</v>
      </c>
      <c r="AB12" s="152">
        <f>IFERROR('Price History'!G3+(INDEX('Price History'!G:G,MATCH(9.99E+307,'Returns (Calc)'!$A:$A)+1)-'Price History'!G3)*(ROW()-3)/(MATCH(9.99E+307,'Returns (Calc)'!$A:$A)-3),"")</f>
        <v>52.909622641509436</v>
      </c>
      <c r="AC12" s="152">
        <f>IFERROR('Price History'!H3+(INDEX('Price History'!H:H,MATCH(9.99E+307,'Returns (Calc)'!$A:$A)+1)-'Price History'!H3)*(ROW()-3)/(MATCH(9.99E+307,'Returns (Calc)'!$A:$A)-3),"")</f>
        <v>123.4433962264151</v>
      </c>
      <c r="AD12" s="152">
        <f>IFERROR('Price History'!I3+(INDEX('Price History'!I:I,MATCH(9.99E+307,'Returns (Calc)'!$A:$A)+1)-'Price History'!I3)*(ROW()-3)/(MATCH(9.99E+307,'Returns (Calc)'!$A:$A)-3),"")</f>
        <v>54.270566037735854</v>
      </c>
      <c r="AE12" s="152">
        <f>IFERROR('Price History'!J3+(INDEX('Price History'!J:J,MATCH(9.99E+307,'Returns (Calc)'!$A:$A)+1)-'Price History'!J3)*(ROW()-3)/(MATCH(9.99E+307,'Returns (Calc)'!$A:$A)-3),"")</f>
        <v>112.83905660377359</v>
      </c>
      <c r="AF12" s="152">
        <f>IFERROR('Price History'!K3+(INDEX('Price History'!K:K,MATCH(9.99E+307,'Returns (Calc)'!$A:$A)+1)-'Price History'!K3)*(ROW()-3)/(MATCH(9.99E+307,'Returns (Calc)'!$A:$A)-3),"")</f>
        <v>26.295283018867927</v>
      </c>
      <c r="AG12" s="152">
        <f>IFERROR('Price History'!L3+(INDEX('Price History'!L:L,MATCH(9.99E+307,'Returns (Calc)'!$A:$A)+1)-'Price History'!L3)*(ROW()-3)/(MATCH(9.99E+307,'Returns (Calc)'!$A:$A)-3),"")</f>
        <v>106.55528301886793</v>
      </c>
      <c r="AH12" s="152">
        <f>IFERROR('Price History'!M3+(INDEX('Price History'!M:M,MATCH(9.99E+307,'Returns (Calc)'!$A:$A)+1)-'Price History'!M3)*(ROW()-3)/(MATCH(9.99E+307,'Returns (Calc)'!$A:$A)-3),"")</f>
        <v>49.610188679245283</v>
      </c>
      <c r="AI12" s="152">
        <f>IFERROR('Price History'!N3+(INDEX('Price History'!N:N,MATCH(9.99E+307,'Returns (Calc)'!$A:$A)+1)-'Price History'!N3)*(ROW()-3)/(MATCH(9.99E+307,'Returns (Calc)'!$A:$A)-3),"")</f>
        <v>358.02339622641506</v>
      </c>
      <c r="AJ12" s="152">
        <f>IFERROR('Price History'!O3+(INDEX('Price History'!O:O,MATCH(9.99E+307,'Returns (Calc)'!$A:$A)+1)-'Price History'!O3)*(ROW()-3)/(MATCH(9.99E+307,'Returns (Calc)'!$A:$A)-3),"")</f>
        <v>77.819245283018873</v>
      </c>
      <c r="AK12" s="152">
        <f>IFERROR('Price History'!Q3+(INDEX('Price History'!Q:Q,MATCH(9.99E+307,'Returns (Calc)'!$A:$A)+1)-'Price History'!Q3)*(ROW()-3)/(MATCH(9.99E+307,'Returns (Calc)'!$A:$A)-3),"")</f>
        <v>3.9605660377358491</v>
      </c>
      <c r="AL12" s="152">
        <f>IFERROR('Price History'!R3+(INDEX('Price History'!R:R,MATCH(9.99E+307,'Returns (Calc)'!$A:$A)+1)-'Price History'!R3)*(ROW()-3)/(MATCH(9.99E+307,'Returns (Calc)'!$A:$A)-3),"")</f>
        <v>35.986226415094336</v>
      </c>
      <c r="AM12" s="152">
        <f>IFERROR('Price History'!S3+(INDEX('Price History'!S:S,MATCH(9.99E+307,'Returns (Calc)'!$A:$A)+1)-'Price History'!S3)*(ROW()-3)/(MATCH(9.99E+307,'Returns (Calc)'!$A:$A)-3),"")</f>
        <v>62.924150943396228</v>
      </c>
      <c r="AN12" s="152">
        <f>IFERROR('Price History'!T3+(INDEX('Price History'!T:T,MATCH(9.99E+307,'Returns (Calc)'!$A:$A)+1)-'Price History'!T3)*(ROW()-3)/(MATCH(9.99E+307,'Returns (Calc)'!$A:$A)-3),"")</f>
        <v>26.802264150943394</v>
      </c>
      <c r="AO12" s="153">
        <f>IFERROR('Price History'!V3+(INDEX('Price History'!V:V,MATCH(9.99E+307,'Returns (Calc)'!$A:$A)+1)-'Price History'!V3)*(ROW()-3)/(MATCH(9.99E+307,'Returns (Calc)'!$A:$A)-3),"")</f>
        <v>244.11037735849055</v>
      </c>
      <c r="AP12" s="151">
        <f>IFERROR(IF(OR(NOT(ISNUMBER('Price History'!W13)),NOT(ISNUMBER('Price History'!W12)),'Price History'!W12=0),"",'Price History'!W13/'Price History'!W12-1),"")</f>
        <v>7.009586640552401E-3</v>
      </c>
      <c r="AQ12" s="151" t="str">
        <f>IFERROR(IF(OR(NOT(ISNUMBER('Price History'!X13)),NOT(ISNUMBER('Price History'!X12)),'Price History'!X12=0),"",'Price History'!X13/'Price History'!X12-1),"")</f>
        <v/>
      </c>
      <c r="AR12" s="151">
        <f>IFERROR(IF(OR(NOT(ISNUMBER('Price History'!Y13)),NOT(ISNUMBER('Price History'!Y12)),'Price History'!Y12=0),"",'Price History'!Y13/'Price History'!Y12-1),"")</f>
        <v>7.6583894174981904E-3</v>
      </c>
      <c r="AS12" s="151">
        <f>IFERROR(IF(OR(NOT(ISNUMBER('Price History'!Z13)),NOT(ISNUMBER('Price History'!Z12)),'Price History'!Z12=0),"",'Price History'!Z13/'Price History'!Z12-1),"")</f>
        <v>4.2449326116944519E-4</v>
      </c>
      <c r="AT12" s="151">
        <f>IFERROR(IF(OR(NOT(ISNUMBER('Price History'!AA13)),NOT(ISNUMBER('Price History'!AA12)),'Price History'!AA12=0),"",'Price History'!AA13/'Price History'!AA12-1),"")</f>
        <v>2.9405451813693917E-2</v>
      </c>
      <c r="AU12" s="151">
        <f>IFERROR(IF(OR(NOT(ISNUMBER('Price History'!AB13)),NOT(ISNUMBER('Price History'!AB12)),'Price History'!AB12=0),"",'Price History'!AB13/'Price History'!AB12-1),"")</f>
        <v>1.6993315962388067E-4</v>
      </c>
    </row>
    <row r="13" spans="1:47" ht="15" customHeight="1" x14ac:dyDescent="0.2">
      <c r="A13" s="149">
        <f>IF('Price History'!A14="","",'Price History'!A14)</f>
        <v>45261</v>
      </c>
      <c r="B13" s="150">
        <f>IFERROR(IF(OR(NOT(ISNUMBER('Price History'!B14)),NOT(ISNUMBER('Price History'!B13)),'Price History'!B13=0),"",'Price History'!B14/'Price History'!B13-1),"")</f>
        <v>-1.1236136448024681E-2</v>
      </c>
      <c r="C13" s="150">
        <f>IFERROR(IF(OR(NOT(ISNUMBER('Price History'!C14)),NOT(ISNUMBER('Price History'!C13)),'Price History'!C13=0),"",'Price History'!C14/'Price History'!C13-1),"")</f>
        <v>-8.058608058608141E-3</v>
      </c>
      <c r="D13" s="150">
        <f>IFERROR(IF(OR(NOT(ISNUMBER('Price History'!D14)),NOT(ISNUMBER('Price History'!D13)),'Price History'!D13=0),"",'Price History'!D14/'Price History'!D13-1),"")</f>
        <v>1.4794212504067872E-3</v>
      </c>
      <c r="E13" s="150">
        <f>IFERROR(IF(OR(NOT(ISNUMBER('Price History'!E14)),NOT(ISNUMBER('Price History'!E13)),'Price History'!E13=0),"",'Price History'!E14/'Price History'!E13-1),"")</f>
        <v>-4.9915576192486322E-2</v>
      </c>
      <c r="F13" s="150">
        <f>IFERROR(IF(OR(NOT(ISNUMBER('Price History'!F14)),NOT(ISNUMBER('Price History'!F13)),'Price History'!F13=0),"",'Price History'!F14/'Price History'!F13-1),"")</f>
        <v>0.11562559331687861</v>
      </c>
      <c r="G13" s="150">
        <f>IFERROR(IF(OR(NOT(ISNUMBER('Price History'!G14)),NOT(ISNUMBER('Price History'!G13)),'Price History'!G13=0),"",'Price History'!G14/'Price History'!G13-1),"")</f>
        <v>-1.1946333394596609E-2</v>
      </c>
      <c r="H13" s="150">
        <f>IFERROR(IF(OR(NOT(ISNUMBER('Price History'!H14)),NOT(ISNUMBER('Price History'!H13)),'Price History'!H13=0),"",'Price History'!H14/'Price History'!H13-1),"")</f>
        <v>-1.2212738017071678E-2</v>
      </c>
      <c r="I13" s="150">
        <f>IFERROR(IF(OR(NOT(ISNUMBER('Price History'!I14)),NOT(ISNUMBER('Price History'!I13)),'Price History'!I13=0),"",'Price History'!I14/'Price History'!I13-1),"")</f>
        <v>-2.0995171110644528E-2</v>
      </c>
      <c r="J13" s="150">
        <f>IFERROR(IF(OR(NOT(ISNUMBER('Price History'!J14)),NOT(ISNUMBER('Price History'!J13)),'Price History'!J13=0),"",'Price History'!J14/'Price History'!J13-1),"")</f>
        <v>5.5856033041597142E-2</v>
      </c>
      <c r="K13" s="150">
        <f>IFERROR(IF(OR(NOT(ISNUMBER('Price History'!K14)),NOT(ISNUMBER('Price History'!K13)),'Price History'!K13=0),"",'Price History'!K14/'Price History'!K13-1),"")</f>
        <v>5.5729166666666607E-2</v>
      </c>
      <c r="L13" s="150">
        <f>IFERROR(IF(OR(NOT(ISNUMBER('Price History'!L14)),NOT(ISNUMBER('Price History'!L13)),'Price History'!L13=0),"",'Price History'!L14/'Price History'!L13-1),"")</f>
        <v>7.3404255319149403E-3</v>
      </c>
      <c r="M13" s="150">
        <f>IFERROR(IF(OR(NOT(ISNUMBER('Price History'!M14)),NOT(ISNUMBER('Price History'!M13)),'Price History'!M13=0),"",'Price History'!M14/'Price History'!M13-1),"")</f>
        <v>5.7619943555973663E-2</v>
      </c>
      <c r="N13" s="150">
        <f>IFERROR(IF(OR(NOT(ISNUMBER('Price History'!N14)),NOT(ISNUMBER('Price History'!N13)),'Price History'!N13=0),"",'Price History'!N14/'Price History'!N13-1),"")</f>
        <v>-5.3251756174937936E-3</v>
      </c>
      <c r="O13" s="150">
        <f>IFERROR(IF(OR(NOT(ISNUMBER('Price History'!O14)),NOT(ISNUMBER('Price History'!O13)),'Price History'!O13=0),"",'Price History'!O14/'Price History'!O13-1),"")</f>
        <v>3.3494701033625285E-2</v>
      </c>
      <c r="P13" s="150">
        <f>IFERROR(IF(OR(NOT(ISNUMBER('Price History'!P14)),NOT(ISNUMBER('Price History'!P13)),'Price History'!P13=0),"",'Price History'!P14/'Price History'!P13-1),"")</f>
        <v>2.9290387518872807E-2</v>
      </c>
      <c r="Q13" s="150">
        <f>IFERROR(IF(OR(NOT(ISNUMBER('Price History'!Q14)),NOT(ISNUMBER('Price History'!Q13)),'Price History'!Q13=0),"",'Price History'!Q14/'Price History'!Q13-1),"")</f>
        <v>9.7789947193427373E-4</v>
      </c>
      <c r="R13" s="150">
        <f>IFERROR(IF(OR(NOT(ISNUMBER('Price History'!R14)),NOT(ISNUMBER('Price History'!R13)),'Price History'!R13=0),"",'Price History'!R14/'Price History'!R13-1),"")</f>
        <v>1.9525801952580135E-3</v>
      </c>
      <c r="S13" s="150">
        <f>IFERROR(IF(OR(NOT(ISNUMBER('Price History'!S14)),NOT(ISNUMBER('Price History'!S13)),'Price History'!S13=0),"",'Price History'!S14/'Price History'!S13-1),"")</f>
        <v>-2.1416803953872021E-3</v>
      </c>
      <c r="T13" s="150">
        <f>IFERROR(IF(OR(NOT(ISNUMBER('Price History'!T14)),NOT(ISNUMBER('Price History'!T13)),'Price History'!T13=0),"",'Price History'!T14/'Price History'!T13-1),"")</f>
        <v>1.3592233009708687E-2</v>
      </c>
      <c r="U13" s="150">
        <f>IFERROR(IF(OR(NOT(ISNUMBER('Price History'!U14)),NOT(ISNUMBER('Price History'!U13)),'Price History'!U13=0),"",'Price History'!U14/'Price History'!U13-1),"")</f>
        <v>1.8648018648018683E-2</v>
      </c>
      <c r="V13" s="151">
        <f>IFERROR(IF(OR(NOT(ISNUMBER('Price History'!V14)),NOT(ISNUMBER('Price History'!V13)),'Price History'!V13=0),"",'Price History'!V14/'Price History'!V13-1),"")</f>
        <v>8.4303492573263306E-3</v>
      </c>
      <c r="W13" s="152">
        <f>IFERROR('Price History'!B3+(INDEX('Price History'!B:B,MATCH(9.99E+307,'Returns (Calc)'!$A:$A)+1)-'Price History'!B3)*(ROW()-3)/(MATCH(9.99E+307,'Returns (Calc)'!$A:$A)-3),"")</f>
        <v>510.86358490566039</v>
      </c>
      <c r="X13" s="152">
        <f>IFERROR('Price History'!C3+(INDEX('Price History'!C:C,MATCH(9.99E+307,'Returns (Calc)'!$A:$A)+1)-'Price History'!C3)*(ROW()-3)/(MATCH(9.99E+307,'Returns (Calc)'!$A:$A)-3),"")</f>
        <v>56.907044025157234</v>
      </c>
      <c r="Y13" s="152">
        <f>IFERROR('Price History'!D3+(INDEX('Price History'!D:D,MATCH(9.99E+307,'Returns (Calc)'!$A:$A)+1)-'Price History'!D3)*(ROW()-3)/(MATCH(9.99E+307,'Returns (Calc)'!$A:$A)-3),"")</f>
        <v>657.37666666666667</v>
      </c>
      <c r="Z13" s="152">
        <f>IFERROR('Price History'!E3+(INDEX('Price History'!E:E,MATCH(9.99E+307,'Returns (Calc)'!$A:$A)+1)-'Price History'!E3)*(ROW()-3)/(MATCH(9.99E+307,'Returns (Calc)'!$A:$A)-3),"")</f>
        <v>99.5811320754717</v>
      </c>
      <c r="AA13" s="152">
        <f>IFERROR('Price History'!F3+(INDEX('Price History'!F:F,MATCH(9.99E+307,'Returns (Calc)'!$A:$A)+1)-'Price History'!F3)*(ROW()-3)/(MATCH(9.99E+307,'Returns (Calc)'!$A:$A)-3),"")</f>
        <v>56.056855345911949</v>
      </c>
      <c r="AB13" s="152">
        <f>IFERROR('Price History'!G3+(INDEX('Price History'!G:G,MATCH(9.99E+307,'Returns (Calc)'!$A:$A)+1)-'Price History'!G3)*(ROW()-3)/(MATCH(9.99E+307,'Returns (Calc)'!$A:$A)-3),"")</f>
        <v>53.860691823899373</v>
      </c>
      <c r="AC13" s="152">
        <f>IFERROR('Price History'!H3+(INDEX('Price History'!H:H,MATCH(9.99E+307,'Returns (Calc)'!$A:$A)+1)-'Price History'!H3)*(ROW()-3)/(MATCH(9.99E+307,'Returns (Calc)'!$A:$A)-3),"")</f>
        <v>129.48044025157233</v>
      </c>
      <c r="AD13" s="152">
        <f>IFERROR('Price History'!I3+(INDEX('Price History'!I:I,MATCH(9.99E+307,'Returns (Calc)'!$A:$A)+1)-'Price History'!I3)*(ROW()-3)/(MATCH(9.99E+307,'Returns (Calc)'!$A:$A)-3),"")</f>
        <v>55.43729559748428</v>
      </c>
      <c r="AE13" s="152">
        <f>IFERROR('Price History'!J3+(INDEX('Price History'!J:J,MATCH(9.99E+307,'Returns (Calc)'!$A:$A)+1)-'Price History'!J3)*(ROW()-3)/(MATCH(9.99E+307,'Returns (Calc)'!$A:$A)-3),"")</f>
        <v>112.95006289308176</v>
      </c>
      <c r="AF13" s="152">
        <f>IFERROR('Price History'!K3+(INDEX('Price History'!K:K,MATCH(9.99E+307,'Returns (Calc)'!$A:$A)+1)-'Price History'!K3)*(ROW()-3)/(MATCH(9.99E+307,'Returns (Calc)'!$A:$A)-3),"")</f>
        <v>27.513647798742138</v>
      </c>
      <c r="AG13" s="152">
        <f>IFERROR('Price History'!L3+(INDEX('Price History'!L:L,MATCH(9.99E+307,'Returns (Calc)'!$A:$A)+1)-'Price History'!L3)*(ROW()-3)/(MATCH(9.99E+307,'Returns (Calc)'!$A:$A)-3),"")</f>
        <v>108.86698113207547</v>
      </c>
      <c r="AH13" s="152">
        <f>IFERROR('Price History'!M3+(INDEX('Price History'!M:M,MATCH(9.99E+307,'Returns (Calc)'!$A:$A)+1)-'Price History'!M3)*(ROW()-3)/(MATCH(9.99E+307,'Returns (Calc)'!$A:$A)-3),"")</f>
        <v>50.897987421383647</v>
      </c>
      <c r="AI13" s="152">
        <f>IFERROR('Price History'!N3+(INDEX('Price History'!N:N,MATCH(9.99E+307,'Returns (Calc)'!$A:$A)+1)-'Price History'!N3)*(ROW()-3)/(MATCH(9.99E+307,'Returns (Calc)'!$A:$A)-3),"")</f>
        <v>359.03710691823898</v>
      </c>
      <c r="AJ13" s="152">
        <f>IFERROR('Price History'!O3+(INDEX('Price History'!O:O,MATCH(9.99E+307,'Returns (Calc)'!$A:$A)+1)-'Price History'!O3)*(ROW()-3)/(MATCH(9.99E+307,'Returns (Calc)'!$A:$A)-3),"")</f>
        <v>78.098050314465411</v>
      </c>
      <c r="AK13" s="152">
        <f>IFERROR('Price History'!Q3+(INDEX('Price History'!Q:Q,MATCH(9.99E+307,'Returns (Calc)'!$A:$A)+1)-'Price History'!Q3)*(ROW()-3)/(MATCH(9.99E+307,'Returns (Calc)'!$A:$A)-3),"")</f>
        <v>4.4006289308176108</v>
      </c>
      <c r="AL13" s="152">
        <f>IFERROR('Price History'!R3+(INDEX('Price History'!R:R,MATCH(9.99E+307,'Returns (Calc)'!$A:$A)+1)-'Price History'!R3)*(ROW()-3)/(MATCH(9.99E+307,'Returns (Calc)'!$A:$A)-3),"")</f>
        <v>36.153584905660374</v>
      </c>
      <c r="AM13" s="152">
        <f>IFERROR('Price History'!S3+(INDEX('Price History'!S:S,MATCH(9.99E+307,'Returns (Calc)'!$A:$A)+1)-'Price History'!S3)*(ROW()-3)/(MATCH(9.99E+307,'Returns (Calc)'!$A:$A)-3),"")</f>
        <v>63.512389937106917</v>
      </c>
      <c r="AN13" s="152">
        <f>IFERROR('Price History'!T3+(INDEX('Price History'!T:T,MATCH(9.99E+307,'Returns (Calc)'!$A:$A)+1)-'Price History'!T3)*(ROW()-3)/(MATCH(9.99E+307,'Returns (Calc)'!$A:$A)-3),"")</f>
        <v>26.975849056603771</v>
      </c>
      <c r="AO13" s="153">
        <f>IFERROR('Price History'!V3+(INDEX('Price History'!V:V,MATCH(9.99E+307,'Returns (Calc)'!$A:$A)+1)-'Price History'!V3)*(ROW()-3)/(MATCH(9.99E+307,'Returns (Calc)'!$A:$A)-3),"")</f>
        <v>245.05264150943395</v>
      </c>
      <c r="AP13" s="151">
        <f>IFERROR(IF(OR(NOT(ISNUMBER('Price History'!W14)),NOT(ISNUMBER('Price History'!W13)),'Price History'!W13=0),"",'Price History'!W14/'Price History'!W13-1),"")</f>
        <v>1.7299621250895569E-2</v>
      </c>
      <c r="AQ13" s="151" t="str">
        <f>IFERROR(IF(OR(NOT(ISNUMBER('Price History'!X14)),NOT(ISNUMBER('Price History'!X13)),'Price History'!X13=0),"",'Price History'!X14/'Price History'!X13-1),"")</f>
        <v/>
      </c>
      <c r="AR13" s="151">
        <f>IFERROR(IF(OR(NOT(ISNUMBER('Price History'!Y14)),NOT(ISNUMBER('Price History'!Y13)),'Price History'!Y13=0),"",'Price History'!Y14/'Price History'!Y13-1),"")</f>
        <v>4.6061722708428121E-3</v>
      </c>
      <c r="AS13" s="151">
        <f>IFERROR(IF(OR(NOT(ISNUMBER('Price History'!Z14)),NOT(ISNUMBER('Price History'!Z13)),'Price History'!Z13=0),"",'Price History'!Z14/'Price History'!Z13-1),"")</f>
        <v>2.100350058343059E-2</v>
      </c>
      <c r="AT13" s="151">
        <f>IFERROR(IF(OR(NOT(ISNUMBER('Price History'!AA14)),NOT(ISNUMBER('Price History'!AA13)),'Price History'!AA13=0),"",'Price History'!AA14/'Price History'!AA13-1),"")</f>
        <v>-2.8982485404503766E-2</v>
      </c>
      <c r="AU13" s="151">
        <f>IFERROR(IF(OR(NOT(ISNUMBER('Price History'!AB14)),NOT(ISNUMBER('Price History'!AB13)),'Price History'!AB13=0),"",'Price History'!AB14/'Price History'!AB13-1),"")</f>
        <v>1.2856091068698117E-2</v>
      </c>
    </row>
    <row r="14" spans="1:47" ht="15" customHeight="1" x14ac:dyDescent="0.2">
      <c r="A14" s="149">
        <f>IF('Price History'!A15="","",'Price History'!A15)</f>
        <v>45268</v>
      </c>
      <c r="B14" s="150">
        <f>IFERROR(IF(OR(NOT(ISNUMBER('Price History'!B15)),NOT(ISNUMBER('Price History'!B14)),'Price History'!B14=0),"",'Price History'!B15/'Price History'!B14-1),"")</f>
        <v>-4.0165232582820565E-3</v>
      </c>
      <c r="C14" s="150">
        <f>IFERROR(IF(OR(NOT(ISNUMBER('Price History'!C15)),NOT(ISNUMBER('Price History'!C14)),'Price History'!C14=0),"",'Price History'!C15/'Price History'!C14-1),"")</f>
        <v>3.4158050221565706E-2</v>
      </c>
      <c r="D14" s="150">
        <f>IFERROR(IF(OR(NOT(ISNUMBER('Price History'!D15)),NOT(ISNUMBER('Price History'!D14)),'Price History'!D14=0),"",'Price History'!D15/'Price History'!D14-1),"")</f>
        <v>6.1009838390404525E-3</v>
      </c>
      <c r="E14" s="150">
        <f>IFERROR(IF(OR(NOT(ISNUMBER('Price History'!E15)),NOT(ISNUMBER('Price History'!E14)),'Price History'!E14=0),"",'Price History'!E15/'Price History'!E14-1),"")</f>
        <v>1.5328223925358264E-2</v>
      </c>
      <c r="F14" s="150">
        <f>IFERROR(IF(OR(NOT(ISNUMBER('Price History'!F15)),NOT(ISNUMBER('Price History'!F14)),'Price History'!F14=0),"",'Price History'!F15/'Price History'!F14-1),"")</f>
        <v>3.1994554118447871E-2</v>
      </c>
      <c r="G14" s="150">
        <f>IFERROR(IF(OR(NOT(ISNUMBER('Price History'!G15)),NOT(ISNUMBER('Price History'!G14)),'Price History'!G14=0),"",'Price History'!G15/'Price History'!G14-1),"")</f>
        <v>-2.6599702380952328E-2</v>
      </c>
      <c r="H14" s="150">
        <f>IFERROR(IF(OR(NOT(ISNUMBER('Price History'!H15)),NOT(ISNUMBER('Price History'!H14)),'Price History'!H14=0),"",'Price History'!H15/'Price History'!H14-1),"")</f>
        <v>-1.2762563148098871E-2</v>
      </c>
      <c r="I14" s="150">
        <f>IFERROR(IF(OR(NOT(ISNUMBER('Price History'!I15)),NOT(ISNUMBER('Price History'!I14)),'Price History'!I14=0),"",'Price History'!I15/'Price History'!I14-1),"")</f>
        <v>1.5869611837872499E-2</v>
      </c>
      <c r="J14" s="150">
        <f>IFERROR(IF(OR(NOT(ISNUMBER('Price History'!J15)),NOT(ISNUMBER('Price History'!J14)),'Price History'!J14=0),"",'Price History'!J15/'Price History'!J14-1),"")</f>
        <v>1.3504703362205328E-2</v>
      </c>
      <c r="K14" s="150">
        <f>IFERROR(IF(OR(NOT(ISNUMBER('Price History'!K15)),NOT(ISNUMBER('Price History'!K14)),'Price History'!K14=0),"",'Price History'!K15/'Price History'!K14-1),"")</f>
        <v>-0.12333497779970404</v>
      </c>
      <c r="L14" s="150">
        <f>IFERROR(IF(OR(NOT(ISNUMBER('Price History'!L15)),NOT(ISNUMBER('Price History'!L14)),'Price History'!L14=0),"",'Price History'!L15/'Price History'!L14-1),"")</f>
        <v>1.8270144682648759E-2</v>
      </c>
      <c r="M14" s="150">
        <f>IFERROR(IF(OR(NOT(ISNUMBER('Price History'!M15)),NOT(ISNUMBER('Price History'!M14)),'Price History'!M14=0),"",'Price History'!M15/'Price History'!M14-1),"")</f>
        <v>4.4696464309539552E-2</v>
      </c>
      <c r="N14" s="150">
        <f>IFERROR(IF(OR(NOT(ISNUMBER('Price History'!N15)),NOT(ISNUMBER('Price History'!N14)),'Price History'!N14=0),"",'Price History'!N15/'Price History'!N14-1),"")</f>
        <v>-2.8761817974713999E-3</v>
      </c>
      <c r="O14" s="150">
        <f>IFERROR(IF(OR(NOT(ISNUMBER('Price History'!O15)),NOT(ISNUMBER('Price History'!O14)),'Price History'!O14=0),"",'Price History'!O15/'Price History'!O14-1),"")</f>
        <v>8.3554880364604678E-3</v>
      </c>
      <c r="P14" s="150">
        <f>IFERROR(IF(OR(NOT(ISNUMBER('Price History'!P15)),NOT(ISNUMBER('Price History'!P14)),'Price History'!P14=0),"",'Price History'!P15/'Price History'!P14-1),"")</f>
        <v>2.1513788382554466E-3</v>
      </c>
      <c r="Q14" s="150">
        <f>IFERROR(IF(OR(NOT(ISNUMBER('Price History'!Q15)),NOT(ISNUMBER('Price History'!Q14)),'Price History'!Q14=0),"",'Price History'!Q15/'Price History'!Q14-1),"")</f>
        <v>3.71238765142623E-3</v>
      </c>
      <c r="R14" s="150">
        <f>IFERROR(IF(OR(NOT(ISNUMBER('Price History'!R15)),NOT(ISNUMBER('Price History'!R14)),'Price History'!R14=0),"",'Price History'!R15/'Price History'!R14-1),"")</f>
        <v>7.2383073496657957E-3</v>
      </c>
      <c r="S14" s="150">
        <f>IFERROR(IF(OR(NOT(ISNUMBER('Price History'!S15)),NOT(ISNUMBER('Price History'!S14)),'Price History'!S14=0),"",'Price History'!S15/'Price History'!S14-1),"")</f>
        <v>3.6321611358758332E-3</v>
      </c>
      <c r="T14" s="150">
        <f>IFERROR(IF(OR(NOT(ISNUMBER('Price History'!T15)),NOT(ISNUMBER('Price History'!T14)),'Price History'!T14=0),"",'Price History'!T15/'Price History'!T14-1),"")</f>
        <v>8.8122605363982753E-3</v>
      </c>
      <c r="U14" s="150">
        <f>IFERROR(IF(OR(NOT(ISNUMBER('Price History'!U15)),NOT(ISNUMBER('Price History'!U14)),'Price History'!U14=0),"",'Price History'!U15/'Price History'!U14-1),"")</f>
        <v>1.8306636155605016E-3</v>
      </c>
      <c r="V14" s="151">
        <f>IFERROR(IF(OR(NOT(ISNUMBER('Price History'!V15)),NOT(ISNUMBER('Price History'!V14)),'Price History'!V14=0),"",'Price History'!V15/'Price History'!V14-1),"")</f>
        <v>-2.7468152866242379E-3</v>
      </c>
      <c r="W14" s="152">
        <f>IFERROR('Price History'!B3+(INDEX('Price History'!B:B,MATCH(9.99E+307,'Returns (Calc)'!$A:$A)+1)-'Price History'!B3)*(ROW()-3)/(MATCH(9.99E+307,'Returns (Calc)'!$A:$A)-3),"")</f>
        <v>509.06094339622638</v>
      </c>
      <c r="X14" s="152">
        <f>IFERROR('Price History'!C3+(INDEX('Price History'!C:C,MATCH(9.99E+307,'Returns (Calc)'!$A:$A)+1)-'Price History'!C3)*(ROW()-3)/(MATCH(9.99E+307,'Returns (Calc)'!$A:$A)-3),"")</f>
        <v>57.979748427672959</v>
      </c>
      <c r="Y14" s="152">
        <f>IFERROR('Price History'!D3+(INDEX('Price History'!D:D,MATCH(9.99E+307,'Returns (Calc)'!$A:$A)+1)-'Price History'!D3)*(ROW()-3)/(MATCH(9.99E+307,'Returns (Calc)'!$A:$A)-3),"")</f>
        <v>664.9133333333333</v>
      </c>
      <c r="Z14" s="152">
        <f>IFERROR('Price History'!E3+(INDEX('Price History'!E:E,MATCH(9.99E+307,'Returns (Calc)'!$A:$A)+1)-'Price History'!E3)*(ROW()-3)/(MATCH(9.99E+307,'Returns (Calc)'!$A:$A)-3),"")</f>
        <v>101.33924528301887</v>
      </c>
      <c r="AA14" s="152">
        <f>IFERROR('Price History'!F3+(INDEX('Price History'!F:F,MATCH(9.99E+307,'Returns (Calc)'!$A:$A)+1)-'Price History'!F3)*(ROW()-3)/(MATCH(9.99E+307,'Returns (Calc)'!$A:$A)-3),"")</f>
        <v>57.526540880503148</v>
      </c>
      <c r="AB14" s="152">
        <f>IFERROR('Price History'!G3+(INDEX('Price History'!G:G,MATCH(9.99E+307,'Returns (Calc)'!$A:$A)+1)-'Price History'!G3)*(ROW()-3)/(MATCH(9.99E+307,'Returns (Calc)'!$A:$A)-3),"")</f>
        <v>54.811761006289309</v>
      </c>
      <c r="AC14" s="152">
        <f>IFERROR('Price History'!H3+(INDEX('Price History'!H:H,MATCH(9.99E+307,'Returns (Calc)'!$A:$A)+1)-'Price History'!H3)*(ROW()-3)/(MATCH(9.99E+307,'Returns (Calc)'!$A:$A)-3),"")</f>
        <v>135.51748427672953</v>
      </c>
      <c r="AD14" s="152">
        <f>IFERROR('Price History'!I3+(INDEX('Price History'!I:I,MATCH(9.99E+307,'Returns (Calc)'!$A:$A)+1)-'Price History'!I3)*(ROW()-3)/(MATCH(9.99E+307,'Returns (Calc)'!$A:$A)-3),"")</f>
        <v>56.604025157232705</v>
      </c>
      <c r="AE14" s="152">
        <f>IFERROR('Price History'!J3+(INDEX('Price History'!J:J,MATCH(9.99E+307,'Returns (Calc)'!$A:$A)+1)-'Price History'!J3)*(ROW()-3)/(MATCH(9.99E+307,'Returns (Calc)'!$A:$A)-3),"")</f>
        <v>113.06106918238994</v>
      </c>
      <c r="AF14" s="152">
        <f>IFERROR('Price History'!K3+(INDEX('Price History'!K:K,MATCH(9.99E+307,'Returns (Calc)'!$A:$A)+1)-'Price History'!K3)*(ROW()-3)/(MATCH(9.99E+307,'Returns (Calc)'!$A:$A)-3),"")</f>
        <v>28.732012578616352</v>
      </c>
      <c r="AG14" s="152">
        <f>IFERROR('Price History'!L3+(INDEX('Price History'!L:L,MATCH(9.99E+307,'Returns (Calc)'!$A:$A)+1)-'Price History'!L3)*(ROW()-3)/(MATCH(9.99E+307,'Returns (Calc)'!$A:$A)-3),"")</f>
        <v>111.17867924528302</v>
      </c>
      <c r="AH14" s="152">
        <f>IFERROR('Price History'!M3+(INDEX('Price History'!M:M,MATCH(9.99E+307,'Returns (Calc)'!$A:$A)+1)-'Price History'!M3)*(ROW()-3)/(MATCH(9.99E+307,'Returns (Calc)'!$A:$A)-3),"")</f>
        <v>52.18578616352201</v>
      </c>
      <c r="AI14" s="152">
        <f>IFERROR('Price History'!N3+(INDEX('Price History'!N:N,MATCH(9.99E+307,'Returns (Calc)'!$A:$A)+1)-'Price History'!N3)*(ROW()-3)/(MATCH(9.99E+307,'Returns (Calc)'!$A:$A)-3),"")</f>
        <v>360.05081761006289</v>
      </c>
      <c r="AJ14" s="152">
        <f>IFERROR('Price History'!O3+(INDEX('Price History'!O:O,MATCH(9.99E+307,'Returns (Calc)'!$A:$A)+1)-'Price History'!O3)*(ROW()-3)/(MATCH(9.99E+307,'Returns (Calc)'!$A:$A)-3),"")</f>
        <v>78.376855345911949</v>
      </c>
      <c r="AK14" s="152">
        <f>IFERROR('Price History'!Q3+(INDEX('Price History'!Q:Q,MATCH(9.99E+307,'Returns (Calc)'!$A:$A)+1)-'Price History'!Q3)*(ROW()-3)/(MATCH(9.99E+307,'Returns (Calc)'!$A:$A)-3),"")</f>
        <v>4.8406918238993706</v>
      </c>
      <c r="AL14" s="152">
        <f>IFERROR('Price History'!R3+(INDEX('Price History'!R:R,MATCH(9.99E+307,'Returns (Calc)'!$A:$A)+1)-'Price History'!R3)*(ROW()-3)/(MATCH(9.99E+307,'Returns (Calc)'!$A:$A)-3),"")</f>
        <v>36.320943396226411</v>
      </c>
      <c r="AM14" s="152">
        <f>IFERROR('Price History'!S3+(INDEX('Price History'!S:S,MATCH(9.99E+307,'Returns (Calc)'!$A:$A)+1)-'Price History'!S3)*(ROW()-3)/(MATCH(9.99E+307,'Returns (Calc)'!$A:$A)-3),"")</f>
        <v>64.100628930817606</v>
      </c>
      <c r="AN14" s="152">
        <f>IFERROR('Price History'!T3+(INDEX('Price History'!T:T,MATCH(9.99E+307,'Returns (Calc)'!$A:$A)+1)-'Price History'!T3)*(ROW()-3)/(MATCH(9.99E+307,'Returns (Calc)'!$A:$A)-3),"")</f>
        <v>27.149433962264151</v>
      </c>
      <c r="AO14" s="153">
        <f>IFERROR('Price History'!V3+(INDEX('Price History'!V:V,MATCH(9.99E+307,'Returns (Calc)'!$A:$A)+1)-'Price History'!V3)*(ROW()-3)/(MATCH(9.99E+307,'Returns (Calc)'!$A:$A)-3),"")</f>
        <v>245.99490566037736</v>
      </c>
      <c r="AP14" s="151">
        <f>IFERROR(IF(OR(NOT(ISNUMBER('Price History'!W15)),NOT(ISNUMBER('Price History'!W14)),'Price History'!W14=0),"",'Price History'!W15/'Price History'!W14-1),"")</f>
        <v>-2.3143489635740755E-3</v>
      </c>
      <c r="AQ14" s="151" t="str">
        <f>IFERROR(IF(OR(NOT(ISNUMBER('Price History'!X15)),NOT(ISNUMBER('Price History'!X14)),'Price History'!X14=0),"",'Price History'!X15/'Price History'!X14-1),"")</f>
        <v/>
      </c>
      <c r="AR14" s="151">
        <f>IFERROR(IF(OR(NOT(ISNUMBER('Price History'!Y15)),NOT(ISNUMBER('Price History'!Y14)),'Price History'!Y14=0),"",'Price History'!Y15/'Price History'!Y14-1),"")</f>
        <v>-2.9802842732690182E-3</v>
      </c>
      <c r="AS14" s="151">
        <f>IFERROR(IF(OR(NOT(ISNUMBER('Price History'!Z15)),NOT(ISNUMBER('Price History'!Z14)),'Price History'!Z14=0),"",'Price History'!Z15/'Price History'!Z14-1),"")</f>
        <v>-1.558441558441559E-2</v>
      </c>
      <c r="AT14" s="151">
        <f>IFERROR(IF(OR(NOT(ISNUMBER('Price History'!AA15)),NOT(ISNUMBER('Price History'!AA14)),'Price History'!AA14=0),"",'Price History'!AA15/'Price History'!AA14-1),"")</f>
        <v>-2.5552931071505247E-2</v>
      </c>
      <c r="AU14" s="151">
        <f>IFERROR(IF(OR(NOT(ISNUMBER('Price History'!AB15)),NOT(ISNUMBER('Price History'!AB14)),'Price History'!AB14=0),"",'Price History'!AB15/'Price History'!AB14-1),"")</f>
        <v>-3.4276448221874256E-2</v>
      </c>
    </row>
    <row r="15" spans="1:47" ht="15" customHeight="1" x14ac:dyDescent="0.2">
      <c r="A15" s="149">
        <f>IF('Price History'!A16="","",'Price History'!A16)</f>
        <v>45275</v>
      </c>
      <c r="B15" s="150">
        <f>IFERROR(IF(OR(NOT(ISNUMBER('Price History'!B16)),NOT(ISNUMBER('Price History'!B15)),'Price History'!B15=0),"",'Price History'!B16/'Price History'!B15-1),"")</f>
        <v>-4.1523909444107554E-2</v>
      </c>
      <c r="C15" s="150">
        <f>IFERROR(IF(OR(NOT(ISNUMBER('Price History'!C16)),NOT(ISNUMBER('Price History'!C15)),'Price History'!C15=0),"",'Price History'!C16/'Price History'!C15-1),"")</f>
        <v>5.1597928941260474E-2</v>
      </c>
      <c r="D15" s="150">
        <f>IFERROR(IF(OR(NOT(ISNUMBER('Price History'!D16)),NOT(ISNUMBER('Price History'!D15)),'Price History'!D15=0),"",'Price History'!D16/'Price History'!D15-1),"")</f>
        <v>8.1181082708091656E-2</v>
      </c>
      <c r="E15" s="150">
        <f>IFERROR(IF(OR(NOT(ISNUMBER('Price History'!E16)),NOT(ISNUMBER('Price History'!E15)),'Price History'!E15=0),"",'Price History'!E16/'Price History'!E15-1),"")</f>
        <v>0.19647740947379955</v>
      </c>
      <c r="F15" s="150">
        <f>IFERROR(IF(OR(NOT(ISNUMBER('Price History'!F16)),NOT(ISNUMBER('Price History'!F15)),'Price History'!F15=0),"",'Price History'!F16/'Price History'!F15-1),"")</f>
        <v>7.2229551451187257E-2</v>
      </c>
      <c r="G15" s="150">
        <f>IFERROR(IF(OR(NOT(ISNUMBER('Price History'!G16)),NOT(ISNUMBER('Price History'!G15)),'Price History'!G15=0),"",'Price History'!G16/'Price History'!G15-1),"")</f>
        <v>9.4783107204280626E-2</v>
      </c>
      <c r="H15" s="150">
        <f>IFERROR(IF(OR(NOT(ISNUMBER('Price History'!H16)),NOT(ISNUMBER('Price History'!H15)),'Price History'!H15=0),"",'Price History'!H16/'Price History'!H15-1),"")</f>
        <v>8.5914354969027773E-2</v>
      </c>
      <c r="I15" s="150">
        <f>IFERROR(IF(OR(NOT(ISNUMBER('Price History'!I16)),NOT(ISNUMBER('Price History'!I15)),'Price History'!I15=0),"",'Price History'!I16/'Price History'!I15-1),"")</f>
        <v>2.9132362254591593E-2</v>
      </c>
      <c r="J15" s="150">
        <f>IFERROR(IF(OR(NOT(ISNUMBER('Price History'!J16)),NOT(ISNUMBER('Price History'!J15)),'Price History'!J15=0),"",'Price History'!J16/'Price History'!J15-1),"")</f>
        <v>0.127366292960853</v>
      </c>
      <c r="K15" s="150">
        <f>IFERROR(IF(OR(NOT(ISNUMBER('Price History'!K16)),NOT(ISNUMBER('Price History'!K15)),'Price History'!K15=0),"",'Price History'!K16/'Price History'!K15-1),"")</f>
        <v>2.4198086662915008E-2</v>
      </c>
      <c r="L15" s="150">
        <f>IFERROR(IF(OR(NOT(ISNUMBER('Price History'!L16)),NOT(ISNUMBER('Price History'!L15)),'Price History'!L15=0),"",'Price History'!L16/'Price History'!L15-1),"")</f>
        <v>2.665422111595106E-2</v>
      </c>
      <c r="M15" s="150">
        <f>IFERROR(IF(OR(NOT(ISNUMBER('Price History'!M16)),NOT(ISNUMBER('Price History'!M15)),'Price History'!M15=0),"",'Price History'!M16/'Price History'!M15-1),"")</f>
        <v>1.2558535547041449E-2</v>
      </c>
      <c r="N15" s="150">
        <f>IFERROR(IF(OR(NOT(ISNUMBER('Price History'!N16)),NOT(ISNUMBER('Price History'!N15)),'Price History'!N15=0),"",'Price History'!N16/'Price History'!N15-1),"")</f>
        <v>0.17286877052691718</v>
      </c>
      <c r="O15" s="150">
        <f>IFERROR(IF(OR(NOT(ISNUMBER('Price History'!O16)),NOT(ISNUMBER('Price History'!O15)),'Price History'!O15=0),"",'Price History'!O16/'Price History'!O15-1),"")</f>
        <v>5.4865034526051293E-2</v>
      </c>
      <c r="P15" s="150">
        <f>IFERROR(IF(OR(NOT(ISNUMBER('Price History'!P16)),NOT(ISNUMBER('Price History'!P15)),'Price History'!P15=0),"",'Price History'!P16/'Price History'!P15-1),"")</f>
        <v>2.9859484777517542E-2</v>
      </c>
      <c r="Q15" s="150">
        <f>IFERROR(IF(OR(NOT(ISNUMBER('Price History'!Q16)),NOT(ISNUMBER('Price History'!Q15)),'Price History'!Q15=0),"",'Price History'!Q16/'Price History'!Q15-1),"")</f>
        <v>9.1493089351761814E-3</v>
      </c>
      <c r="R15" s="150">
        <f>IFERROR(IF(OR(NOT(ISNUMBER('Price History'!R16)),NOT(ISNUMBER('Price History'!R15)),'Price History'!R15=0),"",'Price History'!R16/'Price History'!R15-1),"")</f>
        <v>1.5201768933112092E-2</v>
      </c>
      <c r="S15" s="150">
        <f>IFERROR(IF(OR(NOT(ISNUMBER('Price History'!S16)),NOT(ISNUMBER('Price History'!S15)),'Price History'!S15=0),"",'Price History'!S16/'Price History'!S15-1),"")</f>
        <v>3.4216153972692842E-2</v>
      </c>
      <c r="T15" s="150">
        <f>IFERROR(IF(OR(NOT(ISNUMBER('Price History'!T16)),NOT(ISNUMBER('Price History'!T15)),'Price History'!T15=0),"",'Price History'!T16/'Price History'!T15-1),"")</f>
        <v>2.7725028484618219E-2</v>
      </c>
      <c r="U15" s="150">
        <f>IFERROR(IF(OR(NOT(ISNUMBER('Price History'!U16)),NOT(ISNUMBER('Price History'!U15)),'Price History'!U15=0),"",'Price History'!U16/'Price History'!U15-1),"")</f>
        <v>4.020100502512558E-2</v>
      </c>
      <c r="V15" s="151">
        <f>IFERROR(IF(OR(NOT(ISNUMBER('Price History'!V16)),NOT(ISNUMBER('Price History'!V15)),'Price History'!V15=0),"",'Price History'!V16/'Price History'!V15-1),"")</f>
        <v>8.9417588120235258E-3</v>
      </c>
      <c r="W15" s="152">
        <f>IFERROR('Price History'!B3+(INDEX('Price History'!B:B,MATCH(9.99E+307,'Returns (Calc)'!$A:$A)+1)-'Price History'!B3)*(ROW()-3)/(MATCH(9.99E+307,'Returns (Calc)'!$A:$A)-3),"")</f>
        <v>507.25830188679242</v>
      </c>
      <c r="X15" s="152">
        <f>IFERROR('Price History'!C3+(INDEX('Price History'!C:C,MATCH(9.99E+307,'Returns (Calc)'!$A:$A)+1)-'Price History'!C3)*(ROW()-3)/(MATCH(9.99E+307,'Returns (Calc)'!$A:$A)-3),"")</f>
        <v>59.052452830188678</v>
      </c>
      <c r="Y15" s="152">
        <f>IFERROR('Price History'!D3+(INDEX('Price History'!D:D,MATCH(9.99E+307,'Returns (Calc)'!$A:$A)+1)-'Price History'!D3)*(ROW()-3)/(MATCH(9.99E+307,'Returns (Calc)'!$A:$A)-3),"")</f>
        <v>672.45</v>
      </c>
      <c r="Z15" s="152">
        <f>IFERROR('Price History'!E3+(INDEX('Price History'!E:E,MATCH(9.99E+307,'Returns (Calc)'!$A:$A)+1)-'Price History'!E3)*(ROW()-3)/(MATCH(9.99E+307,'Returns (Calc)'!$A:$A)-3),"")</f>
        <v>103.09735849056604</v>
      </c>
      <c r="AA15" s="152">
        <f>IFERROR('Price History'!F3+(INDEX('Price History'!F:F,MATCH(9.99E+307,'Returns (Calc)'!$A:$A)+1)-'Price History'!F3)*(ROW()-3)/(MATCH(9.99E+307,'Returns (Calc)'!$A:$A)-3),"")</f>
        <v>58.996226415094341</v>
      </c>
      <c r="AB15" s="152">
        <f>IFERROR('Price History'!G3+(INDEX('Price History'!G:G,MATCH(9.99E+307,'Returns (Calc)'!$A:$A)+1)-'Price History'!G3)*(ROW()-3)/(MATCH(9.99E+307,'Returns (Calc)'!$A:$A)-3),"")</f>
        <v>55.762830188679246</v>
      </c>
      <c r="AC15" s="152">
        <f>IFERROR('Price History'!H3+(INDEX('Price History'!H:H,MATCH(9.99E+307,'Returns (Calc)'!$A:$A)+1)-'Price History'!H3)*(ROW()-3)/(MATCH(9.99E+307,'Returns (Calc)'!$A:$A)-3),"")</f>
        <v>141.55452830188679</v>
      </c>
      <c r="AD15" s="152">
        <f>IFERROR('Price History'!I3+(INDEX('Price History'!I:I,MATCH(9.99E+307,'Returns (Calc)'!$A:$A)+1)-'Price History'!I3)*(ROW()-3)/(MATCH(9.99E+307,'Returns (Calc)'!$A:$A)-3),"")</f>
        <v>57.770754716981131</v>
      </c>
      <c r="AE15" s="152">
        <f>IFERROR('Price History'!J3+(INDEX('Price History'!J:J,MATCH(9.99E+307,'Returns (Calc)'!$A:$A)+1)-'Price History'!J3)*(ROW()-3)/(MATCH(9.99E+307,'Returns (Calc)'!$A:$A)-3),"")</f>
        <v>113.17207547169812</v>
      </c>
      <c r="AF15" s="152">
        <f>IFERROR('Price History'!K3+(INDEX('Price History'!K:K,MATCH(9.99E+307,'Returns (Calc)'!$A:$A)+1)-'Price History'!K3)*(ROW()-3)/(MATCH(9.99E+307,'Returns (Calc)'!$A:$A)-3),"")</f>
        <v>29.950377358490563</v>
      </c>
      <c r="AG15" s="152">
        <f>IFERROR('Price History'!L3+(INDEX('Price History'!L:L,MATCH(9.99E+307,'Returns (Calc)'!$A:$A)+1)-'Price History'!L3)*(ROW()-3)/(MATCH(9.99E+307,'Returns (Calc)'!$A:$A)-3),"")</f>
        <v>113.49037735849058</v>
      </c>
      <c r="AH15" s="152">
        <f>IFERROR('Price History'!M3+(INDEX('Price History'!M:M,MATCH(9.99E+307,'Returns (Calc)'!$A:$A)+1)-'Price History'!M3)*(ROW()-3)/(MATCH(9.99E+307,'Returns (Calc)'!$A:$A)-3),"")</f>
        <v>53.473584905660381</v>
      </c>
      <c r="AI15" s="152">
        <f>IFERROR('Price History'!N3+(INDEX('Price History'!N:N,MATCH(9.99E+307,'Returns (Calc)'!$A:$A)+1)-'Price History'!N3)*(ROW()-3)/(MATCH(9.99E+307,'Returns (Calc)'!$A:$A)-3),"")</f>
        <v>361.06452830188675</v>
      </c>
      <c r="AJ15" s="152">
        <f>IFERROR('Price History'!O3+(INDEX('Price History'!O:O,MATCH(9.99E+307,'Returns (Calc)'!$A:$A)+1)-'Price History'!O3)*(ROW()-3)/(MATCH(9.99E+307,'Returns (Calc)'!$A:$A)-3),"")</f>
        <v>78.655660377358487</v>
      </c>
      <c r="AK15" s="152">
        <f>IFERROR('Price History'!Q3+(INDEX('Price History'!Q:Q,MATCH(9.99E+307,'Returns (Calc)'!$A:$A)+1)-'Price History'!Q3)*(ROW()-3)/(MATCH(9.99E+307,'Returns (Calc)'!$A:$A)-3),"")</f>
        <v>5.2807547169811322</v>
      </c>
      <c r="AL15" s="152">
        <f>IFERROR('Price History'!R3+(INDEX('Price History'!R:R,MATCH(9.99E+307,'Returns (Calc)'!$A:$A)+1)-'Price History'!R3)*(ROW()-3)/(MATCH(9.99E+307,'Returns (Calc)'!$A:$A)-3),"")</f>
        <v>36.488301886792449</v>
      </c>
      <c r="AM15" s="152">
        <f>IFERROR('Price History'!S3+(INDEX('Price History'!S:S,MATCH(9.99E+307,'Returns (Calc)'!$A:$A)+1)-'Price History'!S3)*(ROW()-3)/(MATCH(9.99E+307,'Returns (Calc)'!$A:$A)-3),"")</f>
        <v>64.68886792452831</v>
      </c>
      <c r="AN15" s="152">
        <f>IFERROR('Price History'!T3+(INDEX('Price History'!T:T,MATCH(9.99E+307,'Returns (Calc)'!$A:$A)+1)-'Price History'!T3)*(ROW()-3)/(MATCH(9.99E+307,'Returns (Calc)'!$A:$A)-3),"")</f>
        <v>27.323018867924528</v>
      </c>
      <c r="AO15" s="153">
        <f>IFERROR('Price History'!V3+(INDEX('Price History'!V:V,MATCH(9.99E+307,'Returns (Calc)'!$A:$A)+1)-'Price History'!V3)*(ROW()-3)/(MATCH(9.99E+307,'Returns (Calc)'!$A:$A)-3),"")</f>
        <v>246.93716981132076</v>
      </c>
      <c r="AP15" s="151">
        <f>IFERROR(IF(OR(NOT(ISNUMBER('Price History'!W16)),NOT(ISNUMBER('Price History'!W15)),'Price History'!W15=0),"",'Price History'!W16/'Price History'!W15-1),"")</f>
        <v>3.4392334846192529E-2</v>
      </c>
      <c r="AQ15" s="151" t="str">
        <f>IFERROR(IF(OR(NOT(ISNUMBER('Price History'!X16)),NOT(ISNUMBER('Price History'!X15)),'Price History'!X15=0),"",'Price History'!X16/'Price History'!X15-1),"")</f>
        <v/>
      </c>
      <c r="AR15" s="151">
        <f>IFERROR(IF(OR(NOT(ISNUMBER('Price History'!Y16)),NOT(ISNUMBER('Price History'!Y15)),'Price History'!Y15=0),"",'Price History'!Y16/'Price History'!Y15-1),"")</f>
        <v>1.2186709588411171E-2</v>
      </c>
      <c r="AS15" s="151">
        <f>IFERROR(IF(OR(NOT(ISNUMBER('Price History'!Z16)),NOT(ISNUMBER('Price History'!Z15)),'Price History'!Z15=0),"",'Price History'!Z16/'Price History'!Z15-1),"")</f>
        <v>2.1952506596305987E-2</v>
      </c>
      <c r="AT15" s="151">
        <f>IFERROR(IF(OR(NOT(ISNUMBER('Price History'!AA16)),NOT(ISNUMBER('Price History'!AA15)),'Price History'!AA15=0),"",'Price History'!AA16/'Price History'!AA15-1),"")</f>
        <v>4.0326134861172314E-2</v>
      </c>
      <c r="AU15" s="151">
        <f>IFERROR(IF(OR(NOT(ISNUMBER('Price History'!AB16)),NOT(ISNUMBER('Price History'!AB15)),'Price History'!AB15=0),"",'Price History'!AB16/'Price History'!AB15-1),"")</f>
        <v>4.6088819408256487E-2</v>
      </c>
    </row>
    <row r="16" spans="1:47" ht="15" customHeight="1" x14ac:dyDescent="0.2">
      <c r="A16" s="149">
        <f>IF('Price History'!A17="","",'Price History'!A17)</f>
        <v>45282</v>
      </c>
      <c r="B16" s="150">
        <f>IFERROR(IF(OR(NOT(ISNUMBER('Price History'!B17)),NOT(ISNUMBER('Price History'!B16)),'Price History'!B16=0),"",'Price History'!B17/'Price History'!B16-1),"")</f>
        <v>2.4064445508654497E-2</v>
      </c>
      <c r="C16" s="150">
        <f>IFERROR(IF(OR(NOT(ISNUMBER('Price History'!C17)),NOT(ISNUMBER('Price History'!C16)),'Price History'!C16=0),"",'Price History'!C17/'Price History'!C16-1),"")</f>
        <v>1.1205432937181792E-2</v>
      </c>
      <c r="D16" s="150">
        <f>IFERROR(IF(OR(NOT(ISNUMBER('Price History'!D17)),NOT(ISNUMBER('Price History'!D16)),'Price History'!D16=0),"",'Price History'!D17/'Price History'!D16-1),"")</f>
        <v>-5.7037318702801709E-4</v>
      </c>
      <c r="E16" s="150">
        <f>IFERROR(IF(OR(NOT(ISNUMBER('Price History'!E17)),NOT(ISNUMBER('Price History'!E16)),'Price History'!E16=0),"",'Price History'!E17/'Price History'!E16-1),"")</f>
        <v>-2.377251531498592E-3</v>
      </c>
      <c r="F16" s="150">
        <f>IFERROR(IF(OR(NOT(ISNUMBER('Price History'!F17)),NOT(ISNUMBER('Price History'!F16)),'Price History'!F16=0),"",'Price History'!F17/'Price History'!F16-1),"")</f>
        <v>-1.7071670255306093E-2</v>
      </c>
      <c r="G16" s="150">
        <f>IFERROR(IF(OR(NOT(ISNUMBER('Price History'!G17)),NOT(ISNUMBER('Price History'!G16)),'Price History'!G16=0),"",'Price History'!G17/'Price History'!G16-1),"")</f>
        <v>-4.1892127770990495E-3</v>
      </c>
      <c r="H16" s="150">
        <f>IFERROR(IF(OR(NOT(ISNUMBER('Price History'!H17)),NOT(ISNUMBER('Price History'!H16)),'Price History'!H16=0),"",'Price History'!H17/'Price History'!H16-1),"")</f>
        <v>6.25E-2</v>
      </c>
      <c r="I16" s="150">
        <f>IFERROR(IF(OR(NOT(ISNUMBER('Price History'!I17)),NOT(ISNUMBER('Price History'!I16)),'Price History'!I16=0),"",'Price History'!I17/'Price History'!I16-1),"")</f>
        <v>-1.2307692307692575E-3</v>
      </c>
      <c r="J16" s="150">
        <f>IFERROR(IF(OR(NOT(ISNUMBER('Price History'!J17)),NOT(ISNUMBER('Price History'!J16)),'Price History'!J16=0),"",'Price History'!J17/'Price History'!J16-1),"")</f>
        <v>-1.385718943593095E-2</v>
      </c>
      <c r="K16" s="150">
        <f>IFERROR(IF(OR(NOT(ISNUMBER('Price History'!K17)),NOT(ISNUMBER('Price History'!K16)),'Price History'!K16=0),"",'Price History'!K17/'Price History'!K16-1),"")</f>
        <v>-4.3406593406593363E-2</v>
      </c>
      <c r="L16" s="150">
        <f>IFERROR(IF(OR(NOT(ISNUMBER('Price History'!L17)),NOT(ISNUMBER('Price History'!L16)),'Price History'!L16=0),"",'Price History'!L17/'Price History'!L16-1),"")</f>
        <v>5.8591776947165553E-3</v>
      </c>
      <c r="M16" s="150">
        <f>IFERROR(IF(OR(NOT(ISNUMBER('Price History'!M17)),NOT(ISNUMBER('Price History'!M16)),'Price History'!M16=0),"",'Price History'!M17/'Price History'!M16-1),"")</f>
        <v>2.2072734916964487E-2</v>
      </c>
      <c r="N16" s="150">
        <f>IFERROR(IF(OR(NOT(ISNUMBER('Price History'!N17)),NOT(ISNUMBER('Price History'!N16)),'Price History'!N16=0),"",'Price History'!N17/'Price History'!N16-1),"")</f>
        <v>-1.3221973312554813E-2</v>
      </c>
      <c r="O16" s="150">
        <f>IFERROR(IF(OR(NOT(ISNUMBER('Price History'!O17)),NOT(ISNUMBER('Price History'!O16)),'Price History'!O16=0),"",'Price History'!O17/'Price History'!O16-1),"")</f>
        <v>2.7731492501785304E-2</v>
      </c>
      <c r="P16" s="150">
        <f>IFERROR(IF(OR(NOT(ISNUMBER('Price History'!P17)),NOT(ISNUMBER('Price History'!P16)),'Price History'!P16=0),"",'Price History'!P17/'Price History'!P16-1),"")</f>
        <v>2.6530225506915528E-3</v>
      </c>
      <c r="Q16" s="150">
        <f>IFERROR(IF(OR(NOT(ISNUMBER('Price History'!Q17)),NOT(ISNUMBER('Price History'!Q16)),'Price History'!Q16=0),"",'Price History'!Q17/'Price History'!Q16-1),"")</f>
        <v>1.1574074074072183E-3</v>
      </c>
      <c r="R16" s="150">
        <f>IFERROR(IF(OR(NOT(ISNUMBER('Price History'!R17)),NOT(ISNUMBER('Price History'!R16)),'Price History'!R16=0),"",'Price History'!R17/'Price History'!R16-1),"")</f>
        <v>2.9948271167983265E-3</v>
      </c>
      <c r="S16" s="150">
        <f>IFERROR(IF(OR(NOT(ISNUMBER('Price History'!S17)),NOT(ISNUMBER('Price History'!S16)),'Price History'!S16=0),"",'Price History'!S17/'Price History'!S16-1),"")</f>
        <v>1.4951487195800972E-2</v>
      </c>
      <c r="T16" s="150">
        <f>IFERROR(IF(OR(NOT(ISNUMBER('Price History'!T17)),NOT(ISNUMBER('Price History'!T16)),'Price History'!T16=0),"",'Price History'!T17/'Price History'!T16-1),"")</f>
        <v>1.2195121951219523E-2</v>
      </c>
      <c r="U16" s="150">
        <f>IFERROR(IF(OR(NOT(ISNUMBER('Price History'!U17)),NOT(ISNUMBER('Price History'!U16)),'Price History'!U16=0),"",'Price History'!U17/'Price History'!U16-1),"")</f>
        <v>5.2700922266140093E-3</v>
      </c>
      <c r="V16" s="151">
        <f>IFERROR(IF(OR(NOT(ISNUMBER('Price History'!V17)),NOT(ISNUMBER('Price History'!V16)),'Price History'!V16=0),"",'Price History'!V17/'Price History'!V16-1),"")</f>
        <v>1.5430267062312986E-3</v>
      </c>
      <c r="W16" s="152">
        <f>IFERROR('Price History'!B3+(INDEX('Price History'!B:B,MATCH(9.99E+307,'Returns (Calc)'!$A:$A)+1)-'Price History'!B3)*(ROW()-3)/(MATCH(9.99E+307,'Returns (Calc)'!$A:$A)-3),"")</f>
        <v>505.45566037735847</v>
      </c>
      <c r="X16" s="152">
        <f>IFERROR('Price History'!C3+(INDEX('Price History'!C:C,MATCH(9.99E+307,'Returns (Calc)'!$A:$A)+1)-'Price History'!C3)*(ROW()-3)/(MATCH(9.99E+307,'Returns (Calc)'!$A:$A)-3),"")</f>
        <v>60.125157232704403</v>
      </c>
      <c r="Y16" s="152">
        <f>IFERROR('Price History'!D3+(INDEX('Price History'!D:D,MATCH(9.99E+307,'Returns (Calc)'!$A:$A)+1)-'Price History'!D3)*(ROW()-3)/(MATCH(9.99E+307,'Returns (Calc)'!$A:$A)-3),"")</f>
        <v>679.98666666666668</v>
      </c>
      <c r="Z16" s="152">
        <f>IFERROR('Price History'!E3+(INDEX('Price History'!E:E,MATCH(9.99E+307,'Returns (Calc)'!$A:$A)+1)-'Price History'!E3)*(ROW()-3)/(MATCH(9.99E+307,'Returns (Calc)'!$A:$A)-3),"")</f>
        <v>104.85547169811321</v>
      </c>
      <c r="AA16" s="152">
        <f>IFERROR('Price History'!F3+(INDEX('Price History'!F:F,MATCH(9.99E+307,'Returns (Calc)'!$A:$A)+1)-'Price History'!F3)*(ROW()-3)/(MATCH(9.99E+307,'Returns (Calc)'!$A:$A)-3),"")</f>
        <v>60.465911949685534</v>
      </c>
      <c r="AB16" s="152">
        <f>IFERROR('Price History'!G3+(INDEX('Price History'!G:G,MATCH(9.99E+307,'Returns (Calc)'!$A:$A)+1)-'Price History'!G3)*(ROW()-3)/(MATCH(9.99E+307,'Returns (Calc)'!$A:$A)-3),"")</f>
        <v>56.713899371069182</v>
      </c>
      <c r="AC16" s="152">
        <f>IFERROR('Price History'!H3+(INDEX('Price History'!H:H,MATCH(9.99E+307,'Returns (Calc)'!$A:$A)+1)-'Price History'!H3)*(ROW()-3)/(MATCH(9.99E+307,'Returns (Calc)'!$A:$A)-3),"")</f>
        <v>147.59157232704402</v>
      </c>
      <c r="AD16" s="152">
        <f>IFERROR('Price History'!I3+(INDEX('Price History'!I:I,MATCH(9.99E+307,'Returns (Calc)'!$A:$A)+1)-'Price History'!I3)*(ROW()-3)/(MATCH(9.99E+307,'Returns (Calc)'!$A:$A)-3),"")</f>
        <v>58.937484276729563</v>
      </c>
      <c r="AE16" s="152">
        <f>IFERROR('Price History'!J3+(INDEX('Price History'!J:J,MATCH(9.99E+307,'Returns (Calc)'!$A:$A)+1)-'Price History'!J3)*(ROW()-3)/(MATCH(9.99E+307,'Returns (Calc)'!$A:$A)-3),"")</f>
        <v>113.28308176100629</v>
      </c>
      <c r="AF16" s="152">
        <f>IFERROR('Price History'!K3+(INDEX('Price History'!K:K,MATCH(9.99E+307,'Returns (Calc)'!$A:$A)+1)-'Price History'!K3)*(ROW()-3)/(MATCH(9.99E+307,'Returns (Calc)'!$A:$A)-3),"")</f>
        <v>31.168742138364781</v>
      </c>
      <c r="AG16" s="152">
        <f>IFERROR('Price History'!L3+(INDEX('Price History'!L:L,MATCH(9.99E+307,'Returns (Calc)'!$A:$A)+1)-'Price History'!L3)*(ROW()-3)/(MATCH(9.99E+307,'Returns (Calc)'!$A:$A)-3),"")</f>
        <v>115.80207547169812</v>
      </c>
      <c r="AH16" s="152">
        <f>IFERROR('Price History'!M3+(INDEX('Price History'!M:M,MATCH(9.99E+307,'Returns (Calc)'!$A:$A)+1)-'Price History'!M3)*(ROW()-3)/(MATCH(9.99E+307,'Returns (Calc)'!$A:$A)-3),"")</f>
        <v>54.761383647798745</v>
      </c>
      <c r="AI16" s="152">
        <f>IFERROR('Price History'!N3+(INDEX('Price History'!N:N,MATCH(9.99E+307,'Returns (Calc)'!$A:$A)+1)-'Price History'!N3)*(ROW()-3)/(MATCH(9.99E+307,'Returns (Calc)'!$A:$A)-3),"")</f>
        <v>362.07823899371067</v>
      </c>
      <c r="AJ16" s="152">
        <f>IFERROR('Price History'!O3+(INDEX('Price History'!O:O,MATCH(9.99E+307,'Returns (Calc)'!$A:$A)+1)-'Price History'!O3)*(ROW()-3)/(MATCH(9.99E+307,'Returns (Calc)'!$A:$A)-3),"")</f>
        <v>78.934465408805039</v>
      </c>
      <c r="AK16" s="152">
        <f>IFERROR('Price History'!Q3+(INDEX('Price History'!Q:Q,MATCH(9.99E+307,'Returns (Calc)'!$A:$A)+1)-'Price History'!Q3)*(ROW()-3)/(MATCH(9.99E+307,'Returns (Calc)'!$A:$A)-3),"")</f>
        <v>5.7208176100628929</v>
      </c>
      <c r="AL16" s="152">
        <f>IFERROR('Price History'!R3+(INDEX('Price History'!R:R,MATCH(9.99E+307,'Returns (Calc)'!$A:$A)+1)-'Price History'!R3)*(ROW()-3)/(MATCH(9.99E+307,'Returns (Calc)'!$A:$A)-3),"")</f>
        <v>36.655660377358487</v>
      </c>
      <c r="AM16" s="152">
        <f>IFERROR('Price History'!S3+(INDEX('Price History'!S:S,MATCH(9.99E+307,'Returns (Calc)'!$A:$A)+1)-'Price History'!S3)*(ROW()-3)/(MATCH(9.99E+307,'Returns (Calc)'!$A:$A)-3),"")</f>
        <v>65.277106918238999</v>
      </c>
      <c r="AN16" s="152">
        <f>IFERROR('Price History'!T3+(INDEX('Price History'!T:T,MATCH(9.99E+307,'Returns (Calc)'!$A:$A)+1)-'Price History'!T3)*(ROW()-3)/(MATCH(9.99E+307,'Returns (Calc)'!$A:$A)-3),"")</f>
        <v>27.496603773584905</v>
      </c>
      <c r="AO16" s="153">
        <f>IFERROR('Price History'!V3+(INDEX('Price History'!V:V,MATCH(9.99E+307,'Returns (Calc)'!$A:$A)+1)-'Price History'!V3)*(ROW()-3)/(MATCH(9.99E+307,'Returns (Calc)'!$A:$A)-3),"")</f>
        <v>247.87943396226416</v>
      </c>
      <c r="AP16" s="151">
        <f>IFERROR(IF(OR(NOT(ISNUMBER('Price History'!W17)),NOT(ISNUMBER('Price History'!W16)),'Price History'!W16=0),"",'Price History'!W17/'Price History'!W16-1),"")</f>
        <v>6.8252730109203963E-3</v>
      </c>
      <c r="AQ16" s="151" t="str">
        <f>IFERROR(IF(OR(NOT(ISNUMBER('Price History'!X17)),NOT(ISNUMBER('Price History'!X16)),'Price History'!X16=0),"",'Price History'!X17/'Price History'!X16-1),"")</f>
        <v/>
      </c>
      <c r="AR16" s="151">
        <f>IFERROR(IF(OR(NOT(ISNUMBER('Price History'!Y17)),NOT(ISNUMBER('Price History'!Y16)),'Price History'!Y16=0),"",'Price History'!Y17/'Price History'!Y16-1),"")</f>
        <v>1.3630168105405183E-3</v>
      </c>
      <c r="AS16" s="151">
        <f>IFERROR(IF(OR(NOT(ISNUMBER('Price History'!Z17)),NOT(ISNUMBER('Price History'!Z16)),'Price History'!Z16=0),"",'Price History'!Z17/'Price History'!Z16-1),"")</f>
        <v>2.8090467830217847E-2</v>
      </c>
      <c r="AT16" s="151">
        <f>IFERROR(IF(OR(NOT(ISNUMBER('Price History'!AA17)),NOT(ISNUMBER('Price History'!AA16)),'Price History'!AA16=0),"",'Price History'!AA17/'Price History'!AA16-1),"")</f>
        <v>3.1137470874814666E-2</v>
      </c>
      <c r="AU16" s="151">
        <f>IFERROR(IF(OR(NOT(ISNUMBER('Price History'!AB17)),NOT(ISNUMBER('Price History'!AB16)),'Price History'!AB16=0),"",'Price History'!AB17/'Price History'!AB16-1),"")</f>
        <v>5.6345823877788304E-2</v>
      </c>
    </row>
    <row r="17" spans="1:47" ht="15" customHeight="1" x14ac:dyDescent="0.2">
      <c r="A17" s="149">
        <f>IF('Price History'!A18="","",'Price History'!A18)</f>
        <v>45289</v>
      </c>
      <c r="B17" s="150">
        <f>IFERROR(IF(OR(NOT(ISNUMBER('Price History'!B18)),NOT(ISNUMBER('Price History'!B17)),'Price History'!B17=0),"",'Price History'!B18/'Price History'!B17-1),"")</f>
        <v>-3.5908141962421869E-3</v>
      </c>
      <c r="C17" s="150">
        <f>IFERROR(IF(OR(NOT(ISNUMBER('Price History'!C18)),NOT(ISNUMBER('Price History'!C17)),'Price History'!C17=0),"",'Price History'!C18/'Price History'!C17-1),"")</f>
        <v>-1.1417058428475513E-2</v>
      </c>
      <c r="D17" s="150">
        <f>IFERROR(IF(OR(NOT(ISNUMBER('Price History'!D18)),NOT(ISNUMBER('Price History'!D17)),'Price History'!D17=0),"",'Price History'!D18/'Price History'!D17-1),"")</f>
        <v>5.8292795608336778E-3</v>
      </c>
      <c r="E17" s="150">
        <f>IFERROR(IF(OR(NOT(ISNUMBER('Price History'!E18)),NOT(ISNUMBER('Price History'!E17)),'Price History'!E17=0),"",'Price History'!E18/'Price History'!E17-1),"")</f>
        <v>-5.0407845293739539E-3</v>
      </c>
      <c r="F17" s="150">
        <f>IFERROR(IF(OR(NOT(ISNUMBER('Price History'!F18)),NOT(ISNUMBER('Price History'!F17)),'Price History'!F17=0),"",'Price History'!F18/'Price History'!F17-1),"")</f>
        <v>-1.2517602879048573E-3</v>
      </c>
      <c r="G17" s="150">
        <f>IFERROR(IF(OR(NOT(ISNUMBER('Price History'!G18)),NOT(ISNUMBER('Price History'!G17)),'Price History'!G17=0),"",'Price History'!G18/'Price History'!G17-1),"")</f>
        <v>-2.2787028921997798E-3</v>
      </c>
      <c r="H17" s="150">
        <f>IFERROR(IF(OR(NOT(ISNUMBER('Price History'!H18)),NOT(ISNUMBER('Price History'!H17)),'Price History'!H17=0),"",'Price History'!H18/'Price History'!H17-1),"")</f>
        <v>-1.2021475256769332E-2</v>
      </c>
      <c r="I17" s="150">
        <f>IFERROR(IF(OR(NOT(ISNUMBER('Price History'!I18)),NOT(ISNUMBER('Price History'!I17)),'Price History'!I17=0),"",'Price History'!I18/'Price History'!I17-1),"")</f>
        <v>1.4171287738755423E-2</v>
      </c>
      <c r="J17" s="150">
        <f>IFERROR(IF(OR(NOT(ISNUMBER('Price History'!J18)),NOT(ISNUMBER('Price History'!J17)),'Price History'!J17=0),"",'Price History'!J18/'Price History'!J17-1),"")</f>
        <v>6.7779798313769568E-3</v>
      </c>
      <c r="K17" s="150">
        <f>IFERROR(IF(OR(NOT(ISNUMBER('Price History'!K18)),NOT(ISNUMBER('Price History'!K17)),'Price History'!K17=0),"",'Price History'!K18/'Price History'!K17-1),"")</f>
        <v>-1.378518093049963E-2</v>
      </c>
      <c r="L17" s="150">
        <f>IFERROR(IF(OR(NOT(ISNUMBER('Price History'!L18)),NOT(ISNUMBER('Price History'!L17)),'Price History'!L17=0),"",'Price History'!L18/'Price History'!L17-1),"")</f>
        <v>8.3358441297580743E-3</v>
      </c>
      <c r="M17" s="150">
        <f>IFERROR(IF(OR(NOT(ISNUMBER('Price History'!M18)),NOT(ISNUMBER('Price History'!M17)),'Price History'!M17=0),"",'Price History'!M18/'Price History'!M17-1),"")</f>
        <v>-1.5425750719868403E-2</v>
      </c>
      <c r="N17" s="150">
        <f>IFERROR(IF(OR(NOT(ISNUMBER('Price History'!N18)),NOT(ISNUMBER('Price History'!N17)),'Price History'!N17=0),"",'Price History'!N18/'Price History'!N17-1),"")</f>
        <v>4.0468846391117363E-3</v>
      </c>
      <c r="O17" s="150">
        <f>IFERROR(IF(OR(NOT(ISNUMBER('Price History'!O18)),NOT(ISNUMBER('Price History'!O17)),'Price History'!O17=0),"",'Price History'!O18/'Price History'!O17-1),"")</f>
        <v>-3.7058482918355118E-3</v>
      </c>
      <c r="P17" s="150">
        <f>IFERROR(IF(OR(NOT(ISNUMBER('Price History'!P18)),NOT(ISNUMBER('Price History'!P17)),'Price History'!P17=0),"",'Price History'!P18/'Price History'!P17-1),"")</f>
        <v>4.0635040635041975E-3</v>
      </c>
      <c r="Q17" s="150">
        <f>IFERROR(IF(OR(NOT(ISNUMBER('Price History'!Q18)),NOT(ISNUMBER('Price History'!Q17)),'Price History'!Q17=0),"",'Price History'!Q18/'Price History'!Q17-1),"")</f>
        <v>1.734104046242857E-3</v>
      </c>
      <c r="R17" s="150">
        <f>IFERROR(IF(OR(NOT(ISNUMBER('Price History'!R18)),NOT(ISNUMBER('Price History'!R17)),'Price History'!R17=0),"",'Price History'!R18/'Price History'!R17-1),"")</f>
        <v>3.2573289902280145E-3</v>
      </c>
      <c r="S17" s="150">
        <f>IFERROR(IF(OR(NOT(ISNUMBER('Price History'!S18)),NOT(ISNUMBER('Price History'!S17)),'Price History'!S17=0),"",'Price History'!S18/'Price History'!S17-1),"")</f>
        <v>7.0521861777150807E-3</v>
      </c>
      <c r="T17" s="150">
        <f>IFERROR(IF(OR(NOT(ISNUMBER('Price History'!T18)),NOT(ISNUMBER('Price History'!T17)),'Price History'!T17=0),"",'Price History'!T18/'Price History'!T17-1),"")</f>
        <v>-2.1905805038335835E-3</v>
      </c>
      <c r="U17" s="150">
        <f>IFERROR(IF(OR(NOT(ISNUMBER('Price History'!U18)),NOT(ISNUMBER('Price History'!U17)),'Price History'!U17=0),"",'Price History'!U18/'Price History'!U17-1),"")</f>
        <v>3.9318479685452878E-3</v>
      </c>
      <c r="V17" s="151">
        <f>IFERROR(IF(OR(NOT(ISNUMBER('Price History'!V18)),NOT(ISNUMBER('Price History'!V17)),'Price History'!V17=0),"",'Price History'!V18/'Price History'!V17-1),"")</f>
        <v>7.4267203918780833E-3</v>
      </c>
      <c r="W17" s="152">
        <f>IFERROR('Price History'!B3+(INDEX('Price History'!B:B,MATCH(9.99E+307,'Returns (Calc)'!$A:$A)+1)-'Price History'!B3)*(ROW()-3)/(MATCH(9.99E+307,'Returns (Calc)'!$A:$A)-3),"")</f>
        <v>503.65301886792452</v>
      </c>
      <c r="X17" s="152">
        <f>IFERROR('Price History'!C3+(INDEX('Price History'!C:C,MATCH(9.99E+307,'Returns (Calc)'!$A:$A)+1)-'Price History'!C3)*(ROW()-3)/(MATCH(9.99E+307,'Returns (Calc)'!$A:$A)-3),"")</f>
        <v>61.197861635220129</v>
      </c>
      <c r="Y17" s="152">
        <f>IFERROR('Price History'!D3+(INDEX('Price History'!D:D,MATCH(9.99E+307,'Returns (Calc)'!$A:$A)+1)-'Price History'!D3)*(ROW()-3)/(MATCH(9.99E+307,'Returns (Calc)'!$A:$A)-3),"")</f>
        <v>687.52333333333331</v>
      </c>
      <c r="Z17" s="152">
        <f>IFERROR('Price History'!E3+(INDEX('Price History'!E:E,MATCH(9.99E+307,'Returns (Calc)'!$A:$A)+1)-'Price History'!E3)*(ROW()-3)/(MATCH(9.99E+307,'Returns (Calc)'!$A:$A)-3),"")</f>
        <v>106.61358490566037</v>
      </c>
      <c r="AA17" s="152">
        <f>IFERROR('Price History'!F3+(INDEX('Price History'!F:F,MATCH(9.99E+307,'Returns (Calc)'!$A:$A)+1)-'Price History'!F3)*(ROW()-3)/(MATCH(9.99E+307,'Returns (Calc)'!$A:$A)-3),"")</f>
        <v>61.935597484276727</v>
      </c>
      <c r="AB17" s="152">
        <f>IFERROR('Price History'!G3+(INDEX('Price History'!G:G,MATCH(9.99E+307,'Returns (Calc)'!$A:$A)+1)-'Price History'!G3)*(ROW()-3)/(MATCH(9.99E+307,'Returns (Calc)'!$A:$A)-3),"")</f>
        <v>57.664968553459119</v>
      </c>
      <c r="AC17" s="152">
        <f>IFERROR('Price History'!H3+(INDEX('Price History'!H:H,MATCH(9.99E+307,'Returns (Calc)'!$A:$A)+1)-'Price History'!H3)*(ROW()-3)/(MATCH(9.99E+307,'Returns (Calc)'!$A:$A)-3),"")</f>
        <v>153.62861635220125</v>
      </c>
      <c r="AD17" s="152">
        <f>IFERROR('Price History'!I3+(INDEX('Price History'!I:I,MATCH(9.99E+307,'Returns (Calc)'!$A:$A)+1)-'Price History'!I3)*(ROW()-3)/(MATCH(9.99E+307,'Returns (Calc)'!$A:$A)-3),"")</f>
        <v>60.104213836477989</v>
      </c>
      <c r="AE17" s="152">
        <f>IFERROR('Price History'!J3+(INDEX('Price History'!J:J,MATCH(9.99E+307,'Returns (Calc)'!$A:$A)+1)-'Price History'!J3)*(ROW()-3)/(MATCH(9.99E+307,'Returns (Calc)'!$A:$A)-3),"")</f>
        <v>113.39408805031447</v>
      </c>
      <c r="AF17" s="152">
        <f>IFERROR('Price History'!K3+(INDEX('Price History'!K:K,MATCH(9.99E+307,'Returns (Calc)'!$A:$A)+1)-'Price History'!K3)*(ROW()-3)/(MATCH(9.99E+307,'Returns (Calc)'!$A:$A)-3),"")</f>
        <v>32.387106918238992</v>
      </c>
      <c r="AG17" s="152">
        <f>IFERROR('Price History'!L3+(INDEX('Price History'!L:L,MATCH(9.99E+307,'Returns (Calc)'!$A:$A)+1)-'Price History'!L3)*(ROW()-3)/(MATCH(9.99E+307,'Returns (Calc)'!$A:$A)-3),"")</f>
        <v>118.11377358490566</v>
      </c>
      <c r="AH17" s="152">
        <f>IFERROR('Price History'!M3+(INDEX('Price History'!M:M,MATCH(9.99E+307,'Returns (Calc)'!$A:$A)+1)-'Price History'!M3)*(ROW()-3)/(MATCH(9.99E+307,'Returns (Calc)'!$A:$A)-3),"")</f>
        <v>56.049182389937108</v>
      </c>
      <c r="AI17" s="152">
        <f>IFERROR('Price History'!N3+(INDEX('Price History'!N:N,MATCH(9.99E+307,'Returns (Calc)'!$A:$A)+1)-'Price History'!N3)*(ROW()-3)/(MATCH(9.99E+307,'Returns (Calc)'!$A:$A)-3),"")</f>
        <v>363.09194968553459</v>
      </c>
      <c r="AJ17" s="152">
        <f>IFERROR('Price History'!O3+(INDEX('Price History'!O:O,MATCH(9.99E+307,'Returns (Calc)'!$A:$A)+1)-'Price History'!O3)*(ROW()-3)/(MATCH(9.99E+307,'Returns (Calc)'!$A:$A)-3),"")</f>
        <v>79.213270440251577</v>
      </c>
      <c r="AK17" s="152">
        <f>IFERROR('Price History'!Q3+(INDEX('Price History'!Q:Q,MATCH(9.99E+307,'Returns (Calc)'!$A:$A)+1)-'Price History'!Q3)*(ROW()-3)/(MATCH(9.99E+307,'Returns (Calc)'!$A:$A)-3),"")</f>
        <v>6.1608805031446536</v>
      </c>
      <c r="AL17" s="152">
        <f>IFERROR('Price History'!R3+(INDEX('Price History'!R:R,MATCH(9.99E+307,'Returns (Calc)'!$A:$A)+1)-'Price History'!R3)*(ROW()-3)/(MATCH(9.99E+307,'Returns (Calc)'!$A:$A)-3),"")</f>
        <v>36.823018867924524</v>
      </c>
      <c r="AM17" s="152">
        <f>IFERROR('Price History'!S3+(INDEX('Price History'!S:S,MATCH(9.99E+307,'Returns (Calc)'!$A:$A)+1)-'Price History'!S3)*(ROW()-3)/(MATCH(9.99E+307,'Returns (Calc)'!$A:$A)-3),"")</f>
        <v>65.865345911949689</v>
      </c>
      <c r="AN17" s="152">
        <f>IFERROR('Price History'!T3+(INDEX('Price History'!T:T,MATCH(9.99E+307,'Returns (Calc)'!$A:$A)+1)-'Price History'!T3)*(ROW()-3)/(MATCH(9.99E+307,'Returns (Calc)'!$A:$A)-3),"")</f>
        <v>27.670188679245282</v>
      </c>
      <c r="AO17" s="153">
        <f>IFERROR('Price History'!V3+(INDEX('Price History'!V:V,MATCH(9.99E+307,'Returns (Calc)'!$A:$A)+1)-'Price History'!V3)*(ROW()-3)/(MATCH(9.99E+307,'Returns (Calc)'!$A:$A)-3),"")</f>
        <v>248.82169811320753</v>
      </c>
      <c r="AP17" s="151">
        <f>IFERROR(IF(OR(NOT(ISNUMBER('Price History'!W18)),NOT(ISNUMBER('Price History'!W17)),'Price History'!W17=0),"",'Price History'!W18/'Price History'!W17-1),"")</f>
        <v>6.1011040092968649E-3</v>
      </c>
      <c r="AQ17" s="151" t="str">
        <f>IFERROR(IF(OR(NOT(ISNUMBER('Price History'!X18)),NOT(ISNUMBER('Price History'!X17)),'Price History'!X17=0),"",'Price History'!X18/'Price History'!X17-1),"")</f>
        <v/>
      </c>
      <c r="AR17" s="151">
        <f>IFERROR(IF(OR(NOT(ISNUMBER('Price History'!Y18)),NOT(ISNUMBER('Price History'!Y17)),'Price History'!Y17=0),"",'Price History'!Y18/'Price History'!Y17-1),"")</f>
        <v>5.2177858439201863E-3</v>
      </c>
      <c r="AS17" s="151">
        <f>IFERROR(IF(OR(NOT(ISNUMBER('Price History'!Z18)),NOT(ISNUMBER('Price History'!Z17)),'Price History'!Z17=0),"",'Price History'!Z18/'Price History'!Z17-1),"")</f>
        <v>8.0361627322953488E-3</v>
      </c>
      <c r="AT17" s="151">
        <f>IFERROR(IF(OR(NOT(ISNUMBER('Price History'!AA18)),NOT(ISNUMBER('Price History'!AA17)),'Price History'!AA17=0),"",'Price History'!AA18/'Price History'!AA17-1),"")</f>
        <v>2.054231717336652E-4</v>
      </c>
      <c r="AU17" s="151">
        <f>IFERROR(IF(OR(NOT(ISNUMBER('Price History'!AB18)),NOT(ISNUMBER('Price History'!AB17)),'Price History'!AB17=0),"",'Price History'!AB18/'Price History'!AB17-1),"")</f>
        <v>8.7503274823159671E-3</v>
      </c>
    </row>
    <row r="18" spans="1:47" ht="15" customHeight="1" x14ac:dyDescent="0.2">
      <c r="A18" s="149">
        <f>IF('Price History'!A19="","",'Price History'!A19)</f>
        <v>45296</v>
      </c>
      <c r="B18" s="150">
        <f>IFERROR(IF(OR(NOT(ISNUMBER('Price History'!B19)),NOT(ISNUMBER('Price History'!B18)),'Price History'!B18=0),"",'Price History'!B19/'Price History'!B18-1),"")</f>
        <v>-5.3637277908146208E-2</v>
      </c>
      <c r="C18" s="150">
        <f>IFERROR(IF(OR(NOT(ISNUMBER('Price History'!C19)),NOT(ISNUMBER('Price History'!C18)),'Price History'!C18=0),"",'Price History'!C19/'Price History'!C18-1),"")</f>
        <v>-1.9531250000000111E-2</v>
      </c>
      <c r="D18" s="150">
        <f>IFERROR(IF(OR(NOT(ISNUMBER('Price History'!D19)),NOT(ISNUMBER('Price History'!D18)),'Price History'!D18=0),"",'Price History'!D19/'Price History'!D18-1),"")</f>
        <v>-7.0788808883725296E-2</v>
      </c>
      <c r="E18" s="150">
        <f>IFERROR(IF(OR(NOT(ISNUMBER('Price History'!E19)),NOT(ISNUMBER('Price History'!E18)),'Price History'!E18=0),"",'Price History'!E19/'Price History'!E18-1),"")</f>
        <v>-6.0058953574060436E-2</v>
      </c>
      <c r="F18" s="150">
        <f>IFERROR(IF(OR(NOT(ISNUMBER('Price History'!F19)),NOT(ISNUMBER('Price History'!F18)),'Price History'!F18=0),"",'Price History'!F19/'Price History'!F18-1),"")</f>
        <v>-3.0706564311452356E-2</v>
      </c>
      <c r="G18" s="150">
        <f>IFERROR(IF(OR(NOT(ISNUMBER('Price History'!G19)),NOT(ISNUMBER('Price History'!G18)),'Price History'!G18=0),"",'Price History'!G19/'Price History'!G18-1),"")</f>
        <v>-6.3598032326071752E-2</v>
      </c>
      <c r="H18" s="150">
        <f>IFERROR(IF(OR(NOT(ISNUMBER('Price History'!H19)),NOT(ISNUMBER('Price History'!H18)),'Price History'!H18=0),"",'Price History'!H19/'Price History'!H18-1),"")</f>
        <v>-2.2090962787950419E-2</v>
      </c>
      <c r="I18" s="150">
        <f>IFERROR(IF(OR(NOT(ISNUMBER('Price History'!I19)),NOT(ISNUMBER('Price History'!I18)),'Price History'!I18=0),"",'Price History'!I19/'Price History'!I18-1),"")</f>
        <v>-8.5054678007290274E-3</v>
      </c>
      <c r="J18" s="150">
        <f>IFERROR(IF(OR(NOT(ISNUMBER('Price History'!J19)),NOT(ISNUMBER('Price History'!J18)),'Price History'!J18=0),"",'Price History'!J19/'Price History'!J18-1),"")</f>
        <v>-2.0525451559934349E-2</v>
      </c>
      <c r="K18" s="150">
        <f>IFERROR(IF(OR(NOT(ISNUMBER('Price History'!K19)),NOT(ISNUMBER('Price History'!K18)),'Price History'!K18=0),"",'Price History'!K19/'Price History'!K18-1),"")</f>
        <v>-6.9306930693069368E-2</v>
      </c>
      <c r="L18" s="150">
        <f>IFERROR(IF(OR(NOT(ISNUMBER('Price History'!L19)),NOT(ISNUMBER('Price History'!L18)),'Price History'!L18=0),"",'Price History'!L19/'Price History'!L18-1),"")</f>
        <v>-4.2231075697211296E-2</v>
      </c>
      <c r="M18" s="150">
        <f>IFERROR(IF(OR(NOT(ISNUMBER('Price History'!M19)),NOT(ISNUMBER('Price History'!M18)),'Price History'!M18=0),"",'Price History'!M19/'Price History'!M18-1),"")</f>
        <v>-3.5721746396490506E-2</v>
      </c>
      <c r="N18" s="150">
        <f>IFERROR(IF(OR(NOT(ISNUMBER('Price History'!N19)),NOT(ISNUMBER('Price History'!N18)),'Price History'!N18=0),"",'Price History'!N19/'Price History'!N18-1),"")</f>
        <v>2.3618176902848509E-2</v>
      </c>
      <c r="O18" s="150">
        <f>IFERROR(IF(OR(NOT(ISNUMBER('Price History'!O19)),NOT(ISNUMBER('Price History'!O18)),'Price History'!O18=0),"",'Price History'!O19/'Price History'!O18-1),"")</f>
        <v>-2.592119028245965E-2</v>
      </c>
      <c r="P18" s="150">
        <f>IFERROR(IF(OR(NOT(ISNUMBER('Price History'!P19)),NOT(ISNUMBER('Price History'!P18)),'Price History'!P18=0),"",'Price History'!P19/'Price History'!P18-1),"")</f>
        <v>7.058823529411784E-3</v>
      </c>
      <c r="Q18" s="150">
        <f>IFERROR(IF(OR(NOT(ISNUMBER('Price History'!Q19)),NOT(ISNUMBER('Price History'!Q18)),'Price History'!Q18=0),"",'Price History'!Q19/'Price History'!Q18-1),"")</f>
        <v>-4.4239276783997195E-3</v>
      </c>
      <c r="R18" s="150">
        <f>IFERROR(IF(OR(NOT(ISNUMBER('Price History'!R19)),NOT(ISNUMBER('Price History'!R18)),'Price History'!R18=0),"",'Price History'!R19/'Price History'!R18-1),"")</f>
        <v>-1.5692640692640647E-2</v>
      </c>
      <c r="S18" s="150">
        <f>IFERROR(IF(OR(NOT(ISNUMBER('Price History'!S19)),NOT(ISNUMBER('Price History'!S18)),'Price History'!S18=0),"",'Price History'!S19/'Price History'!S18-1),"")</f>
        <v>-1.0270774976657404E-2</v>
      </c>
      <c r="T18" s="150">
        <f>IFERROR(IF(OR(NOT(ISNUMBER('Price History'!T19)),NOT(ISNUMBER('Price History'!T18)),'Price History'!T18=0),"",'Price History'!T19/'Price History'!T18-1),"")</f>
        <v>7.3179656055621933E-4</v>
      </c>
      <c r="U18" s="150">
        <f>IFERROR(IF(OR(NOT(ISNUMBER('Price History'!U19)),NOT(ISNUMBER('Price History'!U18)),'Price History'!U18=0),"",'Price History'!U19/'Price History'!U18-1),"")</f>
        <v>3.0461270670147922E-3</v>
      </c>
      <c r="V18" s="151">
        <f>IFERROR(IF(OR(NOT(ISNUMBER('Price History'!V19)),NOT(ISNUMBER('Price History'!V18)),'Price History'!V18=0),"",'Price History'!V19/'Price History'!V18-1),"")</f>
        <v>-2.5096070896400979E-3</v>
      </c>
      <c r="W18" s="152">
        <f>IFERROR('Price History'!B3+(INDEX('Price History'!B:B,MATCH(9.99E+307,'Returns (Calc)'!$A:$A)+1)-'Price History'!B3)*(ROW()-3)/(MATCH(9.99E+307,'Returns (Calc)'!$A:$A)-3),"")</f>
        <v>501.85037735849056</v>
      </c>
      <c r="X18" s="152">
        <f>IFERROR('Price History'!C3+(INDEX('Price History'!C:C,MATCH(9.99E+307,'Returns (Calc)'!$A:$A)+1)-'Price History'!C3)*(ROW()-3)/(MATCH(9.99E+307,'Returns (Calc)'!$A:$A)-3),"")</f>
        <v>62.270566037735847</v>
      </c>
      <c r="Y18" s="152">
        <f>IFERROR('Price History'!D3+(INDEX('Price History'!D:D,MATCH(9.99E+307,'Returns (Calc)'!$A:$A)+1)-'Price History'!D3)*(ROW()-3)/(MATCH(9.99E+307,'Returns (Calc)'!$A:$A)-3),"")</f>
        <v>695.06</v>
      </c>
      <c r="Z18" s="152">
        <f>IFERROR('Price History'!E3+(INDEX('Price History'!E:E,MATCH(9.99E+307,'Returns (Calc)'!$A:$A)+1)-'Price History'!E3)*(ROW()-3)/(MATCH(9.99E+307,'Returns (Calc)'!$A:$A)-3),"")</f>
        <v>108.37169811320754</v>
      </c>
      <c r="AA18" s="152">
        <f>IFERROR('Price History'!F3+(INDEX('Price History'!F:F,MATCH(9.99E+307,'Returns (Calc)'!$A:$A)+1)-'Price History'!F3)*(ROW()-3)/(MATCH(9.99E+307,'Returns (Calc)'!$A:$A)-3),"")</f>
        <v>63.405283018867927</v>
      </c>
      <c r="AB18" s="152">
        <f>IFERROR('Price History'!G3+(INDEX('Price History'!G:G,MATCH(9.99E+307,'Returns (Calc)'!$A:$A)+1)-'Price History'!G3)*(ROW()-3)/(MATCH(9.99E+307,'Returns (Calc)'!$A:$A)-3),"")</f>
        <v>58.616037735849062</v>
      </c>
      <c r="AC18" s="152">
        <f>IFERROR('Price History'!H3+(INDEX('Price History'!H:H,MATCH(9.99E+307,'Returns (Calc)'!$A:$A)+1)-'Price History'!H3)*(ROW()-3)/(MATCH(9.99E+307,'Returns (Calc)'!$A:$A)-3),"")</f>
        <v>159.66566037735851</v>
      </c>
      <c r="AD18" s="152">
        <f>IFERROR('Price History'!I3+(INDEX('Price History'!I:I,MATCH(9.99E+307,'Returns (Calc)'!$A:$A)+1)-'Price History'!I3)*(ROW()-3)/(MATCH(9.99E+307,'Returns (Calc)'!$A:$A)-3),"")</f>
        <v>61.270943396226414</v>
      </c>
      <c r="AE18" s="152">
        <f>IFERROR('Price History'!J3+(INDEX('Price History'!J:J,MATCH(9.99E+307,'Returns (Calc)'!$A:$A)+1)-'Price History'!J3)*(ROW()-3)/(MATCH(9.99E+307,'Returns (Calc)'!$A:$A)-3),"")</f>
        <v>113.50509433962264</v>
      </c>
      <c r="AF18" s="152">
        <f>IFERROR('Price History'!K3+(INDEX('Price History'!K:K,MATCH(9.99E+307,'Returns (Calc)'!$A:$A)+1)-'Price History'!K3)*(ROW()-3)/(MATCH(9.99E+307,'Returns (Calc)'!$A:$A)-3),"")</f>
        <v>33.605471698113206</v>
      </c>
      <c r="AG18" s="152">
        <f>IFERROR('Price History'!L3+(INDEX('Price History'!L:L,MATCH(9.99E+307,'Returns (Calc)'!$A:$A)+1)-'Price History'!L3)*(ROW()-3)/(MATCH(9.99E+307,'Returns (Calc)'!$A:$A)-3),"")</f>
        <v>120.4254716981132</v>
      </c>
      <c r="AH18" s="152">
        <f>IFERROR('Price History'!M3+(INDEX('Price History'!M:M,MATCH(9.99E+307,'Returns (Calc)'!$A:$A)+1)-'Price History'!M3)*(ROW()-3)/(MATCH(9.99E+307,'Returns (Calc)'!$A:$A)-3),"")</f>
        <v>57.336981132075472</v>
      </c>
      <c r="AI18" s="152">
        <f>IFERROR('Price History'!N3+(INDEX('Price History'!N:N,MATCH(9.99E+307,'Returns (Calc)'!$A:$A)+1)-'Price History'!N3)*(ROW()-3)/(MATCH(9.99E+307,'Returns (Calc)'!$A:$A)-3),"")</f>
        <v>364.10566037735845</v>
      </c>
      <c r="AJ18" s="152">
        <f>IFERROR('Price History'!O3+(INDEX('Price History'!O:O,MATCH(9.99E+307,'Returns (Calc)'!$A:$A)+1)-'Price History'!O3)*(ROW()-3)/(MATCH(9.99E+307,'Returns (Calc)'!$A:$A)-3),"")</f>
        <v>79.492075471698115</v>
      </c>
      <c r="AK18" s="152">
        <f>IFERROR('Price History'!Q3+(INDEX('Price History'!Q:Q,MATCH(9.99E+307,'Returns (Calc)'!$A:$A)+1)-'Price History'!Q3)*(ROW()-3)/(MATCH(9.99E+307,'Returns (Calc)'!$A:$A)-3),"")</f>
        <v>6.6009433962264152</v>
      </c>
      <c r="AL18" s="152">
        <f>IFERROR('Price History'!R3+(INDEX('Price History'!R:R,MATCH(9.99E+307,'Returns (Calc)'!$A:$A)+1)-'Price History'!R3)*(ROW()-3)/(MATCH(9.99E+307,'Returns (Calc)'!$A:$A)-3),"")</f>
        <v>36.990377358490562</v>
      </c>
      <c r="AM18" s="152">
        <f>IFERROR('Price History'!S3+(INDEX('Price History'!S:S,MATCH(9.99E+307,'Returns (Calc)'!$A:$A)+1)-'Price History'!S3)*(ROW()-3)/(MATCH(9.99E+307,'Returns (Calc)'!$A:$A)-3),"")</f>
        <v>66.453584905660378</v>
      </c>
      <c r="AN18" s="152">
        <f>IFERROR('Price History'!T3+(INDEX('Price History'!T:T,MATCH(9.99E+307,'Returns (Calc)'!$A:$A)+1)-'Price History'!T3)*(ROW()-3)/(MATCH(9.99E+307,'Returns (Calc)'!$A:$A)-3),"")</f>
        <v>27.843773584905659</v>
      </c>
      <c r="AO18" s="153">
        <f>IFERROR('Price History'!V3+(INDEX('Price History'!V:V,MATCH(9.99E+307,'Returns (Calc)'!$A:$A)+1)-'Price History'!V3)*(ROW()-3)/(MATCH(9.99E+307,'Returns (Calc)'!$A:$A)-3),"")</f>
        <v>249.76396226415093</v>
      </c>
      <c r="AP18" s="151">
        <f>IFERROR(IF(OR(NOT(ISNUMBER('Price History'!W19)),NOT(ISNUMBER('Price History'!W18)),'Price History'!W18=0),"",'Price History'!W19/'Price History'!W18-1),"")</f>
        <v>2.213880065453866E-3</v>
      </c>
      <c r="AQ18" s="151" t="str">
        <f>IFERROR(IF(OR(NOT(ISNUMBER('Price History'!X19)),NOT(ISNUMBER('Price History'!X18)),'Price History'!X18=0),"",'Price History'!X19/'Price History'!X18-1),"")</f>
        <v/>
      </c>
      <c r="AR18" s="151">
        <f>IFERROR(IF(OR(NOT(ISNUMBER('Price History'!Y19)),NOT(ISNUMBER('Price History'!Y18)),'Price History'!Y18=0),"",'Price History'!Y19/'Price History'!Y18-1),"")</f>
        <v>-4.2879711126158071E-3</v>
      </c>
      <c r="AS18" s="151">
        <f>IFERROR(IF(OR(NOT(ISNUMBER('Price History'!Z19)),NOT(ISNUMBER('Price History'!Z18)),'Price History'!Z18=0),"",'Price History'!Z19/'Price History'!Z18-1),"")</f>
        <v>-1.0563029397109958E-2</v>
      </c>
      <c r="AT18" s="151">
        <f>IFERROR(IF(OR(NOT(ISNUMBER('Price History'!AA19)),NOT(ISNUMBER('Price History'!AA18)),'Price History'!AA18=0),"",'Price History'!AA19/'Price History'!AA18-1),"")</f>
        <v>-2.6288765660299918E-2</v>
      </c>
      <c r="AU18" s="151">
        <f>IFERROR(IF(OR(NOT(ISNUMBER('Price History'!AB19)),NOT(ISNUMBER('Price History'!AB18)),'Price History'!AB18=0),"",'Price History'!AB19/'Price History'!AB18-1),"")</f>
        <v>-3.5476833575732503E-2</v>
      </c>
    </row>
    <row r="19" spans="1:47" ht="15" customHeight="1" x14ac:dyDescent="0.2">
      <c r="A19" s="149">
        <f>IF('Price History'!A20="","",'Price History'!A20)</f>
        <v>45303</v>
      </c>
      <c r="B19" s="150">
        <f>IFERROR(IF(OR(NOT(ISNUMBER('Price History'!B20)),NOT(ISNUMBER('Price History'!B19)),'Price History'!B19=0),"",'Price History'!B20/'Price History'!B19-1),"")</f>
        <v>5.6571023733616554E-2</v>
      </c>
      <c r="C19" s="150">
        <f>IFERROR(IF(OR(NOT(ISNUMBER('Price History'!C20)),NOT(ISNUMBER('Price History'!C19)),'Price History'!C19=0),"",'Price History'!C20/'Price History'!C19-1),"")</f>
        <v>9.1460245972631249E-2</v>
      </c>
      <c r="D19" s="150">
        <f>IFERROR(IF(OR(NOT(ISNUMBER('Price History'!D20)),NOT(ISNUMBER('Price History'!D19)),'Price History'!D19=0),"",'Price History'!D20/'Price History'!D19-1),"")</f>
        <v>1.4044167890321591E-2</v>
      </c>
      <c r="E19" s="150">
        <f>IFERROR(IF(OR(NOT(ISNUMBER('Price History'!E20)),NOT(ISNUMBER('Price History'!E19)),'Price History'!E19=0),"",'Price History'!E20/'Price History'!E19-1),"")</f>
        <v>5.5664445315562361E-2</v>
      </c>
      <c r="F19" s="150">
        <f>IFERROR(IF(OR(NOT(ISNUMBER('Price History'!F20)),NOT(ISNUMBER('Price History'!F19)),'Price History'!F19=0),"",'Price History'!F20/'Price History'!F19-1),"")</f>
        <v>0.14498141263940534</v>
      </c>
      <c r="G19" s="150">
        <f>IFERROR(IF(OR(NOT(ISNUMBER('Price History'!G20)),NOT(ISNUMBER('Price History'!G19)),'Price History'!G19=0),"",'Price History'!G20/'Price History'!G19-1),"")</f>
        <v>2.9831144465290782E-2</v>
      </c>
      <c r="H19" s="150">
        <f>IFERROR(IF(OR(NOT(ISNUMBER('Price History'!H20)),NOT(ISNUMBER('Price History'!H19)),'Price History'!H19=0),"",'Price History'!H20/'Price History'!H19-1),"")</f>
        <v>-1.2805025368446521E-2</v>
      </c>
      <c r="I19" s="150">
        <f>IFERROR(IF(OR(NOT(ISNUMBER('Price History'!I20)),NOT(ISNUMBER('Price History'!I19)),'Price History'!I19=0),"",'Price History'!I20/'Price History'!I19-1),"")</f>
        <v>0.11417483660130712</v>
      </c>
      <c r="J19" s="150">
        <f>IFERROR(IF(OR(NOT(ISNUMBER('Price History'!J20)),NOT(ISNUMBER('Price History'!J19)),'Price History'!J19=0),"",'Price History'!J20/'Price History'!J19-1),"")</f>
        <v>7.5440067057837012E-3</v>
      </c>
      <c r="K19" s="150">
        <f>IFERROR(IF(OR(NOT(ISNUMBER('Price History'!K20)),NOT(ISNUMBER('Price History'!K19)),'Price History'!K19=0),"",'Price History'!K20/'Price History'!K19-1),"")</f>
        <v>4.8811013767209088E-2</v>
      </c>
      <c r="L19" s="150">
        <f>IFERROR(IF(OR(NOT(ISNUMBER('Price History'!L20)),NOT(ISNUMBER('Price History'!L19)),'Price History'!L19=0),"",'Price History'!L20/'Price History'!L19-1),"")</f>
        <v>1.6326955074875249E-2</v>
      </c>
      <c r="M19" s="150">
        <f>IFERROR(IF(OR(NOT(ISNUMBER('Price History'!M20)),NOT(ISNUMBER('Price History'!M19)),'Price History'!M19=0),"",'Price History'!M20/'Price History'!M19-1),"")</f>
        <v>6.9324090121317239E-2</v>
      </c>
      <c r="N19" s="150">
        <f>IFERROR(IF(OR(NOT(ISNUMBER('Price History'!N20)),NOT(ISNUMBER('Price History'!N19)),'Price History'!N19=0),"",'Price History'!N20/'Price History'!N19-1),"")</f>
        <v>4.057623049219683E-2</v>
      </c>
      <c r="O19" s="150">
        <f>IFERROR(IF(OR(NOT(ISNUMBER('Price History'!O20)),NOT(ISNUMBER('Price History'!O19)),'Price History'!O19=0),"",'Price History'!O20/'Price History'!O19-1),"")</f>
        <v>-1.1336515513126533E-2</v>
      </c>
      <c r="P19" s="150">
        <f>IFERROR(IF(OR(NOT(ISNUMBER('Price History'!P20)),NOT(ISNUMBER('Price History'!P19)),'Price History'!P19=0),"",'Price History'!P20/'Price History'!P19-1),"")</f>
        <v>-1.3831775700934634E-2</v>
      </c>
      <c r="Q19" s="150">
        <f>IFERROR(IF(OR(NOT(ISNUMBER('Price History'!Q20)),NOT(ISNUMBER('Price History'!Q19)),'Price History'!Q19=0),"",'Price History'!Q20/'Price History'!Q19-1),"")</f>
        <v>9.8531684698610622E-3</v>
      </c>
      <c r="R19" s="150">
        <f>IFERROR(IF(OR(NOT(ISNUMBER('Price History'!R20)),NOT(ISNUMBER('Price History'!R19)),'Price History'!R19=0),"",'Price History'!R20/'Price History'!R19-1),"")</f>
        <v>2.7487630566245258E-2</v>
      </c>
      <c r="S19" s="150">
        <f>IFERROR(IF(OR(NOT(ISNUMBER('Price History'!S20)),NOT(ISNUMBER('Price History'!S19)),'Price History'!S19=0),"",'Price History'!S20/'Price History'!S19-1),"")</f>
        <v>3.0974842767295563E-2</v>
      </c>
      <c r="T19" s="150">
        <f>IFERROR(IF(OR(NOT(ISNUMBER('Price History'!T20)),NOT(ISNUMBER('Price History'!T19)),'Price History'!T19=0),"",'Price History'!T20/'Price History'!T19-1),"")</f>
        <v>-2.1937842778794181E-3</v>
      </c>
      <c r="U19" s="150">
        <f>IFERROR(IF(OR(NOT(ISNUMBER('Price History'!U20)),NOT(ISNUMBER('Price History'!U19)),'Price History'!U19=0),"",'Price History'!U20/'Price History'!U19-1),"")</f>
        <v>-1.3015184381779399E-3</v>
      </c>
      <c r="V19" s="151">
        <f>IFERROR(IF(OR(NOT(ISNUMBER('Price History'!V20)),NOT(ISNUMBER('Price History'!V19)),'Price History'!V19=0),"",'Price History'!V20/'Price History'!V19-1),"")</f>
        <v>1.7218334774746324E-2</v>
      </c>
      <c r="W19" s="152">
        <f>IFERROR('Price History'!B3+(INDEX('Price History'!B:B,MATCH(9.99E+307,'Returns (Calc)'!$A:$A)+1)-'Price History'!B3)*(ROW()-3)/(MATCH(9.99E+307,'Returns (Calc)'!$A:$A)-3),"")</f>
        <v>500.04773584905661</v>
      </c>
      <c r="X19" s="152">
        <f>IFERROR('Price History'!C3+(INDEX('Price History'!C:C,MATCH(9.99E+307,'Returns (Calc)'!$A:$A)+1)-'Price History'!C3)*(ROW()-3)/(MATCH(9.99E+307,'Returns (Calc)'!$A:$A)-3),"")</f>
        <v>63.343270440251572</v>
      </c>
      <c r="Y19" s="152">
        <f>IFERROR('Price History'!D3+(INDEX('Price History'!D:D,MATCH(9.99E+307,'Returns (Calc)'!$A:$A)+1)-'Price History'!D3)*(ROW()-3)/(MATCH(9.99E+307,'Returns (Calc)'!$A:$A)-3),"")</f>
        <v>702.59666666666669</v>
      </c>
      <c r="Z19" s="152">
        <f>IFERROR('Price History'!E3+(INDEX('Price History'!E:E,MATCH(9.99E+307,'Returns (Calc)'!$A:$A)+1)-'Price History'!E3)*(ROW()-3)/(MATCH(9.99E+307,'Returns (Calc)'!$A:$A)-3),"")</f>
        <v>110.12981132075473</v>
      </c>
      <c r="AA19" s="152">
        <f>IFERROR('Price History'!F3+(INDEX('Price History'!F:F,MATCH(9.99E+307,'Returns (Calc)'!$A:$A)+1)-'Price History'!F3)*(ROW()-3)/(MATCH(9.99E+307,'Returns (Calc)'!$A:$A)-3),"")</f>
        <v>64.874968553459126</v>
      </c>
      <c r="AB19" s="152">
        <f>IFERROR('Price History'!G3+(INDEX('Price History'!G:G,MATCH(9.99E+307,'Returns (Calc)'!$A:$A)+1)-'Price History'!G3)*(ROW()-3)/(MATCH(9.99E+307,'Returns (Calc)'!$A:$A)-3),"")</f>
        <v>59.567106918238991</v>
      </c>
      <c r="AC19" s="152">
        <f>IFERROR('Price History'!H3+(INDEX('Price History'!H:H,MATCH(9.99E+307,'Returns (Calc)'!$A:$A)+1)-'Price History'!H3)*(ROW()-3)/(MATCH(9.99E+307,'Returns (Calc)'!$A:$A)-3),"")</f>
        <v>165.70270440251574</v>
      </c>
      <c r="AD19" s="152">
        <f>IFERROR('Price History'!I3+(INDEX('Price History'!I:I,MATCH(9.99E+307,'Returns (Calc)'!$A:$A)+1)-'Price History'!I3)*(ROW()-3)/(MATCH(9.99E+307,'Returns (Calc)'!$A:$A)-3),"")</f>
        <v>62.437672955974847</v>
      </c>
      <c r="AE19" s="152">
        <f>IFERROR('Price History'!J3+(INDEX('Price History'!J:J,MATCH(9.99E+307,'Returns (Calc)'!$A:$A)+1)-'Price History'!J3)*(ROW()-3)/(MATCH(9.99E+307,'Returns (Calc)'!$A:$A)-3),"")</f>
        <v>113.61610062893082</v>
      </c>
      <c r="AF19" s="152">
        <f>IFERROR('Price History'!K3+(INDEX('Price History'!K:K,MATCH(9.99E+307,'Returns (Calc)'!$A:$A)+1)-'Price History'!K3)*(ROW()-3)/(MATCH(9.99E+307,'Returns (Calc)'!$A:$A)-3),"")</f>
        <v>34.82383647798742</v>
      </c>
      <c r="AG19" s="152">
        <f>IFERROR('Price History'!L3+(INDEX('Price History'!L:L,MATCH(9.99E+307,'Returns (Calc)'!$A:$A)+1)-'Price History'!L3)*(ROW()-3)/(MATCH(9.99E+307,'Returns (Calc)'!$A:$A)-3),"")</f>
        <v>122.73716981132075</v>
      </c>
      <c r="AH19" s="152">
        <f>IFERROR('Price History'!M3+(INDEX('Price History'!M:M,MATCH(9.99E+307,'Returns (Calc)'!$A:$A)+1)-'Price History'!M3)*(ROW()-3)/(MATCH(9.99E+307,'Returns (Calc)'!$A:$A)-3),"")</f>
        <v>58.624779874213843</v>
      </c>
      <c r="AI19" s="152">
        <f>IFERROR('Price History'!N3+(INDEX('Price History'!N:N,MATCH(9.99E+307,'Returns (Calc)'!$A:$A)+1)-'Price History'!N3)*(ROW()-3)/(MATCH(9.99E+307,'Returns (Calc)'!$A:$A)-3),"")</f>
        <v>365.11937106918236</v>
      </c>
      <c r="AJ19" s="152">
        <f>IFERROR('Price History'!O3+(INDEX('Price History'!O:O,MATCH(9.99E+307,'Returns (Calc)'!$A:$A)+1)-'Price History'!O3)*(ROW()-3)/(MATCH(9.99E+307,'Returns (Calc)'!$A:$A)-3),"")</f>
        <v>79.770880503144653</v>
      </c>
      <c r="AK19" s="152">
        <f>IFERROR('Price History'!Q3+(INDEX('Price History'!Q:Q,MATCH(9.99E+307,'Returns (Calc)'!$A:$A)+1)-'Price History'!Q3)*(ROW()-3)/(MATCH(9.99E+307,'Returns (Calc)'!$A:$A)-3),"")</f>
        <v>7.041006289308176</v>
      </c>
      <c r="AL19" s="152">
        <f>IFERROR('Price History'!R3+(INDEX('Price History'!R:R,MATCH(9.99E+307,'Returns (Calc)'!$A:$A)+1)-'Price History'!R3)*(ROW()-3)/(MATCH(9.99E+307,'Returns (Calc)'!$A:$A)-3),"")</f>
        <v>37.1577358490566</v>
      </c>
      <c r="AM19" s="152">
        <f>IFERROR('Price History'!S3+(INDEX('Price History'!S:S,MATCH(9.99E+307,'Returns (Calc)'!$A:$A)+1)-'Price History'!S3)*(ROW()-3)/(MATCH(9.99E+307,'Returns (Calc)'!$A:$A)-3),"")</f>
        <v>67.041823899371067</v>
      </c>
      <c r="AN19" s="152">
        <f>IFERROR('Price History'!T3+(INDEX('Price History'!T:T,MATCH(9.99E+307,'Returns (Calc)'!$A:$A)+1)-'Price History'!T3)*(ROW()-3)/(MATCH(9.99E+307,'Returns (Calc)'!$A:$A)-3),"")</f>
        <v>28.017358490566036</v>
      </c>
      <c r="AO19" s="153">
        <f>IFERROR('Price History'!V3+(INDEX('Price History'!V:V,MATCH(9.99E+307,'Returns (Calc)'!$A:$A)+1)-'Price History'!V3)*(ROW()-3)/(MATCH(9.99E+307,'Returns (Calc)'!$A:$A)-3),"")</f>
        <v>250.70622641509433</v>
      </c>
      <c r="AP19" s="151">
        <f>IFERROR(IF(OR(NOT(ISNUMBER('Price History'!W20)),NOT(ISNUMBER('Price History'!W19)),'Price History'!W19=0),"",'Price History'!W20/'Price History'!W19-1),"")</f>
        <v>-3.4575489819439476E-3</v>
      </c>
      <c r="AQ19" s="151" t="str">
        <f>IFERROR(IF(OR(NOT(ISNUMBER('Price History'!X20)),NOT(ISNUMBER('Price History'!X19)),'Price History'!X19=0),"",'Price History'!X20/'Price History'!X19-1),"")</f>
        <v/>
      </c>
      <c r="AR19" s="151">
        <f>IFERROR(IF(OR(NOT(ISNUMBER('Price History'!Y20)),NOT(ISNUMBER('Price History'!Y19)),'Price History'!Y19=0),"",'Price History'!Y20/'Price History'!Y19-1),"")</f>
        <v>1.0199456029011955E-2</v>
      </c>
      <c r="AS19" s="151">
        <f>IFERROR(IF(OR(NOT(ISNUMBER('Price History'!Z20)),NOT(ISNUMBER('Price History'!Z19)),'Price History'!Z19=0),"",'Price History'!Z20/'Price History'!Z19-1),"")</f>
        <v>2.7797361264981335E-2</v>
      </c>
      <c r="AT19" s="151">
        <f>IFERROR(IF(OR(NOT(ISNUMBER('Price History'!AA20)),NOT(ISNUMBER('Price History'!AA19)),'Price History'!AA19=0),"",'Price History'!AA20/'Price History'!AA19-1),"")</f>
        <v>3.8177599662518436E-2</v>
      </c>
      <c r="AU19" s="151">
        <f>IFERROR(IF(OR(NOT(ISNUMBER('Price History'!AB20)),NOT(ISNUMBER('Price History'!AB19)),'Price History'!AB19=0),"",'Price History'!AB20/'Price History'!AB19-1),"")</f>
        <v>0.12386235123054545</v>
      </c>
    </row>
    <row r="20" spans="1:47" ht="15" customHeight="1" x14ac:dyDescent="0.2">
      <c r="A20" s="149">
        <f>IF('Price History'!A21="","",'Price History'!A21)</f>
        <v>45310</v>
      </c>
      <c r="B20" s="150">
        <f>IFERROR(IF(OR(NOT(ISNUMBER('Price History'!B21)),NOT(ISNUMBER('Price History'!B20)),'Price History'!B20=0),"",'Price History'!B21/'Price History'!B20-1),"")</f>
        <v>2.5161766185000101E-2</v>
      </c>
      <c r="C20" s="150">
        <f>IFERROR(IF(OR(NOT(ISNUMBER('Price History'!C21)),NOT(ISNUMBER('Price History'!C20)),'Price History'!C20=0),"",'Price History'!C21/'Price History'!C20-1),"")</f>
        <v>4.5548325662593259E-2</v>
      </c>
      <c r="D20" s="150">
        <f>IFERROR(IF(OR(NOT(ISNUMBER('Price History'!D21)),NOT(ISNUMBER('Price History'!D20)),'Price History'!D20=0),"",'Price History'!D21/'Price History'!D20-1),"")</f>
        <v>6.2552868141478646E-2</v>
      </c>
      <c r="E20" s="150">
        <f>IFERROR(IF(OR(NOT(ISNUMBER('Price History'!E21)),NOT(ISNUMBER('Price History'!E20)),'Price History'!E20=0),"",'Price History'!E21/'Price History'!E20-1),"")</f>
        <v>9.3483104344597168E-2</v>
      </c>
      <c r="F20" s="150">
        <f>IFERROR(IF(OR(NOT(ISNUMBER('Price History'!F21)),NOT(ISNUMBER('Price History'!F20)),'Price History'!F20=0),"",'Price History'!F21/'Price History'!F20-1),"")</f>
        <v>2.5409373235460109E-2</v>
      </c>
      <c r="G20" s="150">
        <f>IFERROR(IF(OR(NOT(ISNUMBER('Price History'!G21)),NOT(ISNUMBER('Price History'!G20)),'Price History'!G20=0),"",'Price History'!G21/'Price History'!G20-1),"")</f>
        <v>9.3459646565859034E-2</v>
      </c>
      <c r="H20" s="150">
        <f>IFERROR(IF(OR(NOT(ISNUMBER('Price History'!H21)),NOT(ISNUMBER('Price History'!H20)),'Price History'!H20=0),"",'Price History'!H21/'Price History'!H20-1),"")</f>
        <v>6.2163485070974023E-2</v>
      </c>
      <c r="I20" s="150">
        <f>IFERROR(IF(OR(NOT(ISNUMBER('Price History'!I21)),NOT(ISNUMBER('Price History'!I20)),'Price History'!I20=0),"",'Price History'!I21/'Price History'!I20-1),"")</f>
        <v>8.7442713107241055E-2</v>
      </c>
      <c r="J20" s="150">
        <f>IFERROR(IF(OR(NOT(ISNUMBER('Price History'!J21)),NOT(ISNUMBER('Price History'!J20)),'Price History'!J20=0),"",'Price History'!J21/'Price History'!J20-1),"")</f>
        <v>-2.3627287853577372E-2</v>
      </c>
      <c r="K20" s="150">
        <f>IFERROR(IF(OR(NOT(ISNUMBER('Price History'!K21)),NOT(ISNUMBER('Price History'!K20)),'Price History'!K20=0),"",'Price History'!K21/'Price History'!K20-1),"")</f>
        <v>1.1933174224343368E-3</v>
      </c>
      <c r="L20" s="150">
        <f>IFERROR(IF(OR(NOT(ISNUMBER('Price History'!L21)),NOT(ISNUMBER('Price History'!L20)),'Price History'!L20=0),"",'Price History'!L21/'Price History'!L20-1),"")</f>
        <v>0.12800573007264893</v>
      </c>
      <c r="M20" s="150">
        <f>IFERROR(IF(OR(NOT(ISNUMBER('Price History'!M21)),NOT(ISNUMBER('Price History'!M20)),'Price History'!M20=0),"",'Price History'!M21/'Price History'!M20-1),"")</f>
        <v>8.3670988654781286E-2</v>
      </c>
      <c r="N20" s="150">
        <f>IFERROR(IF(OR(NOT(ISNUMBER('Price History'!N21)),NOT(ISNUMBER('Price History'!N20)),'Price History'!N20=0),"",'Price History'!N21/'Price History'!N20-1),"")</f>
        <v>3.737886479003194E-3</v>
      </c>
      <c r="O20" s="150">
        <f>IFERROR(IF(OR(NOT(ISNUMBER('Price History'!O21)),NOT(ISNUMBER('Price History'!O20)),'Price History'!O20=0),"",'Price History'!O21/'Price History'!O20-1),"")</f>
        <v>3.0175015087507973E-3</v>
      </c>
      <c r="P20" s="150">
        <f>IFERROR(IF(OR(NOT(ISNUMBER('Price History'!P21)),NOT(ISNUMBER('Price History'!P20)),'Price History'!P20=0),"",'Price History'!P21/'Price History'!P20-1),"")</f>
        <v>-1.317285822592873E-2</v>
      </c>
      <c r="Q20" s="150">
        <f>IFERROR(IF(OR(NOT(ISNUMBER('Price History'!Q21)),NOT(ISNUMBER('Price History'!Q20)),'Price History'!Q20=0),"",'Price History'!Q21/'Price History'!Q20-1),"")</f>
        <v>5.9307442127414234E-3</v>
      </c>
      <c r="R20" s="150">
        <f>IFERROR(IF(OR(NOT(ISNUMBER('Price History'!R21)),NOT(ISNUMBER('Price History'!R20)),'Price History'!R20=0),"",'Price History'!R21/'Price History'!R20-1),"")</f>
        <v>1.7656500802568198E-2</v>
      </c>
      <c r="S20" s="150">
        <f>IFERROR(IF(OR(NOT(ISNUMBER('Price History'!S21)),NOT(ISNUMBER('Price History'!S20)),'Price History'!S20=0),"",'Price History'!S21/'Price History'!S20-1),"")</f>
        <v>2.1198718926338289E-2</v>
      </c>
      <c r="T20" s="150">
        <f>IFERROR(IF(OR(NOT(ISNUMBER('Price History'!T21)),NOT(ISNUMBER('Price History'!T20)),'Price History'!T20=0),"",'Price History'!T21/'Price History'!T20-1),"")</f>
        <v>-9.5272993770610936E-3</v>
      </c>
      <c r="U20" s="150">
        <f>IFERROR(IF(OR(NOT(ISNUMBER('Price History'!U21)),NOT(ISNUMBER('Price History'!U20)),'Price History'!U20=0),"",'Price History'!U21/'Price History'!U20-1),"")</f>
        <v>4.344048653345034E-3</v>
      </c>
      <c r="V20" s="151">
        <f>IFERROR(IF(OR(NOT(ISNUMBER('Price History'!V21)),NOT(ISNUMBER('Price History'!V20)),'Price History'!V20=0),"",'Price History'!V21/'Price History'!V20-1),"")</f>
        <v>2.5506260627608635E-2</v>
      </c>
      <c r="W20" s="152">
        <f>IFERROR('Price History'!B3+(INDEX('Price History'!B:B,MATCH(9.99E+307,'Returns (Calc)'!$A:$A)+1)-'Price History'!B3)*(ROW()-3)/(MATCH(9.99E+307,'Returns (Calc)'!$A:$A)-3),"")</f>
        <v>498.24509433962265</v>
      </c>
      <c r="X20" s="152">
        <f>IFERROR('Price History'!C3+(INDEX('Price History'!C:C,MATCH(9.99E+307,'Returns (Calc)'!$A:$A)+1)-'Price History'!C3)*(ROW()-3)/(MATCH(9.99E+307,'Returns (Calc)'!$A:$A)-3),"")</f>
        <v>64.415974842767298</v>
      </c>
      <c r="Y20" s="152">
        <f>IFERROR('Price History'!D3+(INDEX('Price History'!D:D,MATCH(9.99E+307,'Returns (Calc)'!$A:$A)+1)-'Price History'!D3)*(ROW()-3)/(MATCH(9.99E+307,'Returns (Calc)'!$A:$A)-3),"")</f>
        <v>710.13333333333333</v>
      </c>
      <c r="Z20" s="152">
        <f>IFERROR('Price History'!E3+(INDEX('Price History'!E:E,MATCH(9.99E+307,'Returns (Calc)'!$A:$A)+1)-'Price History'!E3)*(ROW()-3)/(MATCH(9.99E+307,'Returns (Calc)'!$A:$A)-3),"")</f>
        <v>111.88792452830188</v>
      </c>
      <c r="AA20" s="152">
        <f>IFERROR('Price History'!F3+(INDEX('Price History'!F:F,MATCH(9.99E+307,'Returns (Calc)'!$A:$A)+1)-'Price History'!F3)*(ROW()-3)/(MATCH(9.99E+307,'Returns (Calc)'!$A:$A)-3),"")</f>
        <v>66.344654088050305</v>
      </c>
      <c r="AB20" s="152">
        <f>IFERROR('Price History'!G3+(INDEX('Price History'!G:G,MATCH(9.99E+307,'Returns (Calc)'!$A:$A)+1)-'Price History'!G3)*(ROW()-3)/(MATCH(9.99E+307,'Returns (Calc)'!$A:$A)-3),"")</f>
        <v>60.518176100628935</v>
      </c>
      <c r="AC20" s="152">
        <f>IFERROR('Price History'!H3+(INDEX('Price History'!H:H,MATCH(9.99E+307,'Returns (Calc)'!$A:$A)+1)-'Price History'!H3)*(ROW()-3)/(MATCH(9.99E+307,'Returns (Calc)'!$A:$A)-3),"")</f>
        <v>171.73974842767296</v>
      </c>
      <c r="AD20" s="152">
        <f>IFERROR('Price History'!I3+(INDEX('Price History'!I:I,MATCH(9.99E+307,'Returns (Calc)'!$A:$A)+1)-'Price History'!I3)*(ROW()-3)/(MATCH(9.99E+307,'Returns (Calc)'!$A:$A)-3),"")</f>
        <v>63.604402515723272</v>
      </c>
      <c r="AE20" s="152">
        <f>IFERROR('Price History'!J3+(INDEX('Price History'!J:J,MATCH(9.99E+307,'Returns (Calc)'!$A:$A)+1)-'Price History'!J3)*(ROW()-3)/(MATCH(9.99E+307,'Returns (Calc)'!$A:$A)-3),"")</f>
        <v>113.727106918239</v>
      </c>
      <c r="AF20" s="152">
        <f>IFERROR('Price History'!K3+(INDEX('Price History'!K:K,MATCH(9.99E+307,'Returns (Calc)'!$A:$A)+1)-'Price History'!K3)*(ROW()-3)/(MATCH(9.99E+307,'Returns (Calc)'!$A:$A)-3),"")</f>
        <v>36.042201257861635</v>
      </c>
      <c r="AG20" s="152">
        <f>IFERROR('Price History'!L3+(INDEX('Price History'!L:L,MATCH(9.99E+307,'Returns (Calc)'!$A:$A)+1)-'Price History'!L3)*(ROW()-3)/(MATCH(9.99E+307,'Returns (Calc)'!$A:$A)-3),"")</f>
        <v>125.04886792452831</v>
      </c>
      <c r="AH20" s="152">
        <f>IFERROR('Price History'!M3+(INDEX('Price History'!M:M,MATCH(9.99E+307,'Returns (Calc)'!$A:$A)+1)-'Price History'!M3)*(ROW()-3)/(MATCH(9.99E+307,'Returns (Calc)'!$A:$A)-3),"")</f>
        <v>59.912578616352206</v>
      </c>
      <c r="AI20" s="152">
        <f>IFERROR('Price History'!N3+(INDEX('Price History'!N:N,MATCH(9.99E+307,'Returns (Calc)'!$A:$A)+1)-'Price History'!N3)*(ROW()-3)/(MATCH(9.99E+307,'Returns (Calc)'!$A:$A)-3),"")</f>
        <v>366.13308176100628</v>
      </c>
      <c r="AJ20" s="152">
        <f>IFERROR('Price History'!O3+(INDEX('Price History'!O:O,MATCH(9.99E+307,'Returns (Calc)'!$A:$A)+1)-'Price History'!O3)*(ROW()-3)/(MATCH(9.99E+307,'Returns (Calc)'!$A:$A)-3),"")</f>
        <v>80.049685534591191</v>
      </c>
      <c r="AK20" s="152">
        <f>IFERROR('Price History'!Q3+(INDEX('Price History'!Q:Q,MATCH(9.99E+307,'Returns (Calc)'!$A:$A)+1)-'Price History'!Q3)*(ROW()-3)/(MATCH(9.99E+307,'Returns (Calc)'!$A:$A)-3),"")</f>
        <v>7.4810691823899376</v>
      </c>
      <c r="AL20" s="152">
        <f>IFERROR('Price History'!R3+(INDEX('Price History'!R:R,MATCH(9.99E+307,'Returns (Calc)'!$A:$A)+1)-'Price History'!R3)*(ROW()-3)/(MATCH(9.99E+307,'Returns (Calc)'!$A:$A)-3),"")</f>
        <v>37.325094339622638</v>
      </c>
      <c r="AM20" s="152">
        <f>IFERROR('Price History'!S3+(INDEX('Price History'!S:S,MATCH(9.99E+307,'Returns (Calc)'!$A:$A)+1)-'Price History'!S3)*(ROW()-3)/(MATCH(9.99E+307,'Returns (Calc)'!$A:$A)-3),"")</f>
        <v>67.630062893081771</v>
      </c>
      <c r="AN20" s="152">
        <f>IFERROR('Price History'!T3+(INDEX('Price History'!T:T,MATCH(9.99E+307,'Returns (Calc)'!$A:$A)+1)-'Price History'!T3)*(ROW()-3)/(MATCH(9.99E+307,'Returns (Calc)'!$A:$A)-3),"")</f>
        <v>28.190943396226416</v>
      </c>
      <c r="AO20" s="153">
        <f>IFERROR('Price History'!V3+(INDEX('Price History'!V:V,MATCH(9.99E+307,'Returns (Calc)'!$A:$A)+1)-'Price History'!V3)*(ROW()-3)/(MATCH(9.99E+307,'Returns (Calc)'!$A:$A)-3),"")</f>
        <v>251.64849056603774</v>
      </c>
      <c r="AP20" s="151">
        <f>IFERROR(IF(OR(NOT(ISNUMBER('Price History'!W21)),NOT(ISNUMBER('Price History'!W20)),'Price History'!W20=0),"",'Price History'!W21/'Price History'!W20-1),"")</f>
        <v>1.2528912875866549E-3</v>
      </c>
      <c r="AQ20" s="151" t="str">
        <f>IFERROR(IF(OR(NOT(ISNUMBER('Price History'!X21)),NOT(ISNUMBER('Price History'!X20)),'Price History'!X20=0),"",'Price History'!X21/'Price History'!X20-1),"")</f>
        <v/>
      </c>
      <c r="AR20" s="151">
        <f>IFERROR(IF(OR(NOT(ISNUMBER('Price History'!Y21)),NOT(ISNUMBER('Price History'!Y20)),'Price History'!Y20=0),"",'Price History'!Y21/'Price History'!Y20-1),"")</f>
        <v>2.9167601525690312E-3</v>
      </c>
      <c r="AS20" s="151">
        <f>IFERROR(IF(OR(NOT(ISNUMBER('Price History'!Z21)),NOT(ISNUMBER('Price History'!Z20)),'Price History'!Z20=0),"",'Price History'!Z21/'Price History'!Z20-1),"")</f>
        <v>9.7991180793677302E-5</v>
      </c>
      <c r="AT20" s="151">
        <f>IFERROR(IF(OR(NOT(ISNUMBER('Price History'!AA21)),NOT(ISNUMBER('Price History'!AA20)),'Price History'!AA20=0),"",'Price History'!AA21/'Price History'!AA20-1),"")</f>
        <v>-1.8894758228362396E-2</v>
      </c>
      <c r="AU20" s="151">
        <f>IFERROR(IF(OR(NOT(ISNUMBER('Price History'!AB21)),NOT(ISNUMBER('Price History'!AB20)),'Price History'!AB20=0),"",'Price History'!AB21/'Price History'!AB20-1),"")</f>
        <v>-7.3793665245099893E-3</v>
      </c>
    </row>
    <row r="21" spans="1:47" ht="15" customHeight="1" x14ac:dyDescent="0.2">
      <c r="A21" s="149">
        <f>IF('Price History'!A22="","",'Price History'!A22)</f>
        <v>45317</v>
      </c>
      <c r="B21" s="150">
        <f>IFERROR(IF(OR(NOT(ISNUMBER('Price History'!B22)),NOT(ISNUMBER('Price History'!B21)),'Price History'!B21=0),"",'Price History'!B22/'Price History'!B21-1),"")</f>
        <v>3.891750470116806E-3</v>
      </c>
      <c r="C21" s="150">
        <f>IFERROR(IF(OR(NOT(ISNUMBER('Price History'!C22)),NOT(ISNUMBER('Price History'!C21)),'Price History'!C21=0),"",'Price History'!C22/'Price History'!C21-1),"")</f>
        <v>3.3394049787491831E-3</v>
      </c>
      <c r="D21" s="150">
        <f>IFERROR(IF(OR(NOT(ISNUMBER('Price History'!D22)),NOT(ISNUMBER('Price History'!D21)),'Price History'!D21=0),"",'Price History'!D22/'Price History'!D21-1),"")</f>
        <v>0.14503724093264259</v>
      </c>
      <c r="E21" s="150">
        <f>IFERROR(IF(OR(NOT(ISNUMBER('Price History'!E22)),NOT(ISNUMBER('Price History'!E21)),'Price History'!E21=0),"",'Price History'!E22/'Price History'!E21-1),"")</f>
        <v>-5.1787078699380151E-3</v>
      </c>
      <c r="F21" s="150">
        <f>IFERROR(IF(OR(NOT(ISNUMBER('Price History'!F22)),NOT(ISNUMBER('Price History'!F21)),'Price History'!F21=0),"",'Price History'!F22/'Price History'!F21-1),"")</f>
        <v>-8.2599118942738858E-4</v>
      </c>
      <c r="G21" s="150">
        <f>IFERROR(IF(OR(NOT(ISNUMBER('Price History'!G22)),NOT(ISNUMBER('Price History'!G21)),'Price History'!G21=0),"",'Price History'!G22/'Price History'!G21-1),"")</f>
        <v>-2.2159280239920087E-2</v>
      </c>
      <c r="H21" s="150">
        <f>IFERROR(IF(OR(NOT(ISNUMBER('Price History'!H22)),NOT(ISNUMBER('Price History'!H21)),'Price History'!H21=0),"",'Price History'!H22/'Price History'!H21-1),"")</f>
        <v>6.2211981566822061E-3</v>
      </c>
      <c r="I21" s="150">
        <f>IFERROR(IF(OR(NOT(ISNUMBER('Price History'!I22)),NOT(ISNUMBER('Price History'!I21)),'Price History'!I21=0),"",'Price History'!I22/'Price History'!I21-1),"")</f>
        <v>2.5792312879298729E-2</v>
      </c>
      <c r="J21" s="150">
        <f>IFERROR(IF(OR(NOT(ISNUMBER('Price History'!J22)),NOT(ISNUMBER('Price History'!J21)),'Price History'!J21=0),"",'Price History'!J22/'Price History'!J21-1),"")</f>
        <v>-1.218473074301285E-2</v>
      </c>
      <c r="K21" s="150">
        <f>IFERROR(IF(OR(NOT(ISNUMBER('Price History'!K22)),NOT(ISNUMBER('Price History'!K21)),'Price History'!K21=0),"",'Price History'!K22/'Price History'!K21-1),"")</f>
        <v>-2.5625744934445804E-2</v>
      </c>
      <c r="L21" s="150">
        <f>IFERROR(IF(OR(NOT(ISNUMBER('Price History'!L22)),NOT(ISNUMBER('Price History'!L21)),'Price History'!L21=0),"",'Price History'!L22/'Price History'!L21-1),"")</f>
        <v>2.6850507982583594E-2</v>
      </c>
      <c r="M21" s="150">
        <f>IFERROR(IF(OR(NOT(ISNUMBER('Price History'!M22)),NOT(ISNUMBER('Price History'!M21)),'Price History'!M21=0),"",'Price History'!M22/'Price History'!M21-1),"")</f>
        <v>-3.9259674705552916E-3</v>
      </c>
      <c r="N21" s="150">
        <f>IFERROR(IF(OR(NOT(ISNUMBER('Price History'!N22)),NOT(ISNUMBER('Price History'!N21)),'Price History'!N21=0),"",'Price History'!N22/'Price History'!N21-1),"")</f>
        <v>-1.1148912693669133E-2</v>
      </c>
      <c r="O21" s="150">
        <f>IFERROR(IF(OR(NOT(ISNUMBER('Price History'!O22)),NOT(ISNUMBER('Price History'!O21)),'Price History'!O21=0),"",'Price History'!O22/'Price History'!O21-1),"")</f>
        <v>2.3586040914560957E-2</v>
      </c>
      <c r="P21" s="150">
        <f>IFERROR(IF(OR(NOT(ISNUMBER('Price History'!P22)),NOT(ISNUMBER('Price History'!P21)),'Price History'!P21=0),"",'Price History'!P22/'Price History'!P21-1),"")</f>
        <v>1.5749543839431501E-2</v>
      </c>
      <c r="Q21" s="150">
        <f>IFERROR(IF(OR(NOT(ISNUMBER('Price History'!Q22)),NOT(ISNUMBER('Price History'!Q21)),'Price History'!Q21=0),"",'Price History'!Q22/'Price History'!Q21-1),"")</f>
        <v>6.2761506276149959E-3</v>
      </c>
      <c r="R21" s="150">
        <f>IFERROR(IF(OR(NOT(ISNUMBER('Price History'!R22)),NOT(ISNUMBER('Price History'!R21)),'Price History'!R21=0),"",'Price History'!R22/'Price History'!R21-1),"")</f>
        <v>7.8864353312304569E-3</v>
      </c>
      <c r="S21" s="150">
        <f>IFERROR(IF(OR(NOT(ISNUMBER('Price History'!S22)),NOT(ISNUMBER('Price History'!S21)),'Price History'!S21=0),"",'Price History'!S22/'Price History'!S21-1),"")</f>
        <v>1.6129032258064724E-2</v>
      </c>
      <c r="T21" s="150">
        <f>IFERROR(IF(OR(NOT(ISNUMBER('Price History'!T22)),NOT(ISNUMBER('Price History'!T21)),'Price History'!T21=0),"",'Price History'!T22/'Price History'!T21-1),"")</f>
        <v>8.1391046984831128E-3</v>
      </c>
      <c r="U21" s="150">
        <f>IFERROR(IF(OR(NOT(ISNUMBER('Price History'!U22)),NOT(ISNUMBER('Price History'!U21)),'Price History'!U21=0),"",'Price History'!U22/'Price History'!U21-1),"")</f>
        <v>5.6228373702422729E-3</v>
      </c>
      <c r="V21" s="151">
        <f>IFERROR(IF(OR(NOT(ISNUMBER('Price History'!V22)),NOT(ISNUMBER('Price History'!V21)),'Price History'!V21=0),"",'Price History'!V22/'Price History'!V21-1),"")</f>
        <v>-1.0928549894483108E-2</v>
      </c>
      <c r="W21" s="152">
        <f>IFERROR('Price History'!B3+(INDEX('Price History'!B:B,MATCH(9.99E+307,'Returns (Calc)'!$A:$A)+1)-'Price History'!B3)*(ROW()-3)/(MATCH(9.99E+307,'Returns (Calc)'!$A:$A)-3),"")</f>
        <v>496.44245283018864</v>
      </c>
      <c r="X21" s="152">
        <f>IFERROR('Price History'!C3+(INDEX('Price History'!C:C,MATCH(9.99E+307,'Returns (Calc)'!$A:$A)+1)-'Price History'!C3)*(ROW()-3)/(MATCH(9.99E+307,'Returns (Calc)'!$A:$A)-3),"")</f>
        <v>65.488679245283009</v>
      </c>
      <c r="Y21" s="152">
        <f>IFERROR('Price History'!D3+(INDEX('Price History'!D:D,MATCH(9.99E+307,'Returns (Calc)'!$A:$A)+1)-'Price History'!D3)*(ROW()-3)/(MATCH(9.99E+307,'Returns (Calc)'!$A:$A)-3),"")</f>
        <v>717.67</v>
      </c>
      <c r="Z21" s="152">
        <f>IFERROR('Price History'!E3+(INDEX('Price History'!E:E,MATCH(9.99E+307,'Returns (Calc)'!$A:$A)+1)-'Price History'!E3)*(ROW()-3)/(MATCH(9.99E+307,'Returns (Calc)'!$A:$A)-3),"")</f>
        <v>113.64603773584906</v>
      </c>
      <c r="AA21" s="152">
        <f>IFERROR('Price History'!F3+(INDEX('Price History'!F:F,MATCH(9.99E+307,'Returns (Calc)'!$A:$A)+1)-'Price History'!F3)*(ROW()-3)/(MATCH(9.99E+307,'Returns (Calc)'!$A:$A)-3),"")</f>
        <v>67.814339622641512</v>
      </c>
      <c r="AB21" s="152">
        <f>IFERROR('Price History'!G3+(INDEX('Price History'!G:G,MATCH(9.99E+307,'Returns (Calc)'!$A:$A)+1)-'Price History'!G3)*(ROW()-3)/(MATCH(9.99E+307,'Returns (Calc)'!$A:$A)-3),"")</f>
        <v>61.469245283018864</v>
      </c>
      <c r="AC21" s="152">
        <f>IFERROR('Price History'!H3+(INDEX('Price History'!H:H,MATCH(9.99E+307,'Returns (Calc)'!$A:$A)+1)-'Price History'!H3)*(ROW()-3)/(MATCH(9.99E+307,'Returns (Calc)'!$A:$A)-3),"")</f>
        <v>177.77679245283019</v>
      </c>
      <c r="AD21" s="152">
        <f>IFERROR('Price History'!I3+(INDEX('Price History'!I:I,MATCH(9.99E+307,'Returns (Calc)'!$A:$A)+1)-'Price History'!I3)*(ROW()-3)/(MATCH(9.99E+307,'Returns (Calc)'!$A:$A)-3),"")</f>
        <v>64.771132075471698</v>
      </c>
      <c r="AE21" s="152">
        <f>IFERROR('Price History'!J3+(INDEX('Price History'!J:J,MATCH(9.99E+307,'Returns (Calc)'!$A:$A)+1)-'Price History'!J3)*(ROW()-3)/(MATCH(9.99E+307,'Returns (Calc)'!$A:$A)-3),"")</f>
        <v>113.83811320754717</v>
      </c>
      <c r="AF21" s="152">
        <f>IFERROR('Price History'!K3+(INDEX('Price History'!K:K,MATCH(9.99E+307,'Returns (Calc)'!$A:$A)+1)-'Price History'!K3)*(ROW()-3)/(MATCH(9.99E+307,'Returns (Calc)'!$A:$A)-3),"")</f>
        <v>37.260566037735849</v>
      </c>
      <c r="AG21" s="152">
        <f>IFERROR('Price History'!L3+(INDEX('Price History'!L:L,MATCH(9.99E+307,'Returns (Calc)'!$A:$A)+1)-'Price History'!L3)*(ROW()-3)/(MATCH(9.99E+307,'Returns (Calc)'!$A:$A)-3),"")</f>
        <v>127.36056603773585</v>
      </c>
      <c r="AH21" s="152">
        <f>IFERROR('Price History'!M3+(INDEX('Price History'!M:M,MATCH(9.99E+307,'Returns (Calc)'!$A:$A)+1)-'Price History'!M3)*(ROW()-3)/(MATCH(9.99E+307,'Returns (Calc)'!$A:$A)-3),"")</f>
        <v>61.20037735849057</v>
      </c>
      <c r="AI21" s="152">
        <f>IFERROR('Price History'!N3+(INDEX('Price History'!N:N,MATCH(9.99E+307,'Returns (Calc)'!$A:$A)+1)-'Price History'!N3)*(ROW()-3)/(MATCH(9.99E+307,'Returns (Calc)'!$A:$A)-3),"")</f>
        <v>367.14679245283014</v>
      </c>
      <c r="AJ21" s="152">
        <f>IFERROR('Price History'!O3+(INDEX('Price History'!O:O,MATCH(9.99E+307,'Returns (Calc)'!$A:$A)+1)-'Price History'!O3)*(ROW()-3)/(MATCH(9.99E+307,'Returns (Calc)'!$A:$A)-3),"")</f>
        <v>80.328490566037743</v>
      </c>
      <c r="AK21" s="152">
        <f>IFERROR('Price History'!Q3+(INDEX('Price History'!Q:Q,MATCH(9.99E+307,'Returns (Calc)'!$A:$A)+1)-'Price History'!Q3)*(ROW()-3)/(MATCH(9.99E+307,'Returns (Calc)'!$A:$A)-3),"")</f>
        <v>7.9211320754716983</v>
      </c>
      <c r="AL21" s="152">
        <f>IFERROR('Price History'!R3+(INDEX('Price History'!R:R,MATCH(9.99E+307,'Returns (Calc)'!$A:$A)+1)-'Price History'!R3)*(ROW()-3)/(MATCH(9.99E+307,'Returns (Calc)'!$A:$A)-3),"")</f>
        <v>37.492452830188675</v>
      </c>
      <c r="AM21" s="152">
        <f>IFERROR('Price History'!S3+(INDEX('Price History'!S:S,MATCH(9.99E+307,'Returns (Calc)'!$A:$A)+1)-'Price History'!S3)*(ROW()-3)/(MATCH(9.99E+307,'Returns (Calc)'!$A:$A)-3),"")</f>
        <v>68.21830188679246</v>
      </c>
      <c r="AN21" s="152">
        <f>IFERROR('Price History'!T3+(INDEX('Price History'!T:T,MATCH(9.99E+307,'Returns (Calc)'!$A:$A)+1)-'Price History'!T3)*(ROW()-3)/(MATCH(9.99E+307,'Returns (Calc)'!$A:$A)-3),"")</f>
        <v>28.364528301886793</v>
      </c>
      <c r="AO21" s="153">
        <f>IFERROR('Price History'!V3+(INDEX('Price History'!V:V,MATCH(9.99E+307,'Returns (Calc)'!$A:$A)+1)-'Price History'!V3)*(ROW()-3)/(MATCH(9.99E+307,'Returns (Calc)'!$A:$A)-3),"")</f>
        <v>252.59075471698114</v>
      </c>
      <c r="AP21" s="151">
        <f>IFERROR(IF(OR(NOT(ISNUMBER('Price History'!W22)),NOT(ISNUMBER('Price History'!W21)),'Price History'!W21=0),"",'Price History'!W22/'Price History'!W21-1),"")</f>
        <v>1.2224468187505888E-2</v>
      </c>
      <c r="AQ21" s="151" t="str">
        <f>IFERROR(IF(OR(NOT(ISNUMBER('Price History'!X22)),NOT(ISNUMBER('Price History'!X21)),'Price History'!X21=0),"",'Price History'!X22/'Price History'!X21-1),"")</f>
        <v/>
      </c>
      <c r="AR21" s="151">
        <f>IFERROR(IF(OR(NOT(ISNUMBER('Price History'!Y22)),NOT(ISNUMBER('Price History'!Y21)),'Price History'!Y21=0),"",'Price History'!Y22/'Price History'!Y21-1),"")</f>
        <v>8.5011185682326573E-3</v>
      </c>
      <c r="AS21" s="151">
        <f>IFERROR(IF(OR(NOT(ISNUMBER('Price History'!Z22)),NOT(ISNUMBER('Price History'!Z21)),'Price History'!Z21=0),"",'Price History'!Z22/'Price History'!Z21-1),"")</f>
        <v>1.067999216147375E-2</v>
      </c>
      <c r="AT21" s="151">
        <f>IFERROR(IF(OR(NOT(ISNUMBER('Price History'!AA22)),NOT(ISNUMBER('Price History'!AA21)),'Price History'!AA21=0),"",'Price History'!AA22/'Price History'!AA21-1),"")</f>
        <v>0.18119693518326785</v>
      </c>
      <c r="AU21" s="151">
        <f>IFERROR(IF(OR(NOT(ISNUMBER('Price History'!AB22)),NOT(ISNUMBER('Price History'!AB21)),'Price History'!AB21=0),"",'Price History'!AB22/'Price History'!AB21-1),"")</f>
        <v>7.6273231957517673E-3</v>
      </c>
    </row>
    <row r="22" spans="1:47" ht="15" customHeight="1" x14ac:dyDescent="0.2">
      <c r="A22" s="149">
        <f>IF('Price History'!A23="","",'Price History'!A23)</f>
        <v>45324</v>
      </c>
      <c r="B22" s="150">
        <f>IFERROR(IF(OR(NOT(ISNUMBER('Price History'!B23)),NOT(ISNUMBER('Price History'!B22)),'Price History'!B22=0),"",'Price History'!B23/'Price History'!B22-1),"")</f>
        <v>3.3928949554509646E-2</v>
      </c>
      <c r="C22" s="150">
        <f>IFERROR(IF(OR(NOT(ISNUMBER('Price History'!C23)),NOT(ISNUMBER('Price History'!C22)),'Price History'!C22=0),"",'Price History'!C23/'Price History'!C22-1),"")</f>
        <v>3.2980332829046999E-2</v>
      </c>
      <c r="D22" s="150">
        <f>IFERROR(IF(OR(NOT(ISNUMBER('Price History'!D23)),NOT(ISNUMBER('Price History'!D22)),'Price History'!D22=0),"",'Price History'!D23/'Price History'!D22-1),"")</f>
        <v>2.6407890550429469E-2</v>
      </c>
      <c r="E22" s="150">
        <f>IFERROR(IF(OR(NOT(ISNUMBER('Price History'!E23)),NOT(ISNUMBER('Price History'!E22)),'Price History'!E22=0),"",'Price History'!E23/'Price History'!E22-1),"")</f>
        <v>1.6129032258064502E-2</v>
      </c>
      <c r="F22" s="150">
        <f>IFERROR(IF(OR(NOT(ISNUMBER('Price History'!F23)),NOT(ISNUMBER('Price History'!F22)),'Price History'!F22=0),"",'Price History'!F23/'Price History'!F22-1),"")</f>
        <v>4.5604849820887416E-2</v>
      </c>
      <c r="G22" s="150">
        <f>IFERROR(IF(OR(NOT(ISNUMBER('Price History'!G23)),NOT(ISNUMBER('Price History'!G22)),'Price History'!G22=0),"",'Price History'!G23/'Price History'!G22-1),"")</f>
        <v>8.1785653433295025E-3</v>
      </c>
      <c r="H22" s="150">
        <f>IFERROR(IF(OR(NOT(ISNUMBER('Price History'!H23)),NOT(ISNUMBER('Price History'!H22)),'Price History'!H22=0),"",'Price History'!H23/'Price History'!H22-1),"")</f>
        <v>-1.7861231967025493E-2</v>
      </c>
      <c r="I22" s="150">
        <f>IFERROR(IF(OR(NOT(ISNUMBER('Price History'!I23)),NOT(ISNUMBER('Price History'!I22)),'Price History'!I22=0),"",'Price History'!I23/'Price History'!I22-1),"")</f>
        <v>8.4141331142152831E-2</v>
      </c>
      <c r="J22" s="150">
        <f>IFERROR(IF(OR(NOT(ISNUMBER('Price History'!J23)),NOT(ISNUMBER('Price History'!J22)),'Price History'!J22=0),"",'Price History'!J23/'Price History'!J22-1),"")</f>
        <v>1.8718192012421087E-2</v>
      </c>
      <c r="K22" s="150">
        <f>IFERROR(IF(OR(NOT(ISNUMBER('Price History'!K23)),NOT(ISNUMBER('Price History'!K22)),'Price History'!K22=0),"",'Price History'!K23/'Price History'!K22-1),"")</f>
        <v>4.0978593272171127E-2</v>
      </c>
      <c r="L22" s="150">
        <f>IFERROR(IF(OR(NOT(ISNUMBER('Price History'!L23)),NOT(ISNUMBER('Price History'!L22)),'Price History'!L22=0),"",'Price History'!L23/'Price History'!L22-1),"")</f>
        <v>-1.2897526501766898E-2</v>
      </c>
      <c r="M22" s="150">
        <f>IFERROR(IF(OR(NOT(ISNUMBER('Price History'!M23)),NOT(ISNUMBER('Price History'!M22)),'Price History'!M22=0),"",'Price History'!M23/'Price History'!M22-1),"")</f>
        <v>0.14996246246246248</v>
      </c>
      <c r="N22" s="150">
        <f>IFERROR(IF(OR(NOT(ISNUMBER('Price History'!N23)),NOT(ISNUMBER('Price History'!N22)),'Price History'!N22=0),"",'Price History'!N23/'Price History'!N22-1),"")</f>
        <v>-1.2762396261942976E-2</v>
      </c>
      <c r="O22" s="150">
        <f>IFERROR(IF(OR(NOT(ISNUMBER('Price History'!O23)),NOT(ISNUMBER('Price History'!O22)),'Price History'!O22=0),"",'Price History'!O23/'Price History'!O22-1),"")</f>
        <v>-1.869268751469555E-2</v>
      </c>
      <c r="P22" s="150">
        <f>IFERROR(IF(OR(NOT(ISNUMBER('Price History'!P23)),NOT(ISNUMBER('Price History'!P22)),'Price History'!P22=0),"",'Price History'!P23/'Price History'!P22-1),"")</f>
        <v>-1.2858088304812276E-2</v>
      </c>
      <c r="Q22" s="150">
        <f>IFERROR(IF(OR(NOT(ISNUMBER('Price History'!Q23)),NOT(ISNUMBER('Price History'!Q22)),'Price History'!Q22=0),"",'Price History'!Q23/'Price History'!Q22-1),"")</f>
        <v>1.41750141750141E-2</v>
      </c>
      <c r="R22" s="150">
        <f>IFERROR(IF(OR(NOT(ISNUMBER('Price History'!R23)),NOT(ISNUMBER('Price History'!R22)),'Price History'!R22=0),"",'Price History'!R23/'Price History'!R22-1),"")</f>
        <v>9.650495565988404E-3</v>
      </c>
      <c r="S22" s="150">
        <f>IFERROR(IF(OR(NOT(ISNUMBER('Price History'!S23)),NOT(ISNUMBER('Price History'!S22)),'Price History'!S22=0),"",'Price History'!S23/'Price History'!S22-1),"")</f>
        <v>4.5708406819517933E-2</v>
      </c>
      <c r="T22" s="150">
        <f>IFERROR(IF(OR(NOT(ISNUMBER('Price History'!T23)),NOT(ISNUMBER('Price History'!T22)),'Price History'!T22=0),"",'Price History'!T23/'Price History'!T22-1),"")</f>
        <v>9.5412844036697475E-3</v>
      </c>
      <c r="U22" s="150">
        <f>IFERROR(IF(OR(NOT(ISNUMBER('Price History'!U23)),NOT(ISNUMBER('Price History'!U22)),'Price History'!U22=0),"",'Price History'!U23/'Price History'!U22-1),"")</f>
        <v>-4.3010752688177334E-4</v>
      </c>
      <c r="V22" s="151">
        <f>IFERROR(IF(OR(NOT(ISNUMBER('Price History'!V23)),NOT(ISNUMBER('Price History'!V22)),'Price History'!V22=0),"",'Price History'!V23/'Price History'!V22-1),"")</f>
        <v>3.4481444791587323E-2</v>
      </c>
      <c r="W22" s="152">
        <f>IFERROR('Price History'!B3+(INDEX('Price History'!B:B,MATCH(9.99E+307,'Returns (Calc)'!$A:$A)+1)-'Price History'!B3)*(ROW()-3)/(MATCH(9.99E+307,'Returns (Calc)'!$A:$A)-3),"")</f>
        <v>494.63981132075469</v>
      </c>
      <c r="X22" s="152">
        <f>IFERROR('Price History'!C3+(INDEX('Price History'!C:C,MATCH(9.99E+307,'Returns (Calc)'!$A:$A)+1)-'Price History'!C3)*(ROW()-3)/(MATCH(9.99E+307,'Returns (Calc)'!$A:$A)-3),"")</f>
        <v>66.561383647798749</v>
      </c>
      <c r="Y22" s="152">
        <f>IFERROR('Price History'!D3+(INDEX('Price History'!D:D,MATCH(9.99E+307,'Returns (Calc)'!$A:$A)+1)-'Price History'!D3)*(ROW()-3)/(MATCH(9.99E+307,'Returns (Calc)'!$A:$A)-3),"")</f>
        <v>725.20666666666671</v>
      </c>
      <c r="Z22" s="152">
        <f>IFERROR('Price History'!E3+(INDEX('Price History'!E:E,MATCH(9.99E+307,'Returns (Calc)'!$A:$A)+1)-'Price History'!E3)*(ROW()-3)/(MATCH(9.99E+307,'Returns (Calc)'!$A:$A)-3),"")</f>
        <v>115.40415094339622</v>
      </c>
      <c r="AA22" s="152">
        <f>IFERROR('Price History'!F3+(INDEX('Price History'!F:F,MATCH(9.99E+307,'Returns (Calc)'!$A:$A)+1)-'Price History'!F3)*(ROW()-3)/(MATCH(9.99E+307,'Returns (Calc)'!$A:$A)-3),"")</f>
        <v>69.284025157232705</v>
      </c>
      <c r="AB22" s="152">
        <f>IFERROR('Price History'!G3+(INDEX('Price History'!G:G,MATCH(9.99E+307,'Returns (Calc)'!$A:$A)+1)-'Price History'!G3)*(ROW()-3)/(MATCH(9.99E+307,'Returns (Calc)'!$A:$A)-3),"")</f>
        <v>62.420314465408808</v>
      </c>
      <c r="AC22" s="152">
        <f>IFERROR('Price History'!H3+(INDEX('Price History'!H:H,MATCH(9.99E+307,'Returns (Calc)'!$A:$A)+1)-'Price History'!H3)*(ROW()-3)/(MATCH(9.99E+307,'Returns (Calc)'!$A:$A)-3),"")</f>
        <v>183.81383647798742</v>
      </c>
      <c r="AD22" s="152">
        <f>IFERROR('Price History'!I3+(INDEX('Price History'!I:I,MATCH(9.99E+307,'Returns (Calc)'!$A:$A)+1)-'Price History'!I3)*(ROW()-3)/(MATCH(9.99E+307,'Returns (Calc)'!$A:$A)-3),"")</f>
        <v>65.937861635220131</v>
      </c>
      <c r="AE22" s="152">
        <f>IFERROR('Price History'!J3+(INDEX('Price History'!J:J,MATCH(9.99E+307,'Returns (Calc)'!$A:$A)+1)-'Price History'!J3)*(ROW()-3)/(MATCH(9.99E+307,'Returns (Calc)'!$A:$A)-3),"")</f>
        <v>113.94911949685535</v>
      </c>
      <c r="AF22" s="152">
        <f>IFERROR('Price History'!K3+(INDEX('Price History'!K:K,MATCH(9.99E+307,'Returns (Calc)'!$A:$A)+1)-'Price History'!K3)*(ROW()-3)/(MATCH(9.99E+307,'Returns (Calc)'!$A:$A)-3),"")</f>
        <v>38.478930817610063</v>
      </c>
      <c r="AG22" s="152">
        <f>IFERROR('Price History'!L3+(INDEX('Price History'!L:L,MATCH(9.99E+307,'Returns (Calc)'!$A:$A)+1)-'Price History'!L3)*(ROW()-3)/(MATCH(9.99E+307,'Returns (Calc)'!$A:$A)-3),"")</f>
        <v>129.67226415094339</v>
      </c>
      <c r="AH22" s="152">
        <f>IFERROR('Price History'!M3+(INDEX('Price History'!M:M,MATCH(9.99E+307,'Returns (Calc)'!$A:$A)+1)-'Price History'!M3)*(ROW()-3)/(MATCH(9.99E+307,'Returns (Calc)'!$A:$A)-3),"")</f>
        <v>62.488176100628934</v>
      </c>
      <c r="AI22" s="152">
        <f>IFERROR('Price History'!N3+(INDEX('Price History'!N:N,MATCH(9.99E+307,'Returns (Calc)'!$A:$A)+1)-'Price History'!N3)*(ROW()-3)/(MATCH(9.99E+307,'Returns (Calc)'!$A:$A)-3),"")</f>
        <v>368.16050314465406</v>
      </c>
      <c r="AJ22" s="152">
        <f>IFERROR('Price History'!O3+(INDEX('Price History'!O:O,MATCH(9.99E+307,'Returns (Calc)'!$A:$A)+1)-'Price History'!O3)*(ROW()-3)/(MATCH(9.99E+307,'Returns (Calc)'!$A:$A)-3),"")</f>
        <v>80.607295597484281</v>
      </c>
      <c r="AK22" s="152">
        <f>IFERROR('Price History'!Q3+(INDEX('Price History'!Q:Q,MATCH(9.99E+307,'Returns (Calc)'!$A:$A)+1)-'Price History'!Q3)*(ROW()-3)/(MATCH(9.99E+307,'Returns (Calc)'!$A:$A)-3),"")</f>
        <v>8.361194968553459</v>
      </c>
      <c r="AL22" s="152">
        <f>IFERROR('Price History'!R3+(INDEX('Price History'!R:R,MATCH(9.99E+307,'Returns (Calc)'!$A:$A)+1)-'Price History'!R3)*(ROW()-3)/(MATCH(9.99E+307,'Returns (Calc)'!$A:$A)-3),"")</f>
        <v>37.659811320754713</v>
      </c>
      <c r="AM22" s="152">
        <f>IFERROR('Price History'!S3+(INDEX('Price History'!S:S,MATCH(9.99E+307,'Returns (Calc)'!$A:$A)+1)-'Price History'!S3)*(ROW()-3)/(MATCH(9.99E+307,'Returns (Calc)'!$A:$A)-3),"")</f>
        <v>68.80654088050315</v>
      </c>
      <c r="AN22" s="152">
        <f>IFERROR('Price History'!T3+(INDEX('Price History'!T:T,MATCH(9.99E+307,'Returns (Calc)'!$A:$A)+1)-'Price History'!T3)*(ROW()-3)/(MATCH(9.99E+307,'Returns (Calc)'!$A:$A)-3),"")</f>
        <v>28.53811320754717</v>
      </c>
      <c r="AO22" s="153">
        <f>IFERROR('Price History'!V3+(INDEX('Price History'!V:V,MATCH(9.99E+307,'Returns (Calc)'!$A:$A)+1)-'Price History'!V3)*(ROW()-3)/(MATCH(9.99E+307,'Returns (Calc)'!$A:$A)-3),"")</f>
        <v>253.53301886792451</v>
      </c>
      <c r="AP22" s="151">
        <f>IFERROR(IF(OR(NOT(ISNUMBER('Price History'!W23)),NOT(ISNUMBER('Price History'!W22)),'Price History'!W22=0),"",'Price History'!W23/'Price History'!W22-1),"")</f>
        <v>1.2362114872574992E-3</v>
      </c>
      <c r="AQ22" s="151" t="str">
        <f>IFERROR(IF(OR(NOT(ISNUMBER('Price History'!X23)),NOT(ISNUMBER('Price History'!X22)),'Price History'!X22=0),"",'Price History'!X23/'Price History'!X22-1),"")</f>
        <v/>
      </c>
      <c r="AR22" s="151">
        <f>IFERROR(IF(OR(NOT(ISNUMBER('Price History'!Y23)),NOT(ISNUMBER('Price History'!Y22)),'Price History'!Y22=0),"",'Price History'!Y23/'Price History'!Y22-1),"")</f>
        <v>9.9822537710736459E-3</v>
      </c>
      <c r="AS22" s="151">
        <f>IFERROR(IF(OR(NOT(ISNUMBER('Price History'!Z23)),NOT(ISNUMBER('Price History'!Z22)),'Price History'!Z22=0),"",'Price History'!Z23/'Price History'!Z22-1),"")</f>
        <v>4.0717401841977585E-2</v>
      </c>
      <c r="AT22" s="151">
        <f>IFERROR(IF(OR(NOT(ISNUMBER('Price History'!AA23)),NOT(ISNUMBER('Price History'!AA22)),'Price History'!AA22=0),"",'Price History'!AA23/'Price History'!AA22-1),"")</f>
        <v>-1.0168302945301466E-2</v>
      </c>
      <c r="AU22" s="151">
        <f>IFERROR(IF(OR(NOT(ISNUMBER('Price History'!AB23)),NOT(ISNUMBER('Price History'!AB22)),'Price History'!AB22=0),"",'Price History'!AB23/'Price History'!AB22-1),"")</f>
        <v>-9.2463948641785532E-3</v>
      </c>
    </row>
    <row r="23" spans="1:47" ht="15" customHeight="1" x14ac:dyDescent="0.2">
      <c r="A23" s="149">
        <f>IF('Price History'!A24="","",'Price History'!A24)</f>
        <v>45331</v>
      </c>
      <c r="B23" s="150">
        <f>IFERROR(IF(OR(NOT(ISNUMBER('Price History'!B24)),NOT(ISNUMBER('Price History'!B23)),'Price History'!B23=0),"",'Price History'!B24/'Price History'!B23-1),"")</f>
        <v>-1.1894259247589578E-2</v>
      </c>
      <c r="C23" s="150">
        <f>IFERROR(IF(OR(NOT(ISNUMBER('Price History'!C24)),NOT(ISNUMBER('Price History'!C23)),'Price History'!C23=0),"",'Price History'!C24/'Price History'!C23-1),"")</f>
        <v>3.4124194493263094E-2</v>
      </c>
      <c r="D23" s="150">
        <f>IFERROR(IF(OR(NOT(ISNUMBER('Price History'!D24)),NOT(ISNUMBER('Price History'!D23)),'Price History'!D23=0),"",'Price History'!D24/'Price History'!D23-1),"")</f>
        <v>6.8046657941264188E-2</v>
      </c>
      <c r="E23" s="150">
        <f>IFERROR(IF(OR(NOT(ISNUMBER('Price History'!E24)),NOT(ISNUMBER('Price History'!E23)),'Price History'!E23=0),"",'Price History'!E24/'Price History'!E23-1),"")</f>
        <v>4.8290921306794354E-2</v>
      </c>
      <c r="F23" s="150">
        <f>IFERROR(IF(OR(NOT(ISNUMBER('Price History'!F24)),NOT(ISNUMBER('Price History'!F23)),'Price History'!F23=0),"",'Price History'!F24/'Price History'!F23-1),"")</f>
        <v>8.485966530504685E-2</v>
      </c>
      <c r="G23" s="150">
        <f>IFERROR(IF(OR(NOT(ISNUMBER('Price History'!G24)),NOT(ISNUMBER('Price History'!G23)),'Price History'!G23=0),"",'Price History'!G24/'Price History'!G23-1),"")</f>
        <v>7.5376035152949106E-2</v>
      </c>
      <c r="H23" s="150">
        <f>IFERROR(IF(OR(NOT(ISNUMBER('Price History'!H24)),NOT(ISNUMBER('Price History'!H23)),'Price History'!H23=0),"",'Price History'!H24/'Price History'!H23-1),"")</f>
        <v>-1.0608533457682423E-2</v>
      </c>
      <c r="I23" s="150">
        <f>IFERROR(IF(OR(NOT(ISNUMBER('Price History'!I24)),NOT(ISNUMBER('Price History'!I23)),'Price History'!I23=0),"",'Price History'!I24/'Price History'!I23-1),"")</f>
        <v>9.0192511747764215E-2</v>
      </c>
      <c r="J23" s="150">
        <f>IFERROR(IF(OR(NOT(ISNUMBER('Price History'!J24)),NOT(ISNUMBER('Price History'!J23)),'Price History'!J23=0),"",'Price History'!J24/'Price History'!J23-1),"")</f>
        <v>2.4978831498729814E-2</v>
      </c>
      <c r="K23" s="150">
        <f>IFERROR(IF(OR(NOT(ISNUMBER('Price History'!K24)),NOT(ISNUMBER('Price History'!K23)),'Price History'!K23=0),"",'Price History'!K24/'Price History'!K23-1),"")</f>
        <v>0.43243243243243246</v>
      </c>
      <c r="L23" s="150">
        <f>IFERROR(IF(OR(NOT(ISNUMBER('Price History'!L24)),NOT(ISNUMBER('Price History'!L23)),'Price History'!L23=0),"",'Price History'!L24/'Price History'!L23-1),"")</f>
        <v>0.14999105065330243</v>
      </c>
      <c r="M23" s="150">
        <f>IFERROR(IF(OR(NOT(ISNUMBER('Price History'!M24)),NOT(ISNUMBER('Price History'!M23)),'Price History'!M23=0),"",'Price History'!M24/'Price History'!M23-1),"")</f>
        <v>3.3295250530439136E-2</v>
      </c>
      <c r="N23" s="150">
        <f>IFERROR(IF(OR(NOT(ISNUMBER('Price History'!N24)),NOT(ISNUMBER('Price History'!N23)),'Price History'!N23=0),"",'Price History'!N24/'Price History'!N23-1),"")</f>
        <v>-4.1678440237354897E-3</v>
      </c>
      <c r="O23" s="150">
        <f>IFERROR(IF(OR(NOT(ISNUMBER('Price History'!O24)),NOT(ISNUMBER('Price History'!O23)),'Price History'!O23=0),"",'Price History'!O24/'Price History'!O23-1),"")</f>
        <v>8.9852641667664823E-3</v>
      </c>
      <c r="P23" s="150">
        <f>IFERROR(IF(OR(NOT(ISNUMBER('Price History'!P24)),NOT(ISNUMBER('Price History'!P23)),'Price History'!P23=0),"",'Price History'!P24/'Price History'!P23-1),"")</f>
        <v>-8.9071927976246412E-3</v>
      </c>
      <c r="Q23" s="150">
        <f>IFERROR(IF(OR(NOT(ISNUMBER('Price History'!Q24)),NOT(ISNUMBER('Price History'!Q23)),'Price History'!Q23=0),"",'Price History'!Q24/'Price History'!Q23-1),"")</f>
        <v>4.2862467387254632E-3</v>
      </c>
      <c r="R23" s="150">
        <f>IFERROR(IF(OR(NOT(ISNUMBER('Price History'!R24)),NOT(ISNUMBER('Price History'!R23)),'Price History'!R23=0),"",'Price History'!R24/'Price History'!R23-1),"")</f>
        <v>1.0591578403513324E-2</v>
      </c>
      <c r="S23" s="150">
        <f>IFERROR(IF(OR(NOT(ISNUMBER('Price History'!S24)),NOT(ISNUMBER('Price History'!S23)),'Price History'!S23=0),"",'Price History'!S24/'Price History'!S23-1),"")</f>
        <v>2.3893183415319541E-2</v>
      </c>
      <c r="T23" s="150">
        <f>IFERROR(IF(OR(NOT(ISNUMBER('Price History'!T24)),NOT(ISNUMBER('Price History'!T23)),'Price History'!T23=0),"",'Price History'!T24/'Price History'!T23-1),"")</f>
        <v>5.0890585241729624E-3</v>
      </c>
      <c r="U23" s="150">
        <f>IFERROR(IF(OR(NOT(ISNUMBER('Price History'!U24)),NOT(ISNUMBER('Price History'!U23)),'Price History'!U23=0),"",'Price History'!U24/'Price History'!U23-1),"")</f>
        <v>-2.5817555938036918E-3</v>
      </c>
      <c r="V23" s="151">
        <f>IFERROR(IF(OR(NOT(ISNUMBER('Price History'!V24)),NOT(ISNUMBER('Price History'!V23)),'Price History'!V23=0),"",'Price History'!V24/'Price History'!V23-1),"")</f>
        <v>-8.4711428676664813E-4</v>
      </c>
      <c r="W23" s="152">
        <f>IFERROR('Price History'!B3+(INDEX('Price History'!B:B,MATCH(9.99E+307,'Returns (Calc)'!$A:$A)+1)-'Price History'!B3)*(ROW()-3)/(MATCH(9.99E+307,'Returns (Calc)'!$A:$A)-3),"")</f>
        <v>492.83716981132073</v>
      </c>
      <c r="X23" s="152">
        <f>IFERROR('Price History'!C3+(INDEX('Price History'!C:C,MATCH(9.99E+307,'Returns (Calc)'!$A:$A)+1)-'Price History'!C3)*(ROW()-3)/(MATCH(9.99E+307,'Returns (Calc)'!$A:$A)-3),"")</f>
        <v>67.63408805031446</v>
      </c>
      <c r="Y23" s="152">
        <f>IFERROR('Price History'!D3+(INDEX('Price History'!D:D,MATCH(9.99E+307,'Returns (Calc)'!$A:$A)+1)-'Price History'!D3)*(ROW()-3)/(MATCH(9.99E+307,'Returns (Calc)'!$A:$A)-3),"")</f>
        <v>732.74333333333334</v>
      </c>
      <c r="Z23" s="152">
        <f>IFERROR('Price History'!E3+(INDEX('Price History'!E:E,MATCH(9.99E+307,'Returns (Calc)'!$A:$A)+1)-'Price History'!E3)*(ROW()-3)/(MATCH(9.99E+307,'Returns (Calc)'!$A:$A)-3),"")</f>
        <v>117.1622641509434</v>
      </c>
      <c r="AA23" s="152">
        <f>IFERROR('Price History'!F3+(INDEX('Price History'!F:F,MATCH(9.99E+307,'Returns (Calc)'!$A:$A)+1)-'Price History'!F3)*(ROW()-3)/(MATCH(9.99E+307,'Returns (Calc)'!$A:$A)-3),"")</f>
        <v>70.753710691823898</v>
      </c>
      <c r="AB23" s="152">
        <f>IFERROR('Price History'!G3+(INDEX('Price History'!G:G,MATCH(9.99E+307,'Returns (Calc)'!$A:$A)+1)-'Price History'!G3)*(ROW()-3)/(MATCH(9.99E+307,'Returns (Calc)'!$A:$A)-3),"")</f>
        <v>63.371383647798744</v>
      </c>
      <c r="AC23" s="152">
        <f>IFERROR('Price History'!H3+(INDEX('Price History'!H:H,MATCH(9.99E+307,'Returns (Calc)'!$A:$A)+1)-'Price History'!H3)*(ROW()-3)/(MATCH(9.99E+307,'Returns (Calc)'!$A:$A)-3),"")</f>
        <v>189.85088050314465</v>
      </c>
      <c r="AD23" s="152">
        <f>IFERROR('Price History'!I3+(INDEX('Price History'!I:I,MATCH(9.99E+307,'Returns (Calc)'!$A:$A)+1)-'Price History'!I3)*(ROW()-3)/(MATCH(9.99E+307,'Returns (Calc)'!$A:$A)-3),"")</f>
        <v>67.104591194968549</v>
      </c>
      <c r="AE23" s="152">
        <f>IFERROR('Price History'!J3+(INDEX('Price History'!J:J,MATCH(9.99E+307,'Returns (Calc)'!$A:$A)+1)-'Price History'!J3)*(ROW()-3)/(MATCH(9.99E+307,'Returns (Calc)'!$A:$A)-3),"")</f>
        <v>114.06012578616352</v>
      </c>
      <c r="AF23" s="152">
        <f>IFERROR('Price History'!K3+(INDEX('Price History'!K:K,MATCH(9.99E+307,'Returns (Calc)'!$A:$A)+1)-'Price History'!K3)*(ROW()-3)/(MATCH(9.99E+307,'Returns (Calc)'!$A:$A)-3),"")</f>
        <v>39.697295597484278</v>
      </c>
      <c r="AG23" s="152">
        <f>IFERROR('Price History'!L3+(INDEX('Price History'!L:L,MATCH(9.99E+307,'Returns (Calc)'!$A:$A)+1)-'Price History'!L3)*(ROW()-3)/(MATCH(9.99E+307,'Returns (Calc)'!$A:$A)-3),"")</f>
        <v>131.98396226415093</v>
      </c>
      <c r="AH23" s="152">
        <f>IFERROR('Price History'!M3+(INDEX('Price History'!M:M,MATCH(9.99E+307,'Returns (Calc)'!$A:$A)+1)-'Price History'!M3)*(ROW()-3)/(MATCH(9.99E+307,'Returns (Calc)'!$A:$A)-3),"")</f>
        <v>63.775974842767297</v>
      </c>
      <c r="AI23" s="152">
        <f>IFERROR('Price History'!N3+(INDEX('Price History'!N:N,MATCH(9.99E+307,'Returns (Calc)'!$A:$A)+1)-'Price History'!N3)*(ROW()-3)/(MATCH(9.99E+307,'Returns (Calc)'!$A:$A)-3),"")</f>
        <v>369.17421383647797</v>
      </c>
      <c r="AJ23" s="152">
        <f>IFERROR('Price History'!O3+(INDEX('Price History'!O:O,MATCH(9.99E+307,'Returns (Calc)'!$A:$A)+1)-'Price History'!O3)*(ROW()-3)/(MATCH(9.99E+307,'Returns (Calc)'!$A:$A)-3),"")</f>
        <v>80.886100628930819</v>
      </c>
      <c r="AK23" s="152">
        <f>IFERROR('Price History'!Q3+(INDEX('Price History'!Q:Q,MATCH(9.99E+307,'Returns (Calc)'!$A:$A)+1)-'Price History'!Q3)*(ROW()-3)/(MATCH(9.99E+307,'Returns (Calc)'!$A:$A)-3),"")</f>
        <v>8.8012578616352215</v>
      </c>
      <c r="AL23" s="152">
        <f>IFERROR('Price History'!R3+(INDEX('Price History'!R:R,MATCH(9.99E+307,'Returns (Calc)'!$A:$A)+1)-'Price History'!R3)*(ROW()-3)/(MATCH(9.99E+307,'Returns (Calc)'!$A:$A)-3),"")</f>
        <v>37.827169811320751</v>
      </c>
      <c r="AM23" s="152">
        <f>IFERROR('Price History'!S3+(INDEX('Price History'!S:S,MATCH(9.99E+307,'Returns (Calc)'!$A:$A)+1)-'Price History'!S3)*(ROW()-3)/(MATCH(9.99E+307,'Returns (Calc)'!$A:$A)-3),"")</f>
        <v>69.394779874213839</v>
      </c>
      <c r="AN23" s="152">
        <f>IFERROR('Price History'!T3+(INDEX('Price History'!T:T,MATCH(9.99E+307,'Returns (Calc)'!$A:$A)+1)-'Price History'!T3)*(ROW()-3)/(MATCH(9.99E+307,'Returns (Calc)'!$A:$A)-3),"")</f>
        <v>28.711698113207547</v>
      </c>
      <c r="AO23" s="153">
        <f>IFERROR('Price History'!V3+(INDEX('Price History'!V:V,MATCH(9.99E+307,'Returns (Calc)'!$A:$A)+1)-'Price History'!V3)*(ROW()-3)/(MATCH(9.99E+307,'Returns (Calc)'!$A:$A)-3),"")</f>
        <v>254.47528301886791</v>
      </c>
      <c r="AP23" s="151">
        <f>IFERROR(IF(OR(NOT(ISNUMBER('Price History'!W24)),NOT(ISNUMBER('Price History'!W23)),'Price History'!W23=0),"",'Price History'!W24/'Price History'!W23-1),"")</f>
        <v>-2.184442967043454E-3</v>
      </c>
      <c r="AQ23" s="151" t="str">
        <f>IFERROR(IF(OR(NOT(ISNUMBER('Price History'!X24)),NOT(ISNUMBER('Price History'!X23)),'Price History'!X23=0),"",'Price History'!X24/'Price History'!X23-1),"")</f>
        <v/>
      </c>
      <c r="AR23" s="151">
        <f>IFERROR(IF(OR(NOT(ISNUMBER('Price History'!Y24)),NOT(ISNUMBER('Price History'!Y23)),'Price History'!Y23=0),"",'Price History'!Y24/'Price History'!Y23-1),"")</f>
        <v>-6.5890621568198693E-4</v>
      </c>
      <c r="AS23" s="151">
        <f>IFERROR(IF(OR(NOT(ISNUMBER('Price History'!Z24)),NOT(ISNUMBER('Price History'!Z23)),'Price History'!Z23=0),"",'Price History'!Z24/'Price History'!Z23-1),"")</f>
        <v>2.012109920819749E-2</v>
      </c>
      <c r="AT23" s="151">
        <f>IFERROR(IF(OR(NOT(ISNUMBER('Price History'!AA24)),NOT(ISNUMBER('Price History'!AA23)),'Price History'!AA23=0),"",'Price History'!AA24/'Price History'!AA23-1),"")</f>
        <v>-5.8448459086077875E-3</v>
      </c>
      <c r="AU23" s="151">
        <f>IFERROR(IF(OR(NOT(ISNUMBER('Price History'!AB24)),NOT(ISNUMBER('Price History'!AB23)),'Price History'!AB23=0),"",'Price History'!AB24/'Price History'!AB23-1),"")</f>
        <v>4.8162475822050244E-2</v>
      </c>
    </row>
    <row r="24" spans="1:47" ht="15" customHeight="1" x14ac:dyDescent="0.2">
      <c r="A24" s="149">
        <f>IF('Price History'!A25="","",'Price History'!A25)</f>
        <v>45338</v>
      </c>
      <c r="B24" s="150">
        <f>IFERROR(IF(OR(NOT(ISNUMBER('Price History'!B25)),NOT(ISNUMBER('Price History'!B24)),'Price History'!B24=0),"",'Price History'!B25/'Price History'!B24-1),"")</f>
        <v>-0.12842588606686767</v>
      </c>
      <c r="C24" s="150">
        <f>IFERROR(IF(OR(NOT(ISNUMBER('Price History'!C25)),NOT(ISNUMBER('Price History'!C24)),'Price History'!C24=0),"",'Price History'!C25/'Price History'!C24-1),"")</f>
        <v>-7.3219090780342722E-2</v>
      </c>
      <c r="D24" s="150">
        <f>IFERROR(IF(OR(NOT(ISNUMBER('Price History'!D25)),NOT(ISNUMBER('Price History'!D24)),'Price History'!D24=0),"",'Price History'!D25/'Price History'!D24-1),"")</f>
        <v>-2.1756656526459528E-2</v>
      </c>
      <c r="E24" s="150">
        <f>IFERROR(IF(OR(NOT(ISNUMBER('Price History'!E25)),NOT(ISNUMBER('Price History'!E24)),'Price History'!E24=0),"",'Price History'!E25/'Price History'!E24-1),"")</f>
        <v>-2.9642685467072494E-2</v>
      </c>
      <c r="F24" s="150">
        <f>IFERROR(IF(OR(NOT(ISNUMBER('Price History'!F25)),NOT(ISNUMBER('Price History'!F24)),'Price History'!F24=0),"",'Price History'!F25/'Price History'!F24-1),"")</f>
        <v>-2.4292481476972938E-4</v>
      </c>
      <c r="G24" s="150">
        <f>IFERROR(IF(OR(NOT(ISNUMBER('Price History'!G25)),NOT(ISNUMBER('Price History'!G24)),'Price History'!G24=0),"",'Price History'!G25/'Price History'!G24-1),"")</f>
        <v>1.9959138771020069E-2</v>
      </c>
      <c r="H24" s="150">
        <f>IFERROR(IF(OR(NOT(ISNUMBER('Price History'!H25)),NOT(ISNUMBER('Price History'!H24)),'Price History'!H24=0),"",'Price History'!H25/'Price History'!H24-1),"")</f>
        <v>-7.0814186402733625E-2</v>
      </c>
      <c r="I24" s="150">
        <f>IFERROR(IF(OR(NOT(ISNUMBER('Price History'!I25)),NOT(ISNUMBER('Price History'!I24)),'Price History'!I24=0),"",'Price History'!I25/'Price History'!I24-1),"")</f>
        <v>6.6740823136819394E-3</v>
      </c>
      <c r="J24" s="150">
        <f>IFERROR(IF(OR(NOT(ISNUMBER('Price History'!J25)),NOT(ISNUMBER('Price History'!J24)),'Price History'!J24=0),"",'Price History'!J25/'Price History'!J24-1),"")</f>
        <v>6.8566707971913221E-3</v>
      </c>
      <c r="K24" s="150">
        <f>IFERROR(IF(OR(NOT(ISNUMBER('Price History'!K25)),NOT(ISNUMBER('Price History'!K24)),'Price History'!K24=0),"",'Price History'!K25/'Price History'!K24-1),"")</f>
        <v>2.4610336341264194E-3</v>
      </c>
      <c r="L24" s="150">
        <f>IFERROR(IF(OR(NOT(ISNUMBER('Price History'!L25)),NOT(ISNUMBER('Price History'!L24)),'Price History'!L24=0),"",'Price History'!L25/'Price History'!L24-1),"")</f>
        <v>-4.8249027237354136E-2</v>
      </c>
      <c r="M24" s="150">
        <f>IFERROR(IF(OR(NOT(ISNUMBER('Price History'!M25)),NOT(ISNUMBER('Price History'!M24)),'Price History'!M24=0),"",'Price History'!M25/'Price History'!M24-1),"")</f>
        <v>-8.6874111514769758E-3</v>
      </c>
      <c r="N24" s="150">
        <f>IFERROR(IF(OR(NOT(ISNUMBER('Price History'!N25)),NOT(ISNUMBER('Price History'!N24)),'Price History'!N24=0),"",'Price History'!N25/'Price History'!N24-1),"")</f>
        <v>-1.6788441985293723E-3</v>
      </c>
      <c r="O24" s="150">
        <f>IFERROR(IF(OR(NOT(ISNUMBER('Price History'!O25)),NOT(ISNUMBER('Price History'!O24)),'Price History'!O24=0),"",'Price History'!O25/'Price History'!O24-1),"")</f>
        <v>7.1241985276655484E-3</v>
      </c>
      <c r="P24" s="150">
        <f>IFERROR(IF(OR(NOT(ISNUMBER('Price History'!P25)),NOT(ISNUMBER('Price History'!P24)),'Price History'!P24=0),"",'Price History'!P25/'Price History'!P24-1),"")</f>
        <v>1.1693080788558019E-2</v>
      </c>
      <c r="Q24" s="150">
        <f>IFERROR(IF(OR(NOT(ISNUMBER('Price History'!Q25)),NOT(ISNUMBER('Price History'!Q24)),'Price History'!Q24=0),"",'Price History'!Q25/'Price History'!Q24-1),"")</f>
        <v>-5.5668955279272181E-3</v>
      </c>
      <c r="R24" s="150">
        <f>IFERROR(IF(OR(NOT(ISNUMBER('Price History'!R25)),NOT(ISNUMBER('Price History'!R24)),'Price History'!R24=0),"",'Price History'!R25/'Price History'!R24-1),"")</f>
        <v>-3.323108384457929E-3</v>
      </c>
      <c r="S24" s="150">
        <f>IFERROR(IF(OR(NOT(ISNUMBER('Price History'!S25)),NOT(ISNUMBER('Price History'!S24)),'Price History'!S24=0),"",'Price History'!S25/'Price History'!S24-1),"")</f>
        <v>8.3733699382291249E-3</v>
      </c>
      <c r="T24" s="150">
        <f>IFERROR(IF(OR(NOT(ISNUMBER('Price History'!T25)),NOT(ISNUMBER('Price History'!T24)),'Price History'!T24=0),"",'Price History'!T25/'Price History'!T24-1),"")</f>
        <v>8.3182640144665587E-3</v>
      </c>
      <c r="U24" s="150">
        <f>IFERROR(IF(OR(NOT(ISNUMBER('Price History'!U25)),NOT(ISNUMBER('Price History'!U24)),'Price History'!U24=0),"",'Price History'!U25/'Price History'!U24-1),"")</f>
        <v>2.5884383088869978E-3</v>
      </c>
      <c r="V24" s="151">
        <f>IFERROR(IF(OR(NOT(ISNUMBER('Price History'!V25)),NOT(ISNUMBER('Price History'!V24)),'Price History'!V24=0),"",'Price History'!V25/'Price History'!V24-1),"")</f>
        <v>7.7042170451195879E-3</v>
      </c>
      <c r="W24" s="152">
        <f>IFERROR('Price History'!B3+(INDEX('Price History'!B:B,MATCH(9.99E+307,'Returns (Calc)'!$A:$A)+1)-'Price History'!B3)*(ROW()-3)/(MATCH(9.99E+307,'Returns (Calc)'!$A:$A)-3),"")</f>
        <v>491.03452830188678</v>
      </c>
      <c r="X24" s="152">
        <f>IFERROR('Price History'!C3+(INDEX('Price History'!C:C,MATCH(9.99E+307,'Returns (Calc)'!$A:$A)+1)-'Price History'!C3)*(ROW()-3)/(MATCH(9.99E+307,'Returns (Calc)'!$A:$A)-3),"")</f>
        <v>68.706792452830186</v>
      </c>
      <c r="Y24" s="152">
        <f>IFERROR('Price History'!D3+(INDEX('Price History'!D:D,MATCH(9.99E+307,'Returns (Calc)'!$A:$A)+1)-'Price History'!D3)*(ROW()-3)/(MATCH(9.99E+307,'Returns (Calc)'!$A:$A)-3),"")</f>
        <v>740.28</v>
      </c>
      <c r="Z24" s="152">
        <f>IFERROR('Price History'!E3+(INDEX('Price History'!E:E,MATCH(9.99E+307,'Returns (Calc)'!$A:$A)+1)-'Price History'!E3)*(ROW()-3)/(MATCH(9.99E+307,'Returns (Calc)'!$A:$A)-3),"")</f>
        <v>118.92037735849057</v>
      </c>
      <c r="AA24" s="152">
        <f>IFERROR('Price History'!F3+(INDEX('Price History'!F:F,MATCH(9.99E+307,'Returns (Calc)'!$A:$A)+1)-'Price History'!F3)*(ROW()-3)/(MATCH(9.99E+307,'Returns (Calc)'!$A:$A)-3),"")</f>
        <v>72.22339622641509</v>
      </c>
      <c r="AB24" s="152">
        <f>IFERROR('Price History'!G3+(INDEX('Price History'!G:G,MATCH(9.99E+307,'Returns (Calc)'!$A:$A)+1)-'Price History'!G3)*(ROW()-3)/(MATCH(9.99E+307,'Returns (Calc)'!$A:$A)-3),"")</f>
        <v>64.322452830188681</v>
      </c>
      <c r="AC24" s="152">
        <f>IFERROR('Price History'!H3+(INDEX('Price History'!H:H,MATCH(9.99E+307,'Returns (Calc)'!$A:$A)+1)-'Price History'!H3)*(ROW()-3)/(MATCH(9.99E+307,'Returns (Calc)'!$A:$A)-3),"")</f>
        <v>195.88792452830188</v>
      </c>
      <c r="AD24" s="152">
        <f>IFERROR('Price History'!I3+(INDEX('Price History'!I:I,MATCH(9.99E+307,'Returns (Calc)'!$A:$A)+1)-'Price History'!I3)*(ROW()-3)/(MATCH(9.99E+307,'Returns (Calc)'!$A:$A)-3),"")</f>
        <v>68.271320754716982</v>
      </c>
      <c r="AE24" s="152">
        <f>IFERROR('Price History'!J3+(INDEX('Price History'!J:J,MATCH(9.99E+307,'Returns (Calc)'!$A:$A)+1)-'Price History'!J3)*(ROW()-3)/(MATCH(9.99E+307,'Returns (Calc)'!$A:$A)-3),"")</f>
        <v>114.1711320754717</v>
      </c>
      <c r="AF24" s="152">
        <f>IFERROR('Price History'!K3+(INDEX('Price History'!K:K,MATCH(9.99E+307,'Returns (Calc)'!$A:$A)+1)-'Price History'!K3)*(ROW()-3)/(MATCH(9.99E+307,'Returns (Calc)'!$A:$A)-3),"")</f>
        <v>40.915660377358492</v>
      </c>
      <c r="AG24" s="152">
        <f>IFERROR('Price History'!L3+(INDEX('Price History'!L:L,MATCH(9.99E+307,'Returns (Calc)'!$A:$A)+1)-'Price History'!L3)*(ROW()-3)/(MATCH(9.99E+307,'Returns (Calc)'!$A:$A)-3),"")</f>
        <v>134.2956603773585</v>
      </c>
      <c r="AH24" s="152">
        <f>IFERROR('Price History'!M3+(INDEX('Price History'!M:M,MATCH(9.99E+307,'Returns (Calc)'!$A:$A)+1)-'Price History'!M3)*(ROW()-3)/(MATCH(9.99E+307,'Returns (Calc)'!$A:$A)-3),"")</f>
        <v>65.063773584905661</v>
      </c>
      <c r="AI24" s="152">
        <f>IFERROR('Price History'!N3+(INDEX('Price History'!N:N,MATCH(9.99E+307,'Returns (Calc)'!$A:$A)+1)-'Price History'!N3)*(ROW()-3)/(MATCH(9.99E+307,'Returns (Calc)'!$A:$A)-3),"")</f>
        <v>370.18792452830189</v>
      </c>
      <c r="AJ24" s="152">
        <f>IFERROR('Price History'!O3+(INDEX('Price History'!O:O,MATCH(9.99E+307,'Returns (Calc)'!$A:$A)+1)-'Price History'!O3)*(ROW()-3)/(MATCH(9.99E+307,'Returns (Calc)'!$A:$A)-3),"")</f>
        <v>81.164905660377357</v>
      </c>
      <c r="AK24" s="152">
        <f>IFERROR('Price History'!Q3+(INDEX('Price History'!Q:Q,MATCH(9.99E+307,'Returns (Calc)'!$A:$A)+1)-'Price History'!Q3)*(ROW()-3)/(MATCH(9.99E+307,'Returns (Calc)'!$A:$A)-3),"")</f>
        <v>9.2413207547169804</v>
      </c>
      <c r="AL24" s="152">
        <f>IFERROR('Price History'!R3+(INDEX('Price History'!R:R,MATCH(9.99E+307,'Returns (Calc)'!$A:$A)+1)-'Price History'!R3)*(ROW()-3)/(MATCH(9.99E+307,'Returns (Calc)'!$A:$A)-3),"")</f>
        <v>37.994528301886788</v>
      </c>
      <c r="AM24" s="152">
        <f>IFERROR('Price History'!S3+(INDEX('Price History'!S:S,MATCH(9.99E+307,'Returns (Calc)'!$A:$A)+1)-'Price History'!S3)*(ROW()-3)/(MATCH(9.99E+307,'Returns (Calc)'!$A:$A)-3),"")</f>
        <v>69.983018867924528</v>
      </c>
      <c r="AN24" s="152">
        <f>IFERROR('Price History'!T3+(INDEX('Price History'!T:T,MATCH(9.99E+307,'Returns (Calc)'!$A:$A)+1)-'Price History'!T3)*(ROW()-3)/(MATCH(9.99E+307,'Returns (Calc)'!$A:$A)-3),"")</f>
        <v>28.885283018867923</v>
      </c>
      <c r="AO24" s="153">
        <f>IFERROR('Price History'!V3+(INDEX('Price History'!V:V,MATCH(9.99E+307,'Returns (Calc)'!$A:$A)+1)-'Price History'!V3)*(ROW()-3)/(MATCH(9.99E+307,'Returns (Calc)'!$A:$A)-3),"")</f>
        <v>255.41754716981131</v>
      </c>
      <c r="AP24" s="151">
        <f>IFERROR(IF(OR(NOT(ISNUMBER('Price History'!W25)),NOT(ISNUMBER('Price History'!W24)),'Price History'!W24=0),"",'Price History'!W25/'Price History'!W24-1),"")</f>
        <v>9.3280030458786634E-3</v>
      </c>
      <c r="AQ24" s="151" t="str">
        <f>IFERROR(IF(OR(NOT(ISNUMBER('Price History'!X25)),NOT(ISNUMBER('Price History'!X24)),'Price History'!X24=0),"",'Price History'!X25/'Price History'!X24-1),"")</f>
        <v/>
      </c>
      <c r="AR24" s="151">
        <f>IFERROR(IF(OR(NOT(ISNUMBER('Price History'!Y25)),NOT(ISNUMBER('Price History'!Y24)),'Price History'!Y24=0),"",'Price History'!Y25/'Price History'!Y24-1),"")</f>
        <v>1.3186813186814028E-3</v>
      </c>
      <c r="AS24" s="151">
        <f>IFERROR(IF(OR(NOT(ISNUMBER('Price History'!Z25)),NOT(ISNUMBER('Price History'!Z24)),'Price History'!Z24=0),"",'Price History'!Z25/'Price History'!Z24-1),"")</f>
        <v>7.0861108574559406E-2</v>
      </c>
      <c r="AT24" s="151">
        <f>IFERROR(IF(OR(NOT(ISNUMBER('Price History'!AA25)),NOT(ISNUMBER('Price History'!AA24)),'Price History'!AA24=0),"",'Price History'!AA25/'Price History'!AA24-1),"")</f>
        <v>4.044183146267577E-2</v>
      </c>
      <c r="AU24" s="151">
        <f>IFERROR(IF(OR(NOT(ISNUMBER('Price History'!AB25)),NOT(ISNUMBER('Price History'!AB24)),'Price History'!AB24=0),"",'Price History'!AB25/'Price History'!AB24-1),"")</f>
        <v>1.1948699021959719E-2</v>
      </c>
    </row>
    <row r="25" spans="1:47" ht="15" customHeight="1" x14ac:dyDescent="0.2">
      <c r="A25" s="149">
        <f>IF('Price History'!A26="","",'Price History'!A26)</f>
        <v>45345</v>
      </c>
      <c r="B25" s="150">
        <f>IFERROR(IF(OR(NOT(ISNUMBER('Price History'!B26)),NOT(ISNUMBER('Price History'!B25)),'Price History'!B25=0),"",'Price History'!B26/'Price History'!B25-1),"")</f>
        <v>1.2402590275491399E-2</v>
      </c>
      <c r="C25" s="150">
        <f>IFERROR(IF(OR(NOT(ISNUMBER('Price History'!C26)),NOT(ISNUMBER('Price History'!C25)),'Price History'!C25=0),"",'Price History'!C26/'Price History'!C25-1),"")</f>
        <v>2.261613691931541E-2</v>
      </c>
      <c r="D25" s="150">
        <f>IFERROR(IF(OR(NOT(ISNUMBER('Price History'!D26)),NOT(ISNUMBER('Price History'!D25)),'Price History'!D25=0),"",'Price History'!D26/'Price History'!D25-1),"")</f>
        <v>4.6371078512170705E-3</v>
      </c>
      <c r="E25" s="150">
        <f>IFERROR(IF(OR(NOT(ISNUMBER('Price History'!E26)),NOT(ISNUMBER('Price History'!E25)),'Price History'!E25=0),"",'Price History'!E26/'Price History'!E25-1),"")</f>
        <v>4.0868560105680185E-2</v>
      </c>
      <c r="F25" s="150">
        <f>IFERROR(IF(OR(NOT(ISNUMBER('Price History'!F26)),NOT(ISNUMBER('Price History'!F25)),'Price History'!F25=0),"",'Price History'!F26/'Price History'!F25-1),"")</f>
        <v>-5.3942412829546815E-2</v>
      </c>
      <c r="G25" s="150">
        <f>IFERROR(IF(OR(NOT(ISNUMBER('Price History'!G26)),NOT(ISNUMBER('Price History'!G25)),'Price History'!G25=0),"",'Price History'!G26/'Price History'!G25-1),"")</f>
        <v>1.1248073959938099E-2</v>
      </c>
      <c r="H25" s="150">
        <f>IFERROR(IF(OR(NOT(ISNUMBER('Price History'!H26)),NOT(ISNUMBER('Price History'!H25)),'Price History'!H25=0),"",'Price History'!H26/'Price History'!H25-1),"")</f>
        <v>8.1790514836419081E-2</v>
      </c>
      <c r="I25" s="150">
        <f>IFERROR(IF(OR(NOT(ISNUMBER('Price History'!I26)),NOT(ISNUMBER('Price History'!I25)),'Price History'!I25=0),"",'Price History'!I26/'Price History'!I25-1),"")</f>
        <v>8.5497237569060802E-2</v>
      </c>
      <c r="J25" s="150">
        <f>IFERROR(IF(OR(NOT(ISNUMBER('Price History'!J26)),NOT(ISNUMBER('Price History'!J25)),'Price History'!J25=0),"",'Price History'!J26/'Price History'!J25-1),"")</f>
        <v>-1.3127666557268824E-3</v>
      </c>
      <c r="K25" s="150">
        <f>IFERROR(IF(OR(NOT(ISNUMBER('Price History'!K26)),NOT(ISNUMBER('Price History'!K25)),'Price History'!K25=0),"",'Price History'!K26/'Price History'!K25-1),"")</f>
        <v>-6.0147299509001773E-2</v>
      </c>
      <c r="L25" s="150">
        <f>IFERROR(IF(OR(NOT(ISNUMBER('Price History'!L26)),NOT(ISNUMBER('Price History'!L25)),'Price History'!L25=0),"",'Price History'!L26/'Price History'!L25-1),"")</f>
        <v>2.240392477514308E-2</v>
      </c>
      <c r="M25" s="150">
        <f>IFERROR(IF(OR(NOT(ISNUMBER('Price History'!M26)),NOT(ISNUMBER('Price History'!M25)),'Price History'!M25=0),"",'Price History'!M26/'Price History'!M25-1),"")</f>
        <v>-4.3021032504779733E-3</v>
      </c>
      <c r="N25" s="150">
        <f>IFERROR(IF(OR(NOT(ISNUMBER('Price History'!N26)),NOT(ISNUMBER('Price History'!N25)),'Price History'!N25=0),"",'Price History'!N26/'Price History'!N25-1),"")</f>
        <v>1.8735196589294123E-2</v>
      </c>
      <c r="O25" s="150">
        <f>IFERROR(IF(OR(NOT(ISNUMBER('Price History'!O26)),NOT(ISNUMBER('Price History'!O25)),'Price History'!O25=0),"",'Price History'!O26/'Price History'!O25-1),"")</f>
        <v>-3.3011082291910521E-3</v>
      </c>
      <c r="P25" s="150">
        <f>IFERROR(IF(OR(NOT(ISNUMBER('Price History'!P26)),NOT(ISNUMBER('Price History'!P25)),'Price History'!P25=0),"",'Price History'!P26/'Price History'!P25-1),"")</f>
        <v>8.4057694144616946E-3</v>
      </c>
      <c r="Q25" s="150">
        <f>IFERROR(IF(OR(NOT(ISNUMBER('Price History'!Q26)),NOT(ISNUMBER('Price History'!Q25)),'Price History'!Q25=0),"",'Price History'!Q26/'Price History'!Q25-1),"")</f>
        <v>7.6506810972196693E-3</v>
      </c>
      <c r="R25" s="150">
        <f>IFERROR(IF(OR(NOT(ISNUMBER('Price History'!R26)),NOT(ISNUMBER('Price History'!R25)),'Price History'!R25=0),"",'Price History'!R26/'Price History'!R25-1),"")</f>
        <v>1.2567324955116588E-2</v>
      </c>
      <c r="S25" s="150">
        <f>IFERROR(IF(OR(NOT(ISNUMBER('Price History'!S26)),NOT(ISNUMBER('Price History'!S25)),'Price History'!S25=0),"",'Price History'!S26/'Price History'!S25-1),"")</f>
        <v>2.232507487067803E-2</v>
      </c>
      <c r="T25" s="150">
        <f>IFERROR(IF(OR(NOT(ISNUMBER('Price History'!T26)),NOT(ISNUMBER('Price History'!T25)),'Price History'!T25=0),"",'Price History'!T26/'Price History'!T25-1),"")</f>
        <v>2.1879483500717445E-2</v>
      </c>
      <c r="U25" s="150">
        <f>IFERROR(IF(OR(NOT(ISNUMBER('Price History'!U26)),NOT(ISNUMBER('Price History'!U25)),'Price History'!U25=0),"",'Price History'!U26/'Price History'!U25-1),"")</f>
        <v>1.1617900172117279E-2</v>
      </c>
      <c r="V25" s="151">
        <f>IFERROR(IF(OR(NOT(ISNUMBER('Price History'!V26)),NOT(ISNUMBER('Price History'!V25)),'Price History'!V25=0),"",'Price History'!V26/'Price History'!V25-1),"")</f>
        <v>1.8070746607162347E-2</v>
      </c>
      <c r="W25" s="152">
        <f>IFERROR('Price History'!B3+(INDEX('Price History'!B:B,MATCH(9.99E+307,'Returns (Calc)'!$A:$A)+1)-'Price History'!B3)*(ROW()-3)/(MATCH(9.99E+307,'Returns (Calc)'!$A:$A)-3),"")</f>
        <v>489.23188679245283</v>
      </c>
      <c r="X25" s="152">
        <f>IFERROR('Price History'!C3+(INDEX('Price History'!C:C,MATCH(9.99E+307,'Returns (Calc)'!$A:$A)+1)-'Price History'!C3)*(ROW()-3)/(MATCH(9.99E+307,'Returns (Calc)'!$A:$A)-3),"")</f>
        <v>69.779496855345911</v>
      </c>
      <c r="Y25" s="152">
        <f>IFERROR('Price History'!D3+(INDEX('Price History'!D:D,MATCH(9.99E+307,'Returns (Calc)'!$A:$A)+1)-'Price History'!D3)*(ROW()-3)/(MATCH(9.99E+307,'Returns (Calc)'!$A:$A)-3),"")</f>
        <v>747.81666666666661</v>
      </c>
      <c r="Z25" s="152">
        <f>IFERROR('Price History'!E3+(INDEX('Price History'!E:E,MATCH(9.99E+307,'Returns (Calc)'!$A:$A)+1)-'Price History'!E3)*(ROW()-3)/(MATCH(9.99E+307,'Returns (Calc)'!$A:$A)-3),"")</f>
        <v>120.67849056603774</v>
      </c>
      <c r="AA25" s="152">
        <f>IFERROR('Price History'!F3+(INDEX('Price History'!F:F,MATCH(9.99E+307,'Returns (Calc)'!$A:$A)+1)-'Price History'!F3)*(ROW()-3)/(MATCH(9.99E+307,'Returns (Calc)'!$A:$A)-3),"")</f>
        <v>73.693081761006283</v>
      </c>
      <c r="AB25" s="152">
        <f>IFERROR('Price History'!G3+(INDEX('Price History'!G:G,MATCH(9.99E+307,'Returns (Calc)'!$A:$A)+1)-'Price History'!G3)*(ROW()-3)/(MATCH(9.99E+307,'Returns (Calc)'!$A:$A)-3),"")</f>
        <v>65.27352201257861</v>
      </c>
      <c r="AC25" s="152">
        <f>IFERROR('Price History'!H3+(INDEX('Price History'!H:H,MATCH(9.99E+307,'Returns (Calc)'!$A:$A)+1)-'Price History'!H3)*(ROW()-3)/(MATCH(9.99E+307,'Returns (Calc)'!$A:$A)-3),"")</f>
        <v>201.92496855345911</v>
      </c>
      <c r="AD25" s="152">
        <f>IFERROR('Price History'!I3+(INDEX('Price History'!I:I,MATCH(9.99E+307,'Returns (Calc)'!$A:$A)+1)-'Price History'!I3)*(ROW()-3)/(MATCH(9.99E+307,'Returns (Calc)'!$A:$A)-3),"")</f>
        <v>69.438050314465414</v>
      </c>
      <c r="AE25" s="152">
        <f>IFERROR('Price History'!J3+(INDEX('Price History'!J:J,MATCH(9.99E+307,'Returns (Calc)'!$A:$A)+1)-'Price History'!J3)*(ROW()-3)/(MATCH(9.99E+307,'Returns (Calc)'!$A:$A)-3),"")</f>
        <v>114.28213836477988</v>
      </c>
      <c r="AF25" s="152">
        <f>IFERROR('Price History'!K3+(INDEX('Price History'!K:K,MATCH(9.99E+307,'Returns (Calc)'!$A:$A)+1)-'Price History'!K3)*(ROW()-3)/(MATCH(9.99E+307,'Returns (Calc)'!$A:$A)-3),"")</f>
        <v>42.134025157232706</v>
      </c>
      <c r="AG25" s="152">
        <f>IFERROR('Price History'!L3+(INDEX('Price History'!L:L,MATCH(9.99E+307,'Returns (Calc)'!$A:$A)+1)-'Price History'!L3)*(ROW()-3)/(MATCH(9.99E+307,'Returns (Calc)'!$A:$A)-3),"")</f>
        <v>136.60735849056604</v>
      </c>
      <c r="AH25" s="152">
        <f>IFERROR('Price History'!M3+(INDEX('Price History'!M:M,MATCH(9.99E+307,'Returns (Calc)'!$A:$A)+1)-'Price History'!M3)*(ROW()-3)/(MATCH(9.99E+307,'Returns (Calc)'!$A:$A)-3),"")</f>
        <v>66.351572327044025</v>
      </c>
      <c r="AI25" s="152">
        <f>IFERROR('Price History'!N3+(INDEX('Price History'!N:N,MATCH(9.99E+307,'Returns (Calc)'!$A:$A)+1)-'Price History'!N3)*(ROW()-3)/(MATCH(9.99E+307,'Returns (Calc)'!$A:$A)-3),"")</f>
        <v>371.20163522012575</v>
      </c>
      <c r="AJ25" s="152">
        <f>IFERROR('Price History'!O3+(INDEX('Price History'!O:O,MATCH(9.99E+307,'Returns (Calc)'!$A:$A)+1)-'Price History'!O3)*(ROW()-3)/(MATCH(9.99E+307,'Returns (Calc)'!$A:$A)-3),"")</f>
        <v>81.443710691823895</v>
      </c>
      <c r="AK25" s="152">
        <f>IFERROR('Price History'!Q3+(INDEX('Price History'!Q:Q,MATCH(9.99E+307,'Returns (Calc)'!$A:$A)+1)-'Price History'!Q3)*(ROW()-3)/(MATCH(9.99E+307,'Returns (Calc)'!$A:$A)-3),"")</f>
        <v>9.6813836477987412</v>
      </c>
      <c r="AL25" s="152">
        <f>IFERROR('Price History'!R3+(INDEX('Price History'!R:R,MATCH(9.99E+307,'Returns (Calc)'!$A:$A)+1)-'Price History'!R3)*(ROW()-3)/(MATCH(9.99E+307,'Returns (Calc)'!$A:$A)-3),"")</f>
        <v>38.161886792452826</v>
      </c>
      <c r="AM25" s="152">
        <f>IFERROR('Price History'!S3+(INDEX('Price History'!S:S,MATCH(9.99E+307,'Returns (Calc)'!$A:$A)+1)-'Price History'!S3)*(ROW()-3)/(MATCH(9.99E+307,'Returns (Calc)'!$A:$A)-3),"")</f>
        <v>70.571257861635218</v>
      </c>
      <c r="AN25" s="152">
        <f>IFERROR('Price History'!T3+(INDEX('Price History'!T:T,MATCH(9.99E+307,'Returns (Calc)'!$A:$A)+1)-'Price History'!T3)*(ROW()-3)/(MATCH(9.99E+307,'Returns (Calc)'!$A:$A)-3),"")</f>
        <v>29.0588679245283</v>
      </c>
      <c r="AO25" s="153">
        <f>IFERROR('Price History'!V3+(INDEX('Price History'!V:V,MATCH(9.99E+307,'Returns (Calc)'!$A:$A)+1)-'Price History'!V3)*(ROW()-3)/(MATCH(9.99E+307,'Returns (Calc)'!$A:$A)-3),"")</f>
        <v>256.35981132075472</v>
      </c>
      <c r="AP25" s="151">
        <f>IFERROR(IF(OR(NOT(ISNUMBER('Price History'!W26)),NOT(ISNUMBER('Price History'!W25)),'Price History'!W25=0),"",'Price History'!W26/'Price History'!W25-1),"")</f>
        <v>1.4239909468125145E-2</v>
      </c>
      <c r="AQ25" s="151" t="str">
        <f>IFERROR(IF(OR(NOT(ISNUMBER('Price History'!X26)),NOT(ISNUMBER('Price History'!X25)),'Price History'!X25=0),"",'Price History'!X26/'Price History'!X25-1),"")</f>
        <v/>
      </c>
      <c r="AR25" s="151">
        <f>IFERROR(IF(OR(NOT(ISNUMBER('Price History'!Y26)),NOT(ISNUMBER('Price History'!Y25)),'Price History'!Y25=0),"",'Price History'!Y26/'Price History'!Y25-1),"")</f>
        <v>1.1633011413520578E-2</v>
      </c>
      <c r="AS25" s="151">
        <f>IFERROR(IF(OR(NOT(ISNUMBER('Price History'!Z26)),NOT(ISNUMBER('Price History'!Z25)),'Price History'!Z25=0),"",'Price History'!Z26/'Price History'!Z25-1),"")</f>
        <v>2.7969642704869013E-2</v>
      </c>
      <c r="AT25" s="151">
        <f>IFERROR(IF(OR(NOT(ISNUMBER('Price History'!AA26)),NOT(ISNUMBER('Price History'!AA25)),'Price History'!AA25=0),"",'Price History'!AA26/'Price History'!AA25-1),"")</f>
        <v>-6.8493150684934001E-4</v>
      </c>
      <c r="AU25" s="151">
        <f>IFERROR(IF(OR(NOT(ISNUMBER('Price History'!AB26)),NOT(ISNUMBER('Price History'!AB25)),'Price History'!AB25=0),"",'Price History'!AB26/'Price History'!AB25-1),"")</f>
        <v>1.043993617506267E-2</v>
      </c>
    </row>
    <row r="26" spans="1:47" ht="15" customHeight="1" x14ac:dyDescent="0.2">
      <c r="A26" s="149">
        <f>IF('Price History'!A27="","",'Price History'!A27)</f>
        <v>45352</v>
      </c>
      <c r="B26" s="150">
        <f>IFERROR(IF(OR(NOT(ISNUMBER('Price History'!B27)),NOT(ISNUMBER('Price History'!B26)),'Price History'!B26=0),"",'Price History'!B27/'Price History'!B26-1),"")</f>
        <v>3.1602341717259064E-2</v>
      </c>
      <c r="C26" s="150">
        <f>IFERROR(IF(OR(NOT(ISNUMBER('Price History'!C27)),NOT(ISNUMBER('Price History'!C26)),'Price History'!C26=0),"",'Price History'!C27/'Price History'!C26-1),"")</f>
        <v>7.4865511057979672E-2</v>
      </c>
      <c r="D26" s="150">
        <f>IFERROR(IF(OR(NOT(ISNUMBER('Price History'!D27)),NOT(ISNUMBER('Price History'!D26)),'Price History'!D26=0),"",'Price History'!D27/'Price History'!D26-1),"")</f>
        <v>6.1808874840036276E-2</v>
      </c>
      <c r="E26" s="150">
        <f>IFERROR(IF(OR(NOT(ISNUMBER('Price History'!E27)),NOT(ISNUMBER('Price History'!E26)),'Price History'!E26=0),"",'Price History'!E27/'Price History'!E26-1),"")</f>
        <v>7.9321012136114755E-2</v>
      </c>
      <c r="F26" s="150">
        <f>IFERROR(IF(OR(NOT(ISNUMBER('Price History'!F27)),NOT(ISNUMBER('Price History'!F26)),'Price History'!F26=0),"",'Price History'!F27/'Price History'!F26-1),"")</f>
        <v>1.001669449081799E-2</v>
      </c>
      <c r="G26" s="150">
        <f>IFERROR(IF(OR(NOT(ISNUMBER('Price History'!G27)),NOT(ISNUMBER('Price History'!G26)),'Price History'!G26=0),"",'Price History'!G27/'Price History'!G26-1),"")</f>
        <v>7.2984915435014619E-2</v>
      </c>
      <c r="H26" s="150">
        <f>IFERROR(IF(OR(NOT(ISNUMBER('Price History'!H27)),NOT(ISNUMBER('Price History'!H26)),'Price History'!H26=0),"",'Price History'!H27/'Price History'!H26-1),"")</f>
        <v>0.10631813386472855</v>
      </c>
      <c r="I26" s="150">
        <f>IFERROR(IF(OR(NOT(ISNUMBER('Price History'!I27)),NOT(ISNUMBER('Price History'!I26)),'Price History'!I26=0),"",'Price History'!I27/'Price History'!I26-1),"")</f>
        <v>4.389871484921759E-2</v>
      </c>
      <c r="J26" s="150">
        <f>IFERROR(IF(OR(NOT(ISNUMBER('Price History'!J27)),NOT(ISNUMBER('Price History'!J26)),'Price History'!J26=0),"",'Price History'!J27/'Price History'!J26-1),"")</f>
        <v>1.0433782451528151E-2</v>
      </c>
      <c r="K26" s="150">
        <f>IFERROR(IF(OR(NOT(ISNUMBER('Price History'!K27)),NOT(ISNUMBER('Price History'!K26)),'Price History'!K26=0),"",'Price History'!K27/'Price History'!K26-1),"")</f>
        <v>8.5328689595124185E-2</v>
      </c>
      <c r="L26" s="150">
        <f>IFERROR(IF(OR(NOT(ISNUMBER('Price History'!L27)),NOT(ISNUMBER('Price History'!L26)),'Price History'!L26=0),"",'Price History'!L27/'Price History'!L26-1),"")</f>
        <v>3.3749200255917877E-2</v>
      </c>
      <c r="M26" s="150">
        <f>IFERROR(IF(OR(NOT(ISNUMBER('Price History'!M27)),NOT(ISNUMBER('Price History'!M26)),'Price History'!M26=0),"",'Price History'!M27/'Price History'!M26-1),"")</f>
        <v>0.12562009921587447</v>
      </c>
      <c r="N26" s="150">
        <f>IFERROR(IF(OR(NOT(ISNUMBER('Price History'!N27)),NOT(ISNUMBER('Price History'!N26)),'Price History'!N26=0),"",'Price History'!N27/'Price History'!N26-1),"")</f>
        <v>6.161214573016105E-3</v>
      </c>
      <c r="O26" s="150">
        <f>IFERROR(IF(OR(NOT(ISNUMBER('Price History'!O27)),NOT(ISNUMBER('Price History'!O26)),'Price History'!O26=0),"",'Price History'!O27/'Price History'!O26-1),"")</f>
        <v>1.5732197776200607E-2</v>
      </c>
      <c r="P26" s="150">
        <f>IFERROR(IF(OR(NOT(ISNUMBER('Price History'!P27)),NOT(ISNUMBER('Price History'!P26)),'Price History'!P26=0),"",'Price History'!P27/'Price History'!P26-1),"")</f>
        <v>1.8944775978035899E-4</v>
      </c>
      <c r="Q26" s="150">
        <f>IFERROR(IF(OR(NOT(ISNUMBER('Price History'!Q27)),NOT(ISNUMBER('Price History'!Q26)),'Price History'!Q26=0),"",'Price History'!Q27/'Price History'!Q26-1),"")</f>
        <v>6.2962962962964664E-3</v>
      </c>
      <c r="R26" s="150">
        <f>IFERROR(IF(OR(NOT(ISNUMBER('Price History'!R27)),NOT(ISNUMBER('Price History'!R26)),'Price History'!R26=0),"",'Price History'!R27/'Price History'!R26-1),"")</f>
        <v>1.2664640324214771E-2</v>
      </c>
      <c r="S26" s="150">
        <f>IFERROR(IF(OR(NOT(ISNUMBER('Price History'!S27)),NOT(ISNUMBER('Price History'!S26)),'Price History'!S26=0),"",'Price History'!S27/'Price History'!S26-1),"")</f>
        <v>2.8095872170439407E-2</v>
      </c>
      <c r="T26" s="150">
        <f>IFERROR(IF(OR(NOT(ISNUMBER('Price History'!T27)),NOT(ISNUMBER('Price History'!T26)),'Price History'!T26=0),"",'Price History'!T27/'Price History'!T26-1),"")</f>
        <v>2.1762021762021799E-2</v>
      </c>
      <c r="U26" s="150">
        <f>IFERROR(IF(OR(NOT(ISNUMBER('Price History'!U27)),NOT(ISNUMBER('Price History'!U26)),'Price History'!U26=0),"",'Price History'!U27/'Price History'!U26-1),"")</f>
        <v>3.4028073160357053E-3</v>
      </c>
      <c r="V26" s="151">
        <f>IFERROR(IF(OR(NOT(ISNUMBER('Price History'!V27)),NOT(ISNUMBER('Price History'!V26)),'Price History'!V26=0),"",'Price History'!V27/'Price History'!V26-1),"")</f>
        <v>-1.5450397039272756E-3</v>
      </c>
      <c r="W26" s="152">
        <f>IFERROR('Price History'!B3+(INDEX('Price History'!B:B,MATCH(9.99E+307,'Returns (Calc)'!$A:$A)+1)-'Price History'!B3)*(ROW()-3)/(MATCH(9.99E+307,'Returns (Calc)'!$A:$A)-3),"")</f>
        <v>487.42924528301887</v>
      </c>
      <c r="X26" s="152">
        <f>IFERROR('Price History'!C3+(INDEX('Price History'!C:C,MATCH(9.99E+307,'Returns (Calc)'!$A:$A)+1)-'Price History'!C3)*(ROW()-3)/(MATCH(9.99E+307,'Returns (Calc)'!$A:$A)-3),"")</f>
        <v>70.852201257861637</v>
      </c>
      <c r="Y26" s="152">
        <f>IFERROR('Price History'!D3+(INDEX('Price History'!D:D,MATCH(9.99E+307,'Returns (Calc)'!$A:$A)+1)-'Price History'!D3)*(ROW()-3)/(MATCH(9.99E+307,'Returns (Calc)'!$A:$A)-3),"")</f>
        <v>755.35333333333324</v>
      </c>
      <c r="Z26" s="152">
        <f>IFERROR('Price History'!E3+(INDEX('Price History'!E:E,MATCH(9.99E+307,'Returns (Calc)'!$A:$A)+1)-'Price History'!E3)*(ROW()-3)/(MATCH(9.99E+307,'Returns (Calc)'!$A:$A)-3),"")</f>
        <v>122.43660377358491</v>
      </c>
      <c r="AA26" s="152">
        <f>IFERROR('Price History'!F3+(INDEX('Price History'!F:F,MATCH(9.99E+307,'Returns (Calc)'!$A:$A)+1)-'Price History'!F3)*(ROW()-3)/(MATCH(9.99E+307,'Returns (Calc)'!$A:$A)-3),"")</f>
        <v>75.16276729559749</v>
      </c>
      <c r="AB26" s="152">
        <f>IFERROR('Price History'!G3+(INDEX('Price History'!G:G,MATCH(9.99E+307,'Returns (Calc)'!$A:$A)+1)-'Price History'!G3)*(ROW()-3)/(MATCH(9.99E+307,'Returns (Calc)'!$A:$A)-3),"")</f>
        <v>66.224591194968554</v>
      </c>
      <c r="AC26" s="152">
        <f>IFERROR('Price History'!H3+(INDEX('Price History'!H:H,MATCH(9.99E+307,'Returns (Calc)'!$A:$A)+1)-'Price History'!H3)*(ROW()-3)/(MATCH(9.99E+307,'Returns (Calc)'!$A:$A)-3),"")</f>
        <v>207.96201257861634</v>
      </c>
      <c r="AD26" s="152">
        <f>IFERROR('Price History'!I3+(INDEX('Price History'!I:I,MATCH(9.99E+307,'Returns (Calc)'!$A:$A)+1)-'Price History'!I3)*(ROW()-3)/(MATCH(9.99E+307,'Returns (Calc)'!$A:$A)-3),"")</f>
        <v>70.604779874213833</v>
      </c>
      <c r="AE26" s="152">
        <f>IFERROR('Price History'!J3+(INDEX('Price History'!J:J,MATCH(9.99E+307,'Returns (Calc)'!$A:$A)+1)-'Price History'!J3)*(ROW()-3)/(MATCH(9.99E+307,'Returns (Calc)'!$A:$A)-3),"")</f>
        <v>114.39314465408806</v>
      </c>
      <c r="AF26" s="152">
        <f>IFERROR('Price History'!K3+(INDEX('Price History'!K:K,MATCH(9.99E+307,'Returns (Calc)'!$A:$A)+1)-'Price History'!K3)*(ROW()-3)/(MATCH(9.99E+307,'Returns (Calc)'!$A:$A)-3),"")</f>
        <v>43.352389937106921</v>
      </c>
      <c r="AG26" s="152">
        <f>IFERROR('Price History'!L3+(INDEX('Price History'!L:L,MATCH(9.99E+307,'Returns (Calc)'!$A:$A)+1)-'Price History'!L3)*(ROW()-3)/(MATCH(9.99E+307,'Returns (Calc)'!$A:$A)-3),"")</f>
        <v>138.91905660377358</v>
      </c>
      <c r="AH26" s="152">
        <f>IFERROR('Price History'!M3+(INDEX('Price History'!M:M,MATCH(9.99E+307,'Returns (Calc)'!$A:$A)+1)-'Price History'!M3)*(ROW()-3)/(MATCH(9.99E+307,'Returns (Calc)'!$A:$A)-3),"")</f>
        <v>67.639371069182388</v>
      </c>
      <c r="AI26" s="152">
        <f>IFERROR('Price History'!N3+(INDEX('Price History'!N:N,MATCH(9.99E+307,'Returns (Calc)'!$A:$A)+1)-'Price History'!N3)*(ROW()-3)/(MATCH(9.99E+307,'Returns (Calc)'!$A:$A)-3),"")</f>
        <v>372.21534591194967</v>
      </c>
      <c r="AJ26" s="152">
        <f>IFERROR('Price History'!O3+(INDEX('Price History'!O:O,MATCH(9.99E+307,'Returns (Calc)'!$A:$A)+1)-'Price History'!O3)*(ROW()-3)/(MATCH(9.99E+307,'Returns (Calc)'!$A:$A)-3),"")</f>
        <v>81.722515723270448</v>
      </c>
      <c r="AK26" s="152">
        <f>IFERROR('Price History'!Q3+(INDEX('Price History'!Q:Q,MATCH(9.99E+307,'Returns (Calc)'!$A:$A)+1)-'Price History'!Q3)*(ROW()-3)/(MATCH(9.99E+307,'Returns (Calc)'!$A:$A)-3),"")</f>
        <v>10.121446540880504</v>
      </c>
      <c r="AL26" s="152">
        <f>IFERROR('Price History'!R3+(INDEX('Price History'!R:R,MATCH(9.99E+307,'Returns (Calc)'!$A:$A)+1)-'Price History'!R3)*(ROW()-3)/(MATCH(9.99E+307,'Returns (Calc)'!$A:$A)-3),"")</f>
        <v>38.329245283018864</v>
      </c>
      <c r="AM26" s="152">
        <f>IFERROR('Price History'!S3+(INDEX('Price History'!S:S,MATCH(9.99E+307,'Returns (Calc)'!$A:$A)+1)-'Price History'!S3)*(ROW()-3)/(MATCH(9.99E+307,'Returns (Calc)'!$A:$A)-3),"")</f>
        <v>71.159496855345921</v>
      </c>
      <c r="AN26" s="152">
        <f>IFERROR('Price History'!T3+(INDEX('Price History'!T:T,MATCH(9.99E+307,'Returns (Calc)'!$A:$A)+1)-'Price History'!T3)*(ROW()-3)/(MATCH(9.99E+307,'Returns (Calc)'!$A:$A)-3),"")</f>
        <v>29.232452830188677</v>
      </c>
      <c r="AO26" s="153">
        <f>IFERROR('Price History'!V3+(INDEX('Price History'!V:V,MATCH(9.99E+307,'Returns (Calc)'!$A:$A)+1)-'Price History'!V3)*(ROW()-3)/(MATCH(9.99E+307,'Returns (Calc)'!$A:$A)-3),"")</f>
        <v>257.30207547169812</v>
      </c>
      <c r="AP26" s="151">
        <f>IFERROR(IF(OR(NOT(ISNUMBER('Price History'!W27)),NOT(ISNUMBER('Price History'!W26)),'Price History'!W26=0),"",'Price History'!W27/'Price History'!W26-1),"")</f>
        <v>5.2068805206881841E-3</v>
      </c>
      <c r="AQ26" s="151" t="str">
        <f>IFERROR(IF(OR(NOT(ISNUMBER('Price History'!X27)),NOT(ISNUMBER('Price History'!X26)),'Price History'!X26=0),"",'Price History'!X27/'Price History'!X26-1),"")</f>
        <v/>
      </c>
      <c r="AR26" s="151">
        <f>IFERROR(IF(OR(NOT(ISNUMBER('Price History'!Y27)),NOT(ISNUMBER('Price History'!Y26)),'Price History'!Y26=0),"",'Price History'!Y27/'Price History'!Y26-1),"")</f>
        <v>4.1223692775005372E-3</v>
      </c>
      <c r="AS26" s="151">
        <f>IFERROR(IF(OR(NOT(ISNUMBER('Price History'!Z27)),NOT(ISNUMBER('Price History'!Z26)),'Price History'!Z26=0),"",'Price History'!Z27/'Price History'!Z26-1),"")</f>
        <v>3.4757362090418908E-2</v>
      </c>
      <c r="AT26" s="151">
        <f>IFERROR(IF(OR(NOT(ISNUMBER('Price History'!AA27)),NOT(ISNUMBER('Price History'!AA26)),'Price History'!AA26=0),"",'Price History'!AA27/'Price History'!AA26-1),"")</f>
        <v>6.1172035640849831E-2</v>
      </c>
      <c r="AU26" s="151">
        <f>IFERROR(IF(OR(NOT(ISNUMBER('Price History'!AB27)),NOT(ISNUMBER('Price History'!AB26)),'Price History'!AB26=0),"",'Price History'!AB27/'Price History'!AB26-1),"")</f>
        <v>1.6693737592492486E-3</v>
      </c>
    </row>
    <row r="27" spans="1:47" ht="15" customHeight="1" x14ac:dyDescent="0.2">
      <c r="A27" s="149">
        <f>IF('Price History'!A28="","",'Price History'!A28)</f>
        <v>45359</v>
      </c>
      <c r="B27" s="150">
        <f>IFERROR(IF(OR(NOT(ISNUMBER('Price History'!B28)),NOT(ISNUMBER('Price History'!B27)),'Price History'!B27=0),"",'Price History'!B28/'Price History'!B27-1),"")</f>
        <v>-3.3699402728880723E-2</v>
      </c>
      <c r="C27" s="150">
        <f>IFERROR(IF(OR(NOT(ISNUMBER('Price History'!C28)),NOT(ISNUMBER('Price History'!C27)),'Price History'!C27=0),"",'Price History'!C28/'Price History'!C27-1),"")</f>
        <v>-5.0743778673710604E-2</v>
      </c>
      <c r="D27" s="150">
        <f>IFERROR(IF(OR(NOT(ISNUMBER('Price History'!D28)),NOT(ISNUMBER('Price History'!D27)),'Price History'!D27=0),"",'Price History'!D28/'Price History'!D27-1),"")</f>
        <v>3.4302313603493673E-3</v>
      </c>
      <c r="E27" s="150">
        <f>IFERROR(IF(OR(NOT(ISNUMBER('Price History'!E28)),NOT(ISNUMBER('Price History'!E27)),'Price History'!E27=0),"",'Price History'!E28/'Price History'!E27-1),"")</f>
        <v>-6.4672594987873921E-2</v>
      </c>
      <c r="F27" s="150">
        <f>IFERROR(IF(OR(NOT(ISNUMBER('Price History'!F28)),NOT(ISNUMBER('Price History'!F27)),'Price History'!F27=0),"",'Price History'!F28/'Price History'!F27-1),"")</f>
        <v>2.6191989828353357E-2</v>
      </c>
      <c r="G27" s="150">
        <f>IFERROR(IF(OR(NOT(ISNUMBER('Price History'!G28)),NOT(ISNUMBER('Price History'!G27)),'Price History'!G27=0),"",'Price History'!G28/'Price History'!G27-1),"")</f>
        <v>-2.5560920193126946E-2</v>
      </c>
      <c r="H27" s="150">
        <f>IFERROR(IF(OR(NOT(ISNUMBER('Price History'!H28)),NOT(ISNUMBER('Price History'!H27)),'Price History'!H27=0),"",'Price History'!H28/'Price History'!H27-1),"")</f>
        <v>2.5958889595253165E-2</v>
      </c>
      <c r="I27" s="150">
        <f>IFERROR(IF(OR(NOT(ISNUMBER('Price History'!I28)),NOT(ISNUMBER('Price History'!I27)),'Price History'!I27=0),"",'Price History'!I28/'Price History'!I27-1),"")</f>
        <v>6.3871282301316334E-2</v>
      </c>
      <c r="J27" s="150">
        <f>IFERROR(IF(OR(NOT(ISNUMBER('Price History'!J28)),NOT(ISNUMBER('Price History'!J27)),'Price History'!J27=0),"",'Price History'!J28/'Price History'!J27-1),"")</f>
        <v>3.4962192048133556E-3</v>
      </c>
      <c r="K27" s="150">
        <f>IFERROR(IF(OR(NOT(ISNUMBER('Price History'!K28)),NOT(ISNUMBER('Price History'!K27)),'Price History'!K27=0),"",'Price History'!K28/'Price History'!K27-1),"")</f>
        <v>4.4524669073405576E-2</v>
      </c>
      <c r="L27" s="150">
        <f>IFERROR(IF(OR(NOT(ISNUMBER('Price History'!L28)),NOT(ISNUMBER('Price History'!L27)),'Price History'!L27=0),"",'Price History'!L28/'Price History'!L27-1),"")</f>
        <v>9.3145598019495734E-2</v>
      </c>
      <c r="M27" s="150">
        <f>IFERROR(IF(OR(NOT(ISNUMBER('Price History'!M28)),NOT(ISNUMBER('Price History'!M27)),'Price History'!M27=0),"",'Price History'!M28/'Price History'!M27-1),"")</f>
        <v>-1.7059994313335269E-2</v>
      </c>
      <c r="N27" s="150">
        <f>IFERROR(IF(OR(NOT(ISNUMBER('Price History'!N28)),NOT(ISNUMBER('Price History'!N27)),'Price History'!N27=0),"",'Price History'!N28/'Price History'!N27-1),"")</f>
        <v>-4.4297069969498115E-2</v>
      </c>
      <c r="O27" s="150">
        <f>IFERROR(IF(OR(NOT(ISNUMBER('Price History'!O28)),NOT(ISNUMBER('Price History'!O27)),'Price History'!O27=0),"",'Price History'!O28/'Price History'!O27-1),"")</f>
        <v>1.1645510655642344E-3</v>
      </c>
      <c r="P27" s="150">
        <f>IFERROR(IF(OR(NOT(ISNUMBER('Price History'!P28)),NOT(ISNUMBER('Price History'!P27)),'Price History'!P27=0),"",'Price History'!P28/'Price History'!P27-1),"")</f>
        <v>2.6707074533573127E-2</v>
      </c>
      <c r="Q27" s="150">
        <f>IFERROR(IF(OR(NOT(ISNUMBER('Price History'!Q28)),NOT(ISNUMBER('Price History'!Q27)),'Price History'!Q27=0),"",'Price History'!Q28/'Price History'!Q27-1),"")</f>
        <v>5.5207949944779955E-4</v>
      </c>
      <c r="R27" s="150">
        <f>IFERROR(IF(OR(NOT(ISNUMBER('Price History'!R28)),NOT(ISNUMBER('Price History'!R27)),'Price History'!R27=0),"",'Price History'!R28/'Price History'!R27-1),"")</f>
        <v>-1.5007503751874873E-3</v>
      </c>
      <c r="S27" s="150">
        <f>IFERROR(IF(OR(NOT(ISNUMBER('Price History'!S28)),NOT(ISNUMBER('Price History'!S27)),'Price History'!S27=0),"",'Price History'!S28/'Price History'!S27-1),"")</f>
        <v>3.8855070586714113E-3</v>
      </c>
      <c r="T27" s="150">
        <f>IFERROR(IF(OR(NOT(ISNUMBER('Price History'!T28)),NOT(ISNUMBER('Price History'!T27)),'Price History'!T27=0),"",'Price History'!T28/'Price History'!T27-1),"")</f>
        <v>1.9924424596358792E-2</v>
      </c>
      <c r="U27" s="150">
        <f>IFERROR(IF(OR(NOT(ISNUMBER('Price History'!U28)),NOT(ISNUMBER('Price History'!U27)),'Price History'!U27=0),"",'Price History'!U28/'Price History'!U27-1),"")</f>
        <v>3.3912674862230929E-3</v>
      </c>
      <c r="V27" s="151">
        <f>IFERROR(IF(OR(NOT(ISNUMBER('Price History'!V28)),NOT(ISNUMBER('Price History'!V27)),'Price History'!V27=0),"",'Price History'!V28/'Price History'!V27-1),"")</f>
        <v>-1.1011947603281946E-2</v>
      </c>
      <c r="W27" s="152">
        <f>IFERROR('Price History'!B3+(INDEX('Price History'!B:B,MATCH(9.99E+307,'Returns (Calc)'!$A:$A)+1)-'Price History'!B3)*(ROW()-3)/(MATCH(9.99E+307,'Returns (Calc)'!$A:$A)-3),"")</f>
        <v>485.62660377358486</v>
      </c>
      <c r="X27" s="152">
        <f>IFERROR('Price History'!C3+(INDEX('Price History'!C:C,MATCH(9.99E+307,'Returns (Calc)'!$A:$A)+1)-'Price History'!C3)*(ROW()-3)/(MATCH(9.99E+307,'Returns (Calc)'!$A:$A)-3),"")</f>
        <v>71.924905660377362</v>
      </c>
      <c r="Y27" s="152">
        <f>IFERROR('Price History'!D3+(INDEX('Price History'!D:D,MATCH(9.99E+307,'Returns (Calc)'!$A:$A)+1)-'Price History'!D3)*(ROW()-3)/(MATCH(9.99E+307,'Returns (Calc)'!$A:$A)-3),"")</f>
        <v>762.89</v>
      </c>
      <c r="Z27" s="152">
        <f>IFERROR('Price History'!E3+(INDEX('Price History'!E:E,MATCH(9.99E+307,'Returns (Calc)'!$A:$A)+1)-'Price History'!E3)*(ROW()-3)/(MATCH(9.99E+307,'Returns (Calc)'!$A:$A)-3),"")</f>
        <v>124.19471698113207</v>
      </c>
      <c r="AA27" s="152">
        <f>IFERROR('Price History'!F3+(INDEX('Price History'!F:F,MATCH(9.99E+307,'Returns (Calc)'!$A:$A)+1)-'Price History'!F3)*(ROW()-3)/(MATCH(9.99E+307,'Returns (Calc)'!$A:$A)-3),"")</f>
        <v>76.632452830188669</v>
      </c>
      <c r="AB27" s="152">
        <f>IFERROR('Price History'!G3+(INDEX('Price History'!G:G,MATCH(9.99E+307,'Returns (Calc)'!$A:$A)+1)-'Price History'!G3)*(ROW()-3)/(MATCH(9.99E+307,'Returns (Calc)'!$A:$A)-3),"")</f>
        <v>67.175660377358497</v>
      </c>
      <c r="AC27" s="152">
        <f>IFERROR('Price History'!H3+(INDEX('Price History'!H:H,MATCH(9.99E+307,'Returns (Calc)'!$A:$A)+1)-'Price History'!H3)*(ROW()-3)/(MATCH(9.99E+307,'Returns (Calc)'!$A:$A)-3),"")</f>
        <v>213.99905660377357</v>
      </c>
      <c r="AD27" s="152">
        <f>IFERROR('Price History'!I3+(INDEX('Price History'!I:I,MATCH(9.99E+307,'Returns (Calc)'!$A:$A)+1)-'Price History'!I3)*(ROW()-3)/(MATCH(9.99E+307,'Returns (Calc)'!$A:$A)-3),"")</f>
        <v>71.771509433962265</v>
      </c>
      <c r="AE27" s="152">
        <f>IFERROR('Price History'!J3+(INDEX('Price History'!J:J,MATCH(9.99E+307,'Returns (Calc)'!$A:$A)+1)-'Price History'!J3)*(ROW()-3)/(MATCH(9.99E+307,'Returns (Calc)'!$A:$A)-3),"")</f>
        <v>114.50415094339623</v>
      </c>
      <c r="AF27" s="152">
        <f>IFERROR('Price History'!K3+(INDEX('Price History'!K:K,MATCH(9.99E+307,'Returns (Calc)'!$A:$A)+1)-'Price History'!K3)*(ROW()-3)/(MATCH(9.99E+307,'Returns (Calc)'!$A:$A)-3),"")</f>
        <v>44.570754716981128</v>
      </c>
      <c r="AG27" s="152">
        <f>IFERROR('Price History'!L3+(INDEX('Price History'!L:L,MATCH(9.99E+307,'Returns (Calc)'!$A:$A)+1)-'Price History'!L3)*(ROW()-3)/(MATCH(9.99E+307,'Returns (Calc)'!$A:$A)-3),"")</f>
        <v>141.23075471698115</v>
      </c>
      <c r="AH27" s="152">
        <f>IFERROR('Price History'!M3+(INDEX('Price History'!M:M,MATCH(9.99E+307,'Returns (Calc)'!$A:$A)+1)-'Price History'!M3)*(ROW()-3)/(MATCH(9.99E+307,'Returns (Calc)'!$A:$A)-3),"")</f>
        <v>68.927169811320752</v>
      </c>
      <c r="AI27" s="152">
        <f>IFERROR('Price History'!N3+(INDEX('Price History'!N:N,MATCH(9.99E+307,'Returns (Calc)'!$A:$A)+1)-'Price History'!N3)*(ROW()-3)/(MATCH(9.99E+307,'Returns (Calc)'!$A:$A)-3),"")</f>
        <v>373.22905660377359</v>
      </c>
      <c r="AJ27" s="152">
        <f>IFERROR('Price History'!O3+(INDEX('Price History'!O:O,MATCH(9.99E+307,'Returns (Calc)'!$A:$A)+1)-'Price History'!O3)*(ROW()-3)/(MATCH(9.99E+307,'Returns (Calc)'!$A:$A)-3),"")</f>
        <v>82.001320754716986</v>
      </c>
      <c r="AK27" s="152">
        <f>IFERROR('Price History'!Q3+(INDEX('Price History'!Q:Q,MATCH(9.99E+307,'Returns (Calc)'!$A:$A)+1)-'Price History'!Q3)*(ROW()-3)/(MATCH(9.99E+307,'Returns (Calc)'!$A:$A)-3),"")</f>
        <v>10.561509433962264</v>
      </c>
      <c r="AL27" s="152">
        <f>IFERROR('Price History'!R3+(INDEX('Price History'!R:R,MATCH(9.99E+307,'Returns (Calc)'!$A:$A)+1)-'Price History'!R3)*(ROW()-3)/(MATCH(9.99E+307,'Returns (Calc)'!$A:$A)-3),"")</f>
        <v>38.496603773584901</v>
      </c>
      <c r="AM27" s="152">
        <f>IFERROR('Price History'!S3+(INDEX('Price History'!S:S,MATCH(9.99E+307,'Returns (Calc)'!$A:$A)+1)-'Price History'!S3)*(ROW()-3)/(MATCH(9.99E+307,'Returns (Calc)'!$A:$A)-3),"")</f>
        <v>71.74773584905661</v>
      </c>
      <c r="AN27" s="152">
        <f>IFERROR('Price History'!T3+(INDEX('Price History'!T:T,MATCH(9.99E+307,'Returns (Calc)'!$A:$A)+1)-'Price History'!T3)*(ROW()-3)/(MATCH(9.99E+307,'Returns (Calc)'!$A:$A)-3),"")</f>
        <v>29.406037735849054</v>
      </c>
      <c r="AO27" s="153">
        <f>IFERROR('Price History'!V3+(INDEX('Price History'!V:V,MATCH(9.99E+307,'Returns (Calc)'!$A:$A)+1)-'Price History'!V3)*(ROW()-3)/(MATCH(9.99E+307,'Returns (Calc)'!$A:$A)-3),"")</f>
        <v>258.24433962264152</v>
      </c>
      <c r="AP27" s="151">
        <f>IFERROR(IF(OR(NOT(ISNUMBER('Price History'!W28)),NOT(ISNUMBER('Price History'!W27)),'Price History'!W27=0),"",'Price History'!W28/'Price History'!W27-1),"")</f>
        <v>1.0082323559337691E-2</v>
      </c>
      <c r="AQ27" s="151" t="str">
        <f>IFERROR(IF(OR(NOT(ISNUMBER('Price History'!X28)),NOT(ISNUMBER('Price History'!X27)),'Price History'!X27=0),"",'Price History'!X28/'Price History'!X27-1),"")</f>
        <v/>
      </c>
      <c r="AR27" s="151">
        <f>IFERROR(IF(OR(NOT(ISNUMBER('Price History'!Y28)),NOT(ISNUMBER('Price History'!Y27)),'Price History'!Y27=0),"",'Price History'!Y28/'Price History'!Y27-1),"")</f>
        <v>4.9697493517717461E-3</v>
      </c>
      <c r="AS27" s="151">
        <f>IFERROR(IF(OR(NOT(ISNUMBER('Price History'!Z28)),NOT(ISNUMBER('Price History'!Z27)),'Price History'!Z27=0),"",'Price History'!Z28/'Price History'!Z27-1),"")</f>
        <v>5.8682058682058669E-2</v>
      </c>
      <c r="AT27" s="151">
        <f>IFERROR(IF(OR(NOT(ISNUMBER('Price History'!AA28)),NOT(ISNUMBER('Price History'!AA27)),'Price History'!AA27=0),"",'Price History'!AA28/'Price History'!AA27-1),"")</f>
        <v>-2.3413531406426658E-2</v>
      </c>
      <c r="AU27" s="151">
        <f>IFERROR(IF(OR(NOT(ISNUMBER('Price History'!AB28)),NOT(ISNUMBER('Price History'!AB27)),'Price History'!AB27=0),"",'Price History'!AB28/'Price History'!AB27-1),"")</f>
        <v>2.6034863294446264E-2</v>
      </c>
    </row>
    <row r="28" spans="1:47" ht="15" customHeight="1" x14ac:dyDescent="0.2">
      <c r="A28" s="149">
        <f>IF('Price History'!A29="","",'Price History'!A29)</f>
        <v>45366</v>
      </c>
      <c r="B28" s="150">
        <f>IFERROR(IF(OR(NOT(ISNUMBER('Price History'!B29)),NOT(ISNUMBER('Price History'!B28)),'Price History'!B28=0),"",'Price History'!B29/'Price History'!B28-1),"")</f>
        <v>-0.10736101796298658</v>
      </c>
      <c r="C28" s="150">
        <f>IFERROR(IF(OR(NOT(ISNUMBER('Price History'!C29)),NOT(ISNUMBER('Price History'!C28)),'Price History'!C28=0),"",'Price History'!C29/'Price History'!C28-1),"")</f>
        <v>1.6842413591095617E-2</v>
      </c>
      <c r="D28" s="150">
        <f>IFERROR(IF(OR(NOT(ISNUMBER('Price History'!D29)),NOT(ISNUMBER('Price History'!D28)),'Price History'!D28=0),"",'Price History'!D29/'Price History'!D28-1),"")</f>
        <v>-5.4429171243494001E-2</v>
      </c>
      <c r="E28" s="150">
        <f>IFERROR(IF(OR(NOT(ISNUMBER('Price History'!E29)),NOT(ISNUMBER('Price History'!E28)),'Price History'!E28=0),"",'Price History'!E29/'Price History'!E28-1),"")</f>
        <v>-5.5944055944055826E-2</v>
      </c>
      <c r="F28" s="150">
        <f>IFERROR(IF(OR(NOT(ISNUMBER('Price History'!F29)),NOT(ISNUMBER('Price History'!F28)),'Price History'!F28=0),"",'Price History'!F29/'Price History'!F28-1),"")</f>
        <v>-2.2302069136414304E-2</v>
      </c>
      <c r="G28" s="150">
        <f>IFERROR(IF(OR(NOT(ISNUMBER('Price History'!G29)),NOT(ISNUMBER('Price History'!G28)),'Price History'!G28=0),"",'Price History'!G29/'Price History'!G28-1),"")</f>
        <v>-2.200524628388234E-2</v>
      </c>
      <c r="H28" s="150">
        <f>IFERROR(IF(OR(NOT(ISNUMBER('Price History'!H29)),NOT(ISNUMBER('Price History'!H28)),'Price History'!H28=0),"",'Price History'!H29/'Price History'!H28-1),"")</f>
        <v>-4.4717546215016002E-2</v>
      </c>
      <c r="I28" s="150">
        <f>IFERROR(IF(OR(NOT(ISNUMBER('Price History'!I29)),NOT(ISNUMBER('Price History'!I28)),'Price History'!I28=0),"",'Price History'!I29/'Price History'!I28-1),"")</f>
        <v>3.5517873510542142E-3</v>
      </c>
      <c r="J28" s="150">
        <f>IFERROR(IF(OR(NOT(ISNUMBER('Price History'!J29)),NOT(ISNUMBER('Price History'!J28)),'Price History'!J28=0),"",'Price History'!J29/'Price History'!J28-1),"")</f>
        <v>-3.7757251660994973E-2</v>
      </c>
      <c r="K28" s="150">
        <f>IFERROR(IF(OR(NOT(ISNUMBER('Price History'!K29)),NOT(ISNUMBER('Price History'!K28)),'Price History'!K28=0),"",'Price History'!K29/'Price History'!K28-1),"")</f>
        <v>-9.7926267281105983E-2</v>
      </c>
      <c r="L28" s="150">
        <f>IFERROR(IF(OR(NOT(ISNUMBER('Price History'!L29)),NOT(ISNUMBER('Price History'!L28)),'Price History'!L28=0),"",'Price History'!L29/'Price History'!L28-1),"")</f>
        <v>-6.4189667374380921E-2</v>
      </c>
      <c r="M28" s="150">
        <f>IFERROR(IF(OR(NOT(ISNUMBER('Price History'!M29)),NOT(ISNUMBER('Price History'!M28)),'Price History'!M28=0),"",'Price History'!M29/'Price History'!M28-1),"")</f>
        <v>6.8990454150998026E-2</v>
      </c>
      <c r="N28" s="150">
        <f>IFERROR(IF(OR(NOT(ISNUMBER('Price History'!N29)),NOT(ISNUMBER('Price History'!N28)),'Price History'!N28=0),"",'Price History'!N29/'Price History'!N28-1),"")</f>
        <v>-1.4265335235377985E-2</v>
      </c>
      <c r="O28" s="150">
        <f>IFERROR(IF(OR(NOT(ISNUMBER('Price History'!O29)),NOT(ISNUMBER('Price History'!O28)),'Price History'!O28=0),"",'Price History'!O29/'Price History'!O28-1),"")</f>
        <v>-8.4913341863440683E-3</v>
      </c>
      <c r="P28" s="150">
        <f>IFERROR(IF(OR(NOT(ISNUMBER('Price History'!P29)),NOT(ISNUMBER('Price History'!P28)),'Price History'!P28=0),"",'Price History'!P29/'Price History'!P28-1),"")</f>
        <v>-3.2284844571534022E-3</v>
      </c>
      <c r="Q28" s="150">
        <f>IFERROR(IF(OR(NOT(ISNUMBER('Price History'!Q29)),NOT(ISNUMBER('Price History'!Q28)),'Price History'!Q28=0),"",'Price History'!Q29/'Price History'!Q28-1),"")</f>
        <v>1.8392495861707658E-4</v>
      </c>
      <c r="R28" s="150">
        <f>IFERROR(IF(OR(NOT(ISNUMBER('Price History'!R29)),NOT(ISNUMBER('Price History'!R28)),'Price History'!R28=0),"",'Price History'!R29/'Price History'!R28-1),"")</f>
        <v>-5.2605210420841875E-3</v>
      </c>
      <c r="S28" s="150">
        <f>IFERROR(IF(OR(NOT(ISNUMBER('Price History'!S29)),NOT(ISNUMBER('Price History'!S28)),'Price History'!S28=0),"",'Price History'!S29/'Price History'!S28-1),"")</f>
        <v>-5.1606244355567599E-3</v>
      </c>
      <c r="T28" s="150">
        <f>IFERROR(IF(OR(NOT(ISNUMBER('Price History'!T29)),NOT(ISNUMBER('Price History'!T28)),'Price History'!T28=0),"",'Price History'!T29/'Price History'!T28-1),"")</f>
        <v>1.5493432132030804E-2</v>
      </c>
      <c r="U28" s="150">
        <f>IFERROR(IF(OR(NOT(ISNUMBER('Price History'!U29)),NOT(ISNUMBER('Price History'!U28)),'Price History'!U28=0),"",'Price History'!U29/'Price History'!U28-1),"")</f>
        <v>1.689902830587231E-3</v>
      </c>
      <c r="V28" s="151">
        <f>IFERROR(IF(OR(NOT(ISNUMBER('Price History'!V29)),NOT(ISNUMBER('Price History'!V28)),'Price History'!V28=0),"",'Price History'!V29/'Price History'!V28-1),"")</f>
        <v>1.069791136016307E-2</v>
      </c>
      <c r="W28" s="152">
        <f>IFERROR('Price History'!B3+(INDEX('Price History'!B:B,MATCH(9.99E+307,'Returns (Calc)'!$A:$A)+1)-'Price History'!B3)*(ROW()-3)/(MATCH(9.99E+307,'Returns (Calc)'!$A:$A)-3),"")</f>
        <v>483.82396226415091</v>
      </c>
      <c r="X28" s="152">
        <f>IFERROR('Price History'!C3+(INDEX('Price History'!C:C,MATCH(9.99E+307,'Returns (Calc)'!$A:$A)+1)-'Price History'!C3)*(ROW()-3)/(MATCH(9.99E+307,'Returns (Calc)'!$A:$A)-3),"")</f>
        <v>72.997610062893074</v>
      </c>
      <c r="Y28" s="152">
        <f>IFERROR('Price History'!D3+(INDEX('Price History'!D:D,MATCH(9.99E+307,'Returns (Calc)'!$A:$A)+1)-'Price History'!D3)*(ROW()-3)/(MATCH(9.99E+307,'Returns (Calc)'!$A:$A)-3),"")</f>
        <v>770.42666666666662</v>
      </c>
      <c r="Z28" s="152">
        <f>IFERROR('Price History'!E3+(INDEX('Price History'!E:E,MATCH(9.99E+307,'Returns (Calc)'!$A:$A)+1)-'Price History'!E3)*(ROW()-3)/(MATCH(9.99E+307,'Returns (Calc)'!$A:$A)-3),"")</f>
        <v>125.95283018867926</v>
      </c>
      <c r="AA28" s="152">
        <f>IFERROR('Price History'!F3+(INDEX('Price History'!F:F,MATCH(9.99E+307,'Returns (Calc)'!$A:$A)+1)-'Price History'!F3)*(ROW()-3)/(MATCH(9.99E+307,'Returns (Calc)'!$A:$A)-3),"")</f>
        <v>78.102138364779876</v>
      </c>
      <c r="AB28" s="152">
        <f>IFERROR('Price History'!G3+(INDEX('Price History'!G:G,MATCH(9.99E+307,'Returns (Calc)'!$A:$A)+1)-'Price History'!G3)*(ROW()-3)/(MATCH(9.99E+307,'Returns (Calc)'!$A:$A)-3),"")</f>
        <v>68.126729559748426</v>
      </c>
      <c r="AC28" s="152">
        <f>IFERROR('Price History'!H3+(INDEX('Price History'!H:H,MATCH(9.99E+307,'Returns (Calc)'!$A:$A)+1)-'Price History'!H3)*(ROW()-3)/(MATCH(9.99E+307,'Returns (Calc)'!$A:$A)-3),"")</f>
        <v>220.0361006289308</v>
      </c>
      <c r="AD28" s="152">
        <f>IFERROR('Price History'!I3+(INDEX('Price History'!I:I,MATCH(9.99E+307,'Returns (Calc)'!$A:$A)+1)-'Price History'!I3)*(ROW()-3)/(MATCH(9.99E+307,'Returns (Calc)'!$A:$A)-3),"")</f>
        <v>72.938238993710698</v>
      </c>
      <c r="AE28" s="152">
        <f>IFERROR('Price History'!J3+(INDEX('Price History'!J:J,MATCH(9.99E+307,'Returns (Calc)'!$A:$A)+1)-'Price History'!J3)*(ROW()-3)/(MATCH(9.99E+307,'Returns (Calc)'!$A:$A)-3),"")</f>
        <v>114.61515723270441</v>
      </c>
      <c r="AF28" s="152">
        <f>IFERROR('Price History'!K3+(INDEX('Price History'!K:K,MATCH(9.99E+307,'Returns (Calc)'!$A:$A)+1)-'Price History'!K3)*(ROW()-3)/(MATCH(9.99E+307,'Returns (Calc)'!$A:$A)-3),"")</f>
        <v>45.789119496855349</v>
      </c>
      <c r="AG28" s="152">
        <f>IFERROR('Price History'!L3+(INDEX('Price History'!L:L,MATCH(9.99E+307,'Returns (Calc)'!$A:$A)+1)-'Price History'!L3)*(ROW()-3)/(MATCH(9.99E+307,'Returns (Calc)'!$A:$A)-3),"")</f>
        <v>143.54245283018867</v>
      </c>
      <c r="AH28" s="152">
        <f>IFERROR('Price History'!M3+(INDEX('Price History'!M:M,MATCH(9.99E+307,'Returns (Calc)'!$A:$A)+1)-'Price History'!M3)*(ROW()-3)/(MATCH(9.99E+307,'Returns (Calc)'!$A:$A)-3),"")</f>
        <v>70.21496855345913</v>
      </c>
      <c r="AI28" s="152">
        <f>IFERROR('Price History'!N3+(INDEX('Price History'!N:N,MATCH(9.99E+307,'Returns (Calc)'!$A:$A)+1)-'Price History'!N3)*(ROW()-3)/(MATCH(9.99E+307,'Returns (Calc)'!$A:$A)-3),"")</f>
        <v>374.24276729559745</v>
      </c>
      <c r="AJ28" s="152">
        <f>IFERROR('Price History'!O3+(INDEX('Price History'!O:O,MATCH(9.99E+307,'Returns (Calc)'!$A:$A)+1)-'Price History'!O3)*(ROW()-3)/(MATCH(9.99E+307,'Returns (Calc)'!$A:$A)-3),"")</f>
        <v>82.280125786163524</v>
      </c>
      <c r="AK28" s="152">
        <f>IFERROR('Price History'!Q3+(INDEX('Price History'!Q:Q,MATCH(9.99E+307,'Returns (Calc)'!$A:$A)+1)-'Price History'!Q3)*(ROW()-3)/(MATCH(9.99E+307,'Returns (Calc)'!$A:$A)-3),"")</f>
        <v>11.001572327044025</v>
      </c>
      <c r="AL28" s="152">
        <f>IFERROR('Price History'!R3+(INDEX('Price History'!R:R,MATCH(9.99E+307,'Returns (Calc)'!$A:$A)+1)-'Price History'!R3)*(ROW()-3)/(MATCH(9.99E+307,'Returns (Calc)'!$A:$A)-3),"")</f>
        <v>38.663962264150939</v>
      </c>
      <c r="AM28" s="152">
        <f>IFERROR('Price History'!S3+(INDEX('Price History'!S:S,MATCH(9.99E+307,'Returns (Calc)'!$A:$A)+1)-'Price History'!S3)*(ROW()-3)/(MATCH(9.99E+307,'Returns (Calc)'!$A:$A)-3),"")</f>
        <v>72.3359748427673</v>
      </c>
      <c r="AN28" s="152">
        <f>IFERROR('Price History'!T3+(INDEX('Price History'!T:T,MATCH(9.99E+307,'Returns (Calc)'!$A:$A)+1)-'Price History'!T3)*(ROW()-3)/(MATCH(9.99E+307,'Returns (Calc)'!$A:$A)-3),"")</f>
        <v>29.579622641509431</v>
      </c>
      <c r="AO28" s="153">
        <f>IFERROR('Price History'!V3+(INDEX('Price History'!V:V,MATCH(9.99E+307,'Returns (Calc)'!$A:$A)+1)-'Price History'!V3)*(ROW()-3)/(MATCH(9.99E+307,'Returns (Calc)'!$A:$A)-3),"")</f>
        <v>259.18660377358492</v>
      </c>
      <c r="AP28" s="151">
        <f>IFERROR(IF(OR(NOT(ISNUMBER('Price History'!W29)),NOT(ISNUMBER('Price History'!W28)),'Price History'!W28=0),"",'Price History'!W29/'Price History'!W28-1),"")</f>
        <v>2.1062271062270987E-3</v>
      </c>
      <c r="AQ28" s="151" t="str">
        <f>IFERROR(IF(OR(NOT(ISNUMBER('Price History'!X29)),NOT(ISNUMBER('Price History'!X28)),'Price History'!X28=0),"",'Price History'!X29/'Price History'!X28-1),"")</f>
        <v/>
      </c>
      <c r="AR28" s="151">
        <f>IFERROR(IF(OR(NOT(ISNUMBER('Price History'!Y29)),NOT(ISNUMBER('Price History'!Y28)),'Price History'!Y28=0),"",'Price History'!Y29/'Price History'!Y28-1),"")</f>
        <v>-2.1500752526338873E-3</v>
      </c>
      <c r="AS28" s="151">
        <f>IFERROR(IF(OR(NOT(ISNUMBER('Price History'!Z29)),NOT(ISNUMBER('Price History'!Z28)),'Price History'!Z28=0),"",'Price History'!Z29/'Price History'!Z28-1),"")</f>
        <v>5.5277903983037557E-3</v>
      </c>
      <c r="AT28" s="151">
        <f>IFERROR(IF(OR(NOT(ISNUMBER('Price History'!AA29)),NOT(ISNUMBER('Price History'!AA28)),'Price History'!AA28=0),"",'Price History'!AA29/'Price History'!AA28-1),"")</f>
        <v>1.8187830687832474E-3</v>
      </c>
      <c r="AU28" s="151">
        <f>IFERROR(IF(OR(NOT(ISNUMBER('Price History'!AB29)),NOT(ISNUMBER('Price History'!AB28)),'Price History'!AB28=0),"",'Price History'!AB29/'Price History'!AB28-1),"")</f>
        <v>-3.5559067562228597E-3</v>
      </c>
    </row>
    <row r="29" spans="1:47" ht="15" customHeight="1" x14ac:dyDescent="0.2">
      <c r="A29" s="149">
        <f>IF('Price History'!A30="","",'Price History'!A30)</f>
        <v>45373</v>
      </c>
      <c r="B29" s="150">
        <f>IFERROR(IF(OR(NOT(ISNUMBER('Price History'!B30)),NOT(ISNUMBER('Price History'!B29)),'Price History'!B29=0),"",'Price History'!B30/'Price History'!B29-1),"")</f>
        <v>1.4336189741298799E-2</v>
      </c>
      <c r="C29" s="150">
        <f>IFERROR(IF(OR(NOT(ISNUMBER('Price History'!C30)),NOT(ISNUMBER('Price History'!C29)),'Price History'!C29=0),"",'Price History'!C30/'Price History'!C29-1),"")</f>
        <v>0.10341351001008192</v>
      </c>
      <c r="D29" s="150">
        <f>IFERROR(IF(OR(NOT(ISNUMBER('Price History'!D30)),NOT(ISNUMBER('Price History'!D29)),'Price History'!D29=0),"",'Price History'!D30/'Price History'!D29-1),"")</f>
        <v>4.2275999088037031E-2</v>
      </c>
      <c r="E29" s="150">
        <f>IFERROR(IF(OR(NOT(ISNUMBER('Price History'!E30)),NOT(ISNUMBER('Price History'!E29)),'Price History'!E29=0),"",'Price History'!E30/'Price History'!E29-1),"")</f>
        <v>0.10020807324178094</v>
      </c>
      <c r="F29" s="150">
        <f>IFERROR(IF(OR(NOT(ISNUMBER('Price History'!F30)),NOT(ISNUMBER('Price History'!F29)),'Price History'!F29=0),"",'Price History'!F30/'Price History'!F29-1),"")</f>
        <v>3.7764541883158032E-2</v>
      </c>
      <c r="G29" s="150">
        <f>IFERROR(IF(OR(NOT(ISNUMBER('Price History'!G30)),NOT(ISNUMBER('Price History'!G29)),'Price History'!G29=0),"",'Price History'!G30/'Price History'!G29-1),"")</f>
        <v>3.904038146326938E-2</v>
      </c>
      <c r="H29" s="150">
        <f>IFERROR(IF(OR(NOT(ISNUMBER('Price History'!H30)),NOT(ISNUMBER('Price History'!H29)),'Price History'!H29=0),"",'Price History'!H30/'Price History'!H29-1),"")</f>
        <v>0.1818378378378378</v>
      </c>
      <c r="I29" s="150">
        <f>IFERROR(IF(OR(NOT(ISNUMBER('Price History'!I30)),NOT(ISNUMBER('Price History'!I29)),'Price History'!I29=0),"",'Price History'!I30/'Price History'!I29-1),"")</f>
        <v>7.3410206644594078E-2</v>
      </c>
      <c r="J29" s="150">
        <f>IFERROR(IF(OR(NOT(ISNUMBER('Price History'!J30)),NOT(ISNUMBER('Price History'!J29)),'Price History'!J29=0),"",'Price History'!J30/'Price History'!J29-1),"")</f>
        <v>-3.0313236780060704E-3</v>
      </c>
      <c r="K29" s="150">
        <f>IFERROR(IF(OR(NOT(ISNUMBER('Price History'!K30)),NOT(ISNUMBER('Price History'!K29)),'Price History'!K29=0),"",'Price History'!K30/'Price History'!K29-1),"")</f>
        <v>2.9374201787994991E-2</v>
      </c>
      <c r="L29" s="150">
        <f>IFERROR(IF(OR(NOT(ISNUMBER('Price History'!L30)),NOT(ISNUMBER('Price History'!L29)),'Price History'!L29=0),"",'Price History'!L30/'Price History'!L29-1),"")</f>
        <v>3.0174695606140833E-2</v>
      </c>
      <c r="M29" s="150">
        <f>IFERROR(IF(OR(NOT(ISNUMBER('Price History'!M30)),NOT(ISNUMBER('Price History'!M29)),'Price History'!M29=0),"",'Price History'!M30/'Price History'!M29-1),"")</f>
        <v>0.11283994046813706</v>
      </c>
      <c r="N29" s="150">
        <f>IFERROR(IF(OR(NOT(ISNUMBER('Price History'!N30)),NOT(ISNUMBER('Price History'!N29)),'Price History'!N29=0),"",'Price History'!N30/'Price History'!N29-1),"")</f>
        <v>1.954916725943745E-2</v>
      </c>
      <c r="O29" s="150">
        <f>IFERROR(IF(OR(NOT(ISNUMBER('Price History'!O30)),NOT(ISNUMBER('Price History'!O29)),'Price History'!O29=0),"",'Price History'!O30/'Price History'!O29-1),"")</f>
        <v>2.7334584702017883E-2</v>
      </c>
      <c r="P29" s="150">
        <f>IFERROR(IF(OR(NOT(ISNUMBER('Price History'!P30)),NOT(ISNUMBER('Price History'!P29)),'Price History'!P29=0),"",'Price History'!P30/'Price History'!P29-1),"")</f>
        <v>1.6194706644456769E-2</v>
      </c>
      <c r="Q29" s="150">
        <f>IFERROR(IF(OR(NOT(ISNUMBER('Price History'!Q30)),NOT(ISNUMBER('Price History'!Q29)),'Price History'!Q29=0),"",'Price History'!Q30/'Price History'!Q29-1),"")</f>
        <v>1.2136815005516777E-2</v>
      </c>
      <c r="R29" s="150">
        <f>IFERROR(IF(OR(NOT(ISNUMBER('Price History'!R30)),NOT(ISNUMBER('Price History'!R29)),'Price History'!R29=0),"",'Price History'!R30/'Price History'!R29-1),"")</f>
        <v>2.5686225132208307E-2</v>
      </c>
      <c r="S29" s="150">
        <f>IFERROR(IF(OR(NOT(ISNUMBER('Price History'!S30)),NOT(ISNUMBER('Price History'!S29)),'Price History'!S29=0),"",'Price History'!S30/'Price History'!S29-1),"")</f>
        <v>3.0086888860070049E-2</v>
      </c>
      <c r="T29" s="150">
        <f>IFERROR(IF(OR(NOT(ISNUMBER('Price History'!T30)),NOT(ISNUMBER('Price History'!T29)),'Price History'!T29=0),"",'Price History'!T30/'Price History'!T29-1),"")</f>
        <v>2.4212271973466093E-2</v>
      </c>
      <c r="U29" s="150">
        <f>IFERROR(IF(OR(NOT(ISNUMBER('Price History'!U30)),NOT(ISNUMBER('Price History'!U29)),'Price History'!U29=0),"",'Price History'!U30/'Price History'!U29-1),"")</f>
        <v>1.8557570645297172E-2</v>
      </c>
      <c r="V29" s="151">
        <f>IFERROR(IF(OR(NOT(ISNUMBER('Price History'!V30)),NOT(ISNUMBER('Price History'!V29)),'Price History'!V29=0),"",'Price History'!V30/'Price History'!V29-1),"")</f>
        <v>7.9205069124443916E-4</v>
      </c>
      <c r="W29" s="152">
        <f>IFERROR('Price History'!B3+(INDEX('Price History'!B:B,MATCH(9.99E+307,'Returns (Calc)'!$A:$A)+1)-'Price History'!B3)*(ROW()-3)/(MATCH(9.99E+307,'Returns (Calc)'!$A:$A)-3),"")</f>
        <v>482.02132075471695</v>
      </c>
      <c r="X29" s="152">
        <f>IFERROR('Price History'!C3+(INDEX('Price History'!C:C,MATCH(9.99E+307,'Returns (Calc)'!$A:$A)+1)-'Price History'!C3)*(ROW()-3)/(MATCH(9.99E+307,'Returns (Calc)'!$A:$A)-3),"")</f>
        <v>74.070314465408813</v>
      </c>
      <c r="Y29" s="152">
        <f>IFERROR('Price History'!D3+(INDEX('Price History'!D:D,MATCH(9.99E+307,'Returns (Calc)'!$A:$A)+1)-'Price History'!D3)*(ROW()-3)/(MATCH(9.99E+307,'Returns (Calc)'!$A:$A)-3),"")</f>
        <v>777.96333333333337</v>
      </c>
      <c r="Z29" s="152">
        <f>IFERROR('Price History'!E3+(INDEX('Price History'!E:E,MATCH(9.99E+307,'Returns (Calc)'!$A:$A)+1)-'Price History'!E3)*(ROW()-3)/(MATCH(9.99E+307,'Returns (Calc)'!$A:$A)-3),"")</f>
        <v>127.71094339622641</v>
      </c>
      <c r="AA29" s="152">
        <f>IFERROR('Price History'!F3+(INDEX('Price History'!F:F,MATCH(9.99E+307,'Returns (Calc)'!$A:$A)+1)-'Price History'!F3)*(ROW()-3)/(MATCH(9.99E+307,'Returns (Calc)'!$A:$A)-3),"")</f>
        <v>79.571823899371068</v>
      </c>
      <c r="AB29" s="152">
        <f>IFERROR('Price History'!G3+(INDEX('Price History'!G:G,MATCH(9.99E+307,'Returns (Calc)'!$A:$A)+1)-'Price History'!G3)*(ROW()-3)/(MATCH(9.99E+307,'Returns (Calc)'!$A:$A)-3),"")</f>
        <v>69.07779874213837</v>
      </c>
      <c r="AC29" s="152">
        <f>IFERROR('Price History'!H3+(INDEX('Price History'!H:H,MATCH(9.99E+307,'Returns (Calc)'!$A:$A)+1)-'Price History'!H3)*(ROW()-3)/(MATCH(9.99E+307,'Returns (Calc)'!$A:$A)-3),"")</f>
        <v>226.07314465408803</v>
      </c>
      <c r="AD29" s="152">
        <f>IFERROR('Price History'!I3+(INDEX('Price History'!I:I,MATCH(9.99E+307,'Returns (Calc)'!$A:$A)+1)-'Price History'!I3)*(ROW()-3)/(MATCH(9.99E+307,'Returns (Calc)'!$A:$A)-3),"")</f>
        <v>74.104968553459116</v>
      </c>
      <c r="AE29" s="152">
        <f>IFERROR('Price History'!J3+(INDEX('Price History'!J:J,MATCH(9.99E+307,'Returns (Calc)'!$A:$A)+1)-'Price History'!J3)*(ROW()-3)/(MATCH(9.99E+307,'Returns (Calc)'!$A:$A)-3),"")</f>
        <v>114.72616352201258</v>
      </c>
      <c r="AF29" s="152">
        <f>IFERROR('Price History'!K3+(INDEX('Price History'!K:K,MATCH(9.99E+307,'Returns (Calc)'!$A:$A)+1)-'Price History'!K3)*(ROW()-3)/(MATCH(9.99E+307,'Returns (Calc)'!$A:$A)-3),"")</f>
        <v>47.007484276729564</v>
      </c>
      <c r="AG29" s="152">
        <f>IFERROR('Price History'!L3+(INDEX('Price History'!L:L,MATCH(9.99E+307,'Returns (Calc)'!$A:$A)+1)-'Price History'!L3)*(ROW()-3)/(MATCH(9.99E+307,'Returns (Calc)'!$A:$A)-3),"")</f>
        <v>145.85415094339623</v>
      </c>
      <c r="AH29" s="152">
        <f>IFERROR('Price History'!M3+(INDEX('Price History'!M:M,MATCH(9.99E+307,'Returns (Calc)'!$A:$A)+1)-'Price History'!M3)*(ROW()-3)/(MATCH(9.99E+307,'Returns (Calc)'!$A:$A)-3),"")</f>
        <v>71.502767295597494</v>
      </c>
      <c r="AI29" s="152">
        <f>IFERROR('Price History'!N3+(INDEX('Price History'!N:N,MATCH(9.99E+307,'Returns (Calc)'!$A:$A)+1)-'Price History'!N3)*(ROW()-3)/(MATCH(9.99E+307,'Returns (Calc)'!$A:$A)-3),"")</f>
        <v>375.25647798742136</v>
      </c>
      <c r="AJ29" s="152">
        <f>IFERROR('Price History'!O3+(INDEX('Price History'!O:O,MATCH(9.99E+307,'Returns (Calc)'!$A:$A)+1)-'Price History'!O3)*(ROW()-3)/(MATCH(9.99E+307,'Returns (Calc)'!$A:$A)-3),"")</f>
        <v>82.558930817610062</v>
      </c>
      <c r="AK29" s="152">
        <f>IFERROR('Price History'!Q3+(INDEX('Price History'!Q:Q,MATCH(9.99E+307,'Returns (Calc)'!$A:$A)+1)-'Price History'!Q3)*(ROW()-3)/(MATCH(9.99E+307,'Returns (Calc)'!$A:$A)-3),"")</f>
        <v>11.441635220125786</v>
      </c>
      <c r="AL29" s="152">
        <f>IFERROR('Price History'!R3+(INDEX('Price History'!R:R,MATCH(9.99E+307,'Returns (Calc)'!$A:$A)+1)-'Price History'!R3)*(ROW()-3)/(MATCH(9.99E+307,'Returns (Calc)'!$A:$A)-3),"")</f>
        <v>38.831320754716977</v>
      </c>
      <c r="AM29" s="152">
        <f>IFERROR('Price History'!S3+(INDEX('Price History'!S:S,MATCH(9.99E+307,'Returns (Calc)'!$A:$A)+1)-'Price History'!S3)*(ROW()-3)/(MATCH(9.99E+307,'Returns (Calc)'!$A:$A)-3),"")</f>
        <v>72.924213836477989</v>
      </c>
      <c r="AN29" s="152">
        <f>IFERROR('Price History'!T3+(INDEX('Price History'!T:T,MATCH(9.99E+307,'Returns (Calc)'!$A:$A)+1)-'Price History'!T3)*(ROW()-3)/(MATCH(9.99E+307,'Returns (Calc)'!$A:$A)-3),"")</f>
        <v>29.753207547169811</v>
      </c>
      <c r="AO29" s="153">
        <f>IFERROR('Price History'!V3+(INDEX('Price History'!V:V,MATCH(9.99E+307,'Returns (Calc)'!$A:$A)+1)-'Price History'!V3)*(ROW()-3)/(MATCH(9.99E+307,'Returns (Calc)'!$A:$A)-3),"")</f>
        <v>260.12886792452832</v>
      </c>
      <c r="AP29" s="151">
        <f>IFERROR(IF(OR(NOT(ISNUMBER('Price History'!W30)),NOT(ISNUMBER('Price History'!W29)),'Price History'!W29=0),"",'Price History'!W30/'Price History'!W29-1),"")</f>
        <v>1.8459289043224025E-2</v>
      </c>
      <c r="AQ29" s="151" t="str">
        <f>IFERROR(IF(OR(NOT(ISNUMBER('Price History'!X30)),NOT(ISNUMBER('Price History'!X29)),'Price History'!X29=0),"",'Price History'!X30/'Price History'!X29-1),"")</f>
        <v/>
      </c>
      <c r="AR29" s="151">
        <f>IFERROR(IF(OR(NOT(ISNUMBER('Price History'!Y30)),NOT(ISNUMBER('Price History'!Y29)),'Price History'!Y29=0),"",'Price History'!Y30/'Price History'!Y29-1),"")</f>
        <v>8.6188321482441044E-3</v>
      </c>
      <c r="AS29" s="151">
        <f>IFERROR(IF(OR(NOT(ISNUMBER('Price History'!Z30)),NOT(ISNUMBER('Price History'!Z29)),'Price History'!Z29=0),"",'Price History'!Z30/'Price History'!Z29-1),"")</f>
        <v>3.7050982754725625E-2</v>
      </c>
      <c r="AT29" s="151">
        <f>IFERROR(IF(OR(NOT(ISNUMBER('Price History'!AA30)),NOT(ISNUMBER('Price History'!AA29)),'Price History'!AA29=0),"",'Price History'!AA30/'Price History'!AA29-1),"")</f>
        <v>3.6474665786433214E-2</v>
      </c>
      <c r="AU29" s="151">
        <f>IFERROR(IF(OR(NOT(ISNUMBER('Price History'!AB30)),NOT(ISNUMBER('Price History'!AB29)),'Price History'!AB29=0),"",'Price History'!AB30/'Price History'!AB29-1),"")</f>
        <v>1.5155520310159432E-2</v>
      </c>
    </row>
    <row r="30" spans="1:47" ht="15" customHeight="1" x14ac:dyDescent="0.2">
      <c r="A30" s="149">
        <f>IF('Price History'!A31="","",'Price History'!A31)</f>
        <v>45380</v>
      </c>
      <c r="B30" s="150">
        <f>IFERROR(IF(OR(NOT(ISNUMBER('Price History'!B31)),NOT(ISNUMBER('Price History'!B30)),'Price History'!B30=0),"",'Price History'!B31/'Price History'!B30-1),"")</f>
        <v>1.0169762972453533E-2</v>
      </c>
      <c r="C30" s="150">
        <f>IFERROR(IF(OR(NOT(ISNUMBER('Price History'!C31)),NOT(ISNUMBER('Price History'!C30)),'Price History'!C30=0),"",'Price History'!C31/'Price History'!C30-1),"")</f>
        <v>-5.3648348779532729E-2</v>
      </c>
      <c r="D30" s="150">
        <f>IFERROR(IF(OR(NOT(ISNUMBER('Price History'!D31)),NOT(ISNUMBER('Price History'!D30)),'Price History'!D30=0),"",'Price History'!D31/'Price History'!D30-1),"")</f>
        <v>-9.6871972750851576E-3</v>
      </c>
      <c r="E30" s="150">
        <f>IFERROR(IF(OR(NOT(ISNUMBER('Price History'!E31)),NOT(ISNUMBER('Price History'!E30)),'Price History'!E30=0),"",'Price History'!E31/'Price History'!E30-1),"")</f>
        <v>-2.0727740373704617E-2</v>
      </c>
      <c r="F30" s="150">
        <f>IFERROR(IF(OR(NOT(ISNUMBER('Price History'!F31)),NOT(ISNUMBER('Price History'!F30)),'Price History'!F30=0),"",'Price History'!F31/'Price History'!F30-1),"")</f>
        <v>-2.1248015630724093E-2</v>
      </c>
      <c r="G30" s="150">
        <f>IFERROR(IF(OR(NOT(ISNUMBER('Price History'!G31)),NOT(ISNUMBER('Price History'!G30)),'Price History'!G30=0),"",'Price History'!G31/'Price History'!G30-1),"")</f>
        <v>-1.6922415029399174E-2</v>
      </c>
      <c r="H30" s="150">
        <f>IFERROR(IF(OR(NOT(ISNUMBER('Price History'!H31)),NOT(ISNUMBER('Price History'!H30)),'Price History'!H30=0),"",'Price History'!H31/'Price History'!H30-1),"")</f>
        <v>7.0709842663739586E-2</v>
      </c>
      <c r="I30" s="150">
        <f>IFERROR(IF(OR(NOT(ISNUMBER('Price History'!I31)),NOT(ISNUMBER('Price History'!I30)),'Price History'!I30=0),"",'Price History'!I31/'Price History'!I30-1),"")</f>
        <v>-4.1693256753882135E-2</v>
      </c>
      <c r="J30" s="150">
        <f>IFERROR(IF(OR(NOT(ISNUMBER('Price History'!J31)),NOT(ISNUMBER('Price History'!J30)),'Price History'!J30=0),"",'Price History'!J31/'Price History'!J30-1),"")</f>
        <v>1.2415540540540615E-2</v>
      </c>
      <c r="K30" s="150">
        <f>IFERROR(IF(OR(NOT(ISNUMBER('Price History'!K31)),NOT(ISNUMBER('Price History'!K30)),'Price History'!K30=0),"",'Price History'!K31/'Price History'!K30-1),"")</f>
        <v>-4.8387096774193505E-2</v>
      </c>
      <c r="L30" s="150">
        <f>IFERROR(IF(OR(NOT(ISNUMBER('Price History'!L31)),NOT(ISNUMBER('Price History'!L30)),'Price History'!L30=0),"",'Price History'!L31/'Price History'!L30-1),"")</f>
        <v>-3.1933636764058138E-2</v>
      </c>
      <c r="M30" s="150">
        <f>IFERROR(IF(OR(NOT(ISNUMBER('Price History'!M31)),NOT(ISNUMBER('Price History'!M30)),'Price History'!M30=0),"",'Price History'!M31/'Price History'!M30-1),"")</f>
        <v>-9.9696048632218481E-3</v>
      </c>
      <c r="N30" s="150">
        <f>IFERROR(IF(OR(NOT(ISNUMBER('Price History'!N31)),NOT(ISNUMBER('Price History'!N30)),'Price History'!N30=0),"",'Price History'!N31/'Price History'!N30-1),"")</f>
        <v>5.6536592407254727E-3</v>
      </c>
      <c r="O30" s="150">
        <f>IFERROR(IF(OR(NOT(ISNUMBER('Price History'!O31)),NOT(ISNUMBER('Price History'!O30)),'Price History'!O30=0),"",'Price History'!O31/'Price History'!O30-1),"")</f>
        <v>2.8662784058467672E-2</v>
      </c>
      <c r="P30" s="150">
        <f>IFERROR(IF(OR(NOT(ISNUMBER('Price History'!P31)),NOT(ISNUMBER('Price History'!P30)),'Price History'!P30=0),"",'Price History'!P31/'Price History'!P30-1),"")</f>
        <v>2.5225389308806134E-2</v>
      </c>
      <c r="Q30" s="150">
        <f>IFERROR(IF(OR(NOT(ISNUMBER('Price History'!Q31)),NOT(ISNUMBER('Price History'!Q30)),'Price History'!Q30=0),"",'Price History'!Q31/'Price History'!Q30-1),"")</f>
        <v>7.2674418604656843E-4</v>
      </c>
      <c r="R30" s="150">
        <f>IFERROR(IF(OR(NOT(ISNUMBER('Price History'!R31)),NOT(ISNUMBER('Price History'!R30)),'Price History'!R30=0),"",'Price History'!R31/'Price History'!R30-1),"")</f>
        <v>-4.9103854652576828E-4</v>
      </c>
      <c r="S30" s="150">
        <f>IFERROR(IF(OR(NOT(ISNUMBER('Price History'!S31)),NOT(ISNUMBER('Price History'!S30)),'Price History'!S30=0),"",'Price History'!S31/'Price History'!S30-1),"")</f>
        <v>-7.5538209744430151E-3</v>
      </c>
      <c r="T30" s="150">
        <f>IFERROR(IF(OR(NOT(ISNUMBER('Price History'!T31)),NOT(ISNUMBER('Price History'!T30)),'Price History'!T30=0),"",'Price History'!T31/'Price History'!T30-1),"")</f>
        <v>1.5544041450777257E-2</v>
      </c>
      <c r="U30" s="150">
        <f>IFERROR(IF(OR(NOT(ISNUMBER('Price History'!U31)),NOT(ISNUMBER('Price History'!U30)),'Price History'!U30=0),"",'Price History'!U31/'Price History'!U30-1),"")</f>
        <v>1.5734989648033215E-2</v>
      </c>
      <c r="V30" s="151">
        <f>IFERROR(IF(OR(NOT(ISNUMBER('Price History'!V31)),NOT(ISNUMBER('Price History'!V30)),'Price History'!V30=0),"",'Price History'!V31/'Price History'!V30-1),"")</f>
        <v>-1.4749262536873253E-2</v>
      </c>
      <c r="W30" s="152">
        <f>IFERROR('Price History'!B3+(INDEX('Price History'!B:B,MATCH(9.99E+307,'Returns (Calc)'!$A:$A)+1)-'Price History'!B3)*(ROW()-3)/(MATCH(9.99E+307,'Returns (Calc)'!$A:$A)-3),"")</f>
        <v>480.218679245283</v>
      </c>
      <c r="X30" s="152">
        <f>IFERROR('Price History'!C3+(INDEX('Price History'!C:C,MATCH(9.99E+307,'Returns (Calc)'!$A:$A)+1)-'Price History'!C3)*(ROW()-3)/(MATCH(9.99E+307,'Returns (Calc)'!$A:$A)-3),"")</f>
        <v>75.143018867924525</v>
      </c>
      <c r="Y30" s="152">
        <f>IFERROR('Price History'!D3+(INDEX('Price History'!D:D,MATCH(9.99E+307,'Returns (Calc)'!$A:$A)+1)-'Price History'!D3)*(ROW()-3)/(MATCH(9.99E+307,'Returns (Calc)'!$A:$A)-3),"")</f>
        <v>785.5</v>
      </c>
      <c r="Z30" s="152">
        <f>IFERROR('Price History'!E3+(INDEX('Price History'!E:E,MATCH(9.99E+307,'Returns (Calc)'!$A:$A)+1)-'Price History'!E3)*(ROW()-3)/(MATCH(9.99E+307,'Returns (Calc)'!$A:$A)-3),"")</f>
        <v>129.46905660377359</v>
      </c>
      <c r="AA30" s="152">
        <f>IFERROR('Price History'!F3+(INDEX('Price History'!F:F,MATCH(9.99E+307,'Returns (Calc)'!$A:$A)+1)-'Price History'!F3)*(ROW()-3)/(MATCH(9.99E+307,'Returns (Calc)'!$A:$A)-3),"")</f>
        <v>81.041509433962261</v>
      </c>
      <c r="AB30" s="152">
        <f>IFERROR('Price History'!G3+(INDEX('Price History'!G:G,MATCH(9.99E+307,'Returns (Calc)'!$A:$A)+1)-'Price History'!G3)*(ROW()-3)/(MATCH(9.99E+307,'Returns (Calc)'!$A:$A)-3),"")</f>
        <v>70.028867924528299</v>
      </c>
      <c r="AC30" s="152">
        <f>IFERROR('Price History'!H3+(INDEX('Price History'!H:H,MATCH(9.99E+307,'Returns (Calc)'!$A:$A)+1)-'Price History'!H3)*(ROW()-3)/(MATCH(9.99E+307,'Returns (Calc)'!$A:$A)-3),"")</f>
        <v>232.11018867924525</v>
      </c>
      <c r="AD30" s="152">
        <f>IFERROR('Price History'!I3+(INDEX('Price History'!I:I,MATCH(9.99E+307,'Returns (Calc)'!$A:$A)+1)-'Price History'!I3)*(ROW()-3)/(MATCH(9.99E+307,'Returns (Calc)'!$A:$A)-3),"")</f>
        <v>75.271698113207549</v>
      </c>
      <c r="AE30" s="152">
        <f>IFERROR('Price History'!J3+(INDEX('Price History'!J:J,MATCH(9.99E+307,'Returns (Calc)'!$A:$A)+1)-'Price History'!J3)*(ROW()-3)/(MATCH(9.99E+307,'Returns (Calc)'!$A:$A)-3),"")</f>
        <v>114.83716981132076</v>
      </c>
      <c r="AF30" s="152">
        <f>IFERROR('Price History'!K3+(INDEX('Price History'!K:K,MATCH(9.99E+307,'Returns (Calc)'!$A:$A)+1)-'Price History'!K3)*(ROW()-3)/(MATCH(9.99E+307,'Returns (Calc)'!$A:$A)-3),"")</f>
        <v>48.225849056603771</v>
      </c>
      <c r="AG30" s="152">
        <f>IFERROR('Price History'!L3+(INDEX('Price History'!L:L,MATCH(9.99E+307,'Returns (Calc)'!$A:$A)+1)-'Price History'!L3)*(ROW()-3)/(MATCH(9.99E+307,'Returns (Calc)'!$A:$A)-3),"")</f>
        <v>148.16584905660378</v>
      </c>
      <c r="AH30" s="152">
        <f>IFERROR('Price History'!M3+(INDEX('Price History'!M:M,MATCH(9.99E+307,'Returns (Calc)'!$A:$A)+1)-'Price History'!M3)*(ROW()-3)/(MATCH(9.99E+307,'Returns (Calc)'!$A:$A)-3),"")</f>
        <v>72.790566037735857</v>
      </c>
      <c r="AI30" s="152">
        <f>IFERROR('Price History'!N3+(INDEX('Price History'!N:N,MATCH(9.99E+307,'Returns (Calc)'!$A:$A)+1)-'Price History'!N3)*(ROW()-3)/(MATCH(9.99E+307,'Returns (Calc)'!$A:$A)-3),"")</f>
        <v>376.27018867924528</v>
      </c>
      <c r="AJ30" s="152">
        <f>IFERROR('Price History'!O3+(INDEX('Price History'!O:O,MATCH(9.99E+307,'Returns (Calc)'!$A:$A)+1)-'Price History'!O3)*(ROW()-3)/(MATCH(9.99E+307,'Returns (Calc)'!$A:$A)-3),"")</f>
        <v>82.8377358490566</v>
      </c>
      <c r="AK30" s="152">
        <f>IFERROR('Price History'!Q3+(INDEX('Price History'!Q:Q,MATCH(9.99E+307,'Returns (Calc)'!$A:$A)+1)-'Price History'!Q3)*(ROW()-3)/(MATCH(9.99E+307,'Returns (Calc)'!$A:$A)-3),"")</f>
        <v>11.881698113207548</v>
      </c>
      <c r="AL30" s="152">
        <f>IFERROR('Price History'!R3+(INDEX('Price History'!R:R,MATCH(9.99E+307,'Returns (Calc)'!$A:$A)+1)-'Price History'!R3)*(ROW()-3)/(MATCH(9.99E+307,'Returns (Calc)'!$A:$A)-3),"")</f>
        <v>38.998679245283014</v>
      </c>
      <c r="AM30" s="152">
        <f>IFERROR('Price History'!S3+(INDEX('Price History'!S:S,MATCH(9.99E+307,'Returns (Calc)'!$A:$A)+1)-'Price History'!S3)*(ROW()-3)/(MATCH(9.99E+307,'Returns (Calc)'!$A:$A)-3),"")</f>
        <v>73.512452830188678</v>
      </c>
      <c r="AN30" s="152">
        <f>IFERROR('Price History'!T3+(INDEX('Price History'!T:T,MATCH(9.99E+307,'Returns (Calc)'!$A:$A)+1)-'Price History'!T3)*(ROW()-3)/(MATCH(9.99E+307,'Returns (Calc)'!$A:$A)-3),"")</f>
        <v>29.926792452830188</v>
      </c>
      <c r="AO30" s="153">
        <f>IFERROR('Price History'!V3+(INDEX('Price History'!V:V,MATCH(9.99E+307,'Returns (Calc)'!$A:$A)+1)-'Price History'!V3)*(ROW()-3)/(MATCH(9.99E+307,'Returns (Calc)'!$A:$A)-3),"")</f>
        <v>261.07113207547167</v>
      </c>
      <c r="AP30" s="151">
        <f>IFERROR(IF(OR(NOT(ISNUMBER('Price History'!W31)),NOT(ISNUMBER('Price History'!W30)),'Price History'!W30=0),"",'Price History'!W31/'Price History'!W30-1),"")</f>
        <v>1.6061013907581856E-2</v>
      </c>
      <c r="AQ30" s="151" t="str">
        <f>IFERROR(IF(OR(NOT(ISNUMBER('Price History'!X31)),NOT(ISNUMBER('Price History'!X30)),'Price History'!X30=0),"",'Price History'!X31/'Price History'!X30-1),"")</f>
        <v/>
      </c>
      <c r="AR30" s="151">
        <f>IFERROR(IF(OR(NOT(ISNUMBER('Price History'!Y31)),NOT(ISNUMBER('Price History'!Y30)),'Price History'!Y30=0),"",'Price History'!Y31/'Price History'!Y30-1),"")</f>
        <v>6.8361461226233988E-3</v>
      </c>
      <c r="AS30" s="151">
        <f>IFERROR(IF(OR(NOT(ISNUMBER('Price History'!Z31)),NOT(ISNUMBER('Price History'!Z30)),'Price History'!Z30=0),"",'Price History'!Z31/'Price History'!Z30-1),"")</f>
        <v>2.1784910318785045E-3</v>
      </c>
      <c r="AT30" s="151">
        <f>IFERROR(IF(OR(NOT(ISNUMBER('Price History'!AA31)),NOT(ISNUMBER('Price History'!AA30)),'Price History'!AA30=0),"",'Price History'!AA31/'Price History'!AA30-1),"")</f>
        <v>-3.2961783439490411E-2</v>
      </c>
      <c r="AU30" s="151">
        <f>IFERROR(IF(OR(NOT(ISNUMBER('Price History'!AB31)),NOT(ISNUMBER('Price History'!AB30)),'Price History'!AB30=0),"",'Price History'!AB31/'Price History'!AB30-1),"")</f>
        <v>5.5116743338252672E-3</v>
      </c>
    </row>
    <row r="31" spans="1:47" ht="15" customHeight="1" x14ac:dyDescent="0.2">
      <c r="A31" s="149">
        <f>IF('Price History'!A32="","",'Price History'!A32)</f>
        <v>45387</v>
      </c>
      <c r="B31" s="150">
        <f>IFERROR(IF(OR(NOT(ISNUMBER('Price History'!B32)),NOT(ISNUMBER('Price History'!B31)),'Price History'!B31=0),"",'Price History'!B32/'Price History'!B31-1),"")</f>
        <v>-3.8604835513277869E-2</v>
      </c>
      <c r="C31" s="150">
        <f>IFERROR(IF(OR(NOT(ISNUMBER('Price History'!C32)),NOT(ISNUMBER('Price History'!C31)),'Price History'!C31=0),"",'Price History'!C32/'Price History'!C31-1),"")</f>
        <v>2.6206896551724146E-2</v>
      </c>
      <c r="D31" s="150">
        <f>IFERROR(IF(OR(NOT(ISNUMBER('Price History'!D32)),NOT(ISNUMBER('Price History'!D31)),'Price History'!D31=0),"",'Price History'!D32/'Price History'!D31-1),"")</f>
        <v>9.36122768819736E-3</v>
      </c>
      <c r="E31" s="150">
        <f>IFERROR(IF(OR(NOT(ISNUMBER('Price History'!E32)),NOT(ISNUMBER('Price History'!E31)),'Price History'!E31=0),"",'Price History'!E32/'Price History'!E31-1),"")</f>
        <v>1.0583236770953963E-2</v>
      </c>
      <c r="F31" s="150">
        <f>IFERROR(IF(OR(NOT(ISNUMBER('Price History'!F32)),NOT(ISNUMBER('Price History'!F31)),'Price History'!F31=0),"",'Price History'!F32/'Price History'!F31-1),"")</f>
        <v>-1.5845290081098029E-2</v>
      </c>
      <c r="G31" s="150">
        <f>IFERROR(IF(OR(NOT(ISNUMBER('Price History'!G32)),NOT(ISNUMBER('Price History'!G31)),'Price History'!G31=0),"",'Price History'!G32/'Price History'!G31-1),"")</f>
        <v>-2.2465353756382034E-2</v>
      </c>
      <c r="H31" s="150">
        <f>IFERROR(IF(OR(NOT(ISNUMBER('Price History'!H32)),NOT(ISNUMBER('Price History'!H31)),'Price History'!H31=0),"",'Price History'!H32/'Price History'!H31-1),"")</f>
        <v>4.8269970098248738E-2</v>
      </c>
      <c r="I31" s="150">
        <f>IFERROR(IF(OR(NOT(ISNUMBER('Price History'!I32)),NOT(ISNUMBER('Price History'!I31)),'Price History'!I31=0),"",'Price History'!I32/'Price History'!I31-1),"")</f>
        <v>-2.5971143174250755E-2</v>
      </c>
      <c r="J31" s="150">
        <f>IFERROR(IF(OR(NOT(ISNUMBER('Price History'!J32)),NOT(ISNUMBER('Price History'!J31)),'Price History'!J31=0),"",'Price History'!J32/'Price History'!J31-1),"")</f>
        <v>-4.2128973054142094E-2</v>
      </c>
      <c r="K31" s="150">
        <f>IFERROR(IF(OR(NOT(ISNUMBER('Price History'!K32)),NOT(ISNUMBER('Price History'!K31)),'Price History'!K31=0),"",'Price History'!K32/'Price History'!K31-1),"")</f>
        <v>-2.1729682746631784E-3</v>
      </c>
      <c r="L31" s="150">
        <f>IFERROR(IF(OR(NOT(ISNUMBER('Price History'!L32)),NOT(ISNUMBER('Price History'!L31)),'Price History'!L31=0),"",'Price History'!L32/'Price History'!L31-1),"")</f>
        <v>3.8977781148100243E-2</v>
      </c>
      <c r="M31" s="150">
        <f>IFERROR(IF(OR(NOT(ISNUMBER('Price History'!M32)),NOT(ISNUMBER('Price History'!M31)),'Price History'!M31=0),"",'Price History'!M32/'Price History'!M31-1),"")</f>
        <v>4.4946579884563409E-2</v>
      </c>
      <c r="N31" s="150">
        <f>IFERROR(IF(OR(NOT(ISNUMBER('Price History'!N32)),NOT(ISNUMBER('Price History'!N31)),'Price History'!N31=0),"",'Price History'!N32/'Price History'!N31-1),"")</f>
        <v>-2.7128537594794278E-2</v>
      </c>
      <c r="O31" s="150">
        <f>IFERROR(IF(OR(NOT(ISNUMBER('Price History'!O32)),NOT(ISNUMBER('Price History'!O31)),'Price History'!O31=0),"",'Price History'!O32/'Price History'!O31-1),"")</f>
        <v>-2.1536412078152711E-2</v>
      </c>
      <c r="P31" s="150">
        <f>IFERROR(IF(OR(NOT(ISNUMBER('Price History'!P32)),NOT(ISNUMBER('Price History'!P31)),'Price History'!P31=0),"",'Price History'!P32/'Price History'!P31-1),"")</f>
        <v>-1.7765144785930054E-2</v>
      </c>
      <c r="Q31" s="150">
        <f>IFERROR(IF(OR(NOT(ISNUMBER('Price History'!Q32)),NOT(ISNUMBER('Price History'!Q31)),'Price History'!Q31=0),"",'Price History'!Q32/'Price History'!Q31-1),"")</f>
        <v>-3.8126361655773655E-3</v>
      </c>
      <c r="R31" s="150">
        <f>IFERROR(IF(OR(NOT(ISNUMBER('Price History'!R32)),NOT(ISNUMBER('Price History'!R31)),'Price History'!R31=0),"",'Price History'!R32/'Price History'!R31-1),"")</f>
        <v>-4.1758781626136665E-3</v>
      </c>
      <c r="S31" s="150">
        <f>IFERROR(IF(OR(NOT(ISNUMBER('Price History'!S32)),NOT(ISNUMBER('Price History'!S31)),'Price History'!S31=0),"",'Price History'!S32/'Price History'!S31-1),"")</f>
        <v>2.9176709374603149E-3</v>
      </c>
      <c r="T31" s="150">
        <f>IFERROR(IF(OR(NOT(ISNUMBER('Price History'!T32)),NOT(ISNUMBER('Price History'!T31)),'Price History'!T31=0),"",'Price History'!T32/'Price History'!T31-1),"")</f>
        <v>-2.5510204081632404E-3</v>
      </c>
      <c r="U31" s="150">
        <f>IFERROR(IF(OR(NOT(ISNUMBER('Price History'!U32)),NOT(ISNUMBER('Price History'!U31)),'Price History'!U31=0),"",'Price History'!U32/'Price History'!U31-1),"")</f>
        <v>-2.0383204239706521E-2</v>
      </c>
      <c r="V31" s="151">
        <f>IFERROR(IF(OR(NOT(ISNUMBER('Price History'!V32)),NOT(ISNUMBER('Price History'!V31)),'Price History'!V31=0),"",'Price History'!V32/'Price History'!V31-1),"")</f>
        <v>-6.973857163721231E-3</v>
      </c>
      <c r="W31" s="152">
        <f>IFERROR('Price History'!B3+(INDEX('Price History'!B:B,MATCH(9.99E+307,'Returns (Calc)'!$A:$A)+1)-'Price History'!B3)*(ROW()-3)/(MATCH(9.99E+307,'Returns (Calc)'!$A:$A)-3),"")</f>
        <v>478.41603773584905</v>
      </c>
      <c r="X31" s="152">
        <f>IFERROR('Price History'!C3+(INDEX('Price History'!C:C,MATCH(9.99E+307,'Returns (Calc)'!$A:$A)+1)-'Price History'!C3)*(ROW()-3)/(MATCH(9.99E+307,'Returns (Calc)'!$A:$A)-3),"")</f>
        <v>76.21572327044025</v>
      </c>
      <c r="Y31" s="152">
        <f>IFERROR('Price History'!D3+(INDEX('Price History'!D:D,MATCH(9.99E+307,'Returns (Calc)'!$A:$A)+1)-'Price History'!D3)*(ROW()-3)/(MATCH(9.99E+307,'Returns (Calc)'!$A:$A)-3),"")</f>
        <v>793.03666666666663</v>
      </c>
      <c r="Z31" s="152">
        <f>IFERROR('Price History'!E3+(INDEX('Price History'!E:E,MATCH(9.99E+307,'Returns (Calc)'!$A:$A)+1)-'Price History'!E3)*(ROW()-3)/(MATCH(9.99E+307,'Returns (Calc)'!$A:$A)-3),"")</f>
        <v>131.22716981132075</v>
      </c>
      <c r="AA31" s="152">
        <f>IFERROR('Price History'!F3+(INDEX('Price History'!F:F,MATCH(9.99E+307,'Returns (Calc)'!$A:$A)+1)-'Price History'!F3)*(ROW()-3)/(MATCH(9.99E+307,'Returns (Calc)'!$A:$A)-3),"")</f>
        <v>82.511194968553468</v>
      </c>
      <c r="AB31" s="152">
        <f>IFERROR('Price History'!G3+(INDEX('Price History'!G:G,MATCH(9.99E+307,'Returns (Calc)'!$A:$A)+1)-'Price History'!G3)*(ROW()-3)/(MATCH(9.99E+307,'Returns (Calc)'!$A:$A)-3),"")</f>
        <v>70.979937106918243</v>
      </c>
      <c r="AC31" s="152">
        <f>IFERROR('Price History'!H3+(INDEX('Price History'!H:H,MATCH(9.99E+307,'Returns (Calc)'!$A:$A)+1)-'Price History'!H3)*(ROW()-3)/(MATCH(9.99E+307,'Returns (Calc)'!$A:$A)-3),"")</f>
        <v>238.14723270440248</v>
      </c>
      <c r="AD31" s="152">
        <f>IFERROR('Price History'!I3+(INDEX('Price History'!I:I,MATCH(9.99E+307,'Returns (Calc)'!$A:$A)+1)-'Price History'!I3)*(ROW()-3)/(MATCH(9.99E+307,'Returns (Calc)'!$A:$A)-3),"")</f>
        <v>76.438427672955982</v>
      </c>
      <c r="AE31" s="152">
        <f>IFERROR('Price History'!J3+(INDEX('Price History'!J:J,MATCH(9.99E+307,'Returns (Calc)'!$A:$A)+1)-'Price History'!J3)*(ROW()-3)/(MATCH(9.99E+307,'Returns (Calc)'!$A:$A)-3),"")</f>
        <v>114.94817610062894</v>
      </c>
      <c r="AF31" s="152">
        <f>IFERROR('Price History'!K3+(INDEX('Price History'!K:K,MATCH(9.99E+307,'Returns (Calc)'!$A:$A)+1)-'Price History'!K3)*(ROW()-3)/(MATCH(9.99E+307,'Returns (Calc)'!$A:$A)-3),"")</f>
        <v>49.444213836477985</v>
      </c>
      <c r="AG31" s="152">
        <f>IFERROR('Price History'!L3+(INDEX('Price History'!L:L,MATCH(9.99E+307,'Returns (Calc)'!$A:$A)+1)-'Price History'!L3)*(ROW()-3)/(MATCH(9.99E+307,'Returns (Calc)'!$A:$A)-3),"")</f>
        <v>150.47754716981132</v>
      </c>
      <c r="AH31" s="152">
        <f>IFERROR('Price History'!M3+(INDEX('Price History'!M:M,MATCH(9.99E+307,'Returns (Calc)'!$A:$A)+1)-'Price History'!M3)*(ROW()-3)/(MATCH(9.99E+307,'Returns (Calc)'!$A:$A)-3),"")</f>
        <v>74.078364779874221</v>
      </c>
      <c r="AI31" s="152">
        <f>IFERROR('Price History'!N3+(INDEX('Price History'!N:N,MATCH(9.99E+307,'Returns (Calc)'!$A:$A)+1)-'Price History'!N3)*(ROW()-3)/(MATCH(9.99E+307,'Returns (Calc)'!$A:$A)-3),"")</f>
        <v>377.28389937106914</v>
      </c>
      <c r="AJ31" s="152">
        <f>IFERROR('Price History'!O3+(INDEX('Price History'!O:O,MATCH(9.99E+307,'Returns (Calc)'!$A:$A)+1)-'Price History'!O3)*(ROW()-3)/(MATCH(9.99E+307,'Returns (Calc)'!$A:$A)-3),"")</f>
        <v>83.116540880503152</v>
      </c>
      <c r="AK31" s="152">
        <f>IFERROR('Price History'!Q3+(INDEX('Price History'!Q:Q,MATCH(9.99E+307,'Returns (Calc)'!$A:$A)+1)-'Price History'!Q3)*(ROW()-3)/(MATCH(9.99E+307,'Returns (Calc)'!$A:$A)-3),"")</f>
        <v>12.321761006289307</v>
      </c>
      <c r="AL31" s="152">
        <f>IFERROR('Price History'!R3+(INDEX('Price History'!R:R,MATCH(9.99E+307,'Returns (Calc)'!$A:$A)+1)-'Price History'!R3)*(ROW()-3)/(MATCH(9.99E+307,'Returns (Calc)'!$A:$A)-3),"")</f>
        <v>39.166037735849052</v>
      </c>
      <c r="AM31" s="152">
        <f>IFERROR('Price History'!S3+(INDEX('Price History'!S:S,MATCH(9.99E+307,'Returns (Calc)'!$A:$A)+1)-'Price History'!S3)*(ROW()-3)/(MATCH(9.99E+307,'Returns (Calc)'!$A:$A)-3),"")</f>
        <v>74.100691823899382</v>
      </c>
      <c r="AN31" s="152">
        <f>IFERROR('Price History'!T3+(INDEX('Price History'!T:T,MATCH(9.99E+307,'Returns (Calc)'!$A:$A)+1)-'Price History'!T3)*(ROW()-3)/(MATCH(9.99E+307,'Returns (Calc)'!$A:$A)-3),"")</f>
        <v>30.100377358490565</v>
      </c>
      <c r="AO31" s="153">
        <f>IFERROR('Price History'!V3+(INDEX('Price History'!V:V,MATCH(9.99E+307,'Returns (Calc)'!$A:$A)+1)-'Price History'!V3)*(ROW()-3)/(MATCH(9.99E+307,'Returns (Calc)'!$A:$A)-3),"")</f>
        <v>262.01339622641507</v>
      </c>
      <c r="AP31" s="151">
        <f>IFERROR(IF(OR(NOT(ISNUMBER('Price History'!W32)),NOT(ISNUMBER('Price History'!W31)),'Price History'!W31=0),"",'Price History'!W32/'Price History'!W31-1),"")</f>
        <v>-1.4305898975626952E-2</v>
      </c>
      <c r="AQ31" s="151" t="str">
        <f>IFERROR(IF(OR(NOT(ISNUMBER('Price History'!X32)),NOT(ISNUMBER('Price History'!X31)),'Price History'!X31=0),"",'Price History'!X32/'Price History'!X31-1),"")</f>
        <v/>
      </c>
      <c r="AR31" s="151">
        <f>IFERROR(IF(OR(NOT(ISNUMBER('Price History'!Y32)),NOT(ISNUMBER('Price History'!Y31)),'Price History'!Y31=0),"",'Price History'!Y32/'Price History'!Y31-1),"")</f>
        <v>-7.6384468491406121E-3</v>
      </c>
      <c r="AS31" s="151">
        <f>IFERROR(IF(OR(NOT(ISNUMBER('Price History'!Z32)),NOT(ISNUMBER('Price History'!Z31)),'Price History'!Z31=0),"",'Price History'!Z32/'Price History'!Z31-1),"")</f>
        <v>0.1157162524454749</v>
      </c>
      <c r="AT31" s="151">
        <f>IFERROR(IF(OR(NOT(ISNUMBER('Price History'!AA32)),NOT(ISNUMBER('Price History'!AA31)),'Price History'!AA31=0),"",'Price History'!AA32/'Price History'!AA31-1),"")</f>
        <v>4.7587683187880758E-2</v>
      </c>
      <c r="AU31" s="151">
        <f>IFERROR(IF(OR(NOT(ISNUMBER('Price History'!AB32)),NOT(ISNUMBER('Price History'!AB31)),'Price History'!AB31=0),"",'Price History'!AB32/'Price History'!AB31-1),"")</f>
        <v>-7.3201260304717519E-2</v>
      </c>
    </row>
    <row r="32" spans="1:47" ht="15" customHeight="1" x14ac:dyDescent="0.2">
      <c r="A32" s="149">
        <f>IF('Price History'!A33="","",'Price History'!A33)</f>
        <v>45394</v>
      </c>
      <c r="B32" s="150">
        <f>IFERROR(IF(OR(NOT(ISNUMBER('Price History'!B33)),NOT(ISNUMBER('Price History'!B32)),'Price History'!B32=0),"",'Price History'!B33/'Price History'!B32-1),"")</f>
        <v>-2.2736642480211122E-2</v>
      </c>
      <c r="C32" s="150">
        <f>IFERROR(IF(OR(NOT(ISNUMBER('Price History'!C33)),NOT(ISNUMBER('Price History'!C32)),'Price History'!C32=0),"",'Price History'!C33/'Price History'!C32-1),"")</f>
        <v>-8.8575268817204345E-2</v>
      </c>
      <c r="D32" s="150">
        <f>IFERROR(IF(OR(NOT(ISNUMBER('Price History'!D33)),NOT(ISNUMBER('Price History'!D32)),'Price History'!D32=0),"",'Price History'!D33/'Price History'!D32-1),"")</f>
        <v>-1.8079884955660042E-2</v>
      </c>
      <c r="E32" s="150">
        <f>IFERROR(IF(OR(NOT(ISNUMBER('Price History'!E33)),NOT(ISNUMBER('Price History'!E32)),'Price History'!E32=0),"",'Price History'!E33/'Price History'!E32-1),"")</f>
        <v>3.4398410029048421E-3</v>
      </c>
      <c r="F32" s="150">
        <f>IFERROR(IF(OR(NOT(ISNUMBER('Price History'!F33)),NOT(ISNUMBER('Price History'!F32)),'Price History'!F32=0),"",'Price History'!F33/'Price History'!F32-1),"")</f>
        <v>-2.0537525354969444E-2</v>
      </c>
      <c r="G32" s="150">
        <f>IFERROR(IF(OR(NOT(ISNUMBER('Price History'!G33)),NOT(ISNUMBER('Price History'!G32)),'Price History'!G32=0),"",'Price History'!G33/'Price History'!G32-1),"")</f>
        <v>-2.9846291598268904E-3</v>
      </c>
      <c r="H32" s="150">
        <f>IFERROR(IF(OR(NOT(ISNUMBER('Price History'!H33)),NOT(ISNUMBER('Price History'!H32)),'Price History'!H32=0),"",'Price History'!H33/'Price History'!H32-1),"")</f>
        <v>-8.5574572127139481E-3</v>
      </c>
      <c r="I32" s="150">
        <f>IFERROR(IF(OR(NOT(ISNUMBER('Price History'!I33)),NOT(ISNUMBER('Price History'!I32)),'Price History'!I32=0),"",'Price History'!I33/'Price History'!I32-1),"")</f>
        <v>2.0510483135824931E-3</v>
      </c>
      <c r="J32" s="150">
        <f>IFERROR(IF(OR(NOT(ISNUMBER('Price History'!J33)),NOT(ISNUMBER('Price History'!J32)),'Price History'!J32=0),"",'Price History'!J33/'Price History'!J32-1),"")</f>
        <v>-4.5985020031353296E-2</v>
      </c>
      <c r="K32" s="150">
        <f>IFERROR(IF(OR(NOT(ISNUMBER('Price History'!K33)),NOT(ISNUMBER('Price History'!K32)),'Price History'!K32=0),"",'Price History'!K33/'Price History'!K32-1),"")</f>
        <v>-1.2630662020905903E-2</v>
      </c>
      <c r="L32" s="150">
        <f>IFERROR(IF(OR(NOT(ISNUMBER('Price History'!L33)),NOT(ISNUMBER('Price History'!L32)),'Price History'!L32=0),"",'Price History'!L33/'Price History'!L32-1),"")</f>
        <v>8.2475731698414823E-3</v>
      </c>
      <c r="M32" s="150">
        <f>IFERROR(IF(OR(NOT(ISNUMBER('Price History'!M33)),NOT(ISNUMBER('Price History'!M32)),'Price History'!M32=0),"",'Price History'!M33/'Price History'!M32-1),"")</f>
        <v>-1.7040780350217499E-2</v>
      </c>
      <c r="N32" s="150">
        <f>IFERROR(IF(OR(NOT(ISNUMBER('Price History'!N33)),NOT(ISNUMBER('Price History'!N32)),'Price History'!N32=0),"",'Price History'!N33/'Price History'!N32-1),"")</f>
        <v>-2.4885041925885809E-2</v>
      </c>
      <c r="O32" s="150">
        <f>IFERROR(IF(OR(NOT(ISNUMBER('Price History'!O33)),NOT(ISNUMBER('Price History'!O32)),'Price History'!O32=0),"",'Price History'!O33/'Price History'!O32-1),"")</f>
        <v>-3.0859995461765322E-2</v>
      </c>
      <c r="P32" s="150">
        <f>IFERROR(IF(OR(NOT(ISNUMBER('Price History'!P33)),NOT(ISNUMBER('Price History'!P32)),'Price History'!P32=0),"",'Price History'!P33/'Price History'!P32-1),"")</f>
        <v>-2.8576596129498921E-2</v>
      </c>
      <c r="Q32" s="150">
        <f>IFERROR(IF(OR(NOT(ISNUMBER('Price History'!Q33)),NOT(ISNUMBER('Price History'!Q32)),'Price History'!Q32=0),"",'Price History'!Q33/'Price History'!Q32-1),"")</f>
        <v>-6.3787133223982551E-3</v>
      </c>
      <c r="R32" s="150">
        <f>IFERROR(IF(OR(NOT(ISNUMBER('Price History'!R33)),NOT(ISNUMBER('Price History'!R32)),'Price History'!R32=0),"",'Price History'!R33/'Price History'!R32-1),"")</f>
        <v>-3.453379378391741E-3</v>
      </c>
      <c r="S32" s="150">
        <f>IFERROR(IF(OR(NOT(ISNUMBER('Price History'!S33)),NOT(ISNUMBER('Price History'!S32)),'Price History'!S32=0),"",'Price History'!S33/'Price History'!S32-1),"")</f>
        <v>-1.4039969643308892E-2</v>
      </c>
      <c r="T32" s="150">
        <f>IFERROR(IF(OR(NOT(ISNUMBER('Price History'!T33)),NOT(ISNUMBER('Price History'!T32)),'Price History'!T32=0),"",'Price History'!T33/'Price History'!T32-1),"")</f>
        <v>-2.5575447570332477E-2</v>
      </c>
      <c r="U32" s="150">
        <f>IFERROR(IF(OR(NOT(ISNUMBER('Price History'!U33)),NOT(ISNUMBER('Price History'!U32)),'Price History'!U32=0),"",'Price History'!U33/'Price History'!U32-1),"")</f>
        <v>-2.7881814398668436E-2</v>
      </c>
      <c r="V32" s="151">
        <f>IFERROR(IF(OR(NOT(ISNUMBER('Price History'!V33)),NOT(ISNUMBER('Price History'!V32)),'Price History'!V32=0),"",'Price History'!V33/'Price History'!V32-1),"")</f>
        <v>-4.2284075449499081E-3</v>
      </c>
      <c r="W32" s="152">
        <f>IFERROR('Price History'!B3+(INDEX('Price History'!B:B,MATCH(9.99E+307,'Returns (Calc)'!$A:$A)+1)-'Price History'!B3)*(ROW()-3)/(MATCH(9.99E+307,'Returns (Calc)'!$A:$A)-3),"")</f>
        <v>476.61339622641509</v>
      </c>
      <c r="X32" s="152">
        <f>IFERROR('Price History'!C3+(INDEX('Price History'!C:C,MATCH(9.99E+307,'Returns (Calc)'!$A:$A)+1)-'Price History'!C3)*(ROW()-3)/(MATCH(9.99E+307,'Returns (Calc)'!$A:$A)-3),"")</f>
        <v>77.288427672955976</v>
      </c>
      <c r="Y32" s="152">
        <f>IFERROR('Price History'!D3+(INDEX('Price History'!D:D,MATCH(9.99E+307,'Returns (Calc)'!$A:$A)+1)-'Price History'!D3)*(ROW()-3)/(MATCH(9.99E+307,'Returns (Calc)'!$A:$A)-3),"")</f>
        <v>800.57333333333327</v>
      </c>
      <c r="Z32" s="152">
        <f>IFERROR('Price History'!E3+(INDEX('Price History'!E:E,MATCH(9.99E+307,'Returns (Calc)'!$A:$A)+1)-'Price History'!E3)*(ROW()-3)/(MATCH(9.99E+307,'Returns (Calc)'!$A:$A)-3),"")</f>
        <v>132.98528301886793</v>
      </c>
      <c r="AA32" s="152">
        <f>IFERROR('Price History'!F3+(INDEX('Price History'!F:F,MATCH(9.99E+307,'Returns (Calc)'!$A:$A)+1)-'Price History'!F3)*(ROW()-3)/(MATCH(9.99E+307,'Returns (Calc)'!$A:$A)-3),"")</f>
        <v>83.980880503144647</v>
      </c>
      <c r="AB32" s="152">
        <f>IFERROR('Price History'!G3+(INDEX('Price History'!G:G,MATCH(9.99E+307,'Returns (Calc)'!$A:$A)+1)-'Price History'!G3)*(ROW()-3)/(MATCH(9.99E+307,'Returns (Calc)'!$A:$A)-3),"")</f>
        <v>71.931006289308186</v>
      </c>
      <c r="AC32" s="152">
        <f>IFERROR('Price History'!H3+(INDEX('Price History'!H:H,MATCH(9.99E+307,'Returns (Calc)'!$A:$A)+1)-'Price History'!H3)*(ROW()-3)/(MATCH(9.99E+307,'Returns (Calc)'!$A:$A)-3),"")</f>
        <v>244.18427672955977</v>
      </c>
      <c r="AD32" s="152">
        <f>IFERROR('Price History'!I3+(INDEX('Price History'!I:I,MATCH(9.99E+307,'Returns (Calc)'!$A:$A)+1)-'Price History'!I3)*(ROW()-3)/(MATCH(9.99E+307,'Returns (Calc)'!$A:$A)-3),"")</f>
        <v>77.605157232704414</v>
      </c>
      <c r="AE32" s="152">
        <f>IFERROR('Price History'!J3+(INDEX('Price History'!J:J,MATCH(9.99E+307,'Returns (Calc)'!$A:$A)+1)-'Price History'!J3)*(ROW()-3)/(MATCH(9.99E+307,'Returns (Calc)'!$A:$A)-3),"")</f>
        <v>115.05918238993711</v>
      </c>
      <c r="AF32" s="152">
        <f>IFERROR('Price History'!K3+(INDEX('Price History'!K:K,MATCH(9.99E+307,'Returns (Calc)'!$A:$A)+1)-'Price History'!K3)*(ROW()-3)/(MATCH(9.99E+307,'Returns (Calc)'!$A:$A)-3),"")</f>
        <v>50.662578616352199</v>
      </c>
      <c r="AG32" s="152">
        <f>IFERROR('Price History'!L3+(INDEX('Price History'!L:L,MATCH(9.99E+307,'Returns (Calc)'!$A:$A)+1)-'Price History'!L3)*(ROW()-3)/(MATCH(9.99E+307,'Returns (Calc)'!$A:$A)-3),"")</f>
        <v>152.78924528301889</v>
      </c>
      <c r="AH32" s="152">
        <f>IFERROR('Price History'!M3+(INDEX('Price History'!M:M,MATCH(9.99E+307,'Returns (Calc)'!$A:$A)+1)-'Price History'!M3)*(ROW()-3)/(MATCH(9.99E+307,'Returns (Calc)'!$A:$A)-3),"")</f>
        <v>75.366163522012585</v>
      </c>
      <c r="AI32" s="152">
        <f>IFERROR('Price History'!N3+(INDEX('Price History'!N:N,MATCH(9.99E+307,'Returns (Calc)'!$A:$A)+1)-'Price History'!N3)*(ROW()-3)/(MATCH(9.99E+307,'Returns (Calc)'!$A:$A)-3),"")</f>
        <v>378.29761006289306</v>
      </c>
      <c r="AJ32" s="152">
        <f>IFERROR('Price History'!O3+(INDEX('Price History'!O:O,MATCH(9.99E+307,'Returns (Calc)'!$A:$A)+1)-'Price History'!O3)*(ROW()-3)/(MATCH(9.99E+307,'Returns (Calc)'!$A:$A)-3),"")</f>
        <v>83.39534591194969</v>
      </c>
      <c r="AK32" s="152">
        <f>IFERROR('Price History'!Q3+(INDEX('Price History'!Q:Q,MATCH(9.99E+307,'Returns (Calc)'!$A:$A)+1)-'Price History'!Q3)*(ROW()-3)/(MATCH(9.99E+307,'Returns (Calc)'!$A:$A)-3),"")</f>
        <v>12.761823899371068</v>
      </c>
      <c r="AL32" s="152">
        <f>IFERROR('Price History'!R3+(INDEX('Price History'!R:R,MATCH(9.99E+307,'Returns (Calc)'!$A:$A)+1)-'Price History'!R3)*(ROW()-3)/(MATCH(9.99E+307,'Returns (Calc)'!$A:$A)-3),"")</f>
        <v>39.33339622641509</v>
      </c>
      <c r="AM32" s="152">
        <f>IFERROR('Price History'!S3+(INDEX('Price History'!S:S,MATCH(9.99E+307,'Returns (Calc)'!$A:$A)+1)-'Price History'!S3)*(ROW()-3)/(MATCH(9.99E+307,'Returns (Calc)'!$A:$A)-3),"")</f>
        <v>74.688930817610071</v>
      </c>
      <c r="AN32" s="152">
        <f>IFERROR('Price History'!T3+(INDEX('Price History'!T:T,MATCH(9.99E+307,'Returns (Calc)'!$A:$A)+1)-'Price History'!T3)*(ROW()-3)/(MATCH(9.99E+307,'Returns (Calc)'!$A:$A)-3),"")</f>
        <v>30.273962264150942</v>
      </c>
      <c r="AO32" s="153">
        <f>IFERROR('Price History'!V3+(INDEX('Price History'!V:V,MATCH(9.99E+307,'Returns (Calc)'!$A:$A)+1)-'Price History'!V3)*(ROW()-3)/(MATCH(9.99E+307,'Returns (Calc)'!$A:$A)-3),"")</f>
        <v>262.95566037735847</v>
      </c>
      <c r="AP32" s="151">
        <f>IFERROR(IF(OR(NOT(ISNUMBER('Price History'!W33)),NOT(ISNUMBER('Price History'!W32)),'Price History'!W32=0),"",'Price History'!W33/'Price History'!W32-1),"")</f>
        <v>-2.6518545063608734E-2</v>
      </c>
      <c r="AQ32" s="151" t="str">
        <f>IFERROR(IF(OR(NOT(ISNUMBER('Price History'!X33)),NOT(ISNUMBER('Price History'!X32)),'Price History'!X32=0),"",'Price History'!X33/'Price History'!X32-1),"")</f>
        <v/>
      </c>
      <c r="AR32" s="151">
        <f>IFERROR(IF(OR(NOT(ISNUMBER('Price History'!Y33)),NOT(ISNUMBER('Price History'!Y32)),'Price History'!Y32=0),"",'Price History'!Y33/'Price History'!Y32-1),"")</f>
        <v>-1.5394483643361268E-2</v>
      </c>
      <c r="AS32" s="151">
        <f>IFERROR(IF(OR(NOT(ISNUMBER('Price History'!Z33)),NOT(ISNUMBER('Price History'!Z32)),'Price History'!Z32=0),"",'Price History'!Z33/'Price History'!Z32-1),"")</f>
        <v>-8.9622028834913658E-3</v>
      </c>
      <c r="AT32" s="151">
        <f>IFERROR(IF(OR(NOT(ISNUMBER('Price History'!AA33)),NOT(ISNUMBER('Price History'!AA32)),'Price History'!AA32=0),"",'Price History'!AA33/'Price History'!AA32-1),"")</f>
        <v>-2.1062558943728327E-2</v>
      </c>
      <c r="AU32" s="151">
        <f>IFERROR(IF(OR(NOT(ISNUMBER('Price History'!AB33)),NOT(ISNUMBER('Price History'!AB32)),'Price History'!AB32=0),"",'Price History'!AB33/'Price History'!AB32-1),"")</f>
        <v>-3.7209518930750196E-2</v>
      </c>
    </row>
    <row r="33" spans="1:47" ht="15" customHeight="1" x14ac:dyDescent="0.2">
      <c r="A33" s="149">
        <f>IF('Price History'!A34="","",'Price History'!A34)</f>
        <v>45401</v>
      </c>
      <c r="B33" s="150">
        <f>IFERROR(IF(OR(NOT(ISNUMBER('Price History'!B34)),NOT(ISNUMBER('Price History'!B33)),'Price History'!B33=0),"",'Price History'!B34/'Price History'!B33-1),"")</f>
        <v>-1.9131388554915696E-2</v>
      </c>
      <c r="C33" s="150">
        <f>IFERROR(IF(OR(NOT(ISNUMBER('Price History'!C34)),NOT(ISNUMBER('Price History'!C33)),'Price History'!C33=0),"",'Price History'!C34/'Price History'!C33-1),"")</f>
        <v>-9.2759180061937729E-2</v>
      </c>
      <c r="D33" s="150">
        <f>IFERROR(IF(OR(NOT(ISNUMBER('Price History'!D34)),NOT(ISNUMBER('Price History'!D33)),'Price History'!D33=0),"",'Price History'!D34/'Price History'!D33-1),"")</f>
        <v>-0.10635904402088558</v>
      </c>
      <c r="E33" s="150">
        <f>IFERROR(IF(OR(NOT(ISNUMBER('Price History'!E34)),NOT(ISNUMBER('Price History'!E33)),'Price History'!E33=0),"",'Price History'!E34/'Price History'!E33-1),"")</f>
        <v>-0.10367943932353174</v>
      </c>
      <c r="F33" s="150">
        <f>IFERROR(IF(OR(NOT(ISNUMBER('Price History'!F34)),NOT(ISNUMBER('Price History'!F33)),'Price History'!F33=0),"",'Price History'!F34/'Price History'!F33-1),"")</f>
        <v>-8.5425834843386061E-2</v>
      </c>
      <c r="G33" s="150">
        <f>IFERROR(IF(OR(NOT(ISNUMBER('Price History'!G34)),NOT(ISNUMBER('Price History'!G33)),'Price History'!G33=0),"",'Price History'!G34/'Price History'!G33-1),"")</f>
        <v>-7.7383625205807549E-2</v>
      </c>
      <c r="H33" s="150">
        <f>IFERROR(IF(OR(NOT(ISNUMBER('Price History'!H34)),NOT(ISNUMBER('Price History'!H33)),'Price History'!H33=0),"",'Price History'!H34/'Price History'!H33-1),"")</f>
        <v>-0.12856555692560623</v>
      </c>
      <c r="I33" s="150">
        <f>IFERROR(IF(OR(NOT(ISNUMBER('Price History'!I34)),NOT(ISNUMBER('Price History'!I33)),'Price History'!I33=0),"",'Price History'!I34/'Price History'!I33-1),"")</f>
        <v>-0.13600181942233336</v>
      </c>
      <c r="J33" s="150">
        <f>IFERROR(IF(OR(NOT(ISNUMBER('Price History'!J34)),NOT(ISNUMBER('Price History'!J33)),'Price History'!J33=0),"",'Price History'!J34/'Price History'!J33-1),"")</f>
        <v>-0.1303633375935731</v>
      </c>
      <c r="K33" s="150">
        <f>IFERROR(IF(OR(NOT(ISNUMBER('Price History'!K34)),NOT(ISNUMBER('Price History'!K33)),'Price History'!K33=0),"",'Price History'!K34/'Price History'!K33-1),"")</f>
        <v>-9.7044552271724815E-2</v>
      </c>
      <c r="L33" s="150">
        <f>IFERROR(IF(OR(NOT(ISNUMBER('Price History'!L34)),NOT(ISNUMBER('Price History'!L33)),'Price History'!L33=0),"",'Price History'!L34/'Price History'!L33-1),"")</f>
        <v>-0.10402490227305627</v>
      </c>
      <c r="M33" s="150">
        <f>IFERROR(IF(OR(NOT(ISNUMBER('Price History'!M34)),NOT(ISNUMBER('Price History'!M33)),'Price History'!M33=0),"",'Price History'!M34/'Price History'!M33-1),"")</f>
        <v>-0.10581061692969862</v>
      </c>
      <c r="N33" s="150">
        <f>IFERROR(IF(OR(NOT(ISNUMBER('Price History'!N34)),NOT(ISNUMBER('Price History'!N33)),'Price History'!N33=0),"",'Price History'!N34/'Price History'!N33-1),"")</f>
        <v>-5.7243727146640833E-3</v>
      </c>
      <c r="O33" s="150">
        <f>IFERROR(IF(OR(NOT(ISNUMBER('Price History'!O34)),NOT(ISNUMBER('Price History'!O33)),'Price History'!O33=0),"",'Price History'!O34/'Price History'!O33-1),"")</f>
        <v>-9.0142823694684404E-3</v>
      </c>
      <c r="P33" s="150">
        <f>IFERROR(IF(OR(NOT(ISNUMBER('Price History'!P34)),NOT(ISNUMBER('Price History'!P33)),'Price History'!P33=0),"",'Price History'!P34/'Price History'!P33-1),"")</f>
        <v>9.8678086017500721E-3</v>
      </c>
      <c r="Q33" s="150">
        <f>IFERROR(IF(OR(NOT(ISNUMBER('Price History'!Q34)),NOT(ISNUMBER('Price History'!Q33)),'Price History'!Q33=0),"",'Price History'!Q34/'Price History'!Q33-1),"")</f>
        <v>-1.9442406456346317E-2</v>
      </c>
      <c r="R33" s="150">
        <f>IFERROR(IF(OR(NOT(ISNUMBER('Price History'!R34)),NOT(ISNUMBER('Price History'!R33)),'Price History'!R33=0),"",'Price History'!R34/'Price History'!R33-1),"")</f>
        <v>-4.8019801980197951E-2</v>
      </c>
      <c r="S33" s="150">
        <f>IFERROR(IF(OR(NOT(ISNUMBER('Price History'!S34)),NOT(ISNUMBER('Price History'!S33)),'Price History'!S33=0),"",'Price History'!S34/'Price History'!S33-1),"")</f>
        <v>-5.6831302116741589E-2</v>
      </c>
      <c r="T33" s="150">
        <f>IFERROR(IF(OR(NOT(ISNUMBER('Price History'!T34)),NOT(ISNUMBER('Price History'!T33)),'Price History'!T33=0),"",'Price History'!T34/'Price History'!T33-1),"")</f>
        <v>-1.7716535433070835E-2</v>
      </c>
      <c r="U33" s="150">
        <f>IFERROR(IF(OR(NOT(ISNUMBER('Price History'!U34)),NOT(ISNUMBER('Price History'!U33)),'Price History'!U33=0),"",'Price History'!U34/'Price History'!U33-1),"")</f>
        <v>-1.712328767123239E-3</v>
      </c>
      <c r="V33" s="151">
        <f>IFERROR(IF(OR(NOT(ISNUMBER('Price History'!V34)),NOT(ISNUMBER('Price History'!V33)),'Price History'!V33=0),"",'Price History'!V34/'Price History'!V33-1),"")</f>
        <v>-2.2413411121778304E-2</v>
      </c>
      <c r="W33" s="152">
        <f>IFERROR('Price History'!B3+(INDEX('Price History'!B:B,MATCH(9.99E+307,'Returns (Calc)'!$A:$A)+1)-'Price History'!B3)*(ROW()-3)/(MATCH(9.99E+307,'Returns (Calc)'!$A:$A)-3),"")</f>
        <v>474.81075471698114</v>
      </c>
      <c r="X33" s="152">
        <f>IFERROR('Price History'!C3+(INDEX('Price History'!C:C,MATCH(9.99E+307,'Returns (Calc)'!$A:$A)+1)-'Price History'!C3)*(ROW()-3)/(MATCH(9.99E+307,'Returns (Calc)'!$A:$A)-3),"")</f>
        <v>78.361132075471701</v>
      </c>
      <c r="Y33" s="152">
        <f>IFERROR('Price History'!D3+(INDEX('Price History'!D:D,MATCH(9.99E+307,'Returns (Calc)'!$A:$A)+1)-'Price History'!D3)*(ROW()-3)/(MATCH(9.99E+307,'Returns (Calc)'!$A:$A)-3),"")</f>
        <v>808.1099999999999</v>
      </c>
      <c r="Z33" s="152">
        <f>IFERROR('Price History'!E3+(INDEX('Price History'!E:E,MATCH(9.99E+307,'Returns (Calc)'!$A:$A)+1)-'Price History'!E3)*(ROW()-3)/(MATCH(9.99E+307,'Returns (Calc)'!$A:$A)-3),"")</f>
        <v>134.74339622641509</v>
      </c>
      <c r="AA33" s="152">
        <f>IFERROR('Price History'!F3+(INDEX('Price History'!F:F,MATCH(9.99E+307,'Returns (Calc)'!$A:$A)+1)-'Price History'!F3)*(ROW()-3)/(MATCH(9.99E+307,'Returns (Calc)'!$A:$A)-3),"")</f>
        <v>85.450566037735854</v>
      </c>
      <c r="AB33" s="152">
        <f>IFERROR('Price History'!G3+(INDEX('Price History'!G:G,MATCH(9.99E+307,'Returns (Calc)'!$A:$A)+1)-'Price History'!G3)*(ROW()-3)/(MATCH(9.99E+307,'Returns (Calc)'!$A:$A)-3),"")</f>
        <v>72.882075471698116</v>
      </c>
      <c r="AC33" s="152">
        <f>IFERROR('Price History'!H3+(INDEX('Price History'!H:H,MATCH(9.99E+307,'Returns (Calc)'!$A:$A)+1)-'Price History'!H3)*(ROW()-3)/(MATCH(9.99E+307,'Returns (Calc)'!$A:$A)-3),"")</f>
        <v>250.221320754717</v>
      </c>
      <c r="AD33" s="152">
        <f>IFERROR('Price History'!I3+(INDEX('Price History'!I:I,MATCH(9.99E+307,'Returns (Calc)'!$A:$A)+1)-'Price History'!I3)*(ROW()-3)/(MATCH(9.99E+307,'Returns (Calc)'!$A:$A)-3),"")</f>
        <v>78.771886792452818</v>
      </c>
      <c r="AE33" s="152">
        <f>IFERROR('Price History'!J3+(INDEX('Price History'!J:J,MATCH(9.99E+307,'Returns (Calc)'!$A:$A)+1)-'Price History'!J3)*(ROW()-3)/(MATCH(9.99E+307,'Returns (Calc)'!$A:$A)-3),"")</f>
        <v>115.17018867924529</v>
      </c>
      <c r="AF33" s="152">
        <f>IFERROR('Price History'!K3+(INDEX('Price History'!K:K,MATCH(9.99E+307,'Returns (Calc)'!$A:$A)+1)-'Price History'!K3)*(ROW()-3)/(MATCH(9.99E+307,'Returns (Calc)'!$A:$A)-3),"")</f>
        <v>51.880943396226414</v>
      </c>
      <c r="AG33" s="152">
        <f>IFERROR('Price History'!L3+(INDEX('Price History'!L:L,MATCH(9.99E+307,'Returns (Calc)'!$A:$A)+1)-'Price History'!L3)*(ROW()-3)/(MATCH(9.99E+307,'Returns (Calc)'!$A:$A)-3),"")</f>
        <v>155.1009433962264</v>
      </c>
      <c r="AH33" s="152">
        <f>IFERROR('Price History'!M3+(INDEX('Price History'!M:M,MATCH(9.99E+307,'Returns (Calc)'!$A:$A)+1)-'Price History'!M3)*(ROW()-3)/(MATCH(9.99E+307,'Returns (Calc)'!$A:$A)-3),"")</f>
        <v>76.653962264150948</v>
      </c>
      <c r="AI33" s="152">
        <f>IFERROR('Price History'!N3+(INDEX('Price History'!N:N,MATCH(9.99E+307,'Returns (Calc)'!$A:$A)+1)-'Price History'!N3)*(ROW()-3)/(MATCH(9.99E+307,'Returns (Calc)'!$A:$A)-3),"")</f>
        <v>379.31132075471697</v>
      </c>
      <c r="AJ33" s="152">
        <f>IFERROR('Price History'!O3+(INDEX('Price History'!O:O,MATCH(9.99E+307,'Returns (Calc)'!$A:$A)+1)-'Price History'!O3)*(ROW()-3)/(MATCH(9.99E+307,'Returns (Calc)'!$A:$A)-3),"")</f>
        <v>83.674150943396228</v>
      </c>
      <c r="AK33" s="152">
        <f>IFERROR('Price History'!Q3+(INDEX('Price History'!Q:Q,MATCH(9.99E+307,'Returns (Calc)'!$A:$A)+1)-'Price History'!Q3)*(ROW()-3)/(MATCH(9.99E+307,'Returns (Calc)'!$A:$A)-3),"")</f>
        <v>13.20188679245283</v>
      </c>
      <c r="AL33" s="152">
        <f>IFERROR('Price History'!R3+(INDEX('Price History'!R:R,MATCH(9.99E+307,'Returns (Calc)'!$A:$A)+1)-'Price History'!R3)*(ROW()-3)/(MATCH(9.99E+307,'Returns (Calc)'!$A:$A)-3),"")</f>
        <v>39.500754716981128</v>
      </c>
      <c r="AM33" s="152">
        <f>IFERROR('Price History'!S3+(INDEX('Price History'!S:S,MATCH(9.99E+307,'Returns (Calc)'!$A:$A)+1)-'Price History'!S3)*(ROW()-3)/(MATCH(9.99E+307,'Returns (Calc)'!$A:$A)-3),"")</f>
        <v>75.277169811320761</v>
      </c>
      <c r="AN33" s="152">
        <f>IFERROR('Price History'!T3+(INDEX('Price History'!T:T,MATCH(9.99E+307,'Returns (Calc)'!$A:$A)+1)-'Price History'!T3)*(ROW()-3)/(MATCH(9.99E+307,'Returns (Calc)'!$A:$A)-3),"")</f>
        <v>30.447547169811319</v>
      </c>
      <c r="AO33" s="153">
        <f>IFERROR('Price History'!V3+(INDEX('Price History'!V:V,MATCH(9.99E+307,'Returns (Calc)'!$A:$A)+1)-'Price History'!V3)*(ROW()-3)/(MATCH(9.99E+307,'Returns (Calc)'!$A:$A)-3),"")</f>
        <v>263.89792452830187</v>
      </c>
      <c r="AP33" s="151">
        <f>IFERROR(IF(OR(NOT(ISNUMBER('Price History'!W34)),NOT(ISNUMBER('Price History'!W33)),'Price History'!W33=0),"",'Price History'!W34/'Price History'!W33-1),"")</f>
        <v>-1.3804527885145079E-3</v>
      </c>
      <c r="AQ33" s="151" t="str">
        <f>IFERROR(IF(OR(NOT(ISNUMBER('Price History'!X34)),NOT(ISNUMBER('Price History'!X33)),'Price History'!X33=0),"",'Price History'!X34/'Price History'!X33-1),"")</f>
        <v/>
      </c>
      <c r="AR33" s="151">
        <f>IFERROR(IF(OR(NOT(ISNUMBER('Price History'!Y34)),NOT(ISNUMBER('Price History'!Y33)),'Price History'!Y33=0),"",'Price History'!Y34/'Price History'!Y33-1),"")</f>
        <v>-1.3246471226927237E-2</v>
      </c>
      <c r="AS33" s="151">
        <f>IFERROR(IF(OR(NOT(ISNUMBER('Price History'!Z34)),NOT(ISNUMBER('Price History'!Z33)),'Price History'!Z33=0),"",'Price History'!Z34/'Price History'!Z33-1),"")</f>
        <v>-4.2463958060288243E-2</v>
      </c>
      <c r="AT33" s="151">
        <f>IFERROR(IF(OR(NOT(ISNUMBER('Price History'!AA34)),NOT(ISNUMBER('Price History'!AA33)),'Price History'!AA33=0),"",'Price History'!AA34/'Price History'!AA33-1),"")</f>
        <v>-0.10886319845857417</v>
      </c>
      <c r="AU33" s="151">
        <f>IFERROR(IF(OR(NOT(ISNUMBER('Price History'!AB34)),NOT(ISNUMBER('Price History'!AB33)),'Price History'!AB33=0),"",'Price History'!AB34/'Price History'!AB33-1),"")</f>
        <v>-4.0437264196575451E-2</v>
      </c>
    </row>
    <row r="34" spans="1:47" ht="15" customHeight="1" x14ac:dyDescent="0.2">
      <c r="A34" s="149">
        <f>IF('Price History'!A35="","",'Price History'!A35)</f>
        <v>45408</v>
      </c>
      <c r="B34" s="150">
        <f>IFERROR(IF(OR(NOT(ISNUMBER('Price History'!B35)),NOT(ISNUMBER('Price History'!B34)),'Price History'!B34=0),"",'Price History'!B35/'Price History'!B34-1),"")</f>
        <v>2.6966582082491142E-2</v>
      </c>
      <c r="C34" s="150">
        <f>IFERROR(IF(OR(NOT(ISNUMBER('Price History'!C35)),NOT(ISNUMBER('Price History'!C34)),'Price History'!C34=0),"",'Price History'!C35/'Price History'!C34-1),"")</f>
        <v>7.5747724317295262E-2</v>
      </c>
      <c r="D34" s="150">
        <f>IFERROR(IF(OR(NOT(ISNUMBER('Price History'!D35)),NOT(ISNUMBER('Price History'!D34)),'Price History'!D34=0),"",'Price History'!D35/'Price History'!D34-1),"")</f>
        <v>7.1360710638196823E-2</v>
      </c>
      <c r="E34" s="150">
        <f>IFERROR(IF(OR(NOT(ISNUMBER('Price History'!E35)),NOT(ISNUMBER('Price History'!E34)),'Price History'!E34=0),"",'Price History'!E35/'Price History'!E34-1),"")</f>
        <v>0.1156722760496347</v>
      </c>
      <c r="F34" s="150">
        <f>IFERROR(IF(OR(NOT(ISNUMBER('Price History'!F35)),NOT(ISNUMBER('Price History'!F34)),'Price History'!F34=0),"",'Price History'!F35/'Price History'!F34-1),"")</f>
        <v>7.5856212850268889E-2</v>
      </c>
      <c r="G34" s="150">
        <f>IFERROR(IF(OR(NOT(ISNUMBER('Price History'!G35)),NOT(ISNUMBER('Price History'!G34)),'Price History'!G34=0),"",'Price History'!G35/'Price History'!G34-1),"")</f>
        <v>0.12443218689162894</v>
      </c>
      <c r="H34" s="150">
        <f>IFERROR(IF(OR(NOT(ISNUMBER('Price History'!H35)),NOT(ISNUMBER('Price History'!H34)),'Price History'!H34=0),"",'Price History'!H35/'Price History'!H34-1),"")</f>
        <v>7.5558909536836083E-2</v>
      </c>
      <c r="I34" s="150">
        <f>IFERROR(IF(OR(NOT(ISNUMBER('Price History'!I35)),NOT(ISNUMBER('Price History'!I34)),'Price History'!I34=0),"",'Price History'!I35/'Price History'!I34-1),"")</f>
        <v>0.15148723348249526</v>
      </c>
      <c r="J34" s="150">
        <f>IFERROR(IF(OR(NOT(ISNUMBER('Price History'!J35)),NOT(ISNUMBER('Price History'!J34)),'Price History'!J34=0),"",'Price History'!J35/'Price History'!J34-1),"")</f>
        <v>5.5637203443208438E-3</v>
      </c>
      <c r="K34" s="150">
        <f>IFERROR(IF(OR(NOT(ISNUMBER('Price History'!K35)),NOT(ISNUMBER('Price History'!K34)),'Price History'!K34=0),"",'Price History'!K35/'Price History'!K34-1),"")</f>
        <v>0.10014655593551547</v>
      </c>
      <c r="L34" s="150">
        <f>IFERROR(IF(OR(NOT(ISNUMBER('Price History'!L35)),NOT(ISNUMBER('Price History'!L34)),'Price History'!L34=0),"",'Price History'!L35/'Price History'!L34-1),"")</f>
        <v>8.3057283671325921E-2</v>
      </c>
      <c r="M34" s="150">
        <f>IFERROR(IF(OR(NOT(ISNUMBER('Price History'!M35)),NOT(ISNUMBER('Price History'!M34)),'Price History'!M34=0),"",'Price History'!M35/'Price History'!M34-1),"")</f>
        <v>0.24628961091054946</v>
      </c>
      <c r="N34" s="150">
        <f>IFERROR(IF(OR(NOT(ISNUMBER('Price History'!N35)),NOT(ISNUMBER('Price History'!N34)),'Price History'!N34=0),"",'Price History'!N35/'Price History'!N34-1),"")</f>
        <v>8.1160596530385209E-3</v>
      </c>
      <c r="O34" s="150">
        <f>IFERROR(IF(OR(NOT(ISNUMBER('Price History'!O35)),NOT(ISNUMBER('Price History'!O34)),'Price History'!O34=0),"",'Price History'!O35/'Price History'!O34-1),"")</f>
        <v>2.4808033077377445E-2</v>
      </c>
      <c r="P34" s="150">
        <f>IFERROR(IF(OR(NOT(ISNUMBER('Price History'!P35)),NOT(ISNUMBER('Price History'!P34)),'Price History'!P34=0),"",'Price History'!P35/'Price History'!P34-1),"")</f>
        <v>9.1261061946901201E-3</v>
      </c>
      <c r="Q34" s="150">
        <f>IFERROR(IF(OR(NOT(ISNUMBER('Price History'!Q35)),NOT(ISNUMBER('Price History'!Q34)),'Price History'!Q34=0),"",'Price History'!Q35/'Price History'!Q34-1),"")</f>
        <v>2.0576131687242816E-2</v>
      </c>
      <c r="R34" s="150">
        <f>IFERROR(IF(OR(NOT(ISNUMBER('Price History'!R35)),NOT(ISNUMBER('Price History'!R34)),'Price History'!R34=0),"",'Price History'!R35/'Price History'!R34-1),"")</f>
        <v>3.5881435257410388E-2</v>
      </c>
      <c r="S34" s="150">
        <f>IFERROR(IF(OR(NOT(ISNUMBER('Price History'!S35)),NOT(ISNUMBER('Price History'!S34)),'Price History'!S34=0),"",'Price History'!S35/'Price History'!S34-1),"")</f>
        <v>3.0059847660500738E-2</v>
      </c>
      <c r="T34" s="150">
        <f>IFERROR(IF(OR(NOT(ISNUMBER('Price History'!T35)),NOT(ISNUMBER('Price History'!T34)),'Price History'!T34=0),"",'Price History'!T35/'Price History'!T34-1),"")</f>
        <v>1.2358049432197538E-2</v>
      </c>
      <c r="U34" s="150">
        <f>IFERROR(IF(OR(NOT(ISNUMBER('Price History'!U35)),NOT(ISNUMBER('Price History'!U34)),'Price History'!U34=0),"",'Price History'!U35/'Price History'!U34-1),"")</f>
        <v>1.0720411663807994E-2</v>
      </c>
      <c r="V34" s="151">
        <f>IFERROR(IF(OR(NOT(ISNUMBER('Price History'!V35)),NOT(ISNUMBER('Price History'!V34)),'Price History'!V34=0),"",'Price History'!V35/'Price History'!V34-1),"")</f>
        <v>1.7563739376770471E-2</v>
      </c>
      <c r="W34" s="152">
        <f>IFERROR('Price History'!B3+(INDEX('Price History'!B:B,MATCH(9.99E+307,'Returns (Calc)'!$A:$A)+1)-'Price History'!B3)*(ROW()-3)/(MATCH(9.99E+307,'Returns (Calc)'!$A:$A)-3),"")</f>
        <v>473.00811320754718</v>
      </c>
      <c r="X34" s="152">
        <f>IFERROR('Price History'!C3+(INDEX('Price History'!C:C,MATCH(9.99E+307,'Returns (Calc)'!$A:$A)+1)-'Price History'!C3)*(ROW()-3)/(MATCH(9.99E+307,'Returns (Calc)'!$A:$A)-3),"")</f>
        <v>79.433836477987427</v>
      </c>
      <c r="Y34" s="152">
        <f>IFERROR('Price History'!D3+(INDEX('Price History'!D:D,MATCH(9.99E+307,'Returns (Calc)'!$A:$A)+1)-'Price History'!D3)*(ROW()-3)/(MATCH(9.99E+307,'Returns (Calc)'!$A:$A)-3),"")</f>
        <v>815.64666666666665</v>
      </c>
      <c r="Z34" s="152">
        <f>IFERROR('Price History'!E3+(INDEX('Price History'!E:E,MATCH(9.99E+307,'Returns (Calc)'!$A:$A)+1)-'Price History'!E3)*(ROW()-3)/(MATCH(9.99E+307,'Returns (Calc)'!$A:$A)-3),"")</f>
        <v>136.50150943396227</v>
      </c>
      <c r="AA34" s="152">
        <f>IFERROR('Price History'!F3+(INDEX('Price History'!F:F,MATCH(9.99E+307,'Returns (Calc)'!$A:$A)+1)-'Price History'!F3)*(ROW()-3)/(MATCH(9.99E+307,'Returns (Calc)'!$A:$A)-3),"")</f>
        <v>86.920251572327032</v>
      </c>
      <c r="AB34" s="152">
        <f>IFERROR('Price History'!G3+(INDEX('Price History'!G:G,MATCH(9.99E+307,'Returns (Calc)'!$A:$A)+1)-'Price History'!G3)*(ROW()-3)/(MATCH(9.99E+307,'Returns (Calc)'!$A:$A)-3),"")</f>
        <v>73.833144654088045</v>
      </c>
      <c r="AC34" s="152">
        <f>IFERROR('Price History'!H3+(INDEX('Price History'!H:H,MATCH(9.99E+307,'Returns (Calc)'!$A:$A)+1)-'Price History'!H3)*(ROW()-3)/(MATCH(9.99E+307,'Returns (Calc)'!$A:$A)-3),"")</f>
        <v>256.25836477987423</v>
      </c>
      <c r="AD34" s="152">
        <f>IFERROR('Price History'!I3+(INDEX('Price History'!I:I,MATCH(9.99E+307,'Returns (Calc)'!$A:$A)+1)-'Price History'!I3)*(ROW()-3)/(MATCH(9.99E+307,'Returns (Calc)'!$A:$A)-3),"")</f>
        <v>79.938616352201251</v>
      </c>
      <c r="AE34" s="152">
        <f>IFERROR('Price History'!J3+(INDEX('Price History'!J:J,MATCH(9.99E+307,'Returns (Calc)'!$A:$A)+1)-'Price History'!J3)*(ROW()-3)/(MATCH(9.99E+307,'Returns (Calc)'!$A:$A)-3),"")</f>
        <v>115.28119496855346</v>
      </c>
      <c r="AF34" s="152">
        <f>IFERROR('Price History'!K3+(INDEX('Price History'!K:K,MATCH(9.99E+307,'Returns (Calc)'!$A:$A)+1)-'Price History'!K3)*(ROW()-3)/(MATCH(9.99E+307,'Returns (Calc)'!$A:$A)-3),"")</f>
        <v>53.099308176100628</v>
      </c>
      <c r="AG34" s="152">
        <f>IFERROR('Price History'!L3+(INDEX('Price History'!L:L,MATCH(9.99E+307,'Returns (Calc)'!$A:$A)+1)-'Price History'!L3)*(ROW()-3)/(MATCH(9.99E+307,'Returns (Calc)'!$A:$A)-3),"")</f>
        <v>157.41264150943397</v>
      </c>
      <c r="AH34" s="152">
        <f>IFERROR('Price History'!M3+(INDEX('Price History'!M:M,MATCH(9.99E+307,'Returns (Calc)'!$A:$A)+1)-'Price History'!M3)*(ROW()-3)/(MATCH(9.99E+307,'Returns (Calc)'!$A:$A)-3),"")</f>
        <v>77.941761006289312</v>
      </c>
      <c r="AI34" s="152">
        <f>IFERROR('Price History'!N3+(INDEX('Price History'!N:N,MATCH(9.99E+307,'Returns (Calc)'!$A:$A)+1)-'Price History'!N3)*(ROW()-3)/(MATCH(9.99E+307,'Returns (Calc)'!$A:$A)-3),"")</f>
        <v>380.32503144654083</v>
      </c>
      <c r="AJ34" s="152">
        <f>IFERROR('Price History'!O3+(INDEX('Price History'!O:O,MATCH(9.99E+307,'Returns (Calc)'!$A:$A)+1)-'Price History'!O3)*(ROW()-3)/(MATCH(9.99E+307,'Returns (Calc)'!$A:$A)-3),"")</f>
        <v>83.952955974842766</v>
      </c>
      <c r="AK34" s="152">
        <f>IFERROR('Price History'!Q3+(INDEX('Price History'!Q:Q,MATCH(9.99E+307,'Returns (Calc)'!$A:$A)+1)-'Price History'!Q3)*(ROW()-3)/(MATCH(9.99E+307,'Returns (Calc)'!$A:$A)-3),"")</f>
        <v>13.641949685534593</v>
      </c>
      <c r="AL34" s="152">
        <f>IFERROR('Price History'!R3+(INDEX('Price History'!R:R,MATCH(9.99E+307,'Returns (Calc)'!$A:$A)+1)-'Price History'!R3)*(ROW()-3)/(MATCH(9.99E+307,'Returns (Calc)'!$A:$A)-3),"")</f>
        <v>39.668113207547165</v>
      </c>
      <c r="AM34" s="152">
        <f>IFERROR('Price History'!S3+(INDEX('Price History'!S:S,MATCH(9.99E+307,'Returns (Calc)'!$A:$A)+1)-'Price History'!S3)*(ROW()-3)/(MATCH(9.99E+307,'Returns (Calc)'!$A:$A)-3),"")</f>
        <v>75.86540880503145</v>
      </c>
      <c r="AN34" s="152">
        <f>IFERROR('Price History'!T3+(INDEX('Price History'!T:T,MATCH(9.99E+307,'Returns (Calc)'!$A:$A)+1)-'Price History'!T3)*(ROW()-3)/(MATCH(9.99E+307,'Returns (Calc)'!$A:$A)-3),"")</f>
        <v>30.621132075471699</v>
      </c>
      <c r="AO34" s="153">
        <f>IFERROR('Price History'!V3+(INDEX('Price History'!V:V,MATCH(9.99E+307,'Returns (Calc)'!$A:$A)+1)-'Price History'!V3)*(ROW()-3)/(MATCH(9.99E+307,'Returns (Calc)'!$A:$A)-3),"")</f>
        <v>264.84018867924527</v>
      </c>
      <c r="AP34" s="151">
        <f>IFERROR(IF(OR(NOT(ISNUMBER('Price History'!W35)),NOT(ISNUMBER('Price History'!W34)),'Price History'!W34=0),"",'Price History'!W35/'Price History'!W34-1),"")</f>
        <v>1.2349092249562155E-2</v>
      </c>
      <c r="AQ34" s="151" t="str">
        <f>IFERROR(IF(OR(NOT(ISNUMBER('Price History'!X35)),NOT(ISNUMBER('Price History'!X34)),'Price History'!X34=0),"",'Price History'!X35/'Price History'!X34-1),"")</f>
        <v/>
      </c>
      <c r="AR34" s="151">
        <f>IFERROR(IF(OR(NOT(ISNUMBER('Price History'!Y35)),NOT(ISNUMBER('Price History'!Y34)),'Price History'!Y34=0),"",'Price History'!Y35/'Price History'!Y34-1),"")</f>
        <v>1.4964788732394263E-2</v>
      </c>
      <c r="AS34" s="151">
        <f>IFERROR(IF(OR(NOT(ISNUMBER('Price History'!Z35)),NOT(ISNUMBER('Price History'!Z34)),'Price History'!Z34=0),"",'Price History'!Z35/'Price History'!Z34-1),"")</f>
        <v>9.649603065973178E-2</v>
      </c>
      <c r="AT34" s="151">
        <f>IFERROR(IF(OR(NOT(ISNUMBER('Price History'!AA35)),NOT(ISNUMBER('Price History'!AA34)),'Price History'!AA34=0),"",'Price History'!AA35/'Price History'!AA34-1),"")</f>
        <v>1.1171171171171057E-2</v>
      </c>
      <c r="AU34" s="151">
        <f>IFERROR(IF(OR(NOT(ISNUMBER('Price History'!AB35)),NOT(ISNUMBER('Price History'!AB34)),'Price History'!AB34=0),"",'Price History'!AB35/'Price History'!AB34-1),"")</f>
        <v>1.2753301744127477E-2</v>
      </c>
    </row>
    <row r="35" spans="1:47" ht="15" customHeight="1" x14ac:dyDescent="0.2">
      <c r="A35" s="149">
        <f>IF('Price History'!A36="","",'Price History'!A36)</f>
        <v>45415</v>
      </c>
      <c r="B35" s="150">
        <f>IFERROR(IF(OR(NOT(ISNUMBER('Price History'!B36)),NOT(ISNUMBER('Price History'!B35)),'Price History'!B35=0),"",'Price History'!B36/'Price History'!B35-1),"")</f>
        <v>1.8050087947064197E-2</v>
      </c>
      <c r="C35" s="150">
        <f>IFERROR(IF(OR(NOT(ISNUMBER('Price History'!C36)),NOT(ISNUMBER('Price History'!C35)),'Price History'!C35=0),"",'Price History'!C36/'Price History'!C35-1),"")</f>
        <v>3.6566938652160541E-2</v>
      </c>
      <c r="D35" s="150">
        <f>IFERROR(IF(OR(NOT(ISNUMBER('Price History'!D36)),NOT(ISNUMBER('Price History'!D35)),'Price History'!D35=0),"",'Price History'!D36/'Price History'!D35-1),"")</f>
        <v>-1.8866042232444702E-2</v>
      </c>
      <c r="E35" s="150">
        <f>IFERROR(IF(OR(NOT(ISNUMBER('Price History'!E36)),NOT(ISNUMBER('Price History'!E35)),'Price History'!E35=0),"",'Price History'!E36/'Price History'!E35-1),"")</f>
        <v>-4.9059190980422107E-2</v>
      </c>
      <c r="F35" s="150">
        <f>IFERROR(IF(OR(NOT(ISNUMBER('Price History'!F36)),NOT(ISNUMBER('Price History'!F35)),'Price History'!F35=0),"",'Price History'!F36/'Price History'!F35-1),"")</f>
        <v>2.0126282557221709E-2</v>
      </c>
      <c r="G35" s="150">
        <f>IFERROR(IF(OR(NOT(ISNUMBER('Price History'!G36)),NOT(ISNUMBER('Price History'!G35)),'Price History'!G35=0),"",'Price History'!G36/'Price History'!G35-1),"")</f>
        <v>-1.3706535853412194E-2</v>
      </c>
      <c r="H35" s="150">
        <f>IFERROR(IF(OR(NOT(ISNUMBER('Price History'!H36)),NOT(ISNUMBER('Price History'!H35)),'Price History'!H35=0),"",'Price History'!H36/'Price History'!H35-1),"")</f>
        <v>-1.2278547623224556E-3</v>
      </c>
      <c r="I35" s="150">
        <f>IFERROR(IF(OR(NOT(ISNUMBER('Price History'!I36)),NOT(ISNUMBER('Price History'!I35)),'Price History'!I35=0),"",'Price History'!I36/'Price History'!I35-1),"")</f>
        <v>1.2001371585324216E-2</v>
      </c>
      <c r="J35" s="150">
        <f>IFERROR(IF(OR(NOT(ISNUMBER('Price History'!J36)),NOT(ISNUMBER('Price History'!J35)),'Price History'!J35=0),"",'Price History'!J36/'Price History'!J35-1),"")</f>
        <v>1.7538365173817683E-2</v>
      </c>
      <c r="K35" s="150">
        <f>IFERROR(IF(OR(NOT(ISNUMBER('Price History'!K36)),NOT(ISNUMBER('Price History'!K35)),'Price History'!K35=0),"",'Price History'!K36/'Price History'!K35-1),"")</f>
        <v>3.5968028419182785E-2</v>
      </c>
      <c r="L35" s="150">
        <f>IFERROR(IF(OR(NOT(ISNUMBER('Price History'!L36)),NOT(ISNUMBER('Price History'!L35)),'Price History'!L35=0),"",'Price History'!L36/'Price History'!L35-1),"")</f>
        <v>2.357329354718396E-2</v>
      </c>
      <c r="M35" s="150">
        <f>IFERROR(IF(OR(NOT(ISNUMBER('Price History'!M36)),NOT(ISNUMBER('Price History'!M35)),'Price History'!M35=0),"",'Price History'!M36/'Price History'!M35-1),"")</f>
        <v>-5.149662053427595E-3</v>
      </c>
      <c r="N35" s="150">
        <f>IFERROR(IF(OR(NOT(ISNUMBER('Price History'!N36)),NOT(ISNUMBER('Price History'!N35)),'Price History'!N35=0),"",'Price History'!N36/'Price History'!N35-1),"")</f>
        <v>9.0570594746903765E-3</v>
      </c>
      <c r="O35" s="150">
        <f>IFERROR(IF(OR(NOT(ISNUMBER('Price History'!O36)),NOT(ISNUMBER('Price History'!O35)),'Price History'!O35=0),"",'Price History'!O36/'Price History'!O35-1),"")</f>
        <v>6.8011527377522807E-3</v>
      </c>
      <c r="P35" s="150">
        <f>IFERROR(IF(OR(NOT(ISNUMBER('Price History'!P36)),NOT(ISNUMBER('Price History'!P35)),'Price History'!P35=0),"",'Price History'!P36/'Price History'!P35-1),"")</f>
        <v>1.2240796565269108E-2</v>
      </c>
      <c r="Q35" s="150">
        <f>IFERROR(IF(OR(NOT(ISNUMBER('Price History'!Q36)),NOT(ISNUMBER('Price History'!Q35)),'Price History'!Q35=0),"",'Price History'!Q36/'Price History'!Q35-1),"")</f>
        <v>4.2155425219940756E-3</v>
      </c>
      <c r="R35" s="150">
        <f>IFERROR(IF(OR(NOT(ISNUMBER('Price History'!R36)),NOT(ISNUMBER('Price History'!R35)),'Price History'!R35=0),"",'Price History'!R36/'Price History'!R35-1),"")</f>
        <v>1.0040160642570184E-2</v>
      </c>
      <c r="S35" s="150">
        <f>IFERROR(IF(OR(NOT(ISNUMBER('Price History'!S36)),NOT(ISNUMBER('Price History'!S35)),'Price History'!S35=0),"",'Price History'!S36/'Price History'!S35-1),"")</f>
        <v>9.7715568466920644E-3</v>
      </c>
      <c r="T35" s="150">
        <f>IFERROR(IF(OR(NOT(ISNUMBER('Price History'!T36)),NOT(ISNUMBER('Price History'!T35)),'Price History'!T35=0),"",'Price History'!T36/'Price History'!T35-1),"")</f>
        <v>-1.5506433520290241E-2</v>
      </c>
      <c r="U35" s="150">
        <f>IFERROR(IF(OR(NOT(ISNUMBER('Price History'!U36)),NOT(ISNUMBER('Price History'!U35)),'Price History'!U35=0),"",'Price History'!U36/'Price History'!U35-1),"")</f>
        <v>6.3640220619431975E-3</v>
      </c>
      <c r="V35" s="151">
        <f>IFERROR(IF(OR(NOT(ISNUMBER('Price History'!V36)),NOT(ISNUMBER('Price History'!V35)),'Price History'!V35=0),"",'Price History'!V36/'Price History'!V35-1),"")</f>
        <v>-2.1937639198218117E-2</v>
      </c>
      <c r="W35" s="152">
        <f>IFERROR('Price History'!B3+(INDEX('Price History'!B:B,MATCH(9.99E+307,'Returns (Calc)'!$A:$A)+1)-'Price History'!B3)*(ROW()-3)/(MATCH(9.99E+307,'Returns (Calc)'!$A:$A)-3),"")</f>
        <v>471.20547169811317</v>
      </c>
      <c r="X35" s="152">
        <f>IFERROR('Price History'!C3+(INDEX('Price History'!C:C,MATCH(9.99E+307,'Returns (Calc)'!$A:$A)+1)-'Price History'!C3)*(ROW()-3)/(MATCH(9.99E+307,'Returns (Calc)'!$A:$A)-3),"")</f>
        <v>80.506540880503138</v>
      </c>
      <c r="Y35" s="152">
        <f>IFERROR('Price History'!D3+(INDEX('Price History'!D:D,MATCH(9.99E+307,'Returns (Calc)'!$A:$A)+1)-'Price History'!D3)*(ROW()-3)/(MATCH(9.99E+307,'Returns (Calc)'!$A:$A)-3),"")</f>
        <v>823.18333333333328</v>
      </c>
      <c r="Z35" s="152">
        <f>IFERROR('Price History'!E3+(INDEX('Price History'!E:E,MATCH(9.99E+307,'Returns (Calc)'!$A:$A)+1)-'Price History'!E3)*(ROW()-3)/(MATCH(9.99E+307,'Returns (Calc)'!$A:$A)-3),"")</f>
        <v>138.25962264150945</v>
      </c>
      <c r="AA35" s="152">
        <f>IFERROR('Price History'!F3+(INDEX('Price History'!F:F,MATCH(9.99E+307,'Returns (Calc)'!$A:$A)+1)-'Price History'!F3)*(ROW()-3)/(MATCH(9.99E+307,'Returns (Calc)'!$A:$A)-3),"")</f>
        <v>88.389937106918239</v>
      </c>
      <c r="AB35" s="152">
        <f>IFERROR('Price History'!G3+(INDEX('Price History'!G:G,MATCH(9.99E+307,'Returns (Calc)'!$A:$A)+1)-'Price History'!G3)*(ROW()-3)/(MATCH(9.99E+307,'Returns (Calc)'!$A:$A)-3),"")</f>
        <v>74.784213836477988</v>
      </c>
      <c r="AC35" s="152">
        <f>IFERROR('Price History'!H3+(INDEX('Price History'!H:H,MATCH(9.99E+307,'Returns (Calc)'!$A:$A)+1)-'Price History'!H3)*(ROW()-3)/(MATCH(9.99E+307,'Returns (Calc)'!$A:$A)-3),"")</f>
        <v>262.29540880503146</v>
      </c>
      <c r="AD35" s="152">
        <f>IFERROR('Price History'!I3+(INDEX('Price History'!I:I,MATCH(9.99E+307,'Returns (Calc)'!$A:$A)+1)-'Price History'!I3)*(ROW()-3)/(MATCH(9.99E+307,'Returns (Calc)'!$A:$A)-3),"")</f>
        <v>81.105345911949684</v>
      </c>
      <c r="AE35" s="152">
        <f>IFERROR('Price History'!J3+(INDEX('Price History'!J:J,MATCH(9.99E+307,'Returns (Calc)'!$A:$A)+1)-'Price History'!J3)*(ROW()-3)/(MATCH(9.99E+307,'Returns (Calc)'!$A:$A)-3),"")</f>
        <v>115.39220125786164</v>
      </c>
      <c r="AF35" s="152">
        <f>IFERROR('Price History'!K3+(INDEX('Price History'!K:K,MATCH(9.99E+307,'Returns (Calc)'!$A:$A)+1)-'Price History'!K3)*(ROW()-3)/(MATCH(9.99E+307,'Returns (Calc)'!$A:$A)-3),"")</f>
        <v>54.317672955974842</v>
      </c>
      <c r="AG35" s="152">
        <f>IFERROR('Price History'!L3+(INDEX('Price History'!L:L,MATCH(9.99E+307,'Returns (Calc)'!$A:$A)+1)-'Price History'!L3)*(ROW()-3)/(MATCH(9.99E+307,'Returns (Calc)'!$A:$A)-3),"")</f>
        <v>159.72433962264151</v>
      </c>
      <c r="AH35" s="152">
        <f>IFERROR('Price History'!M3+(INDEX('Price History'!M:M,MATCH(9.99E+307,'Returns (Calc)'!$A:$A)+1)-'Price History'!M3)*(ROW()-3)/(MATCH(9.99E+307,'Returns (Calc)'!$A:$A)-3),"")</f>
        <v>79.229559748427675</v>
      </c>
      <c r="AI35" s="152">
        <f>IFERROR('Price History'!N3+(INDEX('Price History'!N:N,MATCH(9.99E+307,'Returns (Calc)'!$A:$A)+1)-'Price History'!N3)*(ROW()-3)/(MATCH(9.99E+307,'Returns (Calc)'!$A:$A)-3),"")</f>
        <v>381.33874213836475</v>
      </c>
      <c r="AJ35" s="152">
        <f>IFERROR('Price History'!O3+(INDEX('Price History'!O:O,MATCH(9.99E+307,'Returns (Calc)'!$A:$A)+1)-'Price History'!O3)*(ROW()-3)/(MATCH(9.99E+307,'Returns (Calc)'!$A:$A)-3),"")</f>
        <v>84.231761006289304</v>
      </c>
      <c r="AK35" s="152">
        <f>IFERROR('Price History'!Q3+(INDEX('Price History'!Q:Q,MATCH(9.99E+307,'Returns (Calc)'!$A:$A)+1)-'Price History'!Q3)*(ROW()-3)/(MATCH(9.99E+307,'Returns (Calc)'!$A:$A)-3),"")</f>
        <v>14.082012578616352</v>
      </c>
      <c r="AL35" s="152">
        <f>IFERROR('Price History'!R3+(INDEX('Price History'!R:R,MATCH(9.99E+307,'Returns (Calc)'!$A:$A)+1)-'Price History'!R3)*(ROW()-3)/(MATCH(9.99E+307,'Returns (Calc)'!$A:$A)-3),"")</f>
        <v>39.835471698113203</v>
      </c>
      <c r="AM35" s="152">
        <f>IFERROR('Price History'!S3+(INDEX('Price History'!S:S,MATCH(9.99E+307,'Returns (Calc)'!$A:$A)+1)-'Price History'!S3)*(ROW()-3)/(MATCH(9.99E+307,'Returns (Calc)'!$A:$A)-3),"")</f>
        <v>76.453647798742139</v>
      </c>
      <c r="AN35" s="152">
        <f>IFERROR('Price History'!T3+(INDEX('Price History'!T:T,MATCH(9.99E+307,'Returns (Calc)'!$A:$A)+1)-'Price History'!T3)*(ROW()-3)/(MATCH(9.99E+307,'Returns (Calc)'!$A:$A)-3),"")</f>
        <v>30.794716981132076</v>
      </c>
      <c r="AO35" s="153">
        <f>IFERROR('Price History'!V3+(INDEX('Price History'!V:V,MATCH(9.99E+307,'Returns (Calc)'!$A:$A)+1)-'Price History'!V3)*(ROW()-3)/(MATCH(9.99E+307,'Returns (Calc)'!$A:$A)-3),"")</f>
        <v>265.78245283018867</v>
      </c>
      <c r="AP35" s="151">
        <f>IFERROR(IF(OR(NOT(ISNUMBER('Price History'!W36)),NOT(ISNUMBER('Price History'!W35)),'Price History'!W35=0),"",'Price History'!W36/'Price History'!W35-1),"")</f>
        <v>-2.0937642239416965E-3</v>
      </c>
      <c r="AQ35" s="151" t="str">
        <f>IFERROR(IF(OR(NOT(ISNUMBER('Price History'!X36)),NOT(ISNUMBER('Price History'!X35)),'Price History'!X35=0),"",'Price History'!X36/'Price History'!X35-1),"")</f>
        <v/>
      </c>
      <c r="AR35" s="151">
        <f>IFERROR(IF(OR(NOT(ISNUMBER('Price History'!Y36)),NOT(ISNUMBER('Price History'!Y35)),'Price History'!Y35=0),"",'Price History'!Y36/'Price History'!Y35-1),"")</f>
        <v>1.9514310494364029E-3</v>
      </c>
      <c r="AS35" s="151">
        <f>IFERROR(IF(OR(NOT(ISNUMBER('Price History'!Z36)),NOT(ISNUMBER('Price History'!Z35)),'Price History'!Z35=0),"",'Price History'!Z36/'Price History'!Z35-1),"")</f>
        <v>1.0860067407314933E-2</v>
      </c>
      <c r="AT35" s="151">
        <f>IFERROR(IF(OR(NOT(ISNUMBER('Price History'!AA36)),NOT(ISNUMBER('Price History'!AA35)),'Price History'!AA35=0),"",'Price History'!AA36/'Price History'!AA35-1),"")</f>
        <v>3.22523164647186E-2</v>
      </c>
      <c r="AU35" s="151">
        <f>IFERROR(IF(OR(NOT(ISNUMBER('Price History'!AB36)),NOT(ISNUMBER('Price History'!AB35)),'Price History'!AB35=0),"",'Price History'!AB36/'Price History'!AB35-1),"")</f>
        <v>1.2642476730874375E-2</v>
      </c>
    </row>
    <row r="36" spans="1:47" ht="15" customHeight="1" x14ac:dyDescent="0.2">
      <c r="A36" s="149">
        <f>IF('Price History'!A37="","",'Price History'!A37)</f>
        <v>45422</v>
      </c>
      <c r="B36" s="150">
        <f>IFERROR(IF(OR(NOT(ISNUMBER('Price History'!B37)),NOT(ISNUMBER('Price History'!B36)),'Price History'!B36=0),"",'Price History'!B37/'Price History'!B36-1),"")</f>
        <v>-8.0011518367681944E-3</v>
      </c>
      <c r="C36" s="150">
        <f>IFERROR(IF(OR(NOT(ISNUMBER('Price History'!C37)),NOT(ISNUMBER('Price History'!C36)),'Price History'!C36=0),"",'Price History'!C37/'Price History'!C36-1),"")</f>
        <v>0.14446064139941717</v>
      </c>
      <c r="D36" s="150">
        <f>IFERROR(IF(OR(NOT(ISNUMBER('Price History'!D37)),NOT(ISNUMBER('Price History'!D36)),'Price History'!D36=0),"",'Price History'!D37/'Price History'!D36-1),"")</f>
        <v>3.1780642391513014E-2</v>
      </c>
      <c r="E36" s="150">
        <f>IFERROR(IF(OR(NOT(ISNUMBER('Price History'!E37)),NOT(ISNUMBER('Price History'!E36)),'Price History'!E36=0),"",'Price History'!E37/'Price History'!E36-1),"")</f>
        <v>4.2778178322518512E-2</v>
      </c>
      <c r="F36" s="150">
        <f>IFERROR(IF(OR(NOT(ISNUMBER('Price History'!F37)),NOT(ISNUMBER('Price History'!F36)),'Price History'!F36=0),"",'Price History'!F37/'Price History'!F36-1),"")</f>
        <v>3.4042553191489411E-2</v>
      </c>
      <c r="G36" s="150">
        <f>IFERROR(IF(OR(NOT(ISNUMBER('Price History'!G37)),NOT(ISNUMBER('Price History'!G36)),'Price History'!G36=0),"",'Price History'!G37/'Price History'!G36-1),"")</f>
        <v>3.1158572264482043E-2</v>
      </c>
      <c r="H36" s="150">
        <f>IFERROR(IF(OR(NOT(ISNUMBER('Price History'!H37)),NOT(ISNUMBER('Price History'!H36)),'Price History'!H36=0),"",'Price History'!H37/'Price History'!H36-1),"")</f>
        <v>5.7077625570776336E-2</v>
      </c>
      <c r="I36" s="150">
        <f>IFERROR(IF(OR(NOT(ISNUMBER('Price History'!I37)),NOT(ISNUMBER('Price History'!I36)),'Price History'!I36=0),"",'Price History'!I37/'Price History'!I36-1),"")</f>
        <v>1.2197876665913654E-2</v>
      </c>
      <c r="J36" s="150">
        <f>IFERROR(IF(OR(NOT(ISNUMBER('Price History'!J37)),NOT(ISNUMBER('Price History'!J36)),'Price History'!J36=0),"",'Price History'!J37/'Price History'!J36-1),"")</f>
        <v>1.5184159228480709E-2</v>
      </c>
      <c r="K36" s="150">
        <f>IFERROR(IF(OR(NOT(ISNUMBER('Price History'!K37)),NOT(ISNUMBER('Price History'!K36)),'Price History'!K36=0),"",'Price History'!K37/'Price History'!K36-1),"")</f>
        <v>-0.11701671667381042</v>
      </c>
      <c r="L36" s="150">
        <f>IFERROR(IF(OR(NOT(ISNUMBER('Price History'!L37)),NOT(ISNUMBER('Price History'!L36)),'Price History'!L36=0),"",'Price History'!L37/'Price History'!L36-1),"")</f>
        <v>5.4369215071787602E-2</v>
      </c>
      <c r="M36" s="150">
        <f>IFERROR(IF(OR(NOT(ISNUMBER('Price History'!M37)),NOT(ISNUMBER('Price History'!M36)),'Price History'!M36=0),"",'Price History'!M37/'Price History'!M36-1),"")</f>
        <v>2.5773751752399487E-2</v>
      </c>
      <c r="N36" s="150">
        <f>IFERROR(IF(OR(NOT(ISNUMBER('Price History'!N37)),NOT(ISNUMBER('Price History'!N36)),'Price History'!N36=0),"",'Price History'!N37/'Price History'!N36-1),"")</f>
        <v>5.4103919417572532E-2</v>
      </c>
      <c r="O36" s="150">
        <f>IFERROR(IF(OR(NOT(ISNUMBER('Price History'!O37)),NOT(ISNUMBER('Price History'!O36)),'Price History'!O36=0),"",'Price History'!O37/'Price History'!O36-1),"")</f>
        <v>1.7288756583466736E-2</v>
      </c>
      <c r="P36" s="150">
        <f>IFERROR(IF(OR(NOT(ISNUMBER('Price History'!P37)),NOT(ISNUMBER('Price History'!P36)),'Price History'!P36=0),"",'Price History'!P37/'Price History'!P36-1),"")</f>
        <v>2.4727010197635568E-2</v>
      </c>
      <c r="Q36" s="150">
        <f>IFERROR(IF(OR(NOT(ISNUMBER('Price History'!Q37)),NOT(ISNUMBER('Price History'!Q36)),'Price History'!Q36=0),"",'Price History'!Q37/'Price History'!Q36-1),"")</f>
        <v>1.5513779886840773E-2</v>
      </c>
      <c r="R36" s="150">
        <f>IFERROR(IF(OR(NOT(ISNUMBER('Price History'!R37)),NOT(ISNUMBER('Price History'!R36)),'Price History'!R36=0),"",'Price History'!R37/'Price History'!R36-1),"")</f>
        <v>1.391650099403563E-2</v>
      </c>
      <c r="S36" s="150">
        <f>IFERROR(IF(OR(NOT(ISNUMBER('Price History'!S37)),NOT(ISNUMBER('Price History'!S36)),'Price History'!S36=0),"",'Price History'!S37/'Price History'!S36-1),"")</f>
        <v>2.2230940238001873E-2</v>
      </c>
      <c r="T36" s="150">
        <f>IFERROR(IF(OR(NOT(ISNUMBER('Price History'!T37)),NOT(ISNUMBER('Price History'!T36)),'Price History'!T36=0),"",'Price History'!T37/'Price History'!T36-1),"")</f>
        <v>2.2453083109919669E-2</v>
      </c>
      <c r="U36" s="150">
        <f>IFERROR(IF(OR(NOT(ISNUMBER('Price History'!U37)),NOT(ISNUMBER('Price History'!U36)),'Price History'!U36=0),"",'Price History'!U37/'Price History'!U36-1),"")</f>
        <v>1.6863406408094583E-2</v>
      </c>
      <c r="V36" s="151">
        <f>IFERROR(IF(OR(NOT(ISNUMBER('Price History'!V37)),NOT(ISNUMBER('Price History'!V36)),'Price History'!V36=0),"",'Price History'!V37/'Price History'!V36-1),"")</f>
        <v>4.5618429541917971E-2</v>
      </c>
      <c r="W36" s="152">
        <f>IFERROR('Price History'!B3+(INDEX('Price History'!B:B,MATCH(9.99E+307,'Returns (Calc)'!$A:$A)+1)-'Price History'!B3)*(ROW()-3)/(MATCH(9.99E+307,'Returns (Calc)'!$A:$A)-3),"")</f>
        <v>469.40283018867922</v>
      </c>
      <c r="X36" s="152">
        <f>IFERROR('Price History'!C3+(INDEX('Price History'!C:C,MATCH(9.99E+307,'Returns (Calc)'!$A:$A)+1)-'Price History'!C3)*(ROW()-3)/(MATCH(9.99E+307,'Returns (Calc)'!$A:$A)-3),"")</f>
        <v>81.579245283018878</v>
      </c>
      <c r="Y36" s="152">
        <f>IFERROR('Price History'!D3+(INDEX('Price History'!D:D,MATCH(9.99E+307,'Returns (Calc)'!$A:$A)+1)-'Price History'!D3)*(ROW()-3)/(MATCH(9.99E+307,'Returns (Calc)'!$A:$A)-3),"")</f>
        <v>830.72</v>
      </c>
      <c r="Z36" s="152">
        <f>IFERROR('Price History'!E3+(INDEX('Price History'!E:E,MATCH(9.99E+307,'Returns (Calc)'!$A:$A)+1)-'Price History'!E3)*(ROW()-3)/(MATCH(9.99E+307,'Returns (Calc)'!$A:$A)-3),"")</f>
        <v>140.01773584905661</v>
      </c>
      <c r="AA36" s="152">
        <f>IFERROR('Price History'!F3+(INDEX('Price History'!F:F,MATCH(9.99E+307,'Returns (Calc)'!$A:$A)+1)-'Price History'!F3)*(ROW()-3)/(MATCH(9.99E+307,'Returns (Calc)'!$A:$A)-3),"")</f>
        <v>89.859622641509446</v>
      </c>
      <c r="AB36" s="152">
        <f>IFERROR('Price History'!G3+(INDEX('Price History'!G:G,MATCH(9.99E+307,'Returns (Calc)'!$A:$A)+1)-'Price History'!G3)*(ROW()-3)/(MATCH(9.99E+307,'Returns (Calc)'!$A:$A)-3),"")</f>
        <v>75.735283018867932</v>
      </c>
      <c r="AC36" s="152">
        <f>IFERROR('Price History'!H3+(INDEX('Price History'!H:H,MATCH(9.99E+307,'Returns (Calc)'!$A:$A)+1)-'Price History'!H3)*(ROW()-3)/(MATCH(9.99E+307,'Returns (Calc)'!$A:$A)-3),"")</f>
        <v>268.33245283018869</v>
      </c>
      <c r="AD36" s="152">
        <f>IFERROR('Price History'!I3+(INDEX('Price History'!I:I,MATCH(9.99E+307,'Returns (Calc)'!$A:$A)+1)-'Price History'!I3)*(ROW()-3)/(MATCH(9.99E+307,'Returns (Calc)'!$A:$A)-3),"")</f>
        <v>82.272075471698116</v>
      </c>
      <c r="AE36" s="152">
        <f>IFERROR('Price History'!J3+(INDEX('Price History'!J:J,MATCH(9.99E+307,'Returns (Calc)'!$A:$A)+1)-'Price History'!J3)*(ROW()-3)/(MATCH(9.99E+307,'Returns (Calc)'!$A:$A)-3),"")</f>
        <v>115.50320754716982</v>
      </c>
      <c r="AF36" s="152">
        <f>IFERROR('Price History'!K3+(INDEX('Price History'!K:K,MATCH(9.99E+307,'Returns (Calc)'!$A:$A)+1)-'Price History'!K3)*(ROW()-3)/(MATCH(9.99E+307,'Returns (Calc)'!$A:$A)-3),"")</f>
        <v>55.536037735849057</v>
      </c>
      <c r="AG36" s="152">
        <f>IFERROR('Price History'!L3+(INDEX('Price History'!L:L,MATCH(9.99E+307,'Returns (Calc)'!$A:$A)+1)-'Price History'!L3)*(ROW()-3)/(MATCH(9.99E+307,'Returns (Calc)'!$A:$A)-3),"")</f>
        <v>162.03603773584905</v>
      </c>
      <c r="AH36" s="152">
        <f>IFERROR('Price History'!M3+(INDEX('Price History'!M:M,MATCH(9.99E+307,'Returns (Calc)'!$A:$A)+1)-'Price History'!M3)*(ROW()-3)/(MATCH(9.99E+307,'Returns (Calc)'!$A:$A)-3),"")</f>
        <v>80.517358490566039</v>
      </c>
      <c r="AI36" s="152">
        <f>IFERROR('Price History'!N3+(INDEX('Price History'!N:N,MATCH(9.99E+307,'Returns (Calc)'!$A:$A)+1)-'Price History'!N3)*(ROW()-3)/(MATCH(9.99E+307,'Returns (Calc)'!$A:$A)-3),"")</f>
        <v>382.35245283018867</v>
      </c>
      <c r="AJ36" s="152">
        <f>IFERROR('Price History'!O3+(INDEX('Price History'!O:O,MATCH(9.99E+307,'Returns (Calc)'!$A:$A)+1)-'Price History'!O3)*(ROW()-3)/(MATCH(9.99E+307,'Returns (Calc)'!$A:$A)-3),"")</f>
        <v>84.510566037735856</v>
      </c>
      <c r="AK36" s="152">
        <f>IFERROR('Price History'!Q3+(INDEX('Price History'!Q:Q,MATCH(9.99E+307,'Returns (Calc)'!$A:$A)+1)-'Price History'!Q3)*(ROW()-3)/(MATCH(9.99E+307,'Returns (Calc)'!$A:$A)-3),"")</f>
        <v>14.522075471698111</v>
      </c>
      <c r="AL36" s="152">
        <f>IFERROR('Price History'!R3+(INDEX('Price History'!R:R,MATCH(9.99E+307,'Returns (Calc)'!$A:$A)+1)-'Price History'!R3)*(ROW()-3)/(MATCH(9.99E+307,'Returns (Calc)'!$A:$A)-3),"")</f>
        <v>40.002830188679241</v>
      </c>
      <c r="AM36" s="152">
        <f>IFERROR('Price History'!S3+(INDEX('Price History'!S:S,MATCH(9.99E+307,'Returns (Calc)'!$A:$A)+1)-'Price History'!S3)*(ROW()-3)/(MATCH(9.99E+307,'Returns (Calc)'!$A:$A)-3),"")</f>
        <v>77.041886792452829</v>
      </c>
      <c r="AN36" s="152">
        <f>IFERROR('Price History'!T3+(INDEX('Price History'!T:T,MATCH(9.99E+307,'Returns (Calc)'!$A:$A)+1)-'Price History'!T3)*(ROW()-3)/(MATCH(9.99E+307,'Returns (Calc)'!$A:$A)-3),"")</f>
        <v>30.968301886792453</v>
      </c>
      <c r="AO36" s="153">
        <f>IFERROR('Price History'!V3+(INDEX('Price History'!V:V,MATCH(9.99E+307,'Returns (Calc)'!$A:$A)+1)-'Price History'!V3)*(ROW()-3)/(MATCH(9.99E+307,'Returns (Calc)'!$A:$A)-3),"")</f>
        <v>266.72471698113208</v>
      </c>
      <c r="AP36" s="151">
        <f>IFERROR(IF(OR(NOT(ISNUMBER('Price History'!W37)),NOT(ISNUMBER('Price History'!W36)),'Price History'!W36=0),"",'Price History'!W37/'Price History'!W36-1),"")</f>
        <v>2.344462689290272E-2</v>
      </c>
      <c r="AQ36" s="151" t="str">
        <f>IFERROR(IF(OR(NOT(ISNUMBER('Price History'!X37)),NOT(ISNUMBER('Price History'!X36)),'Price History'!X36=0),"",'Price History'!X37/'Price History'!X36-1),"")</f>
        <v/>
      </c>
      <c r="AR36" s="151">
        <f>IFERROR(IF(OR(NOT(ISNUMBER('Price History'!Y37)),NOT(ISNUMBER('Price History'!Y36)),'Price History'!Y36=0),"",'Price History'!Y37/'Price History'!Y36-1),"")</f>
        <v>1.8610690326769097E-2</v>
      </c>
      <c r="AS36" s="151">
        <f>IFERROR(IF(OR(NOT(ISNUMBER('Price History'!Z37)),NOT(ISNUMBER('Price History'!Z36)),'Price History'!Z36=0),"",'Price History'!Z37/'Price History'!Z36-1),"")</f>
        <v>-4.4455421091627034E-3</v>
      </c>
      <c r="AT36" s="151">
        <f>IFERROR(IF(OR(NOT(ISNUMBER('Price History'!AA37)),NOT(ISNUMBER('Price History'!AA36)),'Price History'!AA36=0),"",'Price History'!AA37/'Price History'!AA36-1),"")</f>
        <v>5.4548593129639222E-2</v>
      </c>
      <c r="AU36" s="151">
        <f>IFERROR(IF(OR(NOT(ISNUMBER('Price History'!AB37)),NOT(ISNUMBER('Price History'!AB36)),'Price History'!AB36=0),"",'Price History'!AB37/'Price History'!AB36-1),"")</f>
        <v>1.6220201523715616E-3</v>
      </c>
    </row>
    <row r="37" spans="1:47" ht="15" customHeight="1" x14ac:dyDescent="0.2">
      <c r="A37" s="149">
        <f>IF('Price History'!A38="","",'Price History'!A38)</f>
        <v>45429</v>
      </c>
      <c r="B37" s="150">
        <f>IFERROR(IF(OR(NOT(ISNUMBER('Price History'!B38)),NOT(ISNUMBER('Price History'!B37)),'Price History'!B37=0),"",'Price History'!B38/'Price History'!B37-1),"")</f>
        <v>2.3637230711812673E-3</v>
      </c>
      <c r="C37" s="150">
        <f>IFERROR(IF(OR(NOT(ISNUMBER('Price History'!C38)),NOT(ISNUMBER('Price History'!C37)),'Price History'!C37=0),"",'Price History'!C38/'Price History'!C37-1),"")</f>
        <v>1.8596357151955178E-2</v>
      </c>
      <c r="D37" s="150">
        <f>IFERROR(IF(OR(NOT(ISNUMBER('Price History'!D38)),NOT(ISNUMBER('Price History'!D37)),'Price History'!D37=0),"",'Price History'!D38/'Price History'!D37-1),"")</f>
        <v>-5.715787398988259E-3</v>
      </c>
      <c r="E37" s="150">
        <f>IFERROR(IF(OR(NOT(ISNUMBER('Price History'!E38)),NOT(ISNUMBER('Price History'!E37)),'Price History'!E37=0),"",'Price History'!E38/'Price History'!E37-1),"")</f>
        <v>4.6861796112775744E-2</v>
      </c>
      <c r="F37" s="150">
        <f>IFERROR(IF(OR(NOT(ISNUMBER('Price History'!F38)),NOT(ISNUMBER('Price History'!F37)),'Price History'!F37=0),"",'Price History'!F38/'Price History'!F37-1),"")</f>
        <v>7.8438708068337748E-2</v>
      </c>
      <c r="G37" s="150">
        <f>IFERROR(IF(OR(NOT(ISNUMBER('Price History'!G38)),NOT(ISNUMBER('Price History'!G37)),'Price History'!G37=0),"",'Price History'!G38/'Price History'!G37-1),"")</f>
        <v>4.2984820541920765E-2</v>
      </c>
      <c r="H37" s="150">
        <f>IFERROR(IF(OR(NOT(ISNUMBER('Price History'!H38)),NOT(ISNUMBER('Price History'!H37)),'Price History'!H37=0),"",'Price History'!H38/'Price History'!H37-1),"")</f>
        <v>3.3394251536800201E-2</v>
      </c>
      <c r="I37" s="150">
        <f>IFERROR(IF(OR(NOT(ISNUMBER('Price History'!I38)),NOT(ISNUMBER('Price History'!I37)),'Price History'!I37=0),"",'Price History'!I38/'Price History'!I37-1),"")</f>
        <v>2.9011381388083013E-2</v>
      </c>
      <c r="J37" s="150">
        <f>IFERROR(IF(OR(NOT(ISNUMBER('Price History'!J38)),NOT(ISNUMBER('Price History'!J37)),'Price History'!J37=0),"",'Price History'!J38/'Price History'!J37-1),"")</f>
        <v>3.7291561394643846E-2</v>
      </c>
      <c r="K37" s="150">
        <f>IFERROR(IF(OR(NOT(ISNUMBER('Price History'!K38)),NOT(ISNUMBER('Price History'!K37)),'Price History'!K37=0),"",'Price History'!K38/'Price History'!K37-1),"")</f>
        <v>5.6310679611650594E-2</v>
      </c>
      <c r="L37" s="150">
        <f>IFERROR(IF(OR(NOT(ISNUMBER('Price History'!L38)),NOT(ISNUMBER('Price History'!L37)),'Price History'!L37=0),"",'Price History'!L38/'Price History'!L37-1),"")</f>
        <v>1.6243865348724906E-2</v>
      </c>
      <c r="M37" s="150">
        <f>IFERROR(IF(OR(NOT(ISNUMBER('Price History'!M38)),NOT(ISNUMBER('Price History'!M37)),'Price History'!M37=0),"",'Price History'!M38/'Price History'!M37-1),"")</f>
        <v>1.4718250630782137E-2</v>
      </c>
      <c r="N37" s="150">
        <f>IFERROR(IF(OR(NOT(ISNUMBER('Price History'!N38)),NOT(ISNUMBER('Price History'!N37)),'Price History'!N37=0),"",'Price History'!N38/'Price History'!N37-1),"")</f>
        <v>5.3053597615781323E-2</v>
      </c>
      <c r="O37" s="150">
        <f>IFERROR(IF(OR(NOT(ISNUMBER('Price History'!O38)),NOT(ISNUMBER('Price History'!O37)),'Price History'!O37=0),"",'Price History'!O38/'Price History'!O37-1),"")</f>
        <v>1.1029825548677596E-2</v>
      </c>
      <c r="P37" s="150">
        <f>IFERROR(IF(OR(NOT(ISNUMBER('Price History'!P38)),NOT(ISNUMBER('Price History'!P37)),'Price History'!P37=0),"",'Price History'!P38/'Price History'!P37-1),"")</f>
        <v>1.2153236459709449E-2</v>
      </c>
      <c r="Q37" s="150">
        <f>IFERROR(IF(OR(NOT(ISNUMBER('Price History'!Q38)),NOT(ISNUMBER('Price History'!Q37)),'Price History'!Q37=0),"",'Price History'!Q38/'Price History'!Q37-1),"")</f>
        <v>1.078360891444996E-2</v>
      </c>
      <c r="R37" s="150">
        <f>IFERROR(IF(OR(NOT(ISNUMBER('Price History'!R38)),NOT(ISNUMBER('Price History'!R37)),'Price History'!R37=0),"",'Price History'!R38/'Price History'!R37-1),"")</f>
        <v>1.2009803921568585E-2</v>
      </c>
      <c r="S37" s="150">
        <f>IFERROR(IF(OR(NOT(ISNUMBER('Price History'!S38)),NOT(ISNUMBER('Price History'!S37)),'Price History'!S37=0),"",'Price History'!S38/'Price History'!S37-1),"")</f>
        <v>1.5095305104259937E-2</v>
      </c>
      <c r="T37" s="150">
        <f>IFERROR(IF(OR(NOT(ISNUMBER('Price History'!T38)),NOT(ISNUMBER('Price History'!T37)),'Price History'!T37=0),"",'Price History'!T38/'Price History'!T37-1),"")</f>
        <v>9.5050803015404028E-3</v>
      </c>
      <c r="U37" s="150">
        <f>IFERROR(IF(OR(NOT(ISNUMBER('Price History'!U38)),NOT(ISNUMBER('Price History'!U37)),'Price History'!U37=0),"",'Price History'!U38/'Price History'!U37-1),"")</f>
        <v>9.9502487562188602E-3</v>
      </c>
      <c r="V37" s="151">
        <f>IFERROR(IF(OR(NOT(ISNUMBER('Price History'!V38)),NOT(ISNUMBER('Price History'!V37)),'Price History'!V37=0),"",'Price History'!V38/'Price History'!V37-1),"")</f>
        <v>-4.3555587818955299E-4</v>
      </c>
      <c r="W37" s="152">
        <f>IFERROR('Price History'!B3+(INDEX('Price History'!B:B,MATCH(9.99E+307,'Returns (Calc)'!$A:$A)+1)-'Price History'!B3)*(ROW()-3)/(MATCH(9.99E+307,'Returns (Calc)'!$A:$A)-3),"")</f>
        <v>467.60018867924526</v>
      </c>
      <c r="X37" s="152">
        <f>IFERROR('Price History'!C3+(INDEX('Price History'!C:C,MATCH(9.99E+307,'Returns (Calc)'!$A:$A)+1)-'Price History'!C3)*(ROW()-3)/(MATCH(9.99E+307,'Returns (Calc)'!$A:$A)-3),"")</f>
        <v>82.651949685534589</v>
      </c>
      <c r="Y37" s="152">
        <f>IFERROR('Price History'!D3+(INDEX('Price History'!D:D,MATCH(9.99E+307,'Returns (Calc)'!$A:$A)+1)-'Price History'!D3)*(ROW()-3)/(MATCH(9.99E+307,'Returns (Calc)'!$A:$A)-3),"")</f>
        <v>838.25666666666666</v>
      </c>
      <c r="Z37" s="152">
        <f>IFERROR('Price History'!E3+(INDEX('Price History'!E:E,MATCH(9.99E+307,'Returns (Calc)'!$A:$A)+1)-'Price History'!E3)*(ROW()-3)/(MATCH(9.99E+307,'Returns (Calc)'!$A:$A)-3),"")</f>
        <v>141.77584905660376</v>
      </c>
      <c r="AA37" s="152">
        <f>IFERROR('Price History'!F3+(INDEX('Price History'!F:F,MATCH(9.99E+307,'Returns (Calc)'!$A:$A)+1)-'Price History'!F3)*(ROW()-3)/(MATCH(9.99E+307,'Returns (Calc)'!$A:$A)-3),"")</f>
        <v>91.329308176100625</v>
      </c>
      <c r="AB37" s="152">
        <f>IFERROR('Price History'!G3+(INDEX('Price History'!G:G,MATCH(9.99E+307,'Returns (Calc)'!$A:$A)+1)-'Price History'!G3)*(ROW()-3)/(MATCH(9.99E+307,'Returns (Calc)'!$A:$A)-3),"")</f>
        <v>76.686352201257861</v>
      </c>
      <c r="AC37" s="152">
        <f>IFERROR('Price History'!H3+(INDEX('Price History'!H:H,MATCH(9.99E+307,'Returns (Calc)'!$A:$A)+1)-'Price History'!H3)*(ROW()-3)/(MATCH(9.99E+307,'Returns (Calc)'!$A:$A)-3),"")</f>
        <v>274.36949685534591</v>
      </c>
      <c r="AD37" s="152">
        <f>IFERROR('Price History'!I3+(INDEX('Price History'!I:I,MATCH(9.99E+307,'Returns (Calc)'!$A:$A)+1)-'Price History'!I3)*(ROW()-3)/(MATCH(9.99E+307,'Returns (Calc)'!$A:$A)-3),"")</f>
        <v>83.438805031446549</v>
      </c>
      <c r="AE37" s="152">
        <f>IFERROR('Price History'!J3+(INDEX('Price History'!J:J,MATCH(9.99E+307,'Returns (Calc)'!$A:$A)+1)-'Price History'!J3)*(ROW()-3)/(MATCH(9.99E+307,'Returns (Calc)'!$A:$A)-3),"")</f>
        <v>115.61421383647799</v>
      </c>
      <c r="AF37" s="152">
        <f>IFERROR('Price History'!K3+(INDEX('Price History'!K:K,MATCH(9.99E+307,'Returns (Calc)'!$A:$A)+1)-'Price History'!K3)*(ROW()-3)/(MATCH(9.99E+307,'Returns (Calc)'!$A:$A)-3),"")</f>
        <v>56.754402515723264</v>
      </c>
      <c r="AG37" s="152">
        <f>IFERROR('Price History'!L3+(INDEX('Price History'!L:L,MATCH(9.99E+307,'Returns (Calc)'!$A:$A)+1)-'Price History'!L3)*(ROW()-3)/(MATCH(9.99E+307,'Returns (Calc)'!$A:$A)-3),"")</f>
        <v>164.34773584905662</v>
      </c>
      <c r="AH37" s="152">
        <f>IFERROR('Price History'!M3+(INDEX('Price History'!M:M,MATCH(9.99E+307,'Returns (Calc)'!$A:$A)+1)-'Price History'!M3)*(ROW()-3)/(MATCH(9.99E+307,'Returns (Calc)'!$A:$A)-3),"")</f>
        <v>81.805157232704403</v>
      </c>
      <c r="AI37" s="152">
        <f>IFERROR('Price History'!N3+(INDEX('Price History'!N:N,MATCH(9.99E+307,'Returns (Calc)'!$A:$A)+1)-'Price History'!N3)*(ROW()-3)/(MATCH(9.99E+307,'Returns (Calc)'!$A:$A)-3),"")</f>
        <v>383.36616352201258</v>
      </c>
      <c r="AJ37" s="152">
        <f>IFERROR('Price History'!O3+(INDEX('Price History'!O:O,MATCH(9.99E+307,'Returns (Calc)'!$A:$A)+1)-'Price History'!O3)*(ROW()-3)/(MATCH(9.99E+307,'Returns (Calc)'!$A:$A)-3),"")</f>
        <v>84.789371069182394</v>
      </c>
      <c r="AK37" s="152">
        <f>IFERROR('Price History'!Q3+(INDEX('Price History'!Q:Q,MATCH(9.99E+307,'Returns (Calc)'!$A:$A)+1)-'Price History'!Q3)*(ROW()-3)/(MATCH(9.99E+307,'Returns (Calc)'!$A:$A)-3),"")</f>
        <v>14.962138364779875</v>
      </c>
      <c r="AL37" s="152">
        <f>IFERROR('Price History'!R3+(INDEX('Price History'!R:R,MATCH(9.99E+307,'Returns (Calc)'!$A:$A)+1)-'Price History'!R3)*(ROW()-3)/(MATCH(9.99E+307,'Returns (Calc)'!$A:$A)-3),"")</f>
        <v>40.170188679245285</v>
      </c>
      <c r="AM37" s="152">
        <f>IFERROR('Price History'!S3+(INDEX('Price History'!S:S,MATCH(9.99E+307,'Returns (Calc)'!$A:$A)+1)-'Price History'!S3)*(ROW()-3)/(MATCH(9.99E+307,'Returns (Calc)'!$A:$A)-3),"")</f>
        <v>77.630125786163518</v>
      </c>
      <c r="AN37" s="152">
        <f>IFERROR('Price History'!T3+(INDEX('Price History'!T:T,MATCH(9.99E+307,'Returns (Calc)'!$A:$A)+1)-'Price History'!T3)*(ROW()-3)/(MATCH(9.99E+307,'Returns (Calc)'!$A:$A)-3),"")</f>
        <v>31.14188679245283</v>
      </c>
      <c r="AO37" s="153">
        <f>IFERROR('Price History'!V3+(INDEX('Price History'!V:V,MATCH(9.99E+307,'Returns (Calc)'!$A:$A)+1)-'Price History'!V3)*(ROW()-3)/(MATCH(9.99E+307,'Returns (Calc)'!$A:$A)-3),"")</f>
        <v>267.66698113207548</v>
      </c>
      <c r="AP37" s="151">
        <f>IFERROR(IF(OR(NOT(ISNUMBER('Price History'!W38)),NOT(ISNUMBER('Price History'!W37)),'Price History'!W37=0),"",'Price History'!W38/'Price History'!W37-1),"")</f>
        <v>1.3637579106872355E-2</v>
      </c>
      <c r="AQ37" s="151" t="str">
        <f>IFERROR(IF(OR(NOT(ISNUMBER('Price History'!X38)),NOT(ISNUMBER('Price History'!X37)),'Price History'!X37=0),"",'Price History'!X38/'Price History'!X37-1),"")</f>
        <v/>
      </c>
      <c r="AR37" s="151">
        <f>IFERROR(IF(OR(NOT(ISNUMBER('Price History'!Y38)),NOT(ISNUMBER('Price History'!Y37)),'Price History'!Y37=0),"",'Price History'!Y38/'Price History'!Y37-1),"")</f>
        <v>4.8863394943701177E-3</v>
      </c>
      <c r="AS37" s="151">
        <f>IFERROR(IF(OR(NOT(ISNUMBER('Price History'!Z38)),NOT(ISNUMBER('Price History'!Z37)),'Price History'!Z37=0),"",'Price History'!Z38/'Price History'!Z37-1),"")</f>
        <v>-2.1334656412800745E-2</v>
      </c>
      <c r="AT37" s="151">
        <f>IFERROR(IF(OR(NOT(ISNUMBER('Price History'!AA38)),NOT(ISNUMBER('Price History'!AA37)),'Price History'!AA37=0),"",'Price History'!AA38/'Price History'!AA37-1),"")</f>
        <v>1.6696677033884333E-2</v>
      </c>
      <c r="AU37" s="151">
        <f>IFERROR(IF(OR(NOT(ISNUMBER('Price History'!AB38)),NOT(ISNUMBER('Price History'!AB37)),'Price History'!AB37=0),"",'Price History'!AB38/'Price History'!AB37-1),"")</f>
        <v>3.1848071449602555E-2</v>
      </c>
    </row>
    <row r="38" spans="1:47" ht="15" customHeight="1" x14ac:dyDescent="0.2">
      <c r="A38" s="149">
        <f>IF('Price History'!A39="","",'Price History'!A39)</f>
        <v>45436</v>
      </c>
      <c r="B38" s="150">
        <f>IFERROR(IF(OR(NOT(ISNUMBER('Price History'!B39)),NOT(ISNUMBER('Price History'!B38)),'Price History'!B38=0),"",'Price History'!B39/'Price History'!B38-1),"")</f>
        <v>-1.6548414455040072E-2</v>
      </c>
      <c r="C38" s="150">
        <f>IFERROR(IF(OR(NOT(ISNUMBER('Price History'!C39)),NOT(ISNUMBER('Price History'!C38)),'Price History'!C38=0),"",'Price History'!C39/'Price History'!C38-1),"")</f>
        <v>-4.1640615230711497E-2</v>
      </c>
      <c r="D38" s="150">
        <f>IFERROR(IF(OR(NOT(ISNUMBER('Price History'!D39)),NOT(ISNUMBER('Price History'!D38)),'Price History'!D38=0),"",'Price History'!D39/'Price History'!D38-1),"")</f>
        <v>3.3787057838861712E-2</v>
      </c>
      <c r="E38" s="150">
        <f>IFERROR(IF(OR(NOT(ISNUMBER('Price History'!E39)),NOT(ISNUMBER('Price History'!E38)),'Price History'!E38=0),"",'Price History'!E39/'Price History'!E38-1),"")</f>
        <v>9.0261979892858335E-3</v>
      </c>
      <c r="F38" s="150">
        <f>IFERROR(IF(OR(NOT(ISNUMBER('Price History'!F39)),NOT(ISNUMBER('Price History'!F38)),'Price History'!F38=0),"",'Price History'!F39/'Price History'!F38-1),"")</f>
        <v>1.6073080481036062E-2</v>
      </c>
      <c r="G38" s="150">
        <f>IFERROR(IF(OR(NOT(ISNUMBER('Price History'!G39)),NOT(ISNUMBER('Price History'!G38)),'Price History'!G38=0),"",'Price History'!G39/'Price History'!G38-1),"")</f>
        <v>4.2029379760609498E-2</v>
      </c>
      <c r="H38" s="150">
        <f>IFERROR(IF(OR(NOT(ISNUMBER('Price History'!H39)),NOT(ISNUMBER('Price History'!H38)),'Price History'!H38=0),"",'Price History'!H39/'Price History'!H38-1),"")</f>
        <v>3.3520900321543312E-2</v>
      </c>
      <c r="I38" s="150">
        <f>IFERROR(IF(OR(NOT(ISNUMBER('Price History'!I39)),NOT(ISNUMBER('Price History'!I38)),'Price History'!I38=0),"",'Price History'!I39/'Price History'!I38-1),"")</f>
        <v>0.15126870527000658</v>
      </c>
      <c r="J38" s="150">
        <f>IFERROR(IF(OR(NOT(ISNUMBER('Price History'!J39)),NOT(ISNUMBER('Price History'!J38)),'Price History'!J38=0),"",'Price History'!J39/'Price History'!J38-1),"")</f>
        <v>-6.0600155884645401E-2</v>
      </c>
      <c r="K38" s="150">
        <f>IFERROR(IF(OR(NOT(ISNUMBER('Price History'!K39)),NOT(ISNUMBER('Price History'!K38)),'Price History'!K38=0),"",'Price History'!K39/'Price History'!K38-1),"")</f>
        <v>-3.4466911764705843E-2</v>
      </c>
      <c r="L38" s="150">
        <f>IFERROR(IF(OR(NOT(ISNUMBER('Price History'!L39)),NOT(ISNUMBER('Price History'!L38)),'Price History'!L38=0),"",'Price History'!L39/'Price History'!L38-1),"")</f>
        <v>5.4822473132907001E-2</v>
      </c>
      <c r="M38" s="150">
        <f>IFERROR(IF(OR(NOT(ISNUMBER('Price History'!M39)),NOT(ISNUMBER('Price History'!M38)),'Price History'!M38=0),"",'Price History'!M39/'Price History'!M38-1),"")</f>
        <v>9.666390385412349E-2</v>
      </c>
      <c r="N38" s="150">
        <f>IFERROR(IF(OR(NOT(ISNUMBER('Price History'!N39)),NOT(ISNUMBER('Price History'!N38)),'Price History'!N38=0),"",'Price History'!N39/'Price History'!N38-1),"")</f>
        <v>2.6369578401203908E-2</v>
      </c>
      <c r="O38" s="150">
        <f>IFERROR(IF(OR(NOT(ISNUMBER('Price History'!O39)),NOT(ISNUMBER('Price History'!O38)),'Price History'!O38=0),"",'Price History'!O39/'Price History'!O38-1),"")</f>
        <v>-1.4805744183457592E-2</v>
      </c>
      <c r="P38" s="150">
        <f>IFERROR(IF(OR(NOT(ISNUMBER('Price History'!P39)),NOT(ISNUMBER('Price History'!P38)),'Price History'!P38=0),"",'Price History'!P39/'Price History'!P38-1),"")</f>
        <v>-2.0447228747933588E-2</v>
      </c>
      <c r="Q38" s="150">
        <f>IFERROR(IF(OR(NOT(ISNUMBER('Price History'!Q39)),NOT(ISNUMBER('Price History'!Q38)),'Price History'!Q38=0),"",'Price History'!Q39/'Price History'!Q38-1),"")</f>
        <v>1.0668563300142431E-3</v>
      </c>
      <c r="R38" s="150">
        <f>IFERROR(IF(OR(NOT(ISNUMBER('Price History'!R39)),NOT(ISNUMBER('Price History'!R38)),'Price History'!R38=0),"",'Price History'!R39/'Price History'!R38-1),"")</f>
        <v>4.6015984499878648E-3</v>
      </c>
      <c r="S38" s="150">
        <f>IFERROR(IF(OR(NOT(ISNUMBER('Price History'!S39)),NOT(ISNUMBER('Price History'!S38)),'Price History'!S38=0),"",'Price History'!S39/'Price History'!S38-1),"")</f>
        <v>1.953371140516702E-2</v>
      </c>
      <c r="T38" s="150">
        <f>IFERROR(IF(OR(NOT(ISNUMBER('Price History'!T39)),NOT(ISNUMBER('Price History'!T38)),'Price History'!T38=0),"",'Price History'!T39/'Price History'!T38-1),"")</f>
        <v>-1.7207792207792227E-2</v>
      </c>
      <c r="U38" s="150">
        <f>IFERROR(IF(OR(NOT(ISNUMBER('Price History'!U39)),NOT(ISNUMBER('Price History'!U38)),'Price History'!U38=0),"",'Price History'!U39/'Price History'!U38-1),"")</f>
        <v>-2.4630541871921041E-2</v>
      </c>
      <c r="V38" s="151">
        <f>IFERROR(IF(OR(NOT(ISNUMBER('Price History'!V39)),NOT(ISNUMBER('Price History'!V38)),'Price History'!V38=0),"",'Price History'!V39/'Price History'!V38-1),"")</f>
        <v>-2.0044300809760607E-2</v>
      </c>
      <c r="W38" s="152">
        <f>IFERROR('Price History'!B3+(INDEX('Price History'!B:B,MATCH(9.99E+307,'Returns (Calc)'!$A:$A)+1)-'Price History'!B3)*(ROW()-3)/(MATCH(9.99E+307,'Returns (Calc)'!$A:$A)-3),"")</f>
        <v>465.79754716981131</v>
      </c>
      <c r="X38" s="152">
        <f>IFERROR('Price History'!C3+(INDEX('Price History'!C:C,MATCH(9.99E+307,'Returns (Calc)'!$A:$A)+1)-'Price History'!C3)*(ROW()-3)/(MATCH(9.99E+307,'Returns (Calc)'!$A:$A)-3),"")</f>
        <v>83.724654088050315</v>
      </c>
      <c r="Y38" s="152">
        <f>IFERROR('Price History'!D3+(INDEX('Price History'!D:D,MATCH(9.99E+307,'Returns (Calc)'!$A:$A)+1)-'Price History'!D3)*(ROW()-3)/(MATCH(9.99E+307,'Returns (Calc)'!$A:$A)-3),"")</f>
        <v>845.79333333333329</v>
      </c>
      <c r="Z38" s="152">
        <f>IFERROR('Price History'!E3+(INDEX('Price History'!E:E,MATCH(9.99E+307,'Returns (Calc)'!$A:$A)+1)-'Price History'!E3)*(ROW()-3)/(MATCH(9.99E+307,'Returns (Calc)'!$A:$A)-3),"")</f>
        <v>143.53396226415094</v>
      </c>
      <c r="AA38" s="152">
        <f>IFERROR('Price History'!F3+(INDEX('Price History'!F:F,MATCH(9.99E+307,'Returns (Calc)'!$A:$A)+1)-'Price History'!F3)*(ROW()-3)/(MATCH(9.99E+307,'Returns (Calc)'!$A:$A)-3),"")</f>
        <v>92.798993710691832</v>
      </c>
      <c r="AB38" s="152">
        <f>IFERROR('Price History'!G3+(INDEX('Price History'!G:G,MATCH(9.99E+307,'Returns (Calc)'!$A:$A)+1)-'Price History'!G3)*(ROW()-3)/(MATCH(9.99E+307,'Returns (Calc)'!$A:$A)-3),"")</f>
        <v>77.637421383647791</v>
      </c>
      <c r="AC38" s="152">
        <f>IFERROR('Price History'!H3+(INDEX('Price History'!H:H,MATCH(9.99E+307,'Returns (Calc)'!$A:$A)+1)-'Price History'!H3)*(ROW()-3)/(MATCH(9.99E+307,'Returns (Calc)'!$A:$A)-3),"")</f>
        <v>280.40654088050314</v>
      </c>
      <c r="AD38" s="152">
        <f>IFERROR('Price History'!I3+(INDEX('Price History'!I:I,MATCH(9.99E+307,'Returns (Calc)'!$A:$A)+1)-'Price History'!I3)*(ROW()-3)/(MATCH(9.99E+307,'Returns (Calc)'!$A:$A)-3),"")</f>
        <v>84.605534591194967</v>
      </c>
      <c r="AE38" s="152">
        <f>IFERROR('Price History'!J3+(INDEX('Price History'!J:J,MATCH(9.99E+307,'Returns (Calc)'!$A:$A)+1)-'Price History'!J3)*(ROW()-3)/(MATCH(9.99E+307,'Returns (Calc)'!$A:$A)-3),"")</f>
        <v>115.72522012578617</v>
      </c>
      <c r="AF38" s="152">
        <f>IFERROR('Price History'!K3+(INDEX('Price History'!K:K,MATCH(9.99E+307,'Returns (Calc)'!$A:$A)+1)-'Price History'!K3)*(ROW()-3)/(MATCH(9.99E+307,'Returns (Calc)'!$A:$A)-3),"")</f>
        <v>57.972767295597478</v>
      </c>
      <c r="AG38" s="152">
        <f>IFERROR('Price History'!L3+(INDEX('Price History'!L:L,MATCH(9.99E+307,'Returns (Calc)'!$A:$A)+1)-'Price History'!L3)*(ROW()-3)/(MATCH(9.99E+307,'Returns (Calc)'!$A:$A)-3),"")</f>
        <v>166.65943396226416</v>
      </c>
      <c r="AH38" s="152">
        <f>IFERROR('Price History'!M3+(INDEX('Price History'!M:M,MATCH(9.99E+307,'Returns (Calc)'!$A:$A)+1)-'Price History'!M3)*(ROW()-3)/(MATCH(9.99E+307,'Returns (Calc)'!$A:$A)-3),"")</f>
        <v>83.092955974842766</v>
      </c>
      <c r="AI38" s="152">
        <f>IFERROR('Price History'!N3+(INDEX('Price History'!N:N,MATCH(9.99E+307,'Returns (Calc)'!$A:$A)+1)-'Price History'!N3)*(ROW()-3)/(MATCH(9.99E+307,'Returns (Calc)'!$A:$A)-3),"")</f>
        <v>384.37987421383644</v>
      </c>
      <c r="AJ38" s="152">
        <f>IFERROR('Price History'!O3+(INDEX('Price History'!O:O,MATCH(9.99E+307,'Returns (Calc)'!$A:$A)+1)-'Price History'!O3)*(ROW()-3)/(MATCH(9.99E+307,'Returns (Calc)'!$A:$A)-3),"")</f>
        <v>85.068176100628932</v>
      </c>
      <c r="AK38" s="152">
        <f>IFERROR('Price History'!Q3+(INDEX('Price History'!Q:Q,MATCH(9.99E+307,'Returns (Calc)'!$A:$A)+1)-'Price History'!Q3)*(ROW()-3)/(MATCH(9.99E+307,'Returns (Calc)'!$A:$A)-3),"")</f>
        <v>15.402201257861634</v>
      </c>
      <c r="AL38" s="152">
        <f>IFERROR('Price History'!R3+(INDEX('Price History'!R:R,MATCH(9.99E+307,'Returns (Calc)'!$A:$A)+1)-'Price History'!R3)*(ROW()-3)/(MATCH(9.99E+307,'Returns (Calc)'!$A:$A)-3),"")</f>
        <v>40.337547169811316</v>
      </c>
      <c r="AM38" s="152">
        <f>IFERROR('Price History'!S3+(INDEX('Price History'!S:S,MATCH(9.99E+307,'Returns (Calc)'!$A:$A)+1)-'Price History'!S3)*(ROW()-3)/(MATCH(9.99E+307,'Returns (Calc)'!$A:$A)-3),"")</f>
        <v>78.218364779874221</v>
      </c>
      <c r="AN38" s="152">
        <f>IFERROR('Price History'!T3+(INDEX('Price History'!T:T,MATCH(9.99E+307,'Returns (Calc)'!$A:$A)+1)-'Price History'!T3)*(ROW()-3)/(MATCH(9.99E+307,'Returns (Calc)'!$A:$A)-3),"")</f>
        <v>31.315471698113207</v>
      </c>
      <c r="AO38" s="153">
        <f>IFERROR('Price History'!V3+(INDEX('Price History'!V:V,MATCH(9.99E+307,'Returns (Calc)'!$A:$A)+1)-'Price History'!V3)*(ROW()-3)/(MATCH(9.99E+307,'Returns (Calc)'!$A:$A)-3),"")</f>
        <v>268.60924528301888</v>
      </c>
      <c r="AP38" s="151">
        <f>IFERROR(IF(OR(NOT(ISNUMBER('Price History'!W39)),NOT(ISNUMBER('Price History'!W38)),'Price History'!W38=0),"",'Price History'!W39/'Price History'!W38-1),"")</f>
        <v>-1.7499120647203603E-2</v>
      </c>
      <c r="AQ38" s="151" t="str">
        <f>IFERROR(IF(OR(NOT(ISNUMBER('Price History'!X39)),NOT(ISNUMBER('Price History'!X38)),'Price History'!X38=0),"",'Price History'!X39/'Price History'!X38-1),"")</f>
        <v/>
      </c>
      <c r="AR38" s="151">
        <f>IFERROR(IF(OR(NOT(ISNUMBER('Price History'!Y39)),NOT(ISNUMBER('Price History'!Y38)),'Price History'!Y38=0),"",'Price History'!Y39/'Price History'!Y38-1),"")</f>
        <v>-8.0338266384777368E-3</v>
      </c>
      <c r="AS38" s="151">
        <f>IFERROR(IF(OR(NOT(ISNUMBER('Price History'!Z39)),NOT(ISNUMBER('Price History'!Z38)),'Price History'!Z38=0),"",'Price History'!Z39/'Price History'!Z38-1),"")</f>
        <v>4.6514575411913617E-2</v>
      </c>
      <c r="AT38" s="151">
        <f>IFERROR(IF(OR(NOT(ISNUMBER('Price History'!AA39)),NOT(ISNUMBER('Price History'!AA38)),'Price History'!AA38=0),"",'Price History'!AA39/'Price History'!AA38-1),"")</f>
        <v>4.1378199967799123E-2</v>
      </c>
      <c r="AU38" s="151">
        <f>IFERROR(IF(OR(NOT(ISNUMBER('Price History'!AB39)),NOT(ISNUMBER('Price History'!AB38)),'Price History'!AB38=0),"",'Price History'!AB39/'Price History'!AB38-1),"")</f>
        <v>-3.0341941313549392E-2</v>
      </c>
    </row>
    <row r="39" spans="1:47" ht="15" customHeight="1" x14ac:dyDescent="0.2">
      <c r="A39" s="149">
        <f>IF('Price History'!A40="","",'Price History'!A40)</f>
        <v>45443</v>
      </c>
      <c r="B39" s="150">
        <f>IFERROR(IF(OR(NOT(ISNUMBER('Price History'!B40)),NOT(ISNUMBER('Price History'!B39)),'Price History'!B39=0),"",'Price History'!B40/'Price History'!B39-1),"")</f>
        <v>-6.4510022505942066E-2</v>
      </c>
      <c r="C39" s="150">
        <f>IFERROR(IF(OR(NOT(ISNUMBER('Price History'!C40)),NOT(ISNUMBER('Price History'!C39)),'Price History'!C39=0),"",'Price History'!C40/'Price History'!C39-1),"")</f>
        <v>-2.9097077244258918E-2</v>
      </c>
      <c r="D39" s="150">
        <f>IFERROR(IF(OR(NOT(ISNUMBER('Price History'!D40)),NOT(ISNUMBER('Price History'!D39)),'Price History'!D39=0),"",'Price History'!D40/'Price History'!D39-1),"")</f>
        <v>4.314385546275723E-3</v>
      </c>
      <c r="E39" s="150">
        <f>IFERROR(IF(OR(NOT(ISNUMBER('Price History'!E40)),NOT(ISNUMBER('Price History'!E39)),'Price History'!E39=0),"",'Price History'!E40/'Price History'!E39-1),"")</f>
        <v>-5.6363636363636394E-2</v>
      </c>
      <c r="F39" s="150">
        <f>IFERROR(IF(OR(NOT(ISNUMBER('Price History'!F40)),NOT(ISNUMBER('Price History'!F39)),'Price History'!F39=0),"",'Price History'!F40/'Price History'!F39-1),"")</f>
        <v>-0.10754523728234899</v>
      </c>
      <c r="G39" s="150">
        <f>IFERROR(IF(OR(NOT(ISNUMBER('Price History'!G40)),NOT(ISNUMBER('Price History'!G39)),'Price History'!G39=0),"",'Price History'!G40/'Price History'!G39-1),"")</f>
        <v>-2.5062002349562795E-2</v>
      </c>
      <c r="H39" s="150">
        <f>IFERROR(IF(OR(NOT(ISNUMBER('Price History'!H40)),NOT(ISNUMBER('Price History'!H39)),'Price History'!H39=0),"",'Price History'!H40/'Price History'!H39-1),"")</f>
        <v>-3.4689274325270247E-2</v>
      </c>
      <c r="I39" s="150">
        <f>IFERROR(IF(OR(NOT(ISNUMBER('Price History'!I40)),NOT(ISNUMBER('Price History'!I39)),'Price History'!I39=0),"",'Price History'!I40/'Price History'!I39-1),"")</f>
        <v>2.9669398135066416E-2</v>
      </c>
      <c r="J39" s="150">
        <f>IFERROR(IF(OR(NOT(ISNUMBER('Price History'!J40)),NOT(ISNUMBER('Price History'!J39)),'Price History'!J39=0),"",'Price History'!J40/'Price History'!J39-1),"")</f>
        <v>5.486413607135443E-2</v>
      </c>
      <c r="K39" s="150">
        <f>IFERROR(IF(OR(NOT(ISNUMBER('Price History'!K40)),NOT(ISNUMBER('Price History'!K39)),'Price History'!K39=0),"",'Price History'!K40/'Price History'!K39-1),"")</f>
        <v>3.188957639219403E-2</v>
      </c>
      <c r="L39" s="150">
        <f>IFERROR(IF(OR(NOT(ISNUMBER('Price History'!L40)),NOT(ISNUMBER('Price History'!L39)),'Price History'!L39=0),"",'Price History'!L40/'Price History'!L39-1),"")</f>
        <v>-5.597111168429203E-2</v>
      </c>
      <c r="M39" s="150">
        <f>IFERROR(IF(OR(NOT(ISNUMBER('Price History'!M40)),NOT(ISNUMBER('Price History'!M39)),'Price History'!M39=0),"",'Price History'!M40/'Price History'!M39-1),"")</f>
        <v>-7.6239962210675416E-2</v>
      </c>
      <c r="N39" s="150">
        <f>IFERROR(IF(OR(NOT(ISNUMBER('Price History'!N40)),NOT(ISNUMBER('Price History'!N39)),'Price History'!N39=0),"",'Price History'!N40/'Price History'!N39-1),"")</f>
        <v>-3.5233614180982809E-3</v>
      </c>
      <c r="O39" s="150">
        <f>IFERROR(IF(OR(NOT(ISNUMBER('Price History'!O40)),NOT(ISNUMBER('Price History'!O39)),'Price History'!O39=0),"",'Price History'!O40/'Price History'!O39-1),"")</f>
        <v>1.0734463276836248E-2</v>
      </c>
      <c r="P39" s="150">
        <f>IFERROR(IF(OR(NOT(ISNUMBER('Price History'!P40)),NOT(ISNUMBER('Price History'!P39)),'Price History'!P39=0),"",'Price History'!P40/'Price History'!P39-1),"")</f>
        <v>1.0481435423698837E-2</v>
      </c>
      <c r="Q39" s="150">
        <f>IFERROR(IF(OR(NOT(ISNUMBER('Price History'!Q40)),NOT(ISNUMBER('Price History'!Q39)),'Price History'!Q39=0),"",'Price History'!Q40/'Price History'!Q39-1),"")</f>
        <v>-2.6642984014209059E-3</v>
      </c>
      <c r="R39" s="150">
        <f>IFERROR(IF(OR(NOT(ISNUMBER('Price History'!R40)),NOT(ISNUMBER('Price History'!R39)),'Price History'!R39=0),"",'Price History'!R40/'Price History'!R39-1),"")</f>
        <v>-3.3751205400190942E-3</v>
      </c>
      <c r="S39" s="150">
        <f>IFERROR(IF(OR(NOT(ISNUMBER('Price History'!S40)),NOT(ISNUMBER('Price History'!S39)),'Price History'!S39=0),"",'Price History'!S40/'Price History'!S39-1),"")</f>
        <v>-1.1001236093943101E-2</v>
      </c>
      <c r="T39" s="150">
        <f>IFERROR(IF(OR(NOT(ISNUMBER('Price History'!T40)),NOT(ISNUMBER('Price History'!T39)),'Price History'!T39=0),"",'Price History'!T40/'Price History'!T39-1),"")</f>
        <v>1.156260323752889E-2</v>
      </c>
      <c r="U39" s="150">
        <f>IFERROR(IF(OR(NOT(ISNUMBER('Price History'!U40)),NOT(ISNUMBER('Price History'!U39)),'Price History'!U39=0),"",'Price History'!U40/'Price History'!U39-1),"")</f>
        <v>5.8922558922558377E-3</v>
      </c>
      <c r="V39" s="151">
        <f>IFERROR(IF(OR(NOT(ISNUMBER('Price History'!V40)),NOT(ISNUMBER('Price History'!V39)),'Price History'!V39=0),"",'Price History'!V40/'Price History'!V39-1),"")</f>
        <v>-7.3739207766703174E-3</v>
      </c>
      <c r="W39" s="152">
        <f>IFERROR('Price History'!B3+(INDEX('Price History'!B:B,MATCH(9.99E+307,'Returns (Calc)'!$A:$A)+1)-'Price History'!B3)*(ROW()-3)/(MATCH(9.99E+307,'Returns (Calc)'!$A:$A)-3),"")</f>
        <v>463.99490566037736</v>
      </c>
      <c r="X39" s="152">
        <f>IFERROR('Price History'!C3+(INDEX('Price History'!C:C,MATCH(9.99E+307,'Returns (Calc)'!$A:$A)+1)-'Price History'!C3)*(ROW()-3)/(MATCH(9.99E+307,'Returns (Calc)'!$A:$A)-3),"")</f>
        <v>84.79735849056604</v>
      </c>
      <c r="Y39" s="152">
        <f>IFERROR('Price History'!D3+(INDEX('Price History'!D:D,MATCH(9.99E+307,'Returns (Calc)'!$A:$A)+1)-'Price History'!D3)*(ROW()-3)/(MATCH(9.99E+307,'Returns (Calc)'!$A:$A)-3),"")</f>
        <v>853.32999999999993</v>
      </c>
      <c r="Z39" s="152">
        <f>IFERROR('Price History'!E3+(INDEX('Price History'!E:E,MATCH(9.99E+307,'Returns (Calc)'!$A:$A)+1)-'Price History'!E3)*(ROW()-3)/(MATCH(9.99E+307,'Returns (Calc)'!$A:$A)-3),"")</f>
        <v>145.29207547169813</v>
      </c>
      <c r="AA39" s="152">
        <f>IFERROR('Price History'!F3+(INDEX('Price History'!F:F,MATCH(9.99E+307,'Returns (Calc)'!$A:$A)+1)-'Price History'!F3)*(ROW()-3)/(MATCH(9.99E+307,'Returns (Calc)'!$A:$A)-3),"")</f>
        <v>94.26867924528301</v>
      </c>
      <c r="AB39" s="152">
        <f>IFERROR('Price History'!G3+(INDEX('Price History'!G:G,MATCH(9.99E+307,'Returns (Calc)'!$A:$A)+1)-'Price History'!G3)*(ROW()-3)/(MATCH(9.99E+307,'Returns (Calc)'!$A:$A)-3),"")</f>
        <v>78.588490566037734</v>
      </c>
      <c r="AC39" s="152">
        <f>IFERROR('Price History'!H3+(INDEX('Price History'!H:H,MATCH(9.99E+307,'Returns (Calc)'!$A:$A)+1)-'Price History'!H3)*(ROW()-3)/(MATCH(9.99E+307,'Returns (Calc)'!$A:$A)-3),"")</f>
        <v>286.44358490566037</v>
      </c>
      <c r="AD39" s="152">
        <f>IFERROR('Price History'!I3+(INDEX('Price History'!I:I,MATCH(9.99E+307,'Returns (Calc)'!$A:$A)+1)-'Price History'!I3)*(ROW()-3)/(MATCH(9.99E+307,'Returns (Calc)'!$A:$A)-3),"")</f>
        <v>85.7722641509434</v>
      </c>
      <c r="AE39" s="152">
        <f>IFERROR('Price History'!J3+(INDEX('Price History'!J:J,MATCH(9.99E+307,'Returns (Calc)'!$A:$A)+1)-'Price History'!J3)*(ROW()-3)/(MATCH(9.99E+307,'Returns (Calc)'!$A:$A)-3),"")</f>
        <v>115.83622641509434</v>
      </c>
      <c r="AF39" s="152">
        <f>IFERROR('Price History'!K3+(INDEX('Price History'!K:K,MATCH(9.99E+307,'Returns (Calc)'!$A:$A)+1)-'Price History'!K3)*(ROW()-3)/(MATCH(9.99E+307,'Returns (Calc)'!$A:$A)-3),"")</f>
        <v>59.1911320754717</v>
      </c>
      <c r="AG39" s="152">
        <f>IFERROR('Price History'!L3+(INDEX('Price History'!L:L,MATCH(9.99E+307,'Returns (Calc)'!$A:$A)+1)-'Price History'!L3)*(ROW()-3)/(MATCH(9.99E+307,'Returns (Calc)'!$A:$A)-3),"")</f>
        <v>168.9711320754717</v>
      </c>
      <c r="AH39" s="152">
        <f>IFERROR('Price History'!M3+(INDEX('Price History'!M:M,MATCH(9.99E+307,'Returns (Calc)'!$A:$A)+1)-'Price History'!M3)*(ROW()-3)/(MATCH(9.99E+307,'Returns (Calc)'!$A:$A)-3),"")</f>
        <v>84.38075471698113</v>
      </c>
      <c r="AI39" s="152">
        <f>IFERROR('Price History'!N3+(INDEX('Price History'!N:N,MATCH(9.99E+307,'Returns (Calc)'!$A:$A)+1)-'Price History'!N3)*(ROW()-3)/(MATCH(9.99E+307,'Returns (Calc)'!$A:$A)-3),"")</f>
        <v>385.39358490566036</v>
      </c>
      <c r="AJ39" s="152">
        <f>IFERROR('Price History'!O3+(INDEX('Price History'!O:O,MATCH(9.99E+307,'Returns (Calc)'!$A:$A)+1)-'Price History'!O3)*(ROW()-3)/(MATCH(9.99E+307,'Returns (Calc)'!$A:$A)-3),"")</f>
        <v>85.34698113207547</v>
      </c>
      <c r="AK39" s="152">
        <f>IFERROR('Price History'!Q3+(INDEX('Price History'!Q:Q,MATCH(9.99E+307,'Returns (Calc)'!$A:$A)+1)-'Price History'!Q3)*(ROW()-3)/(MATCH(9.99E+307,'Returns (Calc)'!$A:$A)-3),"")</f>
        <v>15.842264150943397</v>
      </c>
      <c r="AL39" s="152">
        <f>IFERROR('Price History'!R3+(INDEX('Price History'!R:R,MATCH(9.99E+307,'Returns (Calc)'!$A:$A)+1)-'Price History'!R3)*(ROW()-3)/(MATCH(9.99E+307,'Returns (Calc)'!$A:$A)-3),"")</f>
        <v>40.504905660377361</v>
      </c>
      <c r="AM39" s="152">
        <f>IFERROR('Price History'!S3+(INDEX('Price History'!S:S,MATCH(9.99E+307,'Returns (Calc)'!$A:$A)+1)-'Price History'!S3)*(ROW()-3)/(MATCH(9.99E+307,'Returns (Calc)'!$A:$A)-3),"")</f>
        <v>78.806603773584911</v>
      </c>
      <c r="AN39" s="152">
        <f>IFERROR('Price History'!T3+(INDEX('Price History'!T:T,MATCH(9.99E+307,'Returns (Calc)'!$A:$A)+1)-'Price History'!T3)*(ROW()-3)/(MATCH(9.99E+307,'Returns (Calc)'!$A:$A)-3),"")</f>
        <v>31.489056603773584</v>
      </c>
      <c r="AO39" s="153">
        <f>IFERROR('Price History'!V3+(INDEX('Price History'!V:V,MATCH(9.99E+307,'Returns (Calc)'!$A:$A)+1)-'Price History'!V3)*(ROW()-3)/(MATCH(9.99E+307,'Returns (Calc)'!$A:$A)-3),"")</f>
        <v>269.55150943396228</v>
      </c>
      <c r="AP39" s="151">
        <f>IFERROR(IF(OR(NOT(ISNUMBER('Price History'!W40)),NOT(ISNUMBER('Price History'!W39)),'Price History'!W39=0),"",'Price History'!W40/'Price History'!W39-1),"")</f>
        <v>5.1910856529131522E-3</v>
      </c>
      <c r="AQ39" s="151" t="str">
        <f>IFERROR(IF(OR(NOT(ISNUMBER('Price History'!X40)),NOT(ISNUMBER('Price History'!X39)),'Price History'!X39=0),"",'Price History'!X40/'Price History'!X39-1),"")</f>
        <v/>
      </c>
      <c r="AR39" s="151">
        <f>IFERROR(IF(OR(NOT(ISNUMBER('Price History'!Y40)),NOT(ISNUMBER('Price History'!Y39)),'Price History'!Y39=0),"",'Price History'!Y40/'Price History'!Y39-1),"")</f>
        <v>-1.7050298380221207E-3</v>
      </c>
      <c r="AS39" s="151">
        <f>IFERROR(IF(OR(NOT(ISNUMBER('Price History'!Z40)),NOT(ISNUMBER('Price History'!Z39)),'Price History'!Z39=0),"",'Price History'!Z40/'Price History'!Z39-1),"")</f>
        <v>-1.3079811069395597E-2</v>
      </c>
      <c r="AT39" s="151">
        <f>IFERROR(IF(OR(NOT(ISNUMBER('Price History'!AA40)),NOT(ISNUMBER('Price History'!AA39)),'Price History'!AA39=0),"",'Price History'!AA40/'Price History'!AA39-1),"")</f>
        <v>-8.0395794681510369E-3</v>
      </c>
      <c r="AU39" s="151">
        <f>IFERROR(IF(OR(NOT(ISNUMBER('Price History'!AB40)),NOT(ISNUMBER('Price History'!AB39)),'Price History'!AB39=0),"",'Price History'!AB40/'Price History'!AB39-1),"")</f>
        <v>-0.14537250478199026</v>
      </c>
    </row>
    <row r="40" spans="1:47" ht="15" customHeight="1" x14ac:dyDescent="0.2">
      <c r="A40" s="149">
        <f>IF('Price History'!A41="","",'Price History'!A41)</f>
        <v>45450</v>
      </c>
      <c r="B40" s="150">
        <f>IFERROR(IF(OR(NOT(ISNUMBER('Price History'!B41)),NOT(ISNUMBER('Price History'!B40)),'Price History'!B40=0),"",'Price History'!B41/'Price History'!B40-1),"")</f>
        <v>4.6474503102797105E-2</v>
      </c>
      <c r="C40" s="150">
        <f>IFERROR(IF(OR(NOT(ISNUMBER('Price History'!C41)),NOT(ISNUMBER('Price History'!C40)),'Price History'!C40=0),"",'Price History'!C41/'Price History'!C40-1),"")</f>
        <v>-2.8222013170271509E-3</v>
      </c>
      <c r="D40" s="150">
        <f>IFERROR(IF(OR(NOT(ISNUMBER('Price History'!D41)),NOT(ISNUMBER('Price History'!D40)),'Price History'!D40=0),"",'Price History'!D41/'Price History'!D40-1),"")</f>
        <v>7.0886854694146129E-2</v>
      </c>
      <c r="E40" s="150">
        <f>IFERROR(IF(OR(NOT(ISNUMBER('Price History'!E41)),NOT(ISNUMBER('Price History'!E40)),'Price History'!E40=0),"",'Price History'!E41/'Price History'!E40-1),"")</f>
        <v>5.8805394990365967E-2</v>
      </c>
      <c r="F40" s="150">
        <f>IFERROR(IF(OR(NOT(ISNUMBER('Price History'!F41)),NOT(ISNUMBER('Price History'!F40)),'Price History'!F40=0),"",'Price History'!F41/'Price History'!F40-1),"")</f>
        <v>0.11298138230043353</v>
      </c>
      <c r="G40" s="150">
        <f>IFERROR(IF(OR(NOT(ISNUMBER('Price History'!G41)),NOT(ISNUMBER('Price History'!G40)),'Price History'!G40=0),"",'Price History'!G41/'Price History'!G40-1),"")</f>
        <v>1.2317579327888684E-2</v>
      </c>
      <c r="H40" s="150">
        <f>IFERROR(IF(OR(NOT(ISNUMBER('Price History'!H41)),NOT(ISNUMBER('Price History'!H40)),'Price History'!H40=0),"",'Price History'!H41/'Price History'!H40-1),"")</f>
        <v>4.7538473934412906E-2</v>
      </c>
      <c r="I40" s="150">
        <f>IFERROR(IF(OR(NOT(ISNUMBER('Price History'!I41)),NOT(ISNUMBER('Price History'!I40)),'Price History'!I40=0),"",'Price History'!I41/'Price History'!I40-1),"")</f>
        <v>0.10263446761800221</v>
      </c>
      <c r="J40" s="150">
        <f>IFERROR(IF(OR(NOT(ISNUMBER('Price History'!J41)),NOT(ISNUMBER('Price History'!J40)),'Price History'!J40=0),"",'Price History'!J41/'Price History'!J40-1),"")</f>
        <v>-2.6546062334086296E-3</v>
      </c>
      <c r="K40" s="150">
        <f>IFERROR(IF(OR(NOT(ISNUMBER('Price History'!K41)),NOT(ISNUMBER('Price History'!K40)),'Price History'!K40=0),"",'Price History'!K41/'Price History'!K40-1),"")</f>
        <v>7.5184501845018348E-2</v>
      </c>
      <c r="L40" s="150">
        <f>IFERROR(IF(OR(NOT(ISNUMBER('Price History'!L41)),NOT(ISNUMBER('Price History'!L40)),'Price History'!L40=0),"",'Price History'!L41/'Price History'!L40-1),"")</f>
        <v>8.838797814207644E-2</v>
      </c>
      <c r="M40" s="150">
        <f>IFERROR(IF(OR(NOT(ISNUMBER('Price History'!M41)),NOT(ISNUMBER('Price History'!M40)),'Price History'!M40=0),"",'Price History'!M41/'Price History'!M40-1),"")</f>
        <v>-0.10595213745142151</v>
      </c>
      <c r="N40" s="150">
        <f>IFERROR(IF(OR(NOT(ISNUMBER('Price History'!N41)),NOT(ISNUMBER('Price History'!N40)),'Price History'!N40=0),"",'Price History'!N41/'Price History'!N40-1),"")</f>
        <v>6.0833662757499907E-2</v>
      </c>
      <c r="O40" s="150">
        <f>IFERROR(IF(OR(NOT(ISNUMBER('Price History'!O41)),NOT(ISNUMBER('Price History'!O40)),'Price History'!O40=0),"",'Price History'!O41/'Price History'!O40-1),"")</f>
        <v>-3.409726103968691E-2</v>
      </c>
      <c r="P40" s="150">
        <f>IFERROR(IF(OR(NOT(ISNUMBER('Price History'!P41)),NOT(ISNUMBER('Price History'!P40)),'Price History'!P40=0),"",'Price History'!P41/'Price History'!P40-1),"")</f>
        <v>-2.0218002812939617E-2</v>
      </c>
      <c r="Q40" s="150">
        <f>IFERROR(IF(OR(NOT(ISNUMBER('Price History'!Q41)),NOT(ISNUMBER('Price History'!Q40)),'Price History'!Q40=0),"",'Price History'!Q41/'Price History'!Q40-1),"")</f>
        <v>1.1041852181656431E-2</v>
      </c>
      <c r="R40" s="150">
        <f>IFERROR(IF(OR(NOT(ISNUMBER('Price History'!R41)),NOT(ISNUMBER('Price History'!R40)),'Price History'!R40=0),"",'Price History'!R41/'Price History'!R40-1),"")</f>
        <v>1.4029995162070596E-2</v>
      </c>
      <c r="S40" s="150">
        <f>IFERROR(IF(OR(NOT(ISNUMBER('Price History'!S41)),NOT(ISNUMBER('Price History'!S40)),'Price History'!S40=0),"",'Price History'!S41/'Price History'!S40-1),"")</f>
        <v>3.0371203599550034E-2</v>
      </c>
      <c r="T40" s="150">
        <f>IFERROR(IF(OR(NOT(ISNUMBER('Price History'!T41)),NOT(ISNUMBER('Price History'!T40)),'Price History'!T40=0),"",'Price History'!T41/'Price History'!T40-1),"")</f>
        <v>-2.1227955584585345E-2</v>
      </c>
      <c r="U40" s="150">
        <f>IFERROR(IF(OR(NOT(ISNUMBER('Price History'!U41)),NOT(ISNUMBER('Price History'!U40)),'Price History'!U40=0),"",'Price History'!U41/'Price History'!U40-1),"")</f>
        <v>-8.7866108786609498E-3</v>
      </c>
      <c r="V40" s="151">
        <f>IFERROR(IF(OR(NOT(ISNUMBER('Price History'!V41)),NOT(ISNUMBER('Price History'!V40)),'Price History'!V40=0),"",'Price History'!V41/'Price History'!V40-1),"")</f>
        <v>2.2771390174705086E-2</v>
      </c>
      <c r="W40" s="152">
        <f>IFERROR('Price History'!B3+(INDEX('Price History'!B:B,MATCH(9.99E+307,'Returns (Calc)'!$A:$A)+1)-'Price History'!B3)*(ROW()-3)/(MATCH(9.99E+307,'Returns (Calc)'!$A:$A)-3),"")</f>
        <v>462.1922641509434</v>
      </c>
      <c r="X40" s="152">
        <f>IFERROR('Price History'!C3+(INDEX('Price History'!C:C,MATCH(9.99E+307,'Returns (Calc)'!$A:$A)+1)-'Price History'!C3)*(ROW()-3)/(MATCH(9.99E+307,'Returns (Calc)'!$A:$A)-3),"")</f>
        <v>85.870062893081766</v>
      </c>
      <c r="Y40" s="152">
        <f>IFERROR('Price History'!D3+(INDEX('Price History'!D:D,MATCH(9.99E+307,'Returns (Calc)'!$A:$A)+1)-'Price History'!D3)*(ROW()-3)/(MATCH(9.99E+307,'Returns (Calc)'!$A:$A)-3),"")</f>
        <v>860.86666666666667</v>
      </c>
      <c r="Z40" s="152">
        <f>IFERROR('Price History'!E3+(INDEX('Price History'!E:E,MATCH(9.99E+307,'Returns (Calc)'!$A:$A)+1)-'Price History'!E3)*(ROW()-3)/(MATCH(9.99E+307,'Returns (Calc)'!$A:$A)-3),"")</f>
        <v>147.05018867924531</v>
      </c>
      <c r="AA40" s="152">
        <f>IFERROR('Price History'!F3+(INDEX('Price History'!F:F,MATCH(9.99E+307,'Returns (Calc)'!$A:$A)+1)-'Price History'!F3)*(ROW()-3)/(MATCH(9.99E+307,'Returns (Calc)'!$A:$A)-3),"")</f>
        <v>95.738364779874217</v>
      </c>
      <c r="AB40" s="152">
        <f>IFERROR('Price History'!G3+(INDEX('Price History'!G:G,MATCH(9.99E+307,'Returns (Calc)'!$A:$A)+1)-'Price History'!G3)*(ROW()-3)/(MATCH(9.99E+307,'Returns (Calc)'!$A:$A)-3),"")</f>
        <v>79.539559748427678</v>
      </c>
      <c r="AC40" s="152">
        <f>IFERROR('Price History'!H3+(INDEX('Price History'!H:H,MATCH(9.99E+307,'Returns (Calc)'!$A:$A)+1)-'Price History'!H3)*(ROW()-3)/(MATCH(9.99E+307,'Returns (Calc)'!$A:$A)-3),"")</f>
        <v>292.4806289308176</v>
      </c>
      <c r="AD40" s="152">
        <f>IFERROR('Price History'!I3+(INDEX('Price History'!I:I,MATCH(9.99E+307,'Returns (Calc)'!$A:$A)+1)-'Price History'!I3)*(ROW()-3)/(MATCH(9.99E+307,'Returns (Calc)'!$A:$A)-3),"")</f>
        <v>86.938993710691818</v>
      </c>
      <c r="AE40" s="152">
        <f>IFERROR('Price History'!J3+(INDEX('Price History'!J:J,MATCH(9.99E+307,'Returns (Calc)'!$A:$A)+1)-'Price History'!J3)*(ROW()-3)/(MATCH(9.99E+307,'Returns (Calc)'!$A:$A)-3),"")</f>
        <v>115.94723270440252</v>
      </c>
      <c r="AF40" s="152">
        <f>IFERROR('Price History'!K3+(INDEX('Price History'!K:K,MATCH(9.99E+307,'Returns (Calc)'!$A:$A)+1)-'Price History'!K3)*(ROW()-3)/(MATCH(9.99E+307,'Returns (Calc)'!$A:$A)-3),"")</f>
        <v>60.409496855345914</v>
      </c>
      <c r="AG40" s="152">
        <f>IFERROR('Price History'!L3+(INDEX('Price History'!L:L,MATCH(9.99E+307,'Returns (Calc)'!$A:$A)+1)-'Price History'!L3)*(ROW()-3)/(MATCH(9.99E+307,'Returns (Calc)'!$A:$A)-3),"")</f>
        <v>171.28283018867924</v>
      </c>
      <c r="AH40" s="152">
        <f>IFERROR('Price History'!M3+(INDEX('Price History'!M:M,MATCH(9.99E+307,'Returns (Calc)'!$A:$A)+1)-'Price History'!M3)*(ROW()-3)/(MATCH(9.99E+307,'Returns (Calc)'!$A:$A)-3),"")</f>
        <v>85.668553459119494</v>
      </c>
      <c r="AI40" s="152">
        <f>IFERROR('Price History'!N3+(INDEX('Price History'!N:N,MATCH(9.99E+307,'Returns (Calc)'!$A:$A)+1)-'Price History'!N3)*(ROW()-3)/(MATCH(9.99E+307,'Returns (Calc)'!$A:$A)-3),"")</f>
        <v>386.40729559748422</v>
      </c>
      <c r="AJ40" s="152">
        <f>IFERROR('Price History'!O3+(INDEX('Price History'!O:O,MATCH(9.99E+307,'Returns (Calc)'!$A:$A)+1)-'Price History'!O3)*(ROW()-3)/(MATCH(9.99E+307,'Returns (Calc)'!$A:$A)-3),"")</f>
        <v>85.625786163522008</v>
      </c>
      <c r="AK40" s="152">
        <f>IFERROR('Price History'!Q3+(INDEX('Price History'!Q:Q,MATCH(9.99E+307,'Returns (Calc)'!$A:$A)+1)-'Price History'!Q3)*(ROW()-3)/(MATCH(9.99E+307,'Returns (Calc)'!$A:$A)-3),"")</f>
        <v>16.282327044025156</v>
      </c>
      <c r="AL40" s="152">
        <f>IFERROR('Price History'!R3+(INDEX('Price History'!R:R,MATCH(9.99E+307,'Returns (Calc)'!$A:$A)+1)-'Price History'!R3)*(ROW()-3)/(MATCH(9.99E+307,'Returns (Calc)'!$A:$A)-3),"")</f>
        <v>40.672264150943391</v>
      </c>
      <c r="AM40" s="152">
        <f>IFERROR('Price History'!S3+(INDEX('Price History'!S:S,MATCH(9.99E+307,'Returns (Calc)'!$A:$A)+1)-'Price History'!S3)*(ROW()-3)/(MATCH(9.99E+307,'Returns (Calc)'!$A:$A)-3),"")</f>
        <v>79.3948427672956</v>
      </c>
      <c r="AN40" s="152">
        <f>IFERROR('Price History'!T3+(INDEX('Price History'!T:T,MATCH(9.99E+307,'Returns (Calc)'!$A:$A)+1)-'Price History'!T3)*(ROW()-3)/(MATCH(9.99E+307,'Returns (Calc)'!$A:$A)-3),"")</f>
        <v>31.662641509433961</v>
      </c>
      <c r="AO40" s="153">
        <f>IFERROR('Price History'!V3+(INDEX('Price History'!V:V,MATCH(9.99E+307,'Returns (Calc)'!$A:$A)+1)-'Price History'!V3)*(ROW()-3)/(MATCH(9.99E+307,'Returns (Calc)'!$A:$A)-3),"")</f>
        <v>270.49377358490563</v>
      </c>
      <c r="AP40" s="151">
        <f>IFERROR(IF(OR(NOT(ISNUMBER('Price History'!W41)),NOT(ISNUMBER('Price History'!W40)),'Price History'!W40=0),"",'Price History'!W41/'Price History'!W40-1),"")</f>
        <v>-8.9929658979610583E-3</v>
      </c>
      <c r="AQ40" s="151" t="str">
        <f>IFERROR(IF(OR(NOT(ISNUMBER('Price History'!X41)),NOT(ISNUMBER('Price History'!X40)),'Price History'!X40=0),"",'Price History'!X41/'Price History'!X40-1),"")</f>
        <v/>
      </c>
      <c r="AR40" s="151">
        <f>IFERROR(IF(OR(NOT(ISNUMBER('Price History'!Y41)),NOT(ISNUMBER('Price History'!Y40)),'Price History'!Y40=0),"",'Price History'!Y41/'Price History'!Y40-1),"")</f>
        <v>8.5397096498707192E-4</v>
      </c>
      <c r="AS40" s="151">
        <f>IFERROR(IF(OR(NOT(ISNUMBER('Price History'!Z41)),NOT(ISNUMBER('Price History'!Z40)),'Price History'!Z40=0),"",'Price History'!Z41/'Price History'!Z40-1),"")</f>
        <v>-1.9511596514909635E-2</v>
      </c>
      <c r="AT40" s="151">
        <f>IFERROR(IF(OR(NOT(ISNUMBER('Price History'!AA41)),NOT(ISNUMBER('Price History'!AA40)),'Price History'!AA40=0),"",'Price History'!AA41/'Price History'!AA40-1),"")</f>
        <v>-1.5586034912706825E-4</v>
      </c>
      <c r="AU40" s="151">
        <f>IFERROR(IF(OR(NOT(ISNUMBER('Price History'!AB41)),NOT(ISNUMBER('Price History'!AB40)),'Price History'!AB40=0),"",'Price History'!AB41/'Price History'!AB40-1),"")</f>
        <v>5.1018651362984224E-2</v>
      </c>
    </row>
    <row r="41" spans="1:47" ht="15" customHeight="1" x14ac:dyDescent="0.2">
      <c r="A41" s="149">
        <f>IF('Price History'!A42="","",'Price History'!A42)</f>
        <v>45457</v>
      </c>
      <c r="B41" s="150">
        <f>IFERROR(IF(OR(NOT(ISNUMBER('Price History'!B42)),NOT(ISNUMBER('Price History'!B41)),'Price History'!B41=0),"",'Price History'!B42/'Price History'!B41-1),"")</f>
        <v>0.12865522205272528</v>
      </c>
      <c r="C41" s="150">
        <f>IFERROR(IF(OR(NOT(ISNUMBER('Price History'!C42)),NOT(ISNUMBER('Price History'!C41)),'Price History'!C41=0),"",'Price History'!C42/'Price History'!C41-1),"")</f>
        <v>0.10673854447439357</v>
      </c>
      <c r="D41" s="150">
        <f>IFERROR(IF(OR(NOT(ISNUMBER('Price History'!D42)),NOT(ISNUMBER('Price History'!D41)),'Price History'!D41=0),"",'Price History'!D42/'Price History'!D41-1),"")</f>
        <v>-5.0515055467514891E-4</v>
      </c>
      <c r="E41" s="150">
        <f>IFERROR(IF(OR(NOT(ISNUMBER('Price History'!E42)),NOT(ISNUMBER('Price History'!E41)),'Price History'!E41=0),"",'Price History'!E42/'Price History'!E41-1),"")</f>
        <v>0.23344009317222292</v>
      </c>
      <c r="F41" s="150">
        <f>IFERROR(IF(OR(NOT(ISNUMBER('Price History'!F42)),NOT(ISNUMBER('Price History'!F41)),'Price History'!F41=0),"",'Price History'!F42/'Price History'!F41-1),"")</f>
        <v>0.10403299725022919</v>
      </c>
      <c r="G41" s="150">
        <f>IFERROR(IF(OR(NOT(ISNUMBER('Price History'!G42)),NOT(ISNUMBER('Price History'!G41)),'Price History'!G41=0),"",'Price History'!G42/'Price History'!G41-1),"")</f>
        <v>7.2741700833223177E-2</v>
      </c>
      <c r="H41" s="150">
        <f>IFERROR(IF(OR(NOT(ISNUMBER('Price History'!H42)),NOT(ISNUMBER('Price History'!H41)),'Price History'!H41=0),"",'Price History'!H42/'Price History'!H41-1),"")</f>
        <v>7.9532343665871919E-2</v>
      </c>
      <c r="I41" s="150">
        <f>IFERROR(IF(OR(NOT(ISNUMBER('Price History'!I42)),NOT(ISNUMBER('Price History'!I41)),'Price History'!I41=0),"",'Price History'!I42/'Price History'!I41-1),"")</f>
        <v>9.1090094574415081E-2</v>
      </c>
      <c r="J41" s="150">
        <f>IFERROR(IF(OR(NOT(ISNUMBER('Price History'!J42)),NOT(ISNUMBER('Price History'!J41)),'Price History'!J41=0),"",'Price History'!J42/'Price History'!J41-1),"")</f>
        <v>1.8927444794952786E-2</v>
      </c>
      <c r="K41" s="150">
        <f>IFERROR(IF(OR(NOT(ISNUMBER('Price History'!K42)),NOT(ISNUMBER('Price History'!K41)),'Price History'!K41=0),"",'Price History'!K42/'Price History'!K41-1),"")</f>
        <v>1.1154011154011156E-2</v>
      </c>
      <c r="L41" s="150">
        <f>IFERROR(IF(OR(NOT(ISNUMBER('Price History'!L42)),NOT(ISNUMBER('Price History'!L41)),'Price History'!L41=0),"",'Price History'!L42/'Price History'!L41-1),"")</f>
        <v>5.265470064014055E-2</v>
      </c>
      <c r="M41" s="150">
        <f>IFERROR(IF(OR(NOT(ISNUMBER('Price History'!M42)),NOT(ISNUMBER('Price History'!M41)),'Price History'!M41=0),"",'Price History'!M42/'Price History'!M41-1),"")</f>
        <v>4.3353923587279741E-2</v>
      </c>
      <c r="N41" s="150">
        <f>IFERROR(IF(OR(NOT(ISNUMBER('Price History'!N42)),NOT(ISNUMBER('Price History'!N41)),'Price History'!N41=0),"",'Price History'!N42/'Price History'!N41-1),"")</f>
        <v>-4.7822126531964493E-3</v>
      </c>
      <c r="O41" s="150">
        <f>IFERROR(IF(OR(NOT(ISNUMBER('Price History'!O42)),NOT(ISNUMBER('Price History'!O41)),'Price History'!O41=0),"",'Price History'!O42/'Price History'!O41-1),"")</f>
        <v>-2.3842592592592582E-2</v>
      </c>
      <c r="P41" s="150">
        <f>IFERROR(IF(OR(NOT(ISNUMBER('Price History'!P42)),NOT(ISNUMBER('Price History'!P41)),'Price History'!P41=0),"",'Price History'!P42/'Price History'!P41-1),"")</f>
        <v>-1.6867037502242943E-2</v>
      </c>
      <c r="Q41" s="150">
        <f>IFERROR(IF(OR(NOT(ISNUMBER('Price History'!Q42)),NOT(ISNUMBER('Price History'!Q41)),'Price History'!Q41=0),"",'Price History'!Q42/'Price History'!Q41-1),"")</f>
        <v>9.1597674828254316E-3</v>
      </c>
      <c r="R41" s="150">
        <f>IFERROR(IF(OR(NOT(ISNUMBER('Price History'!R42)),NOT(ISNUMBER('Price History'!R41)),'Price History'!R41=0),"",'Price History'!R42/'Price History'!R41-1),"")</f>
        <v>1.2643129770992356E-2</v>
      </c>
      <c r="S41" s="150">
        <f>IFERROR(IF(OR(NOT(ISNUMBER('Price History'!S42)),NOT(ISNUMBER('Price History'!S41)),'Price History'!S41=0),"",'Price History'!S42/'Price History'!S41-1),"")</f>
        <v>4.2212518195051008E-2</v>
      </c>
      <c r="T41" s="150">
        <f>IFERROR(IF(OR(NOT(ISNUMBER('Price History'!T42)),NOT(ISNUMBER('Price History'!T41)),'Price History'!T41=0),"",'Price History'!T42/'Price History'!T41-1),"")</f>
        <v>-2.0020020020019569E-3</v>
      </c>
      <c r="U41" s="150">
        <f>IFERROR(IF(OR(NOT(ISNUMBER('Price History'!U42)),NOT(ISNUMBER('Price History'!U41)),'Price History'!U41=0),"",'Price History'!U42/'Price History'!U41-1),"")</f>
        <v>-1.3929928239763689E-2</v>
      </c>
      <c r="V41" s="151">
        <f>IFERROR(IF(OR(NOT(ISNUMBER('Price History'!V42)),NOT(ISNUMBER('Price History'!V41)),'Price History'!V41=0),"",'Price History'!V42/'Price History'!V41-1),"")</f>
        <v>-2.8724724432440341E-2</v>
      </c>
      <c r="W41" s="152">
        <f>IFERROR('Price History'!B3+(INDEX('Price History'!B:B,MATCH(9.99E+307,'Returns (Calc)'!$A:$A)+1)-'Price History'!B3)*(ROW()-3)/(MATCH(9.99E+307,'Returns (Calc)'!$A:$A)-3),"")</f>
        <v>460.38962264150939</v>
      </c>
      <c r="X41" s="152">
        <f>IFERROR('Price History'!C3+(INDEX('Price History'!C:C,MATCH(9.99E+307,'Returns (Calc)'!$A:$A)+1)-'Price History'!C3)*(ROW()-3)/(MATCH(9.99E+307,'Returns (Calc)'!$A:$A)-3),"")</f>
        <v>86.942767295597491</v>
      </c>
      <c r="Y41" s="152">
        <f>IFERROR('Price History'!D3+(INDEX('Price History'!D:D,MATCH(9.99E+307,'Returns (Calc)'!$A:$A)+1)-'Price History'!D3)*(ROW()-3)/(MATCH(9.99E+307,'Returns (Calc)'!$A:$A)-3),"")</f>
        <v>868.40333333333331</v>
      </c>
      <c r="Z41" s="152">
        <f>IFERROR('Price History'!E3+(INDEX('Price History'!E:E,MATCH(9.99E+307,'Returns (Calc)'!$A:$A)+1)-'Price History'!E3)*(ROW()-3)/(MATCH(9.99E+307,'Returns (Calc)'!$A:$A)-3),"")</f>
        <v>148.80830188679244</v>
      </c>
      <c r="AA41" s="152">
        <f>IFERROR('Price History'!F3+(INDEX('Price History'!F:F,MATCH(9.99E+307,'Returns (Calc)'!$A:$A)+1)-'Price History'!F3)*(ROW()-3)/(MATCH(9.99E+307,'Returns (Calc)'!$A:$A)-3),"")</f>
        <v>97.20805031446541</v>
      </c>
      <c r="AB41" s="152">
        <f>IFERROR('Price History'!G3+(INDEX('Price History'!G:G,MATCH(9.99E+307,'Returns (Calc)'!$A:$A)+1)-'Price History'!G3)*(ROW()-3)/(MATCH(9.99E+307,'Returns (Calc)'!$A:$A)-3),"")</f>
        <v>80.490628930817607</v>
      </c>
      <c r="AC41" s="152">
        <f>IFERROR('Price History'!H3+(INDEX('Price History'!H:H,MATCH(9.99E+307,'Returns (Calc)'!$A:$A)+1)-'Price History'!H3)*(ROW()-3)/(MATCH(9.99E+307,'Returns (Calc)'!$A:$A)-3),"")</f>
        <v>298.51767295597483</v>
      </c>
      <c r="AD41" s="152">
        <f>IFERROR('Price History'!I3+(INDEX('Price History'!I:I,MATCH(9.99E+307,'Returns (Calc)'!$A:$A)+1)-'Price History'!I3)*(ROW()-3)/(MATCH(9.99E+307,'Returns (Calc)'!$A:$A)-3),"")</f>
        <v>88.105723270440251</v>
      </c>
      <c r="AE41" s="152">
        <f>IFERROR('Price History'!J3+(INDEX('Price History'!J:J,MATCH(9.99E+307,'Returns (Calc)'!$A:$A)+1)-'Price History'!J3)*(ROW()-3)/(MATCH(9.99E+307,'Returns (Calc)'!$A:$A)-3),"")</f>
        <v>116.0582389937107</v>
      </c>
      <c r="AF41" s="152">
        <f>IFERROR('Price History'!K3+(INDEX('Price History'!K:K,MATCH(9.99E+307,'Returns (Calc)'!$A:$A)+1)-'Price History'!K3)*(ROW()-3)/(MATCH(9.99E+307,'Returns (Calc)'!$A:$A)-3),"")</f>
        <v>61.627861635220121</v>
      </c>
      <c r="AG41" s="152">
        <f>IFERROR('Price History'!L3+(INDEX('Price History'!L:L,MATCH(9.99E+307,'Returns (Calc)'!$A:$A)+1)-'Price History'!L3)*(ROW()-3)/(MATCH(9.99E+307,'Returns (Calc)'!$A:$A)-3),"")</f>
        <v>173.59452830188678</v>
      </c>
      <c r="AH41" s="152">
        <f>IFERROR('Price History'!M3+(INDEX('Price History'!M:M,MATCH(9.99E+307,'Returns (Calc)'!$A:$A)+1)-'Price History'!M3)*(ROW()-3)/(MATCH(9.99E+307,'Returns (Calc)'!$A:$A)-3),"")</f>
        <v>86.956352201257857</v>
      </c>
      <c r="AI41" s="152">
        <f>IFERROR('Price History'!N3+(INDEX('Price History'!N:N,MATCH(9.99E+307,'Returns (Calc)'!$A:$A)+1)-'Price History'!N3)*(ROW()-3)/(MATCH(9.99E+307,'Returns (Calc)'!$A:$A)-3),"")</f>
        <v>387.42100628930814</v>
      </c>
      <c r="AJ41" s="152">
        <f>IFERROR('Price History'!O3+(INDEX('Price History'!O:O,MATCH(9.99E+307,'Returns (Calc)'!$A:$A)+1)-'Price History'!O3)*(ROW()-3)/(MATCH(9.99E+307,'Returns (Calc)'!$A:$A)-3),"")</f>
        <v>85.90459119496856</v>
      </c>
      <c r="AK41" s="152">
        <f>IFERROR('Price History'!Q3+(INDEX('Price History'!Q:Q,MATCH(9.99E+307,'Returns (Calc)'!$A:$A)+1)-'Price History'!Q3)*(ROW()-3)/(MATCH(9.99E+307,'Returns (Calc)'!$A:$A)-3),"")</f>
        <v>16.722389937106918</v>
      </c>
      <c r="AL41" s="152">
        <f>IFERROR('Price History'!R3+(INDEX('Price History'!R:R,MATCH(9.99E+307,'Returns (Calc)'!$A:$A)+1)-'Price History'!R3)*(ROW()-3)/(MATCH(9.99E+307,'Returns (Calc)'!$A:$A)-3),"")</f>
        <v>40.839622641509436</v>
      </c>
      <c r="AM41" s="152">
        <f>IFERROR('Price History'!S3+(INDEX('Price History'!S:S,MATCH(9.99E+307,'Returns (Calc)'!$A:$A)+1)-'Price History'!S3)*(ROW()-3)/(MATCH(9.99E+307,'Returns (Calc)'!$A:$A)-3),"")</f>
        <v>79.983081761006289</v>
      </c>
      <c r="AN41" s="152">
        <f>IFERROR('Price History'!T3+(INDEX('Price History'!T:T,MATCH(9.99E+307,'Returns (Calc)'!$A:$A)+1)-'Price History'!T3)*(ROW()-3)/(MATCH(9.99E+307,'Returns (Calc)'!$A:$A)-3),"")</f>
        <v>31.836226415094337</v>
      </c>
      <c r="AO41" s="153">
        <f>IFERROR('Price History'!V3+(INDEX('Price History'!V:V,MATCH(9.99E+307,'Returns (Calc)'!$A:$A)+1)-'Price History'!V3)*(ROW()-3)/(MATCH(9.99E+307,'Returns (Calc)'!$A:$A)-3),"")</f>
        <v>271.43603773584903</v>
      </c>
      <c r="AP41" s="151">
        <f>IFERROR(IF(OR(NOT(ISNUMBER('Price History'!W42)),NOT(ISNUMBER('Price History'!W41)),'Price History'!W41=0),"",'Price History'!W42/'Price History'!W41-1),"")</f>
        <v>-4.2228212039532309E-3</v>
      </c>
      <c r="AQ41" s="151" t="str">
        <f>IFERROR(IF(OR(NOT(ISNUMBER('Price History'!X42)),NOT(ISNUMBER('Price History'!X41)),'Price History'!X41=0),"",'Price History'!X42/'Price History'!X41-1),"")</f>
        <v/>
      </c>
      <c r="AR41" s="151">
        <f>IFERROR(IF(OR(NOT(ISNUMBER('Price History'!Y42)),NOT(ISNUMBER('Price History'!Y41)),'Price History'!Y41=0),"",'Price History'!Y42/'Price History'!Y41-1),"")</f>
        <v>-5.5460750853243423E-3</v>
      </c>
      <c r="AS41" s="151">
        <f>IFERROR(IF(OR(NOT(ISNUMBER('Price History'!Z42)),NOT(ISNUMBER('Price History'!Z41)),'Price History'!Z41=0),"",'Price History'!Z42/'Price History'!Z41-1),"")</f>
        <v>-3.7296620775969958E-2</v>
      </c>
      <c r="AT41" s="151">
        <f>IFERROR(IF(OR(NOT(ISNUMBER('Price History'!AA42)),NOT(ISNUMBER('Price History'!AA41)),'Price History'!AA41=0),"",'Price History'!AA42/'Price History'!AA41-1),"")</f>
        <v>4.3491816056118404E-2</v>
      </c>
      <c r="AU41" s="151">
        <f>IFERROR(IF(OR(NOT(ISNUMBER('Price History'!AB42)),NOT(ISNUMBER('Price History'!AB41)),'Price History'!AB41=0),"",'Price History'!AB42/'Price History'!AB41-1),"")</f>
        <v>8.5180736048924288E-3</v>
      </c>
    </row>
    <row r="42" spans="1:47" ht="15" customHeight="1" x14ac:dyDescent="0.2">
      <c r="A42" s="149">
        <f>IF('Price History'!A43="","",'Price History'!A43)</f>
        <v>45464</v>
      </c>
      <c r="B42" s="150">
        <f>IFERROR(IF(OR(NOT(ISNUMBER('Price History'!B43)),NOT(ISNUMBER('Price History'!B42)),'Price History'!B42=0),"",'Price History'!B43/'Price History'!B42-1),"")</f>
        <v>1.5476575736232068E-2</v>
      </c>
      <c r="C42" s="150">
        <f>IFERROR(IF(OR(NOT(ISNUMBER('Price History'!C43)),NOT(ISNUMBER('Price History'!C42)),'Price History'!C42=0),"",'Price History'!C43/'Price History'!C42-1),"")</f>
        <v>2.7033609352167476E-2</v>
      </c>
      <c r="D42" s="150">
        <f>IFERROR(IF(OR(NOT(ISNUMBER('Price History'!D43)),NOT(ISNUMBER('Price History'!D42)),'Price History'!D42=0),"",'Price History'!D43/'Price History'!D42-1),"")</f>
        <v>8.463070687451113E-3</v>
      </c>
      <c r="E42" s="150">
        <f>IFERROR(IF(OR(NOT(ISNUMBER('Price History'!E43)),NOT(ISNUMBER('Price History'!E42)),'Price History'!E42=0),"",'Price History'!E43/'Price History'!E42-1),"")</f>
        <v>-4.4024786072587641E-2</v>
      </c>
      <c r="F42" s="150">
        <f>IFERROR(IF(OR(NOT(ISNUMBER('Price History'!F43)),NOT(ISNUMBER('Price History'!F42)),'Price History'!F42=0),"",'Price History'!F43/'Price History'!F42-1),"")</f>
        <v>-1.2453300124533051E-2</v>
      </c>
      <c r="G42" s="150">
        <f>IFERROR(IF(OR(NOT(ISNUMBER('Price History'!G43)),NOT(ISNUMBER('Price History'!G42)),'Price History'!G42=0),"",'Price History'!G43/'Price History'!G42-1),"")</f>
        <v>-1.0109727530513979E-2</v>
      </c>
      <c r="H42" s="150">
        <f>IFERROR(IF(OR(NOT(ISNUMBER('Price History'!H43)),NOT(ISNUMBER('Price History'!H42)),'Price History'!H42=0),"",'Price History'!H43/'Price History'!H42-1),"")</f>
        <v>-1.2825080156750879E-2</v>
      </c>
      <c r="I42" s="150">
        <f>IFERROR(IF(OR(NOT(ISNUMBER('Price History'!I43)),NOT(ISNUMBER('Price History'!I42)),'Price History'!I42=0),"",'Price History'!I43/'Price History'!I42-1),"")</f>
        <v>-4.029805352798066E-2</v>
      </c>
      <c r="J42" s="150">
        <f>IFERROR(IF(OR(NOT(ISNUMBER('Price History'!J43)),NOT(ISNUMBER('Price History'!J42)),'Price History'!J42=0),"",'Price History'!J43/'Price History'!J42-1),"")</f>
        <v>-1.731811145510842E-2</v>
      </c>
      <c r="K42" s="150">
        <f>IFERROR(IF(OR(NOT(ISNUMBER('Price History'!K43)),NOT(ISNUMBER('Price History'!K42)),'Price History'!K42=0),"",'Price History'!K43/'Price History'!K42-1),"")</f>
        <v>1.1455239711497756E-2</v>
      </c>
      <c r="L42" s="150">
        <f>IFERROR(IF(OR(NOT(ISNUMBER('Price History'!L43)),NOT(ISNUMBER('Price History'!L42)),'Price History'!L42=0),"",'Price History'!L43/'Price History'!L42-1),"")</f>
        <v>8.4063673761403113E-3</v>
      </c>
      <c r="M42" s="150">
        <f>IFERROR(IF(OR(NOT(ISNUMBER('Price History'!M43)),NOT(ISNUMBER('Price History'!M42)),'Price History'!M42=0),"",'Price History'!M43/'Price History'!M42-1),"")</f>
        <v>-9.0998793991886595E-3</v>
      </c>
      <c r="N42" s="150">
        <f>IFERROR(IF(OR(NOT(ISNUMBER('Price History'!N43)),NOT(ISNUMBER('Price History'!N42)),'Price History'!N42=0),"",'Price History'!N43/'Price History'!N42-1),"")</f>
        <v>-2.5003640297048269E-2</v>
      </c>
      <c r="O42" s="150">
        <f>IFERROR(IF(OR(NOT(ISNUMBER('Price History'!O43)),NOT(ISNUMBER('Price History'!O42)),'Price History'!O42=0),"",'Price History'!O43/'Price History'!O42-1),"")</f>
        <v>1.0789660896371789E-2</v>
      </c>
      <c r="P42" s="150">
        <f>IFERROR(IF(OR(NOT(ISNUMBER('Price History'!P43)),NOT(ISNUMBER('Price History'!P42)),'Price History'!P42=0),"",'Price History'!P43/'Price History'!P42-1),"")</f>
        <v>1.3779886840664446E-2</v>
      </c>
      <c r="Q42" s="150">
        <f>IFERROR(IF(OR(NOT(ISNUMBER('Price History'!Q43)),NOT(ISNUMBER('Price History'!Q42)),'Price History'!Q42=0),"",'Price History'!Q43/'Price History'!Q42-1),"")</f>
        <v>3.1419095828242316E-3</v>
      </c>
      <c r="R42" s="150">
        <f>IFERROR(IF(OR(NOT(ISNUMBER('Price History'!R43)),NOT(ISNUMBER('Price History'!R42)),'Price History'!R42=0),"",'Price History'!R43/'Price History'!R42-1),"")</f>
        <v>9.4228504122484402E-4</v>
      </c>
      <c r="S42" s="150">
        <f>IFERROR(IF(OR(NOT(ISNUMBER('Price History'!S43)),NOT(ISNUMBER('Price History'!S42)),'Price History'!S42=0),"",'Price History'!S43/'Price History'!S42-1),"")</f>
        <v>-8.1471135940414108E-4</v>
      </c>
      <c r="T42" s="150">
        <f>IFERROR(IF(OR(NOT(ISNUMBER('Price History'!T43)),NOT(ISNUMBER('Price History'!T42)),'Price History'!T42=0),"",'Price History'!T43/'Price History'!T42-1),"")</f>
        <v>9.6957539284519001E-3</v>
      </c>
      <c r="U42" s="150">
        <f>IFERROR(IF(OR(NOT(ISNUMBER('Price History'!U43)),NOT(ISNUMBER('Price History'!U42)),'Price History'!U42=0),"",'Price History'!U43/'Price History'!U42-1),"")</f>
        <v>1.7123287671233056E-2</v>
      </c>
      <c r="V42" s="151">
        <f>IFERROR(IF(OR(NOT(ISNUMBER('Price History'!V43)),NOT(ISNUMBER('Price History'!V42)),'Price History'!V42=0),"",'Price History'!V43/'Price History'!V42-1),"")</f>
        <v>1.6835143361767502E-2</v>
      </c>
      <c r="W42" s="152">
        <f>IFERROR('Price History'!B3+(INDEX('Price History'!B:B,MATCH(9.99E+307,'Returns (Calc)'!$A:$A)+1)-'Price History'!B3)*(ROW()-3)/(MATCH(9.99E+307,'Returns (Calc)'!$A:$A)-3),"")</f>
        <v>458.58698113207544</v>
      </c>
      <c r="X42" s="152">
        <f>IFERROR('Price History'!C3+(INDEX('Price History'!C:C,MATCH(9.99E+307,'Returns (Calc)'!$A:$A)+1)-'Price History'!C3)*(ROW()-3)/(MATCH(9.99E+307,'Returns (Calc)'!$A:$A)-3),"")</f>
        <v>88.015471698113203</v>
      </c>
      <c r="Y42" s="152">
        <f>IFERROR('Price History'!D3+(INDEX('Price History'!D:D,MATCH(9.99E+307,'Returns (Calc)'!$A:$A)+1)-'Price History'!D3)*(ROW()-3)/(MATCH(9.99E+307,'Returns (Calc)'!$A:$A)-3),"")</f>
        <v>875.93999999999994</v>
      </c>
      <c r="Z42" s="152">
        <f>IFERROR('Price History'!E3+(INDEX('Price History'!E:E,MATCH(9.99E+307,'Returns (Calc)'!$A:$A)+1)-'Price History'!E3)*(ROW()-3)/(MATCH(9.99E+307,'Returns (Calc)'!$A:$A)-3),"")</f>
        <v>150.56641509433962</v>
      </c>
      <c r="AA42" s="152">
        <f>IFERROR('Price History'!F3+(INDEX('Price History'!F:F,MATCH(9.99E+307,'Returns (Calc)'!$A:$A)+1)-'Price History'!F3)*(ROW()-3)/(MATCH(9.99E+307,'Returns (Calc)'!$A:$A)-3),"")</f>
        <v>98.677735849056603</v>
      </c>
      <c r="AB42" s="152">
        <f>IFERROR('Price History'!G3+(INDEX('Price History'!G:G,MATCH(9.99E+307,'Returns (Calc)'!$A:$A)+1)-'Price History'!G3)*(ROW()-3)/(MATCH(9.99E+307,'Returns (Calc)'!$A:$A)-3),"")</f>
        <v>81.441698113207551</v>
      </c>
      <c r="AC42" s="152">
        <f>IFERROR('Price History'!H3+(INDEX('Price History'!H:H,MATCH(9.99E+307,'Returns (Calc)'!$A:$A)+1)-'Price History'!H3)*(ROW()-3)/(MATCH(9.99E+307,'Returns (Calc)'!$A:$A)-3),"")</f>
        <v>304.55471698113206</v>
      </c>
      <c r="AD42" s="152">
        <f>IFERROR('Price History'!I3+(INDEX('Price History'!I:I,MATCH(9.99E+307,'Returns (Calc)'!$A:$A)+1)-'Price History'!I3)*(ROW()-3)/(MATCH(9.99E+307,'Returns (Calc)'!$A:$A)-3),"")</f>
        <v>89.272452830188683</v>
      </c>
      <c r="AE42" s="152">
        <f>IFERROR('Price History'!J3+(INDEX('Price History'!J:J,MATCH(9.99E+307,'Returns (Calc)'!$A:$A)+1)-'Price History'!J3)*(ROW()-3)/(MATCH(9.99E+307,'Returns (Calc)'!$A:$A)-3),"")</f>
        <v>116.16924528301887</v>
      </c>
      <c r="AF42" s="152">
        <f>IFERROR('Price History'!K3+(INDEX('Price History'!K:K,MATCH(9.99E+307,'Returns (Calc)'!$A:$A)+1)-'Price History'!K3)*(ROW()-3)/(MATCH(9.99E+307,'Returns (Calc)'!$A:$A)-3),"")</f>
        <v>62.846226415094335</v>
      </c>
      <c r="AG42" s="152">
        <f>IFERROR('Price History'!L3+(INDEX('Price History'!L:L,MATCH(9.99E+307,'Returns (Calc)'!$A:$A)+1)-'Price History'!L3)*(ROW()-3)/(MATCH(9.99E+307,'Returns (Calc)'!$A:$A)-3),"")</f>
        <v>175.90622641509435</v>
      </c>
      <c r="AH42" s="152">
        <f>IFERROR('Price History'!M3+(INDEX('Price History'!M:M,MATCH(9.99E+307,'Returns (Calc)'!$A:$A)+1)-'Price History'!M3)*(ROW()-3)/(MATCH(9.99E+307,'Returns (Calc)'!$A:$A)-3),"")</f>
        <v>88.244150943396221</v>
      </c>
      <c r="AI42" s="152">
        <f>IFERROR('Price History'!N3+(INDEX('Price History'!N:N,MATCH(9.99E+307,'Returns (Calc)'!$A:$A)+1)-'Price History'!N3)*(ROW()-3)/(MATCH(9.99E+307,'Returns (Calc)'!$A:$A)-3),"")</f>
        <v>388.43471698113206</v>
      </c>
      <c r="AJ42" s="152">
        <f>IFERROR('Price History'!O3+(INDEX('Price History'!O:O,MATCH(9.99E+307,'Returns (Calc)'!$A:$A)+1)-'Price History'!O3)*(ROW()-3)/(MATCH(9.99E+307,'Returns (Calc)'!$A:$A)-3),"")</f>
        <v>86.183396226415098</v>
      </c>
      <c r="AK42" s="152">
        <f>IFERROR('Price History'!Q3+(INDEX('Price History'!Q:Q,MATCH(9.99E+307,'Returns (Calc)'!$A:$A)+1)-'Price History'!Q3)*(ROW()-3)/(MATCH(9.99E+307,'Returns (Calc)'!$A:$A)-3),"")</f>
        <v>17.162452830188681</v>
      </c>
      <c r="AL42" s="152">
        <f>IFERROR('Price History'!R3+(INDEX('Price History'!R:R,MATCH(9.99E+307,'Returns (Calc)'!$A:$A)+1)-'Price History'!R3)*(ROW()-3)/(MATCH(9.99E+307,'Returns (Calc)'!$A:$A)-3),"")</f>
        <v>41.006981132075467</v>
      </c>
      <c r="AM42" s="152">
        <f>IFERROR('Price History'!S3+(INDEX('Price History'!S:S,MATCH(9.99E+307,'Returns (Calc)'!$A:$A)+1)-'Price History'!S3)*(ROW()-3)/(MATCH(9.99E+307,'Returns (Calc)'!$A:$A)-3),"")</f>
        <v>80.571320754716993</v>
      </c>
      <c r="AN42" s="152">
        <f>IFERROR('Price History'!T3+(INDEX('Price History'!T:T,MATCH(9.99E+307,'Returns (Calc)'!$A:$A)+1)-'Price History'!T3)*(ROW()-3)/(MATCH(9.99E+307,'Returns (Calc)'!$A:$A)-3),"")</f>
        <v>32.009811320754714</v>
      </c>
      <c r="AO42" s="153">
        <f>IFERROR('Price History'!V3+(INDEX('Price History'!V:V,MATCH(9.99E+307,'Returns (Calc)'!$A:$A)+1)-'Price History'!V3)*(ROW()-3)/(MATCH(9.99E+307,'Returns (Calc)'!$A:$A)-3),"")</f>
        <v>272.37830188679243</v>
      </c>
      <c r="AP42" s="151">
        <f>IFERROR(IF(OR(NOT(ISNUMBER('Price History'!W43)),NOT(ISNUMBER('Price History'!W42)),'Price History'!W42=0),"",'Price History'!W43/'Price History'!W42-1),"")</f>
        <v>1.2541730578363275E-2</v>
      </c>
      <c r="AQ42" s="151" t="str">
        <f>IFERROR(IF(OR(NOT(ISNUMBER('Price History'!X43)),NOT(ISNUMBER('Price History'!X42)),'Price History'!X42=0),"",'Price History'!X43/'Price History'!X42-1),"")</f>
        <v/>
      </c>
      <c r="AR42" s="151">
        <f>IFERROR(IF(OR(NOT(ISNUMBER('Price History'!Y43)),NOT(ISNUMBER('Price History'!Y42)),'Price History'!Y42=0),"",'Price History'!Y43/'Price History'!Y42-1),"")</f>
        <v>8.7945087945089373E-3</v>
      </c>
      <c r="AS42" s="151">
        <f>IFERROR(IF(OR(NOT(ISNUMBER('Price History'!Z43)),NOT(ISNUMBER('Price History'!Z42)),'Price History'!Z42=0),"",'Price History'!Z43/'Price History'!Z42-1),"")</f>
        <v>5.3627145085803463E-2</v>
      </c>
      <c r="AT42" s="151">
        <f>IFERROR(IF(OR(NOT(ISNUMBER('Price History'!AA43)),NOT(ISNUMBER('Price History'!AA42)),'Price History'!AA42=0),"",'Price History'!AA43/'Price History'!AA42-1),"")</f>
        <v>2.4947714371078566E-2</v>
      </c>
      <c r="AU42" s="151">
        <f>IFERROR(IF(OR(NOT(ISNUMBER('Price History'!AB43)),NOT(ISNUMBER('Price History'!AB42)),'Price History'!AB42=0),"",'Price History'!AB43/'Price History'!AB42-1),"")</f>
        <v>9.7455332972384845E-4</v>
      </c>
    </row>
    <row r="43" spans="1:47" ht="15" customHeight="1" x14ac:dyDescent="0.2">
      <c r="A43" s="149">
        <f>IF('Price History'!A44="","",'Price History'!A44)</f>
        <v>45471</v>
      </c>
      <c r="B43" s="150">
        <f>IFERROR(IF(OR(NOT(ISNUMBER('Price History'!B44)),NOT(ISNUMBER('Price History'!B43)),'Price History'!B43=0),"",'Price History'!B44/'Price History'!B43-1),"")</f>
        <v>4.1429214157168381E-2</v>
      </c>
      <c r="C43" s="150">
        <f>IFERROR(IF(OR(NOT(ISNUMBER('Price History'!C44)),NOT(ISNUMBER('Price History'!C43)),'Price History'!C43=0),"",'Price History'!C44/'Price History'!C43-1),"")</f>
        <v>3.8890206307801822E-2</v>
      </c>
      <c r="D43" s="150">
        <f>IFERROR(IF(OR(NOT(ISNUMBER('Price History'!D44)),NOT(ISNUMBER('Price History'!D43)),'Price History'!D43=0),"",'Price History'!D44/'Price History'!D43-1),"")</f>
        <v>-1.3384039385631374E-2</v>
      </c>
      <c r="E43" s="150">
        <f>IFERROR(IF(OR(NOT(ISNUMBER('Price History'!E44)),NOT(ISNUMBER('Price History'!E43)),'Price History'!E43=0),"",'Price History'!E44/'Price History'!E43-1),"")</f>
        <v>-2.8952404469411719E-2</v>
      </c>
      <c r="F43" s="150">
        <f>IFERROR(IF(OR(NOT(ISNUMBER('Price History'!F44)),NOT(ISNUMBER('Price History'!F43)),'Price History'!F43=0),"",'Price History'!F44/'Price History'!F43-1),"")</f>
        <v>6.7255149222362753E-3</v>
      </c>
      <c r="G43" s="150">
        <f>IFERROR(IF(OR(NOT(ISNUMBER('Price History'!G44)),NOT(ISNUMBER('Price History'!G43)),'Price History'!G43=0),"",'Price History'!G44/'Price History'!G43-1),"")</f>
        <v>9.8393324199774757E-3</v>
      </c>
      <c r="H43" s="150">
        <f>IFERROR(IF(OR(NOT(ISNUMBER('Price History'!H44)),NOT(ISNUMBER('Price History'!H43)),'Price History'!H43=0),"",'Price History'!H44/'Price History'!H43-1),"")</f>
        <v>-5.7452183327318718E-2</v>
      </c>
      <c r="I43" s="150">
        <f>IFERROR(IF(OR(NOT(ISNUMBER('Price History'!I44)),NOT(ISNUMBER('Price History'!I43)),'Price History'!I43=0),"",'Price History'!I44/'Price History'!I43-1),"")</f>
        <v>-2.3926477578830596E-2</v>
      </c>
      <c r="J43" s="150">
        <f>IFERROR(IF(OR(NOT(ISNUMBER('Price History'!J44)),NOT(ISNUMBER('Price History'!J43)),'Price History'!J43=0),"",'Price History'!J44/'Price History'!J43-1),"")</f>
        <v>2.6582652357979741E-2</v>
      </c>
      <c r="K43" s="150">
        <f>IFERROR(IF(OR(NOT(ISNUMBER('Price History'!K44)),NOT(ISNUMBER('Price History'!K43)),'Price History'!K43=0),"",'Price History'!K44/'Price History'!K43-1),"")</f>
        <v>6.25E-2</v>
      </c>
      <c r="L43" s="150">
        <f>IFERROR(IF(OR(NOT(ISNUMBER('Price History'!L44)),NOT(ISNUMBER('Price History'!L43)),'Price History'!L43=0),"",'Price History'!L44/'Price History'!L43-1),"")</f>
        <v>-8.2771668440340118E-4</v>
      </c>
      <c r="M43" s="150">
        <f>IFERROR(IF(OR(NOT(ISNUMBER('Price History'!M44)),NOT(ISNUMBER('Price History'!M43)),'Price History'!M43=0),"",'Price History'!M44/'Price History'!M43-1),"")</f>
        <v>-4.470015490152679E-2</v>
      </c>
      <c r="N43" s="150">
        <f>IFERROR(IF(OR(NOT(ISNUMBER('Price History'!N44)),NOT(ISNUMBER('Price History'!N43)),'Price History'!N43=0),"",'Price History'!N44/'Price History'!N43-1),"")</f>
        <v>2.1335153933321749E-5</v>
      </c>
      <c r="O43" s="150">
        <f>IFERROR(IF(OR(NOT(ISNUMBER('Price History'!O44)),NOT(ISNUMBER('Price History'!O43)),'Price History'!O43=0),"",'Price History'!O44/'Price History'!O43-1),"")</f>
        <v>1.6656891495601123E-2</v>
      </c>
      <c r="P43" s="150">
        <f>IFERROR(IF(OR(NOT(ISNUMBER('Price History'!P44)),NOT(ISNUMBER('Price History'!P43)),'Price History'!P43=0),"",'Price History'!P44/'Price History'!P43-1),"")</f>
        <v>2.9705644072373083E-3</v>
      </c>
      <c r="Q43" s="150">
        <f>IFERROR(IF(OR(NOT(ISNUMBER('Price History'!Q44)),NOT(ISNUMBER('Price History'!Q43)),'Price History'!Q43=0),"",'Price History'!Q44/'Price History'!Q43-1),"")</f>
        <v>4.1760918740212372E-3</v>
      </c>
      <c r="R43" s="150">
        <f>IFERROR(IF(OR(NOT(ISNUMBER('Price History'!R44)),NOT(ISNUMBER('Price History'!R43)),'Price History'!R43=0),"",'Price History'!R44/'Price History'!R43-1),"")</f>
        <v>4.7069898799716459E-3</v>
      </c>
      <c r="S43" s="150">
        <f>IFERROR(IF(OR(NOT(ISNUMBER('Price History'!S44)),NOT(ISNUMBER('Price History'!S43)),'Price History'!S43=0),"",'Price History'!S44/'Price History'!S43-1),"")</f>
        <v>1.8637157833432116E-3</v>
      </c>
      <c r="T43" s="150">
        <f>IFERROR(IF(OR(NOT(ISNUMBER('Price History'!T44)),NOT(ISNUMBER('Price History'!T43)),'Price History'!T43=0),"",'Price History'!T44/'Price History'!T43-1),"")</f>
        <v>-6.6225165562913135E-3</v>
      </c>
      <c r="U43" s="150">
        <f>IFERROR(IF(OR(NOT(ISNUMBER('Price History'!U44)),NOT(ISNUMBER('Price History'!U43)),'Price History'!U43=0),"",'Price History'!U44/'Price History'!U43-1),"")</f>
        <v>5.8922558922558377E-3</v>
      </c>
      <c r="V43" s="151">
        <f>IFERROR(IF(OR(NOT(ISNUMBER('Price History'!V44)),NOT(ISNUMBER('Price History'!V43)),'Price History'!V43=0),"",'Price History'!V44/'Price History'!V43-1),"")</f>
        <v>-4.6343176022764943E-2</v>
      </c>
      <c r="W43" s="152">
        <f>IFERROR('Price History'!B3+(INDEX('Price History'!B:B,MATCH(9.99E+307,'Returns (Calc)'!$A:$A)+1)-'Price History'!B3)*(ROW()-3)/(MATCH(9.99E+307,'Returns (Calc)'!$A:$A)-3),"")</f>
        <v>456.78433962264148</v>
      </c>
      <c r="X43" s="152">
        <f>IFERROR('Price History'!C3+(INDEX('Price History'!C:C,MATCH(9.99E+307,'Returns (Calc)'!$A:$A)+1)-'Price History'!C3)*(ROW()-3)/(MATCH(9.99E+307,'Returns (Calc)'!$A:$A)-3),"")</f>
        <v>89.088176100628928</v>
      </c>
      <c r="Y43" s="152">
        <f>IFERROR('Price History'!D3+(INDEX('Price History'!D:D,MATCH(9.99E+307,'Returns (Calc)'!$A:$A)+1)-'Price History'!D3)*(ROW()-3)/(MATCH(9.99E+307,'Returns (Calc)'!$A:$A)-3),"")</f>
        <v>883.47666666666669</v>
      </c>
      <c r="Z43" s="152">
        <f>IFERROR('Price History'!E3+(INDEX('Price History'!E:E,MATCH(9.99E+307,'Returns (Calc)'!$A:$A)+1)-'Price History'!E3)*(ROW()-3)/(MATCH(9.99E+307,'Returns (Calc)'!$A:$A)-3),"")</f>
        <v>152.3245283018868</v>
      </c>
      <c r="AA43" s="152">
        <f>IFERROR('Price History'!F3+(INDEX('Price History'!F:F,MATCH(9.99E+307,'Returns (Calc)'!$A:$A)+1)-'Price History'!F3)*(ROW()-3)/(MATCH(9.99E+307,'Returns (Calc)'!$A:$A)-3),"")</f>
        <v>100.14742138364781</v>
      </c>
      <c r="AB43" s="152">
        <f>IFERROR('Price History'!G3+(INDEX('Price History'!G:G,MATCH(9.99E+307,'Returns (Calc)'!$A:$A)+1)-'Price History'!G3)*(ROW()-3)/(MATCH(9.99E+307,'Returns (Calc)'!$A:$A)-3),"")</f>
        <v>82.39276729559748</v>
      </c>
      <c r="AC43" s="152">
        <f>IFERROR('Price History'!H3+(INDEX('Price History'!H:H,MATCH(9.99E+307,'Returns (Calc)'!$A:$A)+1)-'Price History'!H3)*(ROW()-3)/(MATCH(9.99E+307,'Returns (Calc)'!$A:$A)-3),"")</f>
        <v>310.59176100628929</v>
      </c>
      <c r="AD43" s="152">
        <f>IFERROR('Price History'!I3+(INDEX('Price History'!I:I,MATCH(9.99E+307,'Returns (Calc)'!$A:$A)+1)-'Price History'!I3)*(ROW()-3)/(MATCH(9.99E+307,'Returns (Calc)'!$A:$A)-3),"")</f>
        <v>90.439182389937116</v>
      </c>
      <c r="AE43" s="152">
        <f>IFERROR('Price History'!J3+(INDEX('Price History'!J:J,MATCH(9.99E+307,'Returns (Calc)'!$A:$A)+1)-'Price History'!J3)*(ROW()-3)/(MATCH(9.99E+307,'Returns (Calc)'!$A:$A)-3),"")</f>
        <v>116.28025157232705</v>
      </c>
      <c r="AF43" s="152">
        <f>IFERROR('Price History'!K3+(INDEX('Price History'!K:K,MATCH(9.99E+307,'Returns (Calc)'!$A:$A)+1)-'Price History'!K3)*(ROW()-3)/(MATCH(9.99E+307,'Returns (Calc)'!$A:$A)-3),"")</f>
        <v>64.064591194968557</v>
      </c>
      <c r="AG43" s="152">
        <f>IFERROR('Price History'!L3+(INDEX('Price History'!L:L,MATCH(9.99E+307,'Returns (Calc)'!$A:$A)+1)-'Price History'!L3)*(ROW()-3)/(MATCH(9.99E+307,'Returns (Calc)'!$A:$A)-3),"")</f>
        <v>178.21792452830186</v>
      </c>
      <c r="AH43" s="152">
        <f>IFERROR('Price History'!M3+(INDEX('Price History'!M:M,MATCH(9.99E+307,'Returns (Calc)'!$A:$A)+1)-'Price History'!M3)*(ROW()-3)/(MATCH(9.99E+307,'Returns (Calc)'!$A:$A)-3),"")</f>
        <v>89.531949685534585</v>
      </c>
      <c r="AI43" s="152">
        <f>IFERROR('Price History'!N3+(INDEX('Price History'!N:N,MATCH(9.99E+307,'Returns (Calc)'!$A:$A)+1)-'Price History'!N3)*(ROW()-3)/(MATCH(9.99E+307,'Returns (Calc)'!$A:$A)-3),"")</f>
        <v>389.44842767295597</v>
      </c>
      <c r="AJ43" s="152">
        <f>IFERROR('Price History'!O3+(INDEX('Price History'!O:O,MATCH(9.99E+307,'Returns (Calc)'!$A:$A)+1)-'Price History'!O3)*(ROW()-3)/(MATCH(9.99E+307,'Returns (Calc)'!$A:$A)-3),"")</f>
        <v>86.462201257861636</v>
      </c>
      <c r="AK43" s="152">
        <f>IFERROR('Price History'!Q3+(INDEX('Price History'!Q:Q,MATCH(9.99E+307,'Returns (Calc)'!$A:$A)+1)-'Price History'!Q3)*(ROW()-3)/(MATCH(9.99E+307,'Returns (Calc)'!$A:$A)-3),"")</f>
        <v>17.602515723270443</v>
      </c>
      <c r="AL43" s="152">
        <f>IFERROR('Price History'!R3+(INDEX('Price History'!R:R,MATCH(9.99E+307,'Returns (Calc)'!$A:$A)+1)-'Price History'!R3)*(ROW()-3)/(MATCH(9.99E+307,'Returns (Calc)'!$A:$A)-3),"")</f>
        <v>41.174339622641511</v>
      </c>
      <c r="AM43" s="152">
        <f>IFERROR('Price History'!S3+(INDEX('Price History'!S:S,MATCH(9.99E+307,'Returns (Calc)'!$A:$A)+1)-'Price History'!S3)*(ROW()-3)/(MATCH(9.99E+307,'Returns (Calc)'!$A:$A)-3),"")</f>
        <v>81.159559748427682</v>
      </c>
      <c r="AN43" s="152">
        <f>IFERROR('Price History'!T3+(INDEX('Price History'!T:T,MATCH(9.99E+307,'Returns (Calc)'!$A:$A)+1)-'Price History'!T3)*(ROW()-3)/(MATCH(9.99E+307,'Returns (Calc)'!$A:$A)-3),"")</f>
        <v>32.183396226415091</v>
      </c>
      <c r="AO43" s="153">
        <f>IFERROR('Price History'!V3+(INDEX('Price History'!V:V,MATCH(9.99E+307,'Returns (Calc)'!$A:$A)+1)-'Price History'!V3)*(ROW()-3)/(MATCH(9.99E+307,'Returns (Calc)'!$A:$A)-3),"")</f>
        <v>273.32056603773583</v>
      </c>
      <c r="AP43" s="151">
        <f>IFERROR(IF(OR(NOT(ISNUMBER('Price History'!W44)),NOT(ISNUMBER('Price History'!W43)),'Price History'!W43=0),"",'Price History'!W44/'Price History'!W43-1),"")</f>
        <v>-2.4059882373907993E-3</v>
      </c>
      <c r="AQ43" s="151" t="str">
        <f>IFERROR(IF(OR(NOT(ISNUMBER('Price History'!X44)),NOT(ISNUMBER('Price History'!X43)),'Price History'!X43=0),"",'Price History'!X44/'Price History'!X43-1),"")</f>
        <v/>
      </c>
      <c r="AR43" s="151">
        <f>IFERROR(IF(OR(NOT(ISNUMBER('Price History'!Y44)),NOT(ISNUMBER('Price History'!Y43)),'Price History'!Y43=0),"",'Price History'!Y44/'Price History'!Y43-1),"")</f>
        <v>-2.1263023601947317E-4</v>
      </c>
      <c r="AS43" s="151">
        <f>IFERROR(IF(OR(NOT(ISNUMBER('Price History'!Z44)),NOT(ISNUMBER('Price History'!Z43)),'Price History'!Z43=0),"",'Price History'!Z44/'Price History'!Z43-1),"")</f>
        <v>-3.2080942686162128E-2</v>
      </c>
      <c r="AT43" s="151">
        <f>IFERROR(IF(OR(NOT(ISNUMBER('Price History'!AA44)),NOT(ISNUMBER('Price History'!AA43)),'Price History'!AA43=0),"",'Price History'!AA44/'Price History'!AA43-1),"")</f>
        <v>-1.6324150998396791E-2</v>
      </c>
      <c r="AU43" s="151">
        <f>IFERROR(IF(OR(NOT(ISNUMBER('Price History'!AB44)),NOT(ISNUMBER('Price History'!AB43)),'Price History'!AB43=0),"",'Price History'!AB44/'Price History'!AB43-1),"")</f>
        <v>-1.0114668974469998E-2</v>
      </c>
    </row>
    <row r="44" spans="1:47" ht="15" customHeight="1" x14ac:dyDescent="0.2">
      <c r="A44" s="149">
        <f>IF('Price History'!A45="","",'Price History'!A45)</f>
        <v>45478</v>
      </c>
      <c r="B44" s="150">
        <f>IFERROR(IF(OR(NOT(ISNUMBER('Price History'!B45)),NOT(ISNUMBER('Price History'!B44)),'Price History'!B44=0),"",'Price History'!B45/'Price History'!B44-1),"")</f>
        <v>4.1041149152176493E-2</v>
      </c>
      <c r="C44" s="150">
        <f>IFERROR(IF(OR(NOT(ISNUMBER('Price History'!C45)),NOT(ISNUMBER('Price History'!C44)),'Price History'!C44=0),"",'Price History'!C45/'Price History'!C44-1),"")</f>
        <v>4.4738644145172257E-2</v>
      </c>
      <c r="D44" s="150">
        <f>IFERROR(IF(OR(NOT(ISNUMBER('Price History'!D45)),NOT(ISNUMBER('Price History'!D44)),'Price History'!D44=0),"",'Price History'!D45/'Price History'!D44-1),"")</f>
        <v>5.0597105606517756E-2</v>
      </c>
      <c r="E44" s="150">
        <f>IFERROR(IF(OR(NOT(ISNUMBER('Price History'!E45)),NOT(ISNUMBER('Price History'!E44)),'Price History'!E44=0),"",'Price History'!E45/'Price History'!E44-1),"")</f>
        <v>6.0902733630006312E-2</v>
      </c>
      <c r="F44" s="150">
        <f>IFERROR(IF(OR(NOT(ISNUMBER('Price History'!F45)),NOT(ISNUMBER('Price History'!F44)),'Price History'!F44=0),"",'Price History'!F45/'Price History'!F44-1),"")</f>
        <v>1.6910229645094033E-2</v>
      </c>
      <c r="G44" s="150">
        <f>IFERROR(IF(OR(NOT(ISNUMBER('Price History'!G45)),NOT(ISNUMBER('Price History'!G44)),'Price History'!G44=0),"",'Price History'!G45/'Price History'!G44-1),"")</f>
        <v>3.7247163295510477E-2</v>
      </c>
      <c r="H44" s="150">
        <f>IFERROR(IF(OR(NOT(ISNUMBER('Price History'!H45)),NOT(ISNUMBER('Price History'!H44)),'Price History'!H44=0),"",'Price History'!H45/'Price History'!H44-1),"")</f>
        <v>5.3602879240366441E-4</v>
      </c>
      <c r="I44" s="150">
        <f>IFERROR(IF(OR(NOT(ISNUMBER('Price History'!I45)),NOT(ISNUMBER('Price History'!I44)),'Price History'!I44=0),"",'Price History'!I45/'Price History'!I44-1),"")</f>
        <v>1.8506493506493582E-2</v>
      </c>
      <c r="J44" s="150">
        <f>IFERROR(IF(OR(NOT(ISNUMBER('Price History'!J45)),NOT(ISNUMBER('Price History'!J44)),'Price History'!J44=0),"",'Price History'!J45/'Price History'!J44-1),"")</f>
        <v>1.9180972475304481E-2</v>
      </c>
      <c r="K44" s="150">
        <f>IFERROR(IF(OR(NOT(ISNUMBER('Price History'!K45)),NOT(ISNUMBER('Price History'!K44)),'Price History'!K44=0),"",'Price History'!K45/'Price History'!K44-1),"")</f>
        <v>7.500986971970014E-2</v>
      </c>
      <c r="L44" s="150">
        <f>IFERROR(IF(OR(NOT(ISNUMBER('Price History'!L45)),NOT(ISNUMBER('Price History'!L44)),'Price History'!L44=0),"",'Price History'!L45/'Price History'!L44-1),"")</f>
        <v>5.8579881656804833E-2</v>
      </c>
      <c r="M44" s="150">
        <f>IFERROR(IF(OR(NOT(ISNUMBER('Price History'!M45)),NOT(ISNUMBER('Price History'!M44)),'Price History'!M44=0),"",'Price History'!M45/'Price History'!M44-1),"")</f>
        <v>6.0111188325225884E-2</v>
      </c>
      <c r="N44" s="150">
        <f>IFERROR(IF(OR(NOT(ISNUMBER('Price History'!N45)),NOT(ISNUMBER('Price History'!N44)),'Price History'!N44=0),"",'Price History'!N45/'Price History'!N44-1),"")</f>
        <v>1.2480798771121293E-2</v>
      </c>
      <c r="O44" s="150">
        <f>IFERROR(IF(OR(NOT(ISNUMBER('Price History'!O45)),NOT(ISNUMBER('Price History'!O44)),'Price History'!O44=0),"",'Price History'!O45/'Price History'!O44-1),"")</f>
        <v>-1.6499365409022859E-2</v>
      </c>
      <c r="P44" s="150">
        <f>IFERROR(IF(OR(NOT(ISNUMBER('Price History'!P45)),NOT(ISNUMBER('Price History'!P44)),'Price History'!P44=0),"",'Price History'!P45/'Price History'!P44-1),"")</f>
        <v>-8.1672949201220257E-3</v>
      </c>
      <c r="Q44" s="150">
        <f>IFERROR(IF(OR(NOT(ISNUMBER('Price History'!Q45)),NOT(ISNUMBER('Price History'!Q44)),'Price History'!Q44=0),"",'Price History'!Q45/'Price History'!Q44-1),"")</f>
        <v>7.1044879570265618E-3</v>
      </c>
      <c r="R44" s="150">
        <f>IFERROR(IF(OR(NOT(ISNUMBER('Price History'!R45)),NOT(ISNUMBER('Price History'!R44)),'Price History'!R44=0),"",'Price History'!R45/'Price History'!R44-1),"")</f>
        <v>1.4523307566174815E-2</v>
      </c>
      <c r="S44" s="150">
        <f>IFERROR(IF(OR(NOT(ISNUMBER('Price History'!S45)),NOT(ISNUMBER('Price History'!S44)),'Price History'!S44=0),"",'Price History'!S45/'Price History'!S44-1),"")</f>
        <v>3.1042901988140859E-2</v>
      </c>
      <c r="T44" s="150">
        <f>IFERROR(IF(OR(NOT(ISNUMBER('Price History'!T45)),NOT(ISNUMBER('Price History'!T44)),'Price History'!T44=0),"",'Price History'!T45/'Price History'!T44-1),"")</f>
        <v>-1.966666666666661E-2</v>
      </c>
      <c r="U44" s="150">
        <f>IFERROR(IF(OR(NOT(ISNUMBER('Price History'!U45)),NOT(ISNUMBER('Price History'!U44)),'Price History'!U44=0),"",'Price History'!U45/'Price History'!U44-1),"")</f>
        <v>-9.2050209205020161E-3</v>
      </c>
      <c r="V44" s="151">
        <f>IFERROR(IF(OR(NOT(ISNUMBER('Price History'!V45)),NOT(ISNUMBER('Price History'!V44)),'Price History'!V44=0),"",'Price History'!V45/'Price History'!V44-1),"")</f>
        <v>3.0071691532648659E-2</v>
      </c>
      <c r="W44" s="152">
        <f>IFERROR('Price History'!B3+(INDEX('Price History'!B:B,MATCH(9.99E+307,'Returns (Calc)'!$A:$A)+1)-'Price History'!B3)*(ROW()-3)/(MATCH(9.99E+307,'Returns (Calc)'!$A:$A)-3),"")</f>
        <v>454.98169811320753</v>
      </c>
      <c r="X44" s="152">
        <f>IFERROR('Price History'!C3+(INDEX('Price History'!C:C,MATCH(9.99E+307,'Returns (Calc)'!$A:$A)+1)-'Price History'!C3)*(ROW()-3)/(MATCH(9.99E+307,'Returns (Calc)'!$A:$A)-3),"")</f>
        <v>90.160880503144654</v>
      </c>
      <c r="Y44" s="152">
        <f>IFERROR('Price History'!D3+(INDEX('Price History'!D:D,MATCH(9.99E+307,'Returns (Calc)'!$A:$A)+1)-'Price History'!D3)*(ROW()-3)/(MATCH(9.99E+307,'Returns (Calc)'!$A:$A)-3),"")</f>
        <v>891.01333333333332</v>
      </c>
      <c r="Z44" s="152">
        <f>IFERROR('Price History'!E3+(INDEX('Price History'!E:E,MATCH(9.99E+307,'Returns (Calc)'!$A:$A)+1)-'Price History'!E3)*(ROW()-3)/(MATCH(9.99E+307,'Returns (Calc)'!$A:$A)-3),"")</f>
        <v>154.08264150943398</v>
      </c>
      <c r="AA44" s="152">
        <f>IFERROR('Price History'!F3+(INDEX('Price History'!F:F,MATCH(9.99E+307,'Returns (Calc)'!$A:$A)+1)-'Price History'!F3)*(ROW()-3)/(MATCH(9.99E+307,'Returns (Calc)'!$A:$A)-3),"")</f>
        <v>101.617106918239</v>
      </c>
      <c r="AB44" s="152">
        <f>IFERROR('Price History'!G3+(INDEX('Price History'!G:G,MATCH(9.99E+307,'Returns (Calc)'!$A:$A)+1)-'Price History'!G3)*(ROW()-3)/(MATCH(9.99E+307,'Returns (Calc)'!$A:$A)-3),"")</f>
        <v>83.343836477987423</v>
      </c>
      <c r="AC44" s="152">
        <f>IFERROR('Price History'!H3+(INDEX('Price History'!H:H,MATCH(9.99E+307,'Returns (Calc)'!$A:$A)+1)-'Price History'!H3)*(ROW()-3)/(MATCH(9.99E+307,'Returns (Calc)'!$A:$A)-3),"")</f>
        <v>316.62880503144652</v>
      </c>
      <c r="AD44" s="152">
        <f>IFERROR('Price History'!I3+(INDEX('Price History'!I:I,MATCH(9.99E+307,'Returns (Calc)'!$A:$A)+1)-'Price History'!I3)*(ROW()-3)/(MATCH(9.99E+307,'Returns (Calc)'!$A:$A)-3),"")</f>
        <v>91.605911949685535</v>
      </c>
      <c r="AE44" s="152">
        <f>IFERROR('Price History'!J3+(INDEX('Price History'!J:J,MATCH(9.99E+307,'Returns (Calc)'!$A:$A)+1)-'Price History'!J3)*(ROW()-3)/(MATCH(9.99E+307,'Returns (Calc)'!$A:$A)-3),"")</f>
        <v>116.39125786163522</v>
      </c>
      <c r="AF44" s="152">
        <f>IFERROR('Price History'!K3+(INDEX('Price History'!K:K,MATCH(9.99E+307,'Returns (Calc)'!$A:$A)+1)-'Price History'!K3)*(ROW()-3)/(MATCH(9.99E+307,'Returns (Calc)'!$A:$A)-3),"")</f>
        <v>65.282955974842764</v>
      </c>
      <c r="AG44" s="152">
        <f>IFERROR('Price History'!L3+(INDEX('Price History'!L:L,MATCH(9.99E+307,'Returns (Calc)'!$A:$A)+1)-'Price History'!L3)*(ROW()-3)/(MATCH(9.99E+307,'Returns (Calc)'!$A:$A)-3),"")</f>
        <v>180.52962264150943</v>
      </c>
      <c r="AH44" s="152">
        <f>IFERROR('Price History'!M3+(INDEX('Price History'!M:M,MATCH(9.99E+307,'Returns (Calc)'!$A:$A)+1)-'Price History'!M3)*(ROW()-3)/(MATCH(9.99E+307,'Returns (Calc)'!$A:$A)-3),"")</f>
        <v>90.819748427672948</v>
      </c>
      <c r="AI44" s="152">
        <f>IFERROR('Price History'!N3+(INDEX('Price History'!N:N,MATCH(9.99E+307,'Returns (Calc)'!$A:$A)+1)-'Price History'!N3)*(ROW()-3)/(MATCH(9.99E+307,'Returns (Calc)'!$A:$A)-3),"")</f>
        <v>390.46213836477983</v>
      </c>
      <c r="AJ44" s="152">
        <f>IFERROR('Price History'!O3+(INDEX('Price History'!O:O,MATCH(9.99E+307,'Returns (Calc)'!$A:$A)+1)-'Price History'!O3)*(ROW()-3)/(MATCH(9.99E+307,'Returns (Calc)'!$A:$A)-3),"")</f>
        <v>86.741006289308174</v>
      </c>
      <c r="AK44" s="152">
        <f>IFERROR('Price History'!Q3+(INDEX('Price History'!Q:Q,MATCH(9.99E+307,'Returns (Calc)'!$A:$A)+1)-'Price History'!Q3)*(ROW()-3)/(MATCH(9.99E+307,'Returns (Calc)'!$A:$A)-3),"")</f>
        <v>18.042578616352202</v>
      </c>
      <c r="AL44" s="152">
        <f>IFERROR('Price History'!R3+(INDEX('Price History'!R:R,MATCH(9.99E+307,'Returns (Calc)'!$A:$A)+1)-'Price History'!R3)*(ROW()-3)/(MATCH(9.99E+307,'Returns (Calc)'!$A:$A)-3),"")</f>
        <v>41.341698113207542</v>
      </c>
      <c r="AM44" s="152">
        <f>IFERROR('Price History'!S3+(INDEX('Price History'!S:S,MATCH(9.99E+307,'Returns (Calc)'!$A:$A)+1)-'Price History'!S3)*(ROW()-3)/(MATCH(9.99E+307,'Returns (Calc)'!$A:$A)-3),"")</f>
        <v>81.747798742138372</v>
      </c>
      <c r="AN44" s="152">
        <f>IFERROR('Price History'!T3+(INDEX('Price History'!T:T,MATCH(9.99E+307,'Returns (Calc)'!$A:$A)+1)-'Price History'!T3)*(ROW()-3)/(MATCH(9.99E+307,'Returns (Calc)'!$A:$A)-3),"")</f>
        <v>32.356981132075468</v>
      </c>
      <c r="AO44" s="153">
        <f>IFERROR('Price History'!V3+(INDEX('Price History'!V:V,MATCH(9.99E+307,'Returns (Calc)'!$A:$A)+1)-'Price History'!V3)*(ROW()-3)/(MATCH(9.99E+307,'Returns (Calc)'!$A:$A)-3),"")</f>
        <v>274.26283018867923</v>
      </c>
      <c r="AP44" s="151">
        <f>IFERROR(IF(OR(NOT(ISNUMBER('Price History'!W45)),NOT(ISNUMBER('Price History'!W44)),'Price History'!W44=0),"",'Price History'!W45/'Price History'!W44-1),"")</f>
        <v>-1.7865118356408249E-4</v>
      </c>
      <c r="AQ44" s="151" t="str">
        <f>IFERROR(IF(OR(NOT(ISNUMBER('Price History'!X45)),NOT(ISNUMBER('Price History'!X44)),'Price History'!X44=0),"",'Price History'!X45/'Price History'!X44-1),"")</f>
        <v/>
      </c>
      <c r="AR44" s="151">
        <f>IFERROR(IF(OR(NOT(ISNUMBER('Price History'!Y45)),NOT(ISNUMBER('Price History'!Y44)),'Price History'!Y44=0),"",'Price History'!Y45/'Price History'!Y44-1),"")</f>
        <v>4.2535091450446316E-4</v>
      </c>
      <c r="AS44" s="151">
        <f>IFERROR(IF(OR(NOT(ISNUMBER('Price History'!Z45)),NOT(ISNUMBER('Price History'!Z44)),'Price History'!Z44=0),"",'Price History'!Z45/'Price History'!Z44-1),"")</f>
        <v>9.6245777296195545E-3</v>
      </c>
      <c r="AT44" s="151">
        <f>IFERROR(IF(OR(NOT(ISNUMBER('Price History'!AA45)),NOT(ISNUMBER('Price History'!AA44)),'Price History'!AA44=0),"",'Price History'!AA45/'Price History'!AA44-1),"")</f>
        <v>2.3410875685286658E-2</v>
      </c>
      <c r="AU44" s="151">
        <f>IFERROR(IF(OR(NOT(ISNUMBER('Price History'!AB45)),NOT(ISNUMBER('Price History'!AB44)),'Price History'!AB44=0),"",'Price History'!AB45/'Price History'!AB44-1),"")</f>
        <v>2.4588820283044655E-3</v>
      </c>
    </row>
    <row r="45" spans="1:47" ht="15" customHeight="1" x14ac:dyDescent="0.2">
      <c r="A45" s="149">
        <f>IF('Price History'!A46="","",'Price History'!A46)</f>
        <v>45485</v>
      </c>
      <c r="B45" s="150">
        <f>IFERROR(IF(OR(NOT(ISNUMBER('Price History'!B46)),NOT(ISNUMBER('Price History'!B45)),'Price History'!B45=0),"",'Price History'!B46/'Price History'!B45-1),"")</f>
        <v>-3.3354082373690308E-2</v>
      </c>
      <c r="C45" s="150">
        <f>IFERROR(IF(OR(NOT(ISNUMBER('Price History'!C46)),NOT(ISNUMBER('Price History'!C45)),'Price History'!C45=0),"",'Price History'!C46/'Price History'!C45-1),"")</f>
        <v>-1.1688879178501255E-2</v>
      </c>
      <c r="D45" s="150">
        <f>IFERROR(IF(OR(NOT(ISNUMBER('Price History'!D46)),NOT(ISNUMBER('Price History'!D45)),'Price History'!D45=0),"",'Price History'!D46/'Price History'!D45-1),"")</f>
        <v>1.0039722793678596E-2</v>
      </c>
      <c r="E45" s="150">
        <f>IFERROR(IF(OR(NOT(ISNUMBER('Price History'!E46)),NOT(ISNUMBER('Price History'!E45)),'Price History'!E45=0),"",'Price History'!E46/'Price History'!E45-1),"")</f>
        <v>-1.5580057526365376E-3</v>
      </c>
      <c r="F45" s="150">
        <f>IFERROR(IF(OR(NOT(ISNUMBER('Price History'!F46)),NOT(ISNUMBER('Price History'!F45)),'Price History'!F45=0),"",'Price History'!F46/'Price History'!F45-1),"")</f>
        <v>-4.711558201601318E-2</v>
      </c>
      <c r="G45" s="150">
        <f>IFERROR(IF(OR(NOT(ISNUMBER('Price History'!G46)),NOT(ISNUMBER('Price History'!G45)),'Price History'!G45=0),"",'Price History'!G46/'Price History'!G45-1),"")</f>
        <v>2.8537455410226897E-3</v>
      </c>
      <c r="H45" s="150">
        <f>IFERROR(IF(OR(NOT(ISNUMBER('Price History'!H46)),NOT(ISNUMBER('Price History'!H45)),'Price History'!H45=0),"",'Price History'!H46/'Price History'!H45-1),"")</f>
        <v>1.5766110515842646E-2</v>
      </c>
      <c r="I45" s="150">
        <f>IFERROR(IF(OR(NOT(ISNUMBER('Price History'!I46)),NOT(ISNUMBER('Price History'!I45)),'Price History'!I45=0),"",'Price History'!I46/'Price History'!I45-1),"")</f>
        <v>2.7095951546063146E-2</v>
      </c>
      <c r="J45" s="150">
        <f>IFERROR(IF(OR(NOT(ISNUMBER('Price History'!J46)),NOT(ISNUMBER('Price History'!J45)),'Price History'!J45=0),"",'Price History'!J46/'Price History'!J45-1),"")</f>
        <v>4.9684765220664451E-2</v>
      </c>
      <c r="K45" s="150">
        <f>IFERROR(IF(OR(NOT(ISNUMBER('Price History'!K46)),NOT(ISNUMBER('Price History'!K45)),'Price History'!K45=0),"",'Price History'!K46/'Price History'!K45-1),"")</f>
        <v>3.084832904884327E-2</v>
      </c>
      <c r="L45" s="150">
        <f>IFERROR(IF(OR(NOT(ISNUMBER('Price History'!L46)),NOT(ISNUMBER('Price History'!L45)),'Price History'!L45=0),"",'Price History'!L46/'Price History'!L45-1),"")</f>
        <v>1.8222470653996625E-2</v>
      </c>
      <c r="M45" s="150">
        <f>IFERROR(IF(OR(NOT(ISNUMBER('Price History'!M46)),NOT(ISNUMBER('Price History'!M45)),'Price History'!M45=0),"",'Price History'!M46/'Price History'!M45-1),"")</f>
        <v>-2.2943297279580444E-2</v>
      </c>
      <c r="N45" s="150">
        <f>IFERROR(IF(OR(NOT(ISNUMBER('Price History'!N46)),NOT(ISNUMBER('Price History'!N45)),'Price History'!N45=0),"",'Price History'!N46/'Price History'!N45-1),"")</f>
        <v>2.9858608845902745E-2</v>
      </c>
      <c r="O45" s="150">
        <f>IFERROR(IF(OR(NOT(ISNUMBER('Price History'!O46)),NOT(ISNUMBER('Price History'!O45)),'Price History'!O45=0),"",'Price History'!O46/'Price History'!O45-1),"")</f>
        <v>5.5725011731581509E-2</v>
      </c>
      <c r="P45" s="150">
        <f>IFERROR(IF(OR(NOT(ISNUMBER('Price History'!P46)),NOT(ISNUMBER('Price History'!P45)),'Price History'!P45=0),"",'Price History'!P46/'Price History'!P45-1),"")</f>
        <v>4.2077640032576191E-2</v>
      </c>
      <c r="Q45" s="150">
        <f>IFERROR(IF(OR(NOT(ISNUMBER('Price History'!Q46)),NOT(ISNUMBER('Price History'!Q45)),'Price History'!Q45=0),"",'Price History'!Q46/'Price History'!Q45-1),"")</f>
        <v>3.4411562284928365E-3</v>
      </c>
      <c r="R45" s="150">
        <f>IFERROR(IF(OR(NOT(ISNUMBER('Price History'!R46)),NOT(ISNUMBER('Price History'!R45)),'Price History'!R45=0),"",'Price History'!R46/'Price History'!R45-1),"")</f>
        <v>-6.9268067420924506E-4</v>
      </c>
      <c r="S45" s="150">
        <f>IFERROR(IF(OR(NOT(ISNUMBER('Price History'!S46)),NOT(ISNUMBER('Price History'!S45)),'Price History'!S45=0),"",'Price History'!S46/'Price History'!S45-1),"")</f>
        <v>-2.0297699594046259E-3</v>
      </c>
      <c r="T45" s="150">
        <f>IFERROR(IF(OR(NOT(ISNUMBER('Price History'!T46)),NOT(ISNUMBER('Price History'!T45)),'Price History'!T45=0),"",'Price History'!T46/'Price History'!T45-1),"")</f>
        <v>3.8422305338320362E-2</v>
      </c>
      <c r="U45" s="150">
        <f>IFERROR(IF(OR(NOT(ISNUMBER('Price History'!U46)),NOT(ISNUMBER('Price History'!U45)),'Price History'!U45=0),"",'Price History'!U46/'Price History'!U45-1),"")</f>
        <v>3.3783783783783772E-2</v>
      </c>
      <c r="V45" s="151">
        <f>IFERROR(IF(OR(NOT(ISNUMBER('Price History'!V46)),NOT(ISNUMBER('Price History'!V45)),'Price History'!V45=0),"",'Price History'!V46/'Price History'!V45-1),"")</f>
        <v>-1.707986907941772E-2</v>
      </c>
      <c r="W45" s="152">
        <f>IFERROR('Price History'!B3+(INDEX('Price History'!B:B,MATCH(9.99E+307,'Returns (Calc)'!$A:$A)+1)-'Price History'!B3)*(ROW()-3)/(MATCH(9.99E+307,'Returns (Calc)'!$A:$A)-3),"")</f>
        <v>453.17905660377357</v>
      </c>
      <c r="X45" s="152">
        <f>IFERROR('Price History'!C3+(INDEX('Price History'!C:C,MATCH(9.99E+307,'Returns (Calc)'!$A:$A)+1)-'Price History'!C3)*(ROW()-3)/(MATCH(9.99E+307,'Returns (Calc)'!$A:$A)-3),"")</f>
        <v>91.233584905660379</v>
      </c>
      <c r="Y45" s="152">
        <f>IFERROR('Price History'!D3+(INDEX('Price History'!D:D,MATCH(9.99E+307,'Returns (Calc)'!$A:$A)+1)-'Price History'!D3)*(ROW()-3)/(MATCH(9.99E+307,'Returns (Calc)'!$A:$A)-3),"")</f>
        <v>898.55</v>
      </c>
      <c r="Z45" s="152">
        <f>IFERROR('Price History'!E3+(INDEX('Price History'!E:E,MATCH(9.99E+307,'Returns (Calc)'!$A:$A)+1)-'Price History'!E3)*(ROW()-3)/(MATCH(9.99E+307,'Returns (Calc)'!$A:$A)-3),"")</f>
        <v>155.84075471698114</v>
      </c>
      <c r="AA45" s="152">
        <f>IFERROR('Price History'!F3+(INDEX('Price History'!F:F,MATCH(9.99E+307,'Returns (Calc)'!$A:$A)+1)-'Price History'!F3)*(ROW()-3)/(MATCH(9.99E+307,'Returns (Calc)'!$A:$A)-3),"")</f>
        <v>103.0867924528302</v>
      </c>
      <c r="AB45" s="152">
        <f>IFERROR('Price History'!G3+(INDEX('Price History'!G:G,MATCH(9.99E+307,'Returns (Calc)'!$A:$A)+1)-'Price History'!G3)*(ROW()-3)/(MATCH(9.99E+307,'Returns (Calc)'!$A:$A)-3),"")</f>
        <v>84.294905660377367</v>
      </c>
      <c r="AC45" s="152">
        <f>IFERROR('Price History'!H3+(INDEX('Price History'!H:H,MATCH(9.99E+307,'Returns (Calc)'!$A:$A)+1)-'Price History'!H3)*(ROW()-3)/(MATCH(9.99E+307,'Returns (Calc)'!$A:$A)-3),"")</f>
        <v>322.66584905660375</v>
      </c>
      <c r="AD45" s="152">
        <f>IFERROR('Price History'!I3+(INDEX('Price History'!I:I,MATCH(9.99E+307,'Returns (Calc)'!$A:$A)+1)-'Price History'!I3)*(ROW()-3)/(MATCH(9.99E+307,'Returns (Calc)'!$A:$A)-3),"")</f>
        <v>92.772641509433967</v>
      </c>
      <c r="AE45" s="152">
        <f>IFERROR('Price History'!J3+(INDEX('Price History'!J:J,MATCH(9.99E+307,'Returns (Calc)'!$A:$A)+1)-'Price History'!J3)*(ROW()-3)/(MATCH(9.99E+307,'Returns (Calc)'!$A:$A)-3),"")</f>
        <v>116.5022641509434</v>
      </c>
      <c r="AF45" s="152">
        <f>IFERROR('Price History'!K3+(INDEX('Price History'!K:K,MATCH(9.99E+307,'Returns (Calc)'!$A:$A)+1)-'Price History'!K3)*(ROW()-3)/(MATCH(9.99E+307,'Returns (Calc)'!$A:$A)-3),"")</f>
        <v>66.501320754716986</v>
      </c>
      <c r="AG45" s="152">
        <f>IFERROR('Price History'!L3+(INDEX('Price History'!L:L,MATCH(9.99E+307,'Returns (Calc)'!$A:$A)+1)-'Price History'!L3)*(ROW()-3)/(MATCH(9.99E+307,'Returns (Calc)'!$A:$A)-3),"")</f>
        <v>182.841320754717</v>
      </c>
      <c r="AH45" s="152">
        <f>IFERROR('Price History'!M3+(INDEX('Price History'!M:M,MATCH(9.99E+307,'Returns (Calc)'!$A:$A)+1)-'Price History'!M3)*(ROW()-3)/(MATCH(9.99E+307,'Returns (Calc)'!$A:$A)-3),"")</f>
        <v>92.107547169811326</v>
      </c>
      <c r="AI45" s="152">
        <f>IFERROR('Price History'!N3+(INDEX('Price History'!N:N,MATCH(9.99E+307,'Returns (Calc)'!$A:$A)+1)-'Price History'!N3)*(ROW()-3)/(MATCH(9.99E+307,'Returns (Calc)'!$A:$A)-3),"")</f>
        <v>391.47584905660375</v>
      </c>
      <c r="AJ45" s="152">
        <f>IFERROR('Price History'!O3+(INDEX('Price History'!O:O,MATCH(9.99E+307,'Returns (Calc)'!$A:$A)+1)-'Price History'!O3)*(ROW()-3)/(MATCH(9.99E+307,'Returns (Calc)'!$A:$A)-3),"")</f>
        <v>87.019811320754712</v>
      </c>
      <c r="AK45" s="152">
        <f>IFERROR('Price History'!Q3+(INDEX('Price History'!Q:Q,MATCH(9.99E+307,'Returns (Calc)'!$A:$A)+1)-'Price History'!Q3)*(ROW()-3)/(MATCH(9.99E+307,'Returns (Calc)'!$A:$A)-3),"")</f>
        <v>18.482641509433961</v>
      </c>
      <c r="AL45" s="152">
        <f>IFERROR('Price History'!R3+(INDEX('Price History'!R:R,MATCH(9.99E+307,'Returns (Calc)'!$A:$A)+1)-'Price History'!R3)*(ROW()-3)/(MATCH(9.99E+307,'Returns (Calc)'!$A:$A)-3),"")</f>
        <v>41.509056603773587</v>
      </c>
      <c r="AM45" s="152">
        <f>IFERROR('Price History'!S3+(INDEX('Price History'!S:S,MATCH(9.99E+307,'Returns (Calc)'!$A:$A)+1)-'Price History'!S3)*(ROW()-3)/(MATCH(9.99E+307,'Returns (Calc)'!$A:$A)-3),"")</f>
        <v>82.336037735849061</v>
      </c>
      <c r="AN45" s="152">
        <f>IFERROR('Price History'!T3+(INDEX('Price History'!T:T,MATCH(9.99E+307,'Returns (Calc)'!$A:$A)+1)-'Price History'!T3)*(ROW()-3)/(MATCH(9.99E+307,'Returns (Calc)'!$A:$A)-3),"")</f>
        <v>32.530566037735852</v>
      </c>
      <c r="AO45" s="153">
        <f>IFERROR('Price History'!V3+(INDEX('Price History'!V:V,MATCH(9.99E+307,'Returns (Calc)'!$A:$A)+1)-'Price History'!V3)*(ROW()-3)/(MATCH(9.99E+307,'Returns (Calc)'!$A:$A)-3),"")</f>
        <v>275.20509433962263</v>
      </c>
      <c r="AP45" s="151">
        <f>IFERROR(IF(OR(NOT(ISNUMBER('Price History'!W46)),NOT(ISNUMBER('Price History'!W45)),'Price History'!W45=0),"",'Price History'!W46/'Price History'!W45-1),"")</f>
        <v>2.447958545519513E-2</v>
      </c>
      <c r="AQ45" s="151" t="str">
        <f>IFERROR(IF(OR(NOT(ISNUMBER('Price History'!X46)),NOT(ISNUMBER('Price History'!X45)),'Price History'!X45=0),"",'Price History'!X46/'Price History'!X45-1),"")</f>
        <v/>
      </c>
      <c r="AR45" s="151">
        <f>IFERROR(IF(OR(NOT(ISNUMBER('Price History'!Y46)),NOT(ISNUMBER('Price History'!Y45)),'Price History'!Y45=0),"",'Price History'!Y46/'Price History'!Y45-1),"")</f>
        <v>9.3537414965985111E-3</v>
      </c>
      <c r="AS45" s="151">
        <f>IFERROR(IF(OR(NOT(ISNUMBER('Price History'!Z46)),NOT(ISNUMBER('Price History'!Z45)),'Price History'!Z45=0),"",'Price History'!Z46/'Price History'!Z45-1),"")</f>
        <v>-7.6388888888889728E-3</v>
      </c>
      <c r="AT45" s="151">
        <f>IFERROR(IF(OR(NOT(ISNUMBER('Price History'!AA46)),NOT(ISNUMBER('Price History'!AA45)),'Price History'!AA45=0),"",'Price History'!AA46/'Price History'!AA45-1),"")</f>
        <v>-6.2400463298103226E-2</v>
      </c>
      <c r="AU45" s="151">
        <f>IFERROR(IF(OR(NOT(ISNUMBER('Price History'!AB46)),NOT(ISNUMBER('Price History'!AB45)),'Price History'!AB45=0),"",'Price History'!AB46/'Price History'!AB45-1),"")</f>
        <v>2.4310476398124781E-2</v>
      </c>
    </row>
    <row r="46" spans="1:47" ht="15" customHeight="1" x14ac:dyDescent="0.2">
      <c r="A46" s="149">
        <f>IF('Price History'!A47="","",'Price History'!A47)</f>
        <v>45492</v>
      </c>
      <c r="B46" s="150">
        <f>IFERROR(IF(OR(NOT(ISNUMBER('Price History'!B47)),NOT(ISNUMBER('Price History'!B46)),'Price History'!B46=0),"",'Price History'!B47/'Price History'!B46-1),"")</f>
        <v>-1.4399427600393477E-2</v>
      </c>
      <c r="C46" s="150">
        <f>IFERROR(IF(OR(NOT(ISNUMBER('Price History'!C47)),NOT(ISNUMBER('Price History'!C46)),'Price History'!C46=0),"",'Price History'!C47/'Price History'!C46-1),"")</f>
        <v>-8.6548026970266423E-2</v>
      </c>
      <c r="D46" s="150">
        <f>IFERROR(IF(OR(NOT(ISNUMBER('Price History'!D47)),NOT(ISNUMBER('Price History'!D46)),'Price History'!D46=0),"",'Price History'!D47/'Price History'!D46-1),"")</f>
        <v>-0.17497653463487894</v>
      </c>
      <c r="E46" s="150">
        <f>IFERROR(IF(OR(NOT(ISNUMBER('Price History'!E47)),NOT(ISNUMBER('Price History'!E46)),'Price History'!E46=0),"",'Price History'!E47/'Price History'!E46-1),"")</f>
        <v>-7.4780938662825647E-2</v>
      </c>
      <c r="F46" s="150">
        <f>IFERROR(IF(OR(NOT(ISNUMBER('Price History'!F47)),NOT(ISNUMBER('Price History'!F46)),'Price History'!F46=0),"",'Price History'!F47/'Price History'!F46-1),"")</f>
        <v>-0.17871377787353226</v>
      </c>
      <c r="G46" s="150">
        <f>IFERROR(IF(OR(NOT(ISNUMBER('Price History'!G47)),NOT(ISNUMBER('Price History'!G46)),'Price History'!G46=0),"",'Price History'!G47/'Price History'!G46-1),"")</f>
        <v>-0.11097936921982454</v>
      </c>
      <c r="H46" s="150">
        <f>IFERROR(IF(OR(NOT(ISNUMBER('Price History'!H47)),NOT(ISNUMBER('Price History'!H46)),'Price History'!H46=0),"",'Price History'!H47/'Price History'!H46-1),"")</f>
        <v>-0.14443942133815557</v>
      </c>
      <c r="I46" s="150">
        <f>IFERROR(IF(OR(NOT(ISNUMBER('Price History'!I47)),NOT(ISNUMBER('Price History'!I46)),'Price History'!I46=0),"",'Price History'!I47/'Price History'!I46-1),"")</f>
        <v>-8.7523277467411509E-2</v>
      </c>
      <c r="J46" s="150">
        <f>IFERROR(IF(OR(NOT(ISNUMBER('Price History'!J47)),NOT(ISNUMBER('Price History'!J46)),'Price History'!J46=0),"",'Price History'!J47/'Price History'!J46-1),"")</f>
        <v>3.0031376064545201E-2</v>
      </c>
      <c r="K46" s="150">
        <f>IFERROR(IF(OR(NOT(ISNUMBER('Price History'!K47)),NOT(ISNUMBER('Price History'!K46)),'Price History'!K46=0),"",'Price History'!K47/'Price History'!K46-1),"")</f>
        <v>1.8168863555397152E-2</v>
      </c>
      <c r="L46" s="150">
        <f>IFERROR(IF(OR(NOT(ISNUMBER('Price History'!L47)),NOT(ISNUMBER('Price History'!L46)),'Price History'!L46=0),"",'Price History'!L47/'Price History'!L46-1),"")</f>
        <v>-0.11517347386912602</v>
      </c>
      <c r="M46" s="150">
        <f>IFERROR(IF(OR(NOT(ISNUMBER('Price History'!M47)),NOT(ISNUMBER('Price History'!M46)),'Price History'!M46=0),"",'Price History'!M47/'Price History'!M46-1),"")</f>
        <v>-4.8641395504864238E-2</v>
      </c>
      <c r="N46" s="150">
        <f>IFERROR(IF(OR(NOT(ISNUMBER('Price History'!N47)),NOT(ISNUMBER('Price History'!N46)),'Price History'!N46=0),"",'Price History'!N47/'Price History'!N46-1),"")</f>
        <v>5.7903998035764292E-3</v>
      </c>
      <c r="O46" s="150">
        <f>IFERROR(IF(OR(NOT(ISNUMBER('Price History'!O47)),NOT(ISNUMBER('Price History'!O46)),'Price History'!O46=0),"",'Price History'!O47/'Price History'!O46-1),"")</f>
        <v>2.6447383042560446E-2</v>
      </c>
      <c r="P46" s="150">
        <f>IFERROR(IF(OR(NOT(ISNUMBER('Price History'!P47)),NOT(ISNUMBER('Price History'!P46)),'Price History'!P46=0),"",'Price History'!P47/'Price History'!P46-1),"")</f>
        <v>1.415422021535262E-2</v>
      </c>
      <c r="Q46" s="150">
        <f>IFERROR(IF(OR(NOT(ISNUMBER('Price History'!Q47)),NOT(ISNUMBER('Price History'!Q46)),'Price History'!Q46=0),"",'Price History'!Q47/'Price History'!Q46-1),"")</f>
        <v>-6.6872427983538651E-3</v>
      </c>
      <c r="R46" s="150">
        <f>IFERROR(IF(OR(NOT(ISNUMBER('Price History'!R47)),NOT(ISNUMBER('Price History'!R46)),'Price History'!R46=0),"",'Price History'!R47/'Price History'!R46-1),"")</f>
        <v>-2.957486136783738E-2</v>
      </c>
      <c r="S46" s="150">
        <f>IFERROR(IF(OR(NOT(ISNUMBER('Price History'!S47)),NOT(ISNUMBER('Price History'!S46)),'Price History'!S46=0),"",'Price History'!S47/'Price History'!S46-1),"")</f>
        <v>-4.0451977401129935E-2</v>
      </c>
      <c r="T46" s="150">
        <f>IFERROR(IF(OR(NOT(ISNUMBER('Price History'!T47)),NOT(ISNUMBER('Price History'!T46)),'Price History'!T46=0),"",'Price History'!T47/'Price History'!T46-1),"")</f>
        <v>1.5062213490504295E-2</v>
      </c>
      <c r="U46" s="150">
        <f>IFERROR(IF(OR(NOT(ISNUMBER('Price History'!U47)),NOT(ISNUMBER('Price History'!U46)),'Price History'!U46=0),"",'Price History'!U47/'Price History'!U46-1),"")</f>
        <v>1.8382352941176405E-2</v>
      </c>
      <c r="V46" s="151">
        <f>IFERROR(IF(OR(NOT(ISNUMBER('Price History'!V47)),NOT(ISNUMBER('Price History'!V46)),'Price History'!V46=0),"",'Price History'!V47/'Price History'!V46-1),"")</f>
        <v>-1.0716882918052617E-3</v>
      </c>
      <c r="W46" s="152">
        <f>IFERROR('Price History'!B3+(INDEX('Price History'!B:B,MATCH(9.99E+307,'Returns (Calc)'!$A:$A)+1)-'Price History'!B3)*(ROW()-3)/(MATCH(9.99E+307,'Returns (Calc)'!$A:$A)-3),"")</f>
        <v>451.37641509433962</v>
      </c>
      <c r="X46" s="152">
        <f>IFERROR('Price History'!C3+(INDEX('Price History'!C:C,MATCH(9.99E+307,'Returns (Calc)'!$A:$A)+1)-'Price History'!C3)*(ROW()-3)/(MATCH(9.99E+307,'Returns (Calc)'!$A:$A)-3),"")</f>
        <v>92.306289308176105</v>
      </c>
      <c r="Y46" s="152">
        <f>IFERROR('Price History'!D3+(INDEX('Price History'!D:D,MATCH(9.99E+307,'Returns (Calc)'!$A:$A)+1)-'Price History'!D3)*(ROW()-3)/(MATCH(9.99E+307,'Returns (Calc)'!$A:$A)-3),"")</f>
        <v>906.08666666666659</v>
      </c>
      <c r="Z46" s="152">
        <f>IFERROR('Price History'!E3+(INDEX('Price History'!E:E,MATCH(9.99E+307,'Returns (Calc)'!$A:$A)+1)-'Price History'!E3)*(ROW()-3)/(MATCH(9.99E+307,'Returns (Calc)'!$A:$A)-3),"")</f>
        <v>157.59886792452829</v>
      </c>
      <c r="AA46" s="152">
        <f>IFERROR('Price History'!F3+(INDEX('Price History'!F:F,MATCH(9.99E+307,'Returns (Calc)'!$A:$A)+1)-'Price History'!F3)*(ROW()-3)/(MATCH(9.99E+307,'Returns (Calc)'!$A:$A)-3),"")</f>
        <v>104.55647798742137</v>
      </c>
      <c r="AB46" s="152">
        <f>IFERROR('Price History'!G3+(INDEX('Price History'!G:G,MATCH(9.99E+307,'Returns (Calc)'!$A:$A)+1)-'Price History'!G3)*(ROW()-3)/(MATCH(9.99E+307,'Returns (Calc)'!$A:$A)-3),"")</f>
        <v>85.245974842767296</v>
      </c>
      <c r="AC46" s="152">
        <f>IFERROR('Price History'!H3+(INDEX('Price History'!H:H,MATCH(9.99E+307,'Returns (Calc)'!$A:$A)+1)-'Price History'!H3)*(ROW()-3)/(MATCH(9.99E+307,'Returns (Calc)'!$A:$A)-3),"")</f>
        <v>328.70289308176098</v>
      </c>
      <c r="AD46" s="152">
        <f>IFERROR('Price History'!I3+(INDEX('Price History'!I:I,MATCH(9.99E+307,'Returns (Calc)'!$A:$A)+1)-'Price History'!I3)*(ROW()-3)/(MATCH(9.99E+307,'Returns (Calc)'!$A:$A)-3),"")</f>
        <v>93.939371069182386</v>
      </c>
      <c r="AE46" s="152">
        <f>IFERROR('Price History'!J3+(INDEX('Price History'!J:J,MATCH(9.99E+307,'Returns (Calc)'!$A:$A)+1)-'Price History'!J3)*(ROW()-3)/(MATCH(9.99E+307,'Returns (Calc)'!$A:$A)-3),"")</f>
        <v>116.61327044025158</v>
      </c>
      <c r="AF46" s="152">
        <f>IFERROR('Price History'!K3+(INDEX('Price History'!K:K,MATCH(9.99E+307,'Returns (Calc)'!$A:$A)+1)-'Price History'!K3)*(ROW()-3)/(MATCH(9.99E+307,'Returns (Calc)'!$A:$A)-3),"")</f>
        <v>67.719685534591193</v>
      </c>
      <c r="AG46" s="152">
        <f>IFERROR('Price History'!L3+(INDEX('Price History'!L:L,MATCH(9.99E+307,'Returns (Calc)'!$A:$A)+1)-'Price History'!L3)*(ROW()-3)/(MATCH(9.99E+307,'Returns (Calc)'!$A:$A)-3),"")</f>
        <v>185.15301886792452</v>
      </c>
      <c r="AH46" s="152">
        <f>IFERROR('Price History'!M3+(INDEX('Price History'!M:M,MATCH(9.99E+307,'Returns (Calc)'!$A:$A)+1)-'Price History'!M3)*(ROW()-3)/(MATCH(9.99E+307,'Returns (Calc)'!$A:$A)-3),"")</f>
        <v>93.39534591194969</v>
      </c>
      <c r="AI46" s="152">
        <f>IFERROR('Price History'!N3+(INDEX('Price History'!N:N,MATCH(9.99E+307,'Returns (Calc)'!$A:$A)+1)-'Price History'!N3)*(ROW()-3)/(MATCH(9.99E+307,'Returns (Calc)'!$A:$A)-3),"")</f>
        <v>392.48955974842767</v>
      </c>
      <c r="AJ46" s="152">
        <f>IFERROR('Price History'!O3+(INDEX('Price History'!O:O,MATCH(9.99E+307,'Returns (Calc)'!$A:$A)+1)-'Price History'!O3)*(ROW()-3)/(MATCH(9.99E+307,'Returns (Calc)'!$A:$A)-3),"")</f>
        <v>87.298616352201265</v>
      </c>
      <c r="AK46" s="152">
        <f>IFERROR('Price History'!Q3+(INDEX('Price History'!Q:Q,MATCH(9.99E+307,'Returns (Calc)'!$A:$A)+1)-'Price History'!Q3)*(ROW()-3)/(MATCH(9.99E+307,'Returns (Calc)'!$A:$A)-3),"")</f>
        <v>18.922704402515723</v>
      </c>
      <c r="AL46" s="152">
        <f>IFERROR('Price History'!R3+(INDEX('Price History'!R:R,MATCH(9.99E+307,'Returns (Calc)'!$A:$A)+1)-'Price History'!R3)*(ROW()-3)/(MATCH(9.99E+307,'Returns (Calc)'!$A:$A)-3),"")</f>
        <v>41.676415094339617</v>
      </c>
      <c r="AM46" s="152">
        <f>IFERROR('Price History'!S3+(INDEX('Price History'!S:S,MATCH(9.99E+307,'Returns (Calc)'!$A:$A)+1)-'Price History'!S3)*(ROW()-3)/(MATCH(9.99E+307,'Returns (Calc)'!$A:$A)-3),"")</f>
        <v>82.92427672955975</v>
      </c>
      <c r="AN46" s="152">
        <f>IFERROR('Price History'!T3+(INDEX('Price History'!T:T,MATCH(9.99E+307,'Returns (Calc)'!$A:$A)+1)-'Price History'!T3)*(ROW()-3)/(MATCH(9.99E+307,'Returns (Calc)'!$A:$A)-3),"")</f>
        <v>32.704150943396229</v>
      </c>
      <c r="AO46" s="153">
        <f>IFERROR('Price History'!V3+(INDEX('Price History'!V:V,MATCH(9.99E+307,'Returns (Calc)'!$A:$A)+1)-'Price History'!V3)*(ROW()-3)/(MATCH(9.99E+307,'Returns (Calc)'!$A:$A)-3),"")</f>
        <v>276.14735849056603</v>
      </c>
      <c r="AP46" s="151">
        <f>IFERROR(IF(OR(NOT(ISNUMBER('Price History'!W47)),NOT(ISNUMBER('Price History'!W46)),'Price History'!W46=0),"",'Price History'!W47/'Price History'!W46-1),"")</f>
        <v>7.8486090520624163E-3</v>
      </c>
      <c r="AQ46" s="151" t="str">
        <f>IFERROR(IF(OR(NOT(ISNUMBER('Price History'!X47)),NOT(ISNUMBER('Price History'!X46)),'Price History'!X46=0),"",'Price History'!X47/'Price History'!X46-1),"")</f>
        <v/>
      </c>
      <c r="AR46" s="151">
        <f>IFERROR(IF(OR(NOT(ISNUMBER('Price History'!Y47)),NOT(ISNUMBER('Price History'!Y46)),'Price History'!Y46=0),"",'Price History'!Y47/'Price History'!Y46-1),"")</f>
        <v>-2.3167649536647295E-3</v>
      </c>
      <c r="AS46" s="151">
        <f>IFERROR(IF(OR(NOT(ISNUMBER('Price History'!Z47)),NOT(ISNUMBER('Price History'!Z46)),'Price History'!Z46=0),"",'Price History'!Z47/'Price History'!Z46-1),"")</f>
        <v>7.6340734143398592E-4</v>
      </c>
      <c r="AT46" s="151">
        <f>IFERROR(IF(OR(NOT(ISNUMBER('Price History'!AA47)),NOT(ISNUMBER('Price History'!AA46)),'Price History'!AA46=0),"",'Price History'!AA47/'Price History'!AA46-1),"")</f>
        <v>-2.2081531809759247E-2</v>
      </c>
      <c r="AU46" s="151">
        <f>IFERROR(IF(OR(NOT(ISNUMBER('Price History'!AB47)),NOT(ISNUMBER('Price History'!AB46)),'Price History'!AB46=0),"",'Price History'!AB47/'Price History'!AB46-1),"")</f>
        <v>-2.4851000425712977E-2</v>
      </c>
    </row>
    <row r="47" spans="1:47" ht="15" customHeight="1" x14ac:dyDescent="0.2">
      <c r="A47" s="149">
        <f>IF('Price History'!A48="","",'Price History'!A48)</f>
        <v>45499</v>
      </c>
      <c r="B47" s="150">
        <f>IFERROR(IF(OR(NOT(ISNUMBER('Price History'!B48)),NOT(ISNUMBER('Price History'!B47)),'Price History'!B47=0),"",'Price History'!B48/'Price History'!B47-1),"")</f>
        <v>-1.55353901996369E-2</v>
      </c>
      <c r="C47" s="150">
        <f>IFERROR(IF(OR(NOT(ISNUMBER('Price History'!C48)),NOT(ISNUMBER('Price History'!C47)),'Price History'!C47=0),"",'Price History'!C48/'Price History'!C47-1),"")</f>
        <v>-3.436592449177156E-2</v>
      </c>
      <c r="D47" s="150">
        <f>IFERROR(IF(OR(NOT(ISNUMBER('Price History'!D48)),NOT(ISNUMBER('Price History'!D47)),'Price History'!D47=0),"",'Price History'!D48/'Price History'!D47-1),"")</f>
        <v>-7.7931238480967169E-3</v>
      </c>
      <c r="E47" s="150">
        <f>IFERROR(IF(OR(NOT(ISNUMBER('Price History'!E48)),NOT(ISNUMBER('Price History'!E47)),'Price History'!E47=0),"",'Price History'!E48/'Price History'!E47-1),"")</f>
        <v>-3.6325895173845324E-2</v>
      </c>
      <c r="F47" s="150">
        <f>IFERROR(IF(OR(NOT(ISNUMBER('Price History'!F48)),NOT(ISNUMBER('Price History'!F47)),'Price History'!F47=0),"",'Price History'!F48/'Price History'!F47-1),"")</f>
        <v>-0.16002098635886663</v>
      </c>
      <c r="G47" s="150">
        <f>IFERROR(IF(OR(NOT(ISNUMBER('Price History'!G48)),NOT(ISNUMBER('Price History'!G47)),'Price History'!G47=0),"",'Price History'!G48/'Price History'!G47-1),"")</f>
        <v>3.2675380101360396E-2</v>
      </c>
      <c r="H47" s="150">
        <f>IFERROR(IF(OR(NOT(ISNUMBER('Price History'!H48)),NOT(ISNUMBER('Price History'!H47)),'Price History'!H47=0),"",'Price History'!H48/'Price History'!H47-1),"")</f>
        <v>-4.2448260678115357E-2</v>
      </c>
      <c r="I47" s="150">
        <f>IFERROR(IF(OR(NOT(ISNUMBER('Price History'!I48)),NOT(ISNUMBER('Price History'!I47)),'Price History'!I47=0),"",'Price History'!I48/'Price History'!I47-1),"")</f>
        <v>-4.1241496598639404E-2</v>
      </c>
      <c r="J47" s="150">
        <f>IFERROR(IF(OR(NOT(ISNUMBER('Price History'!J48)),NOT(ISNUMBER('Price History'!J47)),'Price History'!J47=0),"",'Price History'!J48/'Price History'!J47-1),"")</f>
        <v>-8.7032201914708507E-3</v>
      </c>
      <c r="K47" s="150">
        <f>IFERROR(IF(OR(NOT(ISNUMBER('Price History'!K48)),NOT(ISNUMBER('Price History'!K47)),'Price History'!K47=0),"",'Price History'!K48/'Price History'!K47-1),"")</f>
        <v>-4.8985304408677321E-2</v>
      </c>
      <c r="L47" s="150">
        <f>IFERROR(IF(OR(NOT(ISNUMBER('Price History'!L48)),NOT(ISNUMBER('Price History'!L47)),'Price History'!L47=0),"",'Price History'!L48/'Price History'!L47-1),"")</f>
        <v>-2.3079786574016659E-2</v>
      </c>
      <c r="M47" s="150">
        <f>IFERROR(IF(OR(NOT(ISNUMBER('Price History'!M48)),NOT(ISNUMBER('Price History'!M47)),'Price History'!M47=0),"",'Price History'!M48/'Price History'!M47-1),"")</f>
        <v>-9.6027268453220516E-2</v>
      </c>
      <c r="N47" s="150">
        <f>IFERROR(IF(OR(NOT(ISNUMBER('Price History'!N48)),NOT(ISNUMBER('Price History'!N47)),'Price History'!N47=0),"",'Price History'!N48/'Price History'!N47-1),"")</f>
        <v>7.5065606119169015E-3</v>
      </c>
      <c r="O47" s="150">
        <f>IFERROR(IF(OR(NOT(ISNUMBER('Price History'!O48)),NOT(ISNUMBER('Price History'!O47)),'Price History'!O47=0),"",'Price History'!O48/'Price History'!O47-1),"")</f>
        <v>3.6267186315903421E-2</v>
      </c>
      <c r="P47" s="150">
        <f>IFERROR(IF(OR(NOT(ISNUMBER('Price History'!P48)),NOT(ISNUMBER('Price History'!P47)),'Price History'!P47=0),"",'Price History'!P48/'Price History'!P47-1),"")</f>
        <v>2.1149070982104723E-2</v>
      </c>
      <c r="Q47" s="150">
        <f>IFERROR(IF(OR(NOT(ISNUMBER('Price History'!Q48)),NOT(ISNUMBER('Price History'!Q47)),'Price History'!Q47=0),"",'Price History'!Q48/'Price History'!Q47-1),"")</f>
        <v>-4.1429311237700661E-3</v>
      </c>
      <c r="R47" s="150">
        <f>IFERROR(IF(OR(NOT(ISNUMBER('Price History'!R48)),NOT(ISNUMBER('Price History'!R47)),'Price History'!R47=0),"",'Price History'!R48/'Price History'!R47-1),"")</f>
        <v>-2.261904761904765E-2</v>
      </c>
      <c r="S47" s="150">
        <f>IFERROR(IF(OR(NOT(ISNUMBER('Price History'!S48)),NOT(ISNUMBER('Price History'!S47)),'Price History'!S47=0),"",'Price History'!S48/'Price History'!S47-1),"")</f>
        <v>-1.8841262364578504E-2</v>
      </c>
      <c r="T47" s="150">
        <f>IFERROR(IF(OR(NOT(ISNUMBER('Price History'!T48)),NOT(ISNUMBER('Price History'!T47)),'Price History'!T47=0),"",'Price History'!T48/'Price History'!T47-1),"")</f>
        <v>1.806451612903226E-2</v>
      </c>
      <c r="U47" s="150">
        <f>IFERROR(IF(OR(NOT(ISNUMBER('Price History'!U48)),NOT(ISNUMBER('Price History'!U47)),'Price History'!U47=0),"",'Price History'!U48/'Price History'!U47-1),"")</f>
        <v>1.6847172081829287E-2</v>
      </c>
      <c r="V47" s="151">
        <f>IFERROR(IF(OR(NOT(ISNUMBER('Price History'!V48)),NOT(ISNUMBER('Price History'!V47)),'Price History'!V47=0),"",'Price History'!V48/'Price History'!V47-1),"")</f>
        <v>-2.2606230123759508E-2</v>
      </c>
      <c r="W47" s="152">
        <f>IFERROR('Price History'!B3+(INDEX('Price History'!B:B,MATCH(9.99E+307,'Returns (Calc)'!$A:$A)+1)-'Price History'!B3)*(ROW()-3)/(MATCH(9.99E+307,'Returns (Calc)'!$A:$A)-3),"")</f>
        <v>449.57377358490567</v>
      </c>
      <c r="X47" s="152">
        <f>IFERROR('Price History'!C3+(INDEX('Price History'!C:C,MATCH(9.99E+307,'Returns (Calc)'!$A:$A)+1)-'Price History'!C3)*(ROW()-3)/(MATCH(9.99E+307,'Returns (Calc)'!$A:$A)-3),"")</f>
        <v>93.378993710691816</v>
      </c>
      <c r="Y47" s="152">
        <f>IFERROR('Price History'!D3+(INDEX('Price History'!D:D,MATCH(9.99E+307,'Returns (Calc)'!$A:$A)+1)-'Price History'!D3)*(ROW()-3)/(MATCH(9.99E+307,'Returns (Calc)'!$A:$A)-3),"")</f>
        <v>913.62333333333322</v>
      </c>
      <c r="Z47" s="152">
        <f>IFERROR('Price History'!E3+(INDEX('Price History'!E:E,MATCH(9.99E+307,'Returns (Calc)'!$A:$A)+1)-'Price History'!E3)*(ROW()-3)/(MATCH(9.99E+307,'Returns (Calc)'!$A:$A)-3),"")</f>
        <v>159.35698113207548</v>
      </c>
      <c r="AA47" s="152">
        <f>IFERROR('Price History'!F3+(INDEX('Price History'!F:F,MATCH(9.99E+307,'Returns (Calc)'!$A:$A)+1)-'Price History'!F3)*(ROW()-3)/(MATCH(9.99E+307,'Returns (Calc)'!$A:$A)-3),"")</f>
        <v>106.02616352201258</v>
      </c>
      <c r="AB47" s="152">
        <f>IFERROR('Price History'!G3+(INDEX('Price History'!G:G,MATCH(9.99E+307,'Returns (Calc)'!$A:$A)+1)-'Price History'!G3)*(ROW()-3)/(MATCH(9.99E+307,'Returns (Calc)'!$A:$A)-3),"")</f>
        <v>86.197044025157226</v>
      </c>
      <c r="AC47" s="152">
        <f>IFERROR('Price History'!H3+(INDEX('Price History'!H:H,MATCH(9.99E+307,'Returns (Calc)'!$A:$A)+1)-'Price History'!H3)*(ROW()-3)/(MATCH(9.99E+307,'Returns (Calc)'!$A:$A)-3),"")</f>
        <v>334.73993710691821</v>
      </c>
      <c r="AD47" s="152">
        <f>IFERROR('Price History'!I3+(INDEX('Price History'!I:I,MATCH(9.99E+307,'Returns (Calc)'!$A:$A)+1)-'Price History'!I3)*(ROW()-3)/(MATCH(9.99E+307,'Returns (Calc)'!$A:$A)-3),"")</f>
        <v>95.106100628930818</v>
      </c>
      <c r="AE47" s="152">
        <f>IFERROR('Price History'!J3+(INDEX('Price History'!J:J,MATCH(9.99E+307,'Returns (Calc)'!$A:$A)+1)-'Price History'!J3)*(ROW()-3)/(MATCH(9.99E+307,'Returns (Calc)'!$A:$A)-3),"")</f>
        <v>116.72427672955975</v>
      </c>
      <c r="AF47" s="152">
        <f>IFERROR('Price History'!K3+(INDEX('Price History'!K:K,MATCH(9.99E+307,'Returns (Calc)'!$A:$A)+1)-'Price History'!K3)*(ROW()-3)/(MATCH(9.99E+307,'Returns (Calc)'!$A:$A)-3),"")</f>
        <v>68.938050314465414</v>
      </c>
      <c r="AG47" s="152">
        <f>IFERROR('Price History'!L3+(INDEX('Price History'!L:L,MATCH(9.99E+307,'Returns (Calc)'!$A:$A)+1)-'Price History'!L3)*(ROW()-3)/(MATCH(9.99E+307,'Returns (Calc)'!$A:$A)-3),"")</f>
        <v>187.46471698113209</v>
      </c>
      <c r="AH47" s="152">
        <f>IFERROR('Price History'!M3+(INDEX('Price History'!M:M,MATCH(9.99E+307,'Returns (Calc)'!$A:$A)+1)-'Price History'!M3)*(ROW()-3)/(MATCH(9.99E+307,'Returns (Calc)'!$A:$A)-3),"")</f>
        <v>94.683144654088039</v>
      </c>
      <c r="AI47" s="152">
        <f>IFERROR('Price History'!N3+(INDEX('Price History'!N:N,MATCH(9.99E+307,'Returns (Calc)'!$A:$A)+1)-'Price History'!N3)*(ROW()-3)/(MATCH(9.99E+307,'Returns (Calc)'!$A:$A)-3),"")</f>
        <v>393.50327044025153</v>
      </c>
      <c r="AJ47" s="152">
        <f>IFERROR('Price History'!O3+(INDEX('Price History'!O:O,MATCH(9.99E+307,'Returns (Calc)'!$A:$A)+1)-'Price History'!O3)*(ROW()-3)/(MATCH(9.99E+307,'Returns (Calc)'!$A:$A)-3),"")</f>
        <v>87.577421383647803</v>
      </c>
      <c r="AK47" s="152">
        <f>IFERROR('Price History'!Q3+(INDEX('Price History'!Q:Q,MATCH(9.99E+307,'Returns (Calc)'!$A:$A)+1)-'Price History'!Q3)*(ROW()-3)/(MATCH(9.99E+307,'Returns (Calc)'!$A:$A)-3),"")</f>
        <v>19.362767295597482</v>
      </c>
      <c r="AL47" s="152">
        <f>IFERROR('Price History'!R3+(INDEX('Price History'!R:R,MATCH(9.99E+307,'Returns (Calc)'!$A:$A)+1)-'Price History'!R3)*(ROW()-3)/(MATCH(9.99E+307,'Returns (Calc)'!$A:$A)-3),"")</f>
        <v>41.843773584905662</v>
      </c>
      <c r="AM47" s="152">
        <f>IFERROR('Price History'!S3+(INDEX('Price History'!S:S,MATCH(9.99E+307,'Returns (Calc)'!$A:$A)+1)-'Price History'!S3)*(ROW()-3)/(MATCH(9.99E+307,'Returns (Calc)'!$A:$A)-3),"")</f>
        <v>83.51251572327044</v>
      </c>
      <c r="AN47" s="152">
        <f>IFERROR('Price History'!T3+(INDEX('Price History'!T:T,MATCH(9.99E+307,'Returns (Calc)'!$A:$A)+1)-'Price History'!T3)*(ROW()-3)/(MATCH(9.99E+307,'Returns (Calc)'!$A:$A)-3),"")</f>
        <v>32.877735849056606</v>
      </c>
      <c r="AO47" s="153">
        <f>IFERROR('Price History'!V3+(INDEX('Price History'!V:V,MATCH(9.99E+307,'Returns (Calc)'!$A:$A)+1)-'Price History'!V3)*(ROW()-3)/(MATCH(9.99E+307,'Returns (Calc)'!$A:$A)-3),"")</f>
        <v>277.08962264150944</v>
      </c>
      <c r="AP47" s="151">
        <f>IFERROR(IF(OR(NOT(ISNUMBER('Price History'!W48)),NOT(ISNUMBER('Price History'!W47)),'Price History'!W47=0),"",'Price History'!W48/'Price History'!W47-1),"")</f>
        <v>8.912347495024564E-3</v>
      </c>
      <c r="AQ47" s="151" t="str">
        <f>IFERROR(IF(OR(NOT(ISNUMBER('Price History'!X48)),NOT(ISNUMBER('Price History'!X47)),'Price History'!X47=0),"",'Price History'!X48/'Price History'!X47-1),"")</f>
        <v/>
      </c>
      <c r="AR47" s="151">
        <f>IFERROR(IF(OR(NOT(ISNUMBER('Price History'!Y48)),NOT(ISNUMBER('Price History'!Y47)),'Price History'!Y47=0),"",'Price History'!Y48/'Price History'!Y47-1),"")</f>
        <v>3.3776651889381171E-3</v>
      </c>
      <c r="AS47" s="151">
        <f>IFERROR(IF(OR(NOT(ISNUMBER('Price History'!Z48)),NOT(ISNUMBER('Price History'!Z47)),'Price History'!Z47=0),"",'Price History'!Z48/'Price History'!Z47-1),"")</f>
        <v>6.7128599580446258E-2</v>
      </c>
      <c r="AT47" s="151">
        <f>IFERROR(IF(OR(NOT(ISNUMBER('Price History'!AA48)),NOT(ISNUMBER('Price History'!AA47)),'Price History'!AA47=0),"",'Price History'!AA48/'Price History'!AA47-1),"")</f>
        <v>-3.0001579030475289E-3</v>
      </c>
      <c r="AU47" s="151">
        <f>IFERROR(IF(OR(NOT(ISNUMBER('Price History'!AB48)),NOT(ISNUMBER('Price History'!AB47)),'Price History'!AB47=0),"",'Price History'!AB48/'Price History'!AB47-1),"")</f>
        <v>5.0095497953615231E-2</v>
      </c>
    </row>
    <row r="48" spans="1:47" ht="15" customHeight="1" x14ac:dyDescent="0.2">
      <c r="A48" s="149">
        <f>IF('Price History'!A49="","",'Price History'!A49)</f>
        <v>45506</v>
      </c>
      <c r="B48" s="150">
        <f>IFERROR(IF(OR(NOT(ISNUMBER('Price History'!B49)),NOT(ISNUMBER('Price History'!B48)),'Price History'!B48=0),"",'Price History'!B49/'Price History'!B48-1),"")</f>
        <v>-2.9994100730034834E-2</v>
      </c>
      <c r="C48" s="150">
        <f>IFERROR(IF(OR(NOT(ISNUMBER('Price History'!C49)),NOT(ISNUMBER('Price History'!C48)),'Price History'!C48=0),"",'Price History'!C49/'Price History'!C48-1),"")</f>
        <v>3.7593984962414062E-4</v>
      </c>
      <c r="D48" s="150">
        <f>IFERROR(IF(OR(NOT(ISNUMBER('Price History'!D49)),NOT(ISNUMBER('Price History'!D48)),'Price History'!D48=0),"",'Price History'!D49/'Price History'!D48-1),"")</f>
        <v>-8.7280565970669466E-2</v>
      </c>
      <c r="E48" s="150">
        <f>IFERROR(IF(OR(NOT(ISNUMBER('Price History'!E49)),NOT(ISNUMBER('Price History'!E48)),'Price History'!E48=0),"",'Price History'!E49/'Price History'!E48-1),"")</f>
        <v>-5.1494345718901546E-2</v>
      </c>
      <c r="F48" s="150">
        <f>IFERROR(IF(OR(NOT(ISNUMBER('Price History'!F49)),NOT(ISNUMBER('Price History'!F48)),'Price History'!F48=0),"",'Price History'!F49/'Price History'!F48-1),"")</f>
        <v>-0.14943785134291077</v>
      </c>
      <c r="G48" s="150">
        <f>IFERROR(IF(OR(NOT(ISNUMBER('Price History'!G49)),NOT(ISNUMBER('Price History'!G48)),'Price History'!G48=0),"",'Price History'!G49/'Price History'!G48-1),"")</f>
        <v>-0.11584657109647445</v>
      </c>
      <c r="H48" s="150">
        <f>IFERROR(IF(OR(NOT(ISNUMBER('Price History'!H49)),NOT(ISNUMBER('Price History'!H48)),'Price History'!H48=0),"",'Price History'!H49/'Price History'!H48-1),"")</f>
        <v>-0.1527637266623747</v>
      </c>
      <c r="I48" s="150">
        <f>IFERROR(IF(OR(NOT(ISNUMBER('Price History'!I49)),NOT(ISNUMBER('Price History'!I48)),'Price History'!I48=0),"",'Price History'!I49/'Price History'!I48-1),"")</f>
        <v>-5.1263858093126391E-2</v>
      </c>
      <c r="J48" s="150">
        <f>IFERROR(IF(OR(NOT(ISNUMBER('Price History'!J49)),NOT(ISNUMBER('Price History'!J48)),'Price History'!J48=0),"",'Price History'!J49/'Price History'!J48-1),"")</f>
        <v>1.0623353819139592E-2</v>
      </c>
      <c r="K48" s="150">
        <f>IFERROR(IF(OR(NOT(ISNUMBER('Price History'!K49)),NOT(ISNUMBER('Price History'!K48)),'Price History'!K48=0),"",'Price History'!K49/'Price History'!K48-1),"")</f>
        <v>-8.9771891096394496E-2</v>
      </c>
      <c r="L48" s="150">
        <f>IFERROR(IF(OR(NOT(ISNUMBER('Price History'!L49)),NOT(ISNUMBER('Price History'!L48)),'Price History'!L48=0),"",'Price History'!L49/'Price History'!L48-1),"")</f>
        <v>-7.4622126254286769E-2</v>
      </c>
      <c r="M48" s="150">
        <f>IFERROR(IF(OR(NOT(ISNUMBER('Price History'!M49)),NOT(ISNUMBER('Price History'!M48)),'Price History'!M48=0),"",'Price History'!M49/'Price History'!M48-1),"")</f>
        <v>-9.9336887270836005E-2</v>
      </c>
      <c r="N48" s="150">
        <f>IFERROR(IF(OR(NOT(ISNUMBER('Price History'!N49)),NOT(ISNUMBER('Price History'!N48)),'Price History'!N48=0),"",'Price History'!N49/'Price History'!N48-1),"")</f>
        <v>-1.6153131688406708E-3</v>
      </c>
      <c r="O48" s="150">
        <f>IFERROR(IF(OR(NOT(ISNUMBER('Price History'!O49)),NOT(ISNUMBER('Price History'!O48)),'Price History'!O48=0),"",'Price History'!O49/'Price History'!O48-1),"")</f>
        <v>-7.1458420392812361E-2</v>
      </c>
      <c r="P48" s="150">
        <f>IFERROR(IF(OR(NOT(ISNUMBER('Price History'!P49)),NOT(ISNUMBER('Price History'!P48)),'Price History'!P48=0),"",'Price History'!P49/'Price History'!P48-1),"")</f>
        <v>-1.4422270669126269E-2</v>
      </c>
      <c r="Q48" s="150">
        <f>IFERROR(IF(OR(NOT(ISNUMBER('Price History'!Q49)),NOT(ISNUMBER('Price History'!Q48)),'Price History'!Q48=0),"",'Price History'!Q49/'Price History'!Q48-1),"")</f>
        <v>-1.0747096550528634E-2</v>
      </c>
      <c r="R48" s="150">
        <f>IFERROR(IF(OR(NOT(ISNUMBER('Price History'!R49)),NOT(ISNUMBER('Price History'!R48)),'Price History'!R48=0),"",'Price History'!R49/'Price History'!R48-1),"")</f>
        <v>-2.655298416565155E-2</v>
      </c>
      <c r="S48" s="150">
        <f>IFERROR(IF(OR(NOT(ISNUMBER('Price History'!S49)),NOT(ISNUMBER('Price History'!S48)),'Price History'!S48=0),"",'Price History'!S49/'Price History'!S48-1),"")</f>
        <v>-2.9764762361977781E-2</v>
      </c>
      <c r="T48" s="150">
        <f>IFERROR(IF(OR(NOT(ISNUMBER('Price History'!T49)),NOT(ISNUMBER('Price History'!T48)),'Price History'!T48=0),"",'Price History'!T49/'Price History'!T48-1),"")</f>
        <v>-2.8833967046894782E-2</v>
      </c>
      <c r="U48" s="150">
        <f>IFERROR(IF(OR(NOT(ISNUMBER('Price History'!U49)),NOT(ISNUMBER('Price History'!U48)),'Price History'!U48=0),"",'Price History'!U49/'Price History'!U48-1),"")</f>
        <v>-2.0118343195266286E-2</v>
      </c>
      <c r="V48" s="151">
        <f>IFERROR(IF(OR(NOT(ISNUMBER('Price History'!V49)),NOT(ISNUMBER('Price History'!V48)),'Price History'!V48=0),"",'Price History'!V49/'Price History'!V48-1),"")</f>
        <v>2.7480497079462207E-2</v>
      </c>
      <c r="W48" s="152">
        <f>IFERROR('Price History'!B3+(INDEX('Price History'!B:B,MATCH(9.99E+307,'Returns (Calc)'!$A:$A)+1)-'Price History'!B3)*(ROW()-3)/(MATCH(9.99E+307,'Returns (Calc)'!$A:$A)-3),"")</f>
        <v>447.77113207547166</v>
      </c>
      <c r="X48" s="152">
        <f>IFERROR('Price History'!C3+(INDEX('Price History'!C:C,MATCH(9.99E+307,'Returns (Calc)'!$A:$A)+1)-'Price History'!C3)*(ROW()-3)/(MATCH(9.99E+307,'Returns (Calc)'!$A:$A)-3),"")</f>
        <v>94.451698113207556</v>
      </c>
      <c r="Y48" s="152">
        <f>IFERROR('Price History'!D3+(INDEX('Price History'!D:D,MATCH(9.99E+307,'Returns (Calc)'!$A:$A)+1)-'Price History'!D3)*(ROW()-3)/(MATCH(9.99E+307,'Returns (Calc)'!$A:$A)-3),"")</f>
        <v>921.16</v>
      </c>
      <c r="Z48" s="152">
        <f>IFERROR('Price History'!E3+(INDEX('Price History'!E:E,MATCH(9.99E+307,'Returns (Calc)'!$A:$A)+1)-'Price History'!E3)*(ROW()-3)/(MATCH(9.99E+307,'Returns (Calc)'!$A:$A)-3),"")</f>
        <v>161.11509433962266</v>
      </c>
      <c r="AA48" s="152">
        <f>IFERROR('Price History'!F3+(INDEX('Price History'!F:F,MATCH(9.99E+307,'Returns (Calc)'!$A:$A)+1)-'Price History'!F3)*(ROW()-3)/(MATCH(9.99E+307,'Returns (Calc)'!$A:$A)-3),"")</f>
        <v>107.49584905660377</v>
      </c>
      <c r="AB48" s="152">
        <f>IFERROR('Price History'!G3+(INDEX('Price History'!G:G,MATCH(9.99E+307,'Returns (Calc)'!$A:$A)+1)-'Price History'!G3)*(ROW()-3)/(MATCH(9.99E+307,'Returns (Calc)'!$A:$A)-3),"")</f>
        <v>87.148113207547169</v>
      </c>
      <c r="AC48" s="152">
        <f>IFERROR('Price History'!H3+(INDEX('Price History'!H:H,MATCH(9.99E+307,'Returns (Calc)'!$A:$A)+1)-'Price History'!H3)*(ROW()-3)/(MATCH(9.99E+307,'Returns (Calc)'!$A:$A)-3),"")</f>
        <v>340.77698113207549</v>
      </c>
      <c r="AD48" s="152">
        <f>IFERROR('Price History'!I3+(INDEX('Price History'!I:I,MATCH(9.99E+307,'Returns (Calc)'!$A:$A)+1)-'Price History'!I3)*(ROW()-3)/(MATCH(9.99E+307,'Returns (Calc)'!$A:$A)-3),"")</f>
        <v>96.272830188679251</v>
      </c>
      <c r="AE48" s="152">
        <f>IFERROR('Price History'!J3+(INDEX('Price History'!J:J,MATCH(9.99E+307,'Returns (Calc)'!$A:$A)+1)-'Price History'!J3)*(ROW()-3)/(MATCH(9.99E+307,'Returns (Calc)'!$A:$A)-3),"")</f>
        <v>116.83528301886793</v>
      </c>
      <c r="AF48" s="152">
        <f>IFERROR('Price History'!K3+(INDEX('Price History'!K:K,MATCH(9.99E+307,'Returns (Calc)'!$A:$A)+1)-'Price History'!K3)*(ROW()-3)/(MATCH(9.99E+307,'Returns (Calc)'!$A:$A)-3),"")</f>
        <v>70.156415094339621</v>
      </c>
      <c r="AG48" s="152">
        <f>IFERROR('Price History'!L3+(INDEX('Price History'!L:L,MATCH(9.99E+307,'Returns (Calc)'!$A:$A)+1)-'Price History'!L3)*(ROW()-3)/(MATCH(9.99E+307,'Returns (Calc)'!$A:$A)-3),"")</f>
        <v>189.77641509433963</v>
      </c>
      <c r="AH48" s="152">
        <f>IFERROR('Price History'!M3+(INDEX('Price History'!M:M,MATCH(9.99E+307,'Returns (Calc)'!$A:$A)+1)-'Price History'!M3)*(ROW()-3)/(MATCH(9.99E+307,'Returns (Calc)'!$A:$A)-3),"")</f>
        <v>95.970943396226403</v>
      </c>
      <c r="AI48" s="152">
        <f>IFERROR('Price History'!N3+(INDEX('Price History'!N:N,MATCH(9.99E+307,'Returns (Calc)'!$A:$A)+1)-'Price History'!N3)*(ROW()-3)/(MATCH(9.99E+307,'Returns (Calc)'!$A:$A)-3),"")</f>
        <v>394.51698113207544</v>
      </c>
      <c r="AJ48" s="152">
        <f>IFERROR('Price History'!O3+(INDEX('Price History'!O:O,MATCH(9.99E+307,'Returns (Calc)'!$A:$A)+1)-'Price History'!O3)*(ROW()-3)/(MATCH(9.99E+307,'Returns (Calc)'!$A:$A)-3),"")</f>
        <v>87.856226415094341</v>
      </c>
      <c r="AK48" s="152">
        <f>IFERROR('Price History'!Q3+(INDEX('Price History'!Q:Q,MATCH(9.99E+307,'Returns (Calc)'!$A:$A)+1)-'Price History'!Q3)*(ROW()-3)/(MATCH(9.99E+307,'Returns (Calc)'!$A:$A)-3),"")</f>
        <v>19.802830188679245</v>
      </c>
      <c r="AL48" s="152">
        <f>IFERROR('Price History'!R3+(INDEX('Price History'!R:R,MATCH(9.99E+307,'Returns (Calc)'!$A:$A)+1)-'Price History'!R3)*(ROW()-3)/(MATCH(9.99E+307,'Returns (Calc)'!$A:$A)-3),"")</f>
        <v>42.011132075471693</v>
      </c>
      <c r="AM48" s="152">
        <f>IFERROR('Price History'!S3+(INDEX('Price History'!S:S,MATCH(9.99E+307,'Returns (Calc)'!$A:$A)+1)-'Price History'!S3)*(ROW()-3)/(MATCH(9.99E+307,'Returns (Calc)'!$A:$A)-3),"")</f>
        <v>84.100754716981129</v>
      </c>
      <c r="AN48" s="152">
        <f>IFERROR('Price History'!T3+(INDEX('Price History'!T:T,MATCH(9.99E+307,'Returns (Calc)'!$A:$A)+1)-'Price History'!T3)*(ROW()-3)/(MATCH(9.99E+307,'Returns (Calc)'!$A:$A)-3),"")</f>
        <v>33.051320754716983</v>
      </c>
      <c r="AO48" s="153">
        <f>IFERROR('Price History'!V3+(INDEX('Price History'!V:V,MATCH(9.99E+307,'Returns (Calc)'!$A:$A)+1)-'Price History'!V3)*(ROW()-3)/(MATCH(9.99E+307,'Returns (Calc)'!$A:$A)-3),"")</f>
        <v>278.03188679245284</v>
      </c>
      <c r="AP48" s="151">
        <f>IFERROR(IF(OR(NOT(ISNUMBER('Price History'!W49)),NOT(ISNUMBER('Price History'!W48)),'Price History'!W48=0),"",'Price History'!W49/'Price History'!W48-1),"")</f>
        <v>-2.3584905660377409E-2</v>
      </c>
      <c r="AQ48" s="151" t="str">
        <f>IFERROR(IF(OR(NOT(ISNUMBER('Price History'!X49)),NOT(ISNUMBER('Price History'!X48)),'Price History'!X48=0),"",'Price History'!X49/'Price History'!X48-1),"")</f>
        <v/>
      </c>
      <c r="AR48" s="151">
        <f>IFERROR(IF(OR(NOT(ISNUMBER('Price History'!Y49)),NOT(ISNUMBER('Price History'!Y48)),'Price History'!Y48=0),"",'Price History'!Y49/'Price History'!Y48-1),"")</f>
        <v>-5.4702293288448889E-3</v>
      </c>
      <c r="AS48" s="151">
        <f>IFERROR(IF(OR(NOT(ISNUMBER('Price History'!Z49)),NOT(ISNUMBER('Price History'!Z48)),'Price History'!Z48=0),"",'Price History'!Z49/'Price History'!Z48-1),"")</f>
        <v>-5.6114850777387315E-2</v>
      </c>
      <c r="AT48" s="151">
        <f>IFERROR(IF(OR(NOT(ISNUMBER('Price History'!AA49)),NOT(ISNUMBER('Price History'!AA48)),'Price History'!AA48=0),"",'Price History'!AA49/'Price History'!AA48-1),"")</f>
        <v>-2.8191320874247694E-2</v>
      </c>
      <c r="AU48" s="151">
        <f>IFERROR(IF(OR(NOT(ISNUMBER('Price History'!AB49)),NOT(ISNUMBER('Price History'!AB48)),'Price History'!AB48=0),"",'Price History'!AB49/'Price History'!AB48-1),"")</f>
        <v>-3.7883905835888521E-2</v>
      </c>
    </row>
    <row r="49" spans="1:47" ht="15" customHeight="1" x14ac:dyDescent="0.2">
      <c r="A49" s="149">
        <f>IF('Price History'!A50="","",'Price History'!A50)</f>
        <v>45513</v>
      </c>
      <c r="B49" s="150">
        <f>IFERROR(IF(OR(NOT(ISNUMBER('Price History'!B50)),NOT(ISNUMBER('Price History'!B49)),'Price History'!B49=0),"",'Price History'!B50/'Price History'!B49-1),"")</f>
        <v>1.9252332896212199E-2</v>
      </c>
      <c r="C49" s="150">
        <f>IFERROR(IF(OR(NOT(ISNUMBER('Price History'!C50)),NOT(ISNUMBER('Price History'!C49)),'Price History'!C49=0),"",'Price History'!C50/'Price History'!C49-1),"")</f>
        <v>5.1609670549918718E-2</v>
      </c>
      <c r="D49" s="150">
        <f>IFERROR(IF(OR(NOT(ISNUMBER('Price History'!D50)),NOT(ISNUMBER('Price History'!D49)),'Price History'!D49=0),"",'Price History'!D50/'Price History'!D49-1),"")</f>
        <v>6.3252974208866775E-2</v>
      </c>
      <c r="E49" s="150">
        <f>IFERROR(IF(OR(NOT(ISNUMBER('Price History'!E50)),NOT(ISNUMBER('Price History'!E49)),'Price History'!E49=0),"",'Price History'!E50/'Price History'!E49-1),"")</f>
        <v>3.0870768575686602E-2</v>
      </c>
      <c r="F49" s="150">
        <f>IFERROR(IF(OR(NOT(ISNUMBER('Price History'!F50)),NOT(ISNUMBER('Price History'!F49)),'Price History'!F49=0),"",'Price History'!F50/'Price History'!F49-1),"")</f>
        <v>0.10556269506150184</v>
      </c>
      <c r="G49" s="150">
        <f>IFERROR(IF(OR(NOT(ISNUMBER('Price History'!G50)),NOT(ISNUMBER('Price History'!G49)),'Price History'!G49=0),"",'Price History'!G50/'Price History'!G49-1),"")</f>
        <v>7.2597137014315027E-2</v>
      </c>
      <c r="H49" s="150">
        <f>IFERROR(IF(OR(NOT(ISNUMBER('Price History'!H50)),NOT(ISNUMBER('Price History'!H49)),'Price History'!H49=0),"",'Price History'!H50/'Price History'!H49-1),"")</f>
        <v>4.1250542770299159E-3</v>
      </c>
      <c r="I49" s="150">
        <f>IFERROR(IF(OR(NOT(ISNUMBER('Price History'!I50)),NOT(ISNUMBER('Price History'!I49)),'Price History'!I49=0),"",'Price History'!I50/'Price History'!I49-1),"")</f>
        <v>-2.3464522763391615E-2</v>
      </c>
      <c r="J49" s="150">
        <f>IFERROR(IF(OR(NOT(ISNUMBER('Price History'!J50)),NOT(ISNUMBER('Price History'!J49)),'Price History'!J49=0),"",'Price History'!J50/'Price History'!J49-1),"")</f>
        <v>-1.6766571105898631E-2</v>
      </c>
      <c r="K49" s="150">
        <f>IFERROR(IF(OR(NOT(ISNUMBER('Price History'!K50)),NOT(ISNUMBER('Price History'!K49)),'Price History'!K49=0),"",'Price History'!K50/'Price History'!K49-1),"")</f>
        <v>0.21301535974130981</v>
      </c>
      <c r="L49" s="150">
        <f>IFERROR(IF(OR(NOT(ISNUMBER('Price History'!L50)),NOT(ISNUMBER('Price History'!L49)),'Price History'!L49=0),"",'Price History'!L50/'Price History'!L49-1),"")</f>
        <v>0.11516024981126893</v>
      </c>
      <c r="M49" s="150">
        <f>IFERROR(IF(OR(NOT(ISNUMBER('Price History'!M50)),NOT(ISNUMBER('Price History'!M49)),'Price History'!M49=0),"",'Price History'!M50/'Price History'!M49-1),"")</f>
        <v>2.8872527789808089E-2</v>
      </c>
      <c r="N49" s="150">
        <f>IFERROR(IF(OR(NOT(ISNUMBER('Price History'!N50)),NOT(ISNUMBER('Price History'!N49)),'Price History'!N49=0),"",'Price History'!N50/'Price History'!N49-1),"")</f>
        <v>-5.2602839461230455E-2</v>
      </c>
      <c r="O49" s="150">
        <f>IFERROR(IF(OR(NOT(ISNUMBER('Price History'!O50)),NOT(ISNUMBER('Price History'!O49)),'Price History'!O49=0),"",'Price History'!O50/'Price History'!O49-1),"")</f>
        <v>-1.7664266426642539E-2</v>
      </c>
      <c r="P49" s="150">
        <f>IFERROR(IF(OR(NOT(ISNUMBER('Price History'!P50)),NOT(ISNUMBER('Price History'!P49)),'Price History'!P49=0),"",'Price History'!P50/'Price History'!P49-1),"")</f>
        <v>-1.0124213033860907E-2</v>
      </c>
      <c r="Q49" s="150">
        <f>IFERROR(IF(OR(NOT(ISNUMBER('Price History'!Q50)),NOT(ISNUMBER('Price History'!Q49)),'Price History'!Q49=0),"",'Price History'!Q50/'Price History'!Q49-1),"")</f>
        <v>7.0089363939018767E-4</v>
      </c>
      <c r="R49" s="150">
        <f>IFERROR(IF(OR(NOT(ISNUMBER('Price History'!R50)),NOT(ISNUMBER('Price History'!R49)),'Price History'!R49=0),"",'Price History'!R50/'Price History'!R49-1),"")</f>
        <v>2.752752752752663E-3</v>
      </c>
      <c r="S49" s="150">
        <f>IFERROR(IF(OR(NOT(ISNUMBER('Price History'!S50)),NOT(ISNUMBER('Price History'!S49)),'Price History'!S49=0),"",'Price History'!S50/'Price History'!S49-1),"")</f>
        <v>1.7318159327065707E-2</v>
      </c>
      <c r="T49" s="150">
        <f>IFERROR(IF(OR(NOT(ISNUMBER('Price History'!T50)),NOT(ISNUMBER('Price History'!T49)),'Price History'!T49=0),"",'Price History'!T50/'Price History'!T49-1),"")</f>
        <v>-9.7879282218593655E-4</v>
      </c>
      <c r="U49" s="150">
        <f>IFERROR(IF(OR(NOT(ISNUMBER('Price History'!U50)),NOT(ISNUMBER('Price History'!U49)),'Price History'!U49=0),"",'Price History'!U50/'Price History'!U49-1),"")</f>
        <v>-8.0515297906601502E-3</v>
      </c>
      <c r="V49" s="151">
        <f>IFERROR(IF(OR(NOT(ISNUMBER('Price History'!V50)),NOT(ISNUMBER('Price History'!V49)),'Price History'!V49=0),"",'Price History'!V50/'Price History'!V49-1),"")</f>
        <v>-2.3655093475772659E-2</v>
      </c>
      <c r="W49" s="152">
        <f>IFERROR('Price History'!B3+(INDEX('Price History'!B:B,MATCH(9.99E+307,'Returns (Calc)'!$A:$A)+1)-'Price History'!B3)*(ROW()-3)/(MATCH(9.99E+307,'Returns (Calc)'!$A:$A)-3),"")</f>
        <v>445.9684905660377</v>
      </c>
      <c r="X49" s="152">
        <f>IFERROR('Price History'!C3+(INDEX('Price History'!C:C,MATCH(9.99E+307,'Returns (Calc)'!$A:$A)+1)-'Price History'!C3)*(ROW()-3)/(MATCH(9.99E+307,'Returns (Calc)'!$A:$A)-3),"")</f>
        <v>95.524402515723267</v>
      </c>
      <c r="Y49" s="152">
        <f>IFERROR('Price History'!D3+(INDEX('Price History'!D:D,MATCH(9.99E+307,'Returns (Calc)'!$A:$A)+1)-'Price History'!D3)*(ROW()-3)/(MATCH(9.99E+307,'Returns (Calc)'!$A:$A)-3),"")</f>
        <v>928.6966666666666</v>
      </c>
      <c r="Z49" s="152">
        <f>IFERROR('Price History'!E3+(INDEX('Price History'!E:E,MATCH(9.99E+307,'Returns (Calc)'!$A:$A)+1)-'Price History'!E3)*(ROW()-3)/(MATCH(9.99E+307,'Returns (Calc)'!$A:$A)-3),"")</f>
        <v>162.87320754716981</v>
      </c>
      <c r="AA49" s="152">
        <f>IFERROR('Price History'!F3+(INDEX('Price History'!F:F,MATCH(9.99E+307,'Returns (Calc)'!$A:$A)+1)-'Price History'!F3)*(ROW()-3)/(MATCH(9.99E+307,'Returns (Calc)'!$A:$A)-3),"")</f>
        <v>108.96553459119497</v>
      </c>
      <c r="AB49" s="152">
        <f>IFERROR('Price History'!G3+(INDEX('Price History'!G:G,MATCH(9.99E+307,'Returns (Calc)'!$A:$A)+1)-'Price History'!G3)*(ROW()-3)/(MATCH(9.99E+307,'Returns (Calc)'!$A:$A)-3),"")</f>
        <v>88.099182389937113</v>
      </c>
      <c r="AC49" s="152">
        <f>IFERROR('Price History'!H3+(INDEX('Price History'!H:H,MATCH(9.99E+307,'Returns (Calc)'!$A:$A)+1)-'Price History'!H3)*(ROW()-3)/(MATCH(9.99E+307,'Returns (Calc)'!$A:$A)-3),"")</f>
        <v>346.81402515723272</v>
      </c>
      <c r="AD49" s="152">
        <f>IFERROR('Price History'!I3+(INDEX('Price History'!I:I,MATCH(9.99E+307,'Returns (Calc)'!$A:$A)+1)-'Price History'!I3)*(ROW()-3)/(MATCH(9.99E+307,'Returns (Calc)'!$A:$A)-3),"")</f>
        <v>97.439559748427669</v>
      </c>
      <c r="AE49" s="152">
        <f>IFERROR('Price History'!J3+(INDEX('Price History'!J:J,MATCH(9.99E+307,'Returns (Calc)'!$A:$A)+1)-'Price History'!J3)*(ROW()-3)/(MATCH(9.99E+307,'Returns (Calc)'!$A:$A)-3),"")</f>
        <v>116.94628930817611</v>
      </c>
      <c r="AF49" s="152">
        <f>IFERROR('Price History'!K3+(INDEX('Price History'!K:K,MATCH(9.99E+307,'Returns (Calc)'!$A:$A)+1)-'Price History'!K3)*(ROW()-3)/(MATCH(9.99E+307,'Returns (Calc)'!$A:$A)-3),"")</f>
        <v>71.374779874213843</v>
      </c>
      <c r="AG49" s="152">
        <f>IFERROR('Price History'!L3+(INDEX('Price History'!L:L,MATCH(9.99E+307,'Returns (Calc)'!$A:$A)+1)-'Price History'!L3)*(ROW()-3)/(MATCH(9.99E+307,'Returns (Calc)'!$A:$A)-3),"")</f>
        <v>192.08811320754717</v>
      </c>
      <c r="AH49" s="152">
        <f>IFERROR('Price History'!M3+(INDEX('Price History'!M:M,MATCH(9.99E+307,'Returns (Calc)'!$A:$A)+1)-'Price History'!M3)*(ROW()-3)/(MATCH(9.99E+307,'Returns (Calc)'!$A:$A)-3),"")</f>
        <v>97.258742138364781</v>
      </c>
      <c r="AI49" s="152">
        <f>IFERROR('Price History'!N3+(INDEX('Price History'!N:N,MATCH(9.99E+307,'Returns (Calc)'!$A:$A)+1)-'Price History'!N3)*(ROW()-3)/(MATCH(9.99E+307,'Returns (Calc)'!$A:$A)-3),"")</f>
        <v>395.53069182389936</v>
      </c>
      <c r="AJ49" s="152">
        <f>IFERROR('Price History'!O3+(INDEX('Price History'!O:O,MATCH(9.99E+307,'Returns (Calc)'!$A:$A)+1)-'Price History'!O3)*(ROW()-3)/(MATCH(9.99E+307,'Returns (Calc)'!$A:$A)-3),"")</f>
        <v>88.135031446540879</v>
      </c>
      <c r="AK49" s="152">
        <f>IFERROR('Price History'!Q3+(INDEX('Price History'!Q:Q,MATCH(9.99E+307,'Returns (Calc)'!$A:$A)+1)-'Price History'!Q3)*(ROW()-3)/(MATCH(9.99E+307,'Returns (Calc)'!$A:$A)-3),"")</f>
        <v>20.242893081761007</v>
      </c>
      <c r="AL49" s="152">
        <f>IFERROR('Price History'!R3+(INDEX('Price History'!R:R,MATCH(9.99E+307,'Returns (Calc)'!$A:$A)+1)-'Price History'!R3)*(ROW()-3)/(MATCH(9.99E+307,'Returns (Calc)'!$A:$A)-3),"")</f>
        <v>42.178490566037738</v>
      </c>
      <c r="AM49" s="152">
        <f>IFERROR('Price History'!S3+(INDEX('Price History'!S:S,MATCH(9.99E+307,'Returns (Calc)'!$A:$A)+1)-'Price History'!S3)*(ROW()-3)/(MATCH(9.99E+307,'Returns (Calc)'!$A:$A)-3),"")</f>
        <v>84.688993710691832</v>
      </c>
      <c r="AN49" s="152">
        <f>IFERROR('Price History'!T3+(INDEX('Price History'!T:T,MATCH(9.99E+307,'Returns (Calc)'!$A:$A)+1)-'Price History'!T3)*(ROW()-3)/(MATCH(9.99E+307,'Returns (Calc)'!$A:$A)-3),"")</f>
        <v>33.22490566037736</v>
      </c>
      <c r="AO49" s="153">
        <f>IFERROR('Price History'!V3+(INDEX('Price History'!V:V,MATCH(9.99E+307,'Returns (Calc)'!$A:$A)+1)-'Price History'!V3)*(ROW()-3)/(MATCH(9.99E+307,'Returns (Calc)'!$A:$A)-3),"")</f>
        <v>278.97415094339624</v>
      </c>
      <c r="AP49" s="151">
        <f>IFERROR(IF(OR(NOT(ISNUMBER('Price History'!W50)),NOT(ISNUMBER('Price History'!W49)),'Price History'!W49=0),"",'Price History'!W50/'Price History'!W49-1),"")</f>
        <v>-2.1080368906455371E-3</v>
      </c>
      <c r="AQ49" s="151" t="str">
        <f>IFERROR(IF(OR(NOT(ISNUMBER('Price History'!X50)),NOT(ISNUMBER('Price History'!X49)),'Price History'!X49=0),"",'Price History'!X50/'Price History'!X49-1),"")</f>
        <v/>
      </c>
      <c r="AR49" s="151">
        <f>IFERROR(IF(OR(NOT(ISNUMBER('Price History'!Y50)),NOT(ISNUMBER('Price History'!Y49)),'Price History'!Y49=0),"",'Price History'!Y50/'Price History'!Y49-1),"")</f>
        <v>6.3465199915357928E-4</v>
      </c>
      <c r="AS49" s="151">
        <f>IFERROR(IF(OR(NOT(ISNUMBER('Price History'!Z50)),NOT(ISNUMBER('Price History'!Z49)),'Price History'!Z49=0),"",'Price History'!Z50/'Price History'!Z49-1),"")</f>
        <v>4.2726412117387147E-2</v>
      </c>
      <c r="AT49" s="151">
        <f>IFERROR(IF(OR(NOT(ISNUMBER('Price History'!AA50)),NOT(ISNUMBER('Price History'!AA49)),'Price History'!AA49=0),"",'Price History'!AA50/'Price History'!AA49-1),"")</f>
        <v>3.3083441981747175E-2</v>
      </c>
      <c r="AU49" s="151">
        <f>IFERROR(IF(OR(NOT(ISNUMBER('Price History'!AB50)),NOT(ISNUMBER('Price History'!AB49)),'Price History'!AB49=0),"",'Price History'!AB50/'Price History'!AB49-1),"")</f>
        <v>9.2362536458896471E-3</v>
      </c>
    </row>
    <row r="50" spans="1:47" ht="15" customHeight="1" x14ac:dyDescent="0.2">
      <c r="A50" s="149">
        <f>IF('Price History'!A51="","",'Price History'!A51)</f>
        <v>45520</v>
      </c>
      <c r="B50" s="150">
        <f>IFERROR(IF(OR(NOT(ISNUMBER('Price History'!B51)),NOT(ISNUMBER('Price History'!B50)),'Price History'!B50=0),"",'Price History'!B51/'Price History'!B50-1),"")</f>
        <v>3.1997016595189498E-2</v>
      </c>
      <c r="C50" s="150">
        <f>IFERROR(IF(OR(NOT(ISNUMBER('Price History'!C51)),NOT(ISNUMBER('Price History'!C50)),'Price History'!C50=0),"",'Price History'!C51/'Price History'!C50-1),"")</f>
        <v>5.384157236450271E-2</v>
      </c>
      <c r="D50" s="150">
        <f>IFERROR(IF(OR(NOT(ISNUMBER('Price History'!D51)),NOT(ISNUMBER('Price History'!D50)),'Price History'!D50=0),"",'Price History'!D51/'Price History'!D50-1),"")</f>
        <v>6.75362729807647E-2</v>
      </c>
      <c r="E50" s="150">
        <f>IFERROR(IF(OR(NOT(ISNUMBER('Price History'!E51)),NOT(ISNUMBER('Price History'!E50)),'Price History'!E50=0),"",'Price History'!E51/'Price History'!E50-1),"")</f>
        <v>0.11778879250998231</v>
      </c>
      <c r="F50" s="150">
        <f>IFERROR(IF(OR(NOT(ISNUMBER('Price History'!F51)),NOT(ISNUMBER('Price History'!F50)),'Price History'!F50=0),"",'Price History'!F51/'Price History'!F50-1),"")</f>
        <v>9.0003321155762261E-2</v>
      </c>
      <c r="G50" s="150">
        <f>IFERROR(IF(OR(NOT(ISNUMBER('Price History'!G51)),NOT(ISNUMBER('Price History'!G50)),'Price History'!G50=0),"",'Price History'!G51/'Price History'!G50-1),"")</f>
        <v>9.9550592400925897E-2</v>
      </c>
      <c r="H50" s="150">
        <f>IFERROR(IF(OR(NOT(ISNUMBER('Price History'!H51)),NOT(ISNUMBER('Price History'!H50)),'Price History'!H50=0),"",'Price History'!H51/'Price History'!H50-1),"")</f>
        <v>0.16021621621621618</v>
      </c>
      <c r="I50" s="150">
        <f>IFERROR(IF(OR(NOT(ISNUMBER('Price History'!I51)),NOT(ISNUMBER('Price History'!I50)),'Price History'!I50=0),"",'Price History'!I51/'Price History'!I50-1),"")</f>
        <v>0.18935477694811409</v>
      </c>
      <c r="J50" s="150">
        <f>IFERROR(IF(OR(NOT(ISNUMBER('Price History'!J51)),NOT(ISNUMBER('Price History'!J50)),'Price History'!J50=0),"",'Price History'!J51/'Price History'!J50-1),"")</f>
        <v>7.7752253048242181E-3</v>
      </c>
      <c r="K50" s="150">
        <f>IFERROR(IF(OR(NOT(ISNUMBER('Price History'!K51)),NOT(ISNUMBER('Price History'!K50)),'Price History'!K50=0),"",'Price History'!K51/'Price History'!K50-1),"")</f>
        <v>6.8977007664111856E-2</v>
      </c>
      <c r="L50" s="150">
        <f>IFERROR(IF(OR(NOT(ISNUMBER('Price History'!L51)),NOT(ISNUMBER('Price History'!L50)),'Price History'!L50=0),"",'Price History'!L51/'Price History'!L50-1),"")</f>
        <v>4.4433503600221469E-2</v>
      </c>
      <c r="M50" s="150">
        <f>IFERROR(IF(OR(NOT(ISNUMBER('Price History'!M51)),NOT(ISNUMBER('Price History'!M50)),'Price History'!M50=0),"",'Price History'!M51/'Price History'!M50-1),"")</f>
        <v>0.11140732425985678</v>
      </c>
      <c r="N50" s="150">
        <f>IFERROR(IF(OR(NOT(ISNUMBER('Price History'!N51)),NOT(ISNUMBER('Price History'!N50)),'Price History'!N50=0),"",'Price History'!N51/'Price History'!N50-1),"")</f>
        <v>1.9041519906073168E-2</v>
      </c>
      <c r="O50" s="150">
        <f>IFERROR(IF(OR(NOT(ISNUMBER('Price History'!O51)),NOT(ISNUMBER('Price History'!O50)),'Price History'!O50=0),"",'Price History'!O51/'Price History'!O50-1),"")</f>
        <v>2.8633604398121681E-2</v>
      </c>
      <c r="P50" s="150">
        <f>IFERROR(IF(OR(NOT(ISNUMBER('Price History'!P51)),NOT(ISNUMBER('Price History'!P50)),'Price History'!P50=0),"",'Price History'!P51/'Price History'!P50-1),"")</f>
        <v>2.5612376450365293E-2</v>
      </c>
      <c r="Q50" s="150">
        <f>IFERROR(IF(OR(NOT(ISNUMBER('Price History'!Q51)),NOT(ISNUMBER('Price History'!Q50)),'Price History'!Q50=0),"",'Price History'!Q51/'Price History'!Q50-1),"")</f>
        <v>2.6090001751006842E-2</v>
      </c>
      <c r="R50" s="150">
        <f>IFERROR(IF(OR(NOT(ISNUMBER('Price History'!R51)),NOT(ISNUMBER('Price History'!R50)),'Price History'!R50=0),"",'Price History'!R51/'Price History'!R50-1),"")</f>
        <v>4.217619166458686E-2</v>
      </c>
      <c r="S50" s="150">
        <f>IFERROR(IF(OR(NOT(ISNUMBER('Price History'!S51)),NOT(ISNUMBER('Price History'!S50)),'Price History'!S50=0),"",'Price History'!S51/'Price History'!S50-1),"")</f>
        <v>5.7028210116731648E-2</v>
      </c>
      <c r="T50" s="150">
        <f>IFERROR(IF(OR(NOT(ISNUMBER('Price History'!T51)),NOT(ISNUMBER('Price History'!T50)),'Price History'!T50=0),"",'Price History'!T51/'Price History'!T50-1),"")</f>
        <v>1.6329196603527052E-2</v>
      </c>
      <c r="U50" s="150">
        <f>IFERROR(IF(OR(NOT(ISNUMBER('Price History'!U51)),NOT(ISNUMBER('Price History'!U50)),'Price History'!U50=0),"",'Price History'!U51/'Price History'!U50-1),"")</f>
        <v>2.2727272727272707E-2</v>
      </c>
      <c r="V50" s="151">
        <f>IFERROR(IF(OR(NOT(ISNUMBER('Price History'!V51)),NOT(ISNUMBER('Price History'!V50)),'Price History'!V50=0),"",'Price History'!V51/'Price History'!V50-1),"")</f>
        <v>2.9347401328644107E-2</v>
      </c>
      <c r="W50" s="152">
        <f>IFERROR('Price History'!B3+(INDEX('Price History'!B:B,MATCH(9.99E+307,'Returns (Calc)'!$A:$A)+1)-'Price History'!B3)*(ROW()-3)/(MATCH(9.99E+307,'Returns (Calc)'!$A:$A)-3),"")</f>
        <v>444.16584905660375</v>
      </c>
      <c r="X50" s="152">
        <f>IFERROR('Price History'!C3+(INDEX('Price History'!C:C,MATCH(9.99E+307,'Returns (Calc)'!$A:$A)+1)-'Price History'!C3)*(ROW()-3)/(MATCH(9.99E+307,'Returns (Calc)'!$A:$A)-3),"")</f>
        <v>96.597106918238993</v>
      </c>
      <c r="Y50" s="152">
        <f>IFERROR('Price History'!D3+(INDEX('Price History'!D:D,MATCH(9.99E+307,'Returns (Calc)'!$A:$A)+1)-'Price History'!D3)*(ROW()-3)/(MATCH(9.99E+307,'Returns (Calc)'!$A:$A)-3),"")</f>
        <v>936.23333333333335</v>
      </c>
      <c r="Z50" s="152">
        <f>IFERROR('Price History'!E3+(INDEX('Price History'!E:E,MATCH(9.99E+307,'Returns (Calc)'!$A:$A)+1)-'Price History'!E3)*(ROW()-3)/(MATCH(9.99E+307,'Returns (Calc)'!$A:$A)-3),"")</f>
        <v>164.63132075471697</v>
      </c>
      <c r="AA50" s="152">
        <f>IFERROR('Price History'!F3+(INDEX('Price History'!F:F,MATCH(9.99E+307,'Returns (Calc)'!$A:$A)+1)-'Price History'!F3)*(ROW()-3)/(MATCH(9.99E+307,'Returns (Calc)'!$A:$A)-3),"")</f>
        <v>110.43522012578617</v>
      </c>
      <c r="AB50" s="152">
        <f>IFERROR('Price History'!G3+(INDEX('Price History'!G:G,MATCH(9.99E+307,'Returns (Calc)'!$A:$A)+1)-'Price History'!G3)*(ROW()-3)/(MATCH(9.99E+307,'Returns (Calc)'!$A:$A)-3),"")</f>
        <v>89.050251572327056</v>
      </c>
      <c r="AC50" s="152">
        <f>IFERROR('Price History'!H3+(INDEX('Price History'!H:H,MATCH(9.99E+307,'Returns (Calc)'!$A:$A)+1)-'Price History'!H3)*(ROW()-3)/(MATCH(9.99E+307,'Returns (Calc)'!$A:$A)-3),"")</f>
        <v>352.85106918238995</v>
      </c>
      <c r="AD50" s="152">
        <f>IFERROR('Price History'!I3+(INDEX('Price History'!I:I,MATCH(9.99E+307,'Returns (Calc)'!$A:$A)+1)-'Price History'!I3)*(ROW()-3)/(MATCH(9.99E+307,'Returns (Calc)'!$A:$A)-3),"")</f>
        <v>98.606289308176102</v>
      </c>
      <c r="AE50" s="152">
        <f>IFERROR('Price History'!J3+(INDEX('Price History'!J:J,MATCH(9.99E+307,'Returns (Calc)'!$A:$A)+1)-'Price History'!J3)*(ROW()-3)/(MATCH(9.99E+307,'Returns (Calc)'!$A:$A)-3),"")</f>
        <v>117.05729559748428</v>
      </c>
      <c r="AF50" s="152">
        <f>IFERROR('Price History'!K3+(INDEX('Price History'!K:K,MATCH(9.99E+307,'Returns (Calc)'!$A:$A)+1)-'Price History'!K3)*(ROW()-3)/(MATCH(9.99E+307,'Returns (Calc)'!$A:$A)-3),"")</f>
        <v>72.59314465408805</v>
      </c>
      <c r="AG50" s="152">
        <f>IFERROR('Price History'!L3+(INDEX('Price History'!L:L,MATCH(9.99E+307,'Returns (Calc)'!$A:$A)+1)-'Price History'!L3)*(ROW()-3)/(MATCH(9.99E+307,'Returns (Calc)'!$A:$A)-3),"")</f>
        <v>194.39981132075474</v>
      </c>
      <c r="AH50" s="152">
        <f>IFERROR('Price History'!M3+(INDEX('Price History'!M:M,MATCH(9.99E+307,'Returns (Calc)'!$A:$A)+1)-'Price History'!M3)*(ROW()-3)/(MATCH(9.99E+307,'Returns (Calc)'!$A:$A)-3),"")</f>
        <v>98.546540880503144</v>
      </c>
      <c r="AI50" s="152">
        <f>IFERROR('Price History'!N3+(INDEX('Price History'!N:N,MATCH(9.99E+307,'Returns (Calc)'!$A:$A)+1)-'Price History'!N3)*(ROW()-3)/(MATCH(9.99E+307,'Returns (Calc)'!$A:$A)-3),"")</f>
        <v>396.54440251572328</v>
      </c>
      <c r="AJ50" s="152">
        <f>IFERROR('Price History'!O3+(INDEX('Price History'!O:O,MATCH(9.99E+307,'Returns (Calc)'!$A:$A)+1)-'Price History'!O3)*(ROW()-3)/(MATCH(9.99E+307,'Returns (Calc)'!$A:$A)-3),"")</f>
        <v>88.413836477987417</v>
      </c>
      <c r="AK50" s="152">
        <f>IFERROR('Price History'!Q3+(INDEX('Price History'!Q:Q,MATCH(9.99E+307,'Returns (Calc)'!$A:$A)+1)-'Price History'!Q3)*(ROW()-3)/(MATCH(9.99E+307,'Returns (Calc)'!$A:$A)-3),"")</f>
        <v>20.68295597484277</v>
      </c>
      <c r="AL50" s="152">
        <f>IFERROR('Price History'!R3+(INDEX('Price History'!R:R,MATCH(9.99E+307,'Returns (Calc)'!$A:$A)+1)-'Price History'!R3)*(ROW()-3)/(MATCH(9.99E+307,'Returns (Calc)'!$A:$A)-3),"")</f>
        <v>42.345849056603775</v>
      </c>
      <c r="AM50" s="152">
        <f>IFERROR('Price History'!S3+(INDEX('Price History'!S:S,MATCH(9.99E+307,'Returns (Calc)'!$A:$A)+1)-'Price History'!S3)*(ROW()-3)/(MATCH(9.99E+307,'Returns (Calc)'!$A:$A)-3),"")</f>
        <v>85.277232704402522</v>
      </c>
      <c r="AN50" s="152">
        <f>IFERROR('Price History'!T3+(INDEX('Price History'!T:T,MATCH(9.99E+307,'Returns (Calc)'!$A:$A)+1)-'Price History'!T3)*(ROW()-3)/(MATCH(9.99E+307,'Returns (Calc)'!$A:$A)-3),"")</f>
        <v>33.398490566037736</v>
      </c>
      <c r="AO50" s="153">
        <f>IFERROR('Price History'!V3+(INDEX('Price History'!V:V,MATCH(9.99E+307,'Returns (Calc)'!$A:$A)+1)-'Price History'!V3)*(ROW()-3)/(MATCH(9.99E+307,'Returns (Calc)'!$A:$A)-3),"")</f>
        <v>279.91641509433964</v>
      </c>
      <c r="AP50" s="151">
        <f>IFERROR(IF(OR(NOT(ISNUMBER('Price History'!W51)),NOT(ISNUMBER('Price History'!W50)),'Price History'!W50=0),"",'Price History'!W51/'Price History'!W50-1),"")</f>
        <v>2.7990493794560312E-2</v>
      </c>
      <c r="AQ50" s="151" t="str">
        <f>IFERROR(IF(OR(NOT(ISNUMBER('Price History'!X51)),NOT(ISNUMBER('Price History'!X50)),'Price History'!X50=0),"",'Price History'!X51/'Price History'!X50-1),"")</f>
        <v/>
      </c>
      <c r="AR50" s="151">
        <f>IFERROR(IF(OR(NOT(ISNUMBER('Price History'!Y51)),NOT(ISNUMBER('Price History'!Y50)),'Price History'!Y50=0),"",'Price History'!Y51/'Price History'!Y50-1),"")</f>
        <v>2.1353065539112093E-2</v>
      </c>
      <c r="AS50" s="151">
        <f>IFERROR(IF(OR(NOT(ISNUMBER('Price History'!Z51)),NOT(ISNUMBER('Price History'!Z50)),'Price History'!Z50=0),"",'Price History'!Z51/'Price History'!Z50-1),"")</f>
        <v>1.3678731388451659E-2</v>
      </c>
      <c r="AT50" s="151">
        <f>IFERROR(IF(OR(NOT(ISNUMBER('Price History'!AA51)),NOT(ISNUMBER('Price History'!AA50)),'Price History'!AA50=0),"",'Price History'!AA51/'Price History'!AA50-1),"")</f>
        <v>6.3416942735447179E-2</v>
      </c>
      <c r="AU50" s="151">
        <f>IFERROR(IF(OR(NOT(ISNUMBER('Price History'!AB51)),NOT(ISNUMBER('Price History'!AB50)),'Price History'!AB50=0),"",'Price History'!AB51/'Price History'!AB50-1),"")</f>
        <v>3.0238158951030325E-2</v>
      </c>
    </row>
    <row r="51" spans="1:47" ht="15" customHeight="1" x14ac:dyDescent="0.2">
      <c r="A51" s="149">
        <f>IF('Price History'!A52="","",'Price History'!A52)</f>
        <v>45527</v>
      </c>
      <c r="B51" s="150">
        <f>IFERROR(IF(OR(NOT(ISNUMBER('Price History'!B52)),NOT(ISNUMBER('Price History'!B51)),'Price History'!B51=0),"",'Price History'!B52/'Price History'!B51-1),"")</f>
        <v>8.7449860875219443E-3</v>
      </c>
      <c r="C51" s="150">
        <f>IFERROR(IF(OR(NOT(ISNUMBER('Price History'!C52)),NOT(ISNUMBER('Price History'!C51)),'Price History'!C51=0),"",'Price History'!C52/'Price History'!C51-1),"")</f>
        <v>3.5040126596586063E-3</v>
      </c>
      <c r="D51" s="150">
        <f>IFERROR(IF(OR(NOT(ISNUMBER('Price History'!D52)),NOT(ISNUMBER('Price History'!D51)),'Price History'!D51=0),"",'Price History'!D52/'Price History'!D51-1),"")</f>
        <v>-1.241809810518868E-2</v>
      </c>
      <c r="E51" s="150">
        <f>IFERROR(IF(OR(NOT(ISNUMBER('Price History'!E52)),NOT(ISNUMBER('Price History'!E51)),'Price History'!E51=0),"",'Price History'!E52/'Price History'!E51-1),"")</f>
        <v>3.8184393668780903E-3</v>
      </c>
      <c r="F51" s="150">
        <f>IFERROR(IF(OR(NOT(ISNUMBER('Price History'!F52)),NOT(ISNUMBER('Price History'!F51)),'Price History'!F51=0),"",'Price History'!F52/'Price History'!F51-1),"")</f>
        <v>3.427787934186477E-2</v>
      </c>
      <c r="G51" s="150">
        <f>IFERROR(IF(OR(NOT(ISNUMBER('Price History'!G52)),NOT(ISNUMBER('Price History'!G51)),'Price History'!G51=0),"",'Price History'!G52/'Price History'!G51-1),"")</f>
        <v>-2.1055239038890727E-3</v>
      </c>
      <c r="H51" s="150">
        <f>IFERROR(IF(OR(NOT(ISNUMBER('Price History'!H52)),NOT(ISNUMBER('Price History'!H51)),'Price History'!H51=0),"",'Price History'!H52/'Price History'!H51-1),"")</f>
        <v>-4.7614610510622435E-2</v>
      </c>
      <c r="I51" s="150">
        <f>IFERROR(IF(OR(NOT(ISNUMBER('Price History'!I52)),NOT(ISNUMBER('Price History'!I51)),'Price History'!I51=0),"",'Price History'!I52/'Price History'!I51-1),"")</f>
        <v>3.8393432066967215E-2</v>
      </c>
      <c r="J51" s="150">
        <f>IFERROR(IF(OR(NOT(ISNUMBER('Price History'!J52)),NOT(ISNUMBER('Price History'!J51)),'Price History'!J51=0),"",'Price History'!J52/'Price History'!J51-1),"")</f>
        <v>4.8921620199894766E-2</v>
      </c>
      <c r="K51" s="150">
        <f>IFERROR(IF(OR(NOT(ISNUMBER('Price History'!K52)),NOT(ISNUMBER('Price History'!K51)),'Price History'!K51=0),"",'Price History'!K52/'Price History'!K51-1),"")</f>
        <v>-9.3516209476308676E-3</v>
      </c>
      <c r="L51" s="150">
        <f>IFERROR(IF(OR(NOT(ISNUMBER('Price History'!L52)),NOT(ISNUMBER('Price History'!L51)),'Price History'!L51=0),"",'Price History'!L52/'Price History'!L51-1),"")</f>
        <v>-1.8678922868422654E-2</v>
      </c>
      <c r="M51" s="150">
        <f>IFERROR(IF(OR(NOT(ISNUMBER('Price History'!M52)),NOT(ISNUMBER('Price History'!M51)),'Price History'!M51=0),"",'Price History'!M52/'Price History'!M51-1),"")</f>
        <v>-1.0983461684130669E-2</v>
      </c>
      <c r="N51" s="150">
        <f>IFERROR(IF(OR(NOT(ISNUMBER('Price History'!N52)),NOT(ISNUMBER('Price History'!N51)),'Price History'!N51=0),"",'Price History'!N52/'Price History'!N51-1),"")</f>
        <v>8.1069191612375135E-3</v>
      </c>
      <c r="O51" s="150">
        <f>IFERROR(IF(OR(NOT(ISNUMBER('Price History'!O52)),NOT(ISNUMBER('Price History'!O51)),'Price History'!O51=0),"",'Price History'!O52/'Price History'!O51-1),"")</f>
        <v>3.1065582897227495E-2</v>
      </c>
      <c r="P51" s="150">
        <f>IFERROR(IF(OR(NOT(ISNUMBER('Price History'!P52)),NOT(ISNUMBER('Price History'!P51)),'Price History'!P51=0),"",'Price History'!P52/'Price History'!P51-1),"")</f>
        <v>2.0782703427470128E-2</v>
      </c>
      <c r="Q51" s="150">
        <f>IFERROR(IF(OR(NOT(ISNUMBER('Price History'!Q52)),NOT(ISNUMBER('Price History'!Q51)),'Price History'!Q51=0),"",'Price History'!Q52/'Price History'!Q51-1),"")</f>
        <v>8.8737201365187701E-3</v>
      </c>
      <c r="R51" s="150">
        <f>IFERROR(IF(OR(NOT(ISNUMBER('Price History'!R52)),NOT(ISNUMBER('Price History'!R51)),'Price History'!R51=0),"",'Price History'!R52/'Price History'!R51-1),"")</f>
        <v>8.3812260536397787E-3</v>
      </c>
      <c r="S51" s="150">
        <f>IFERROR(IF(OR(NOT(ISNUMBER('Price History'!S52)),NOT(ISNUMBER('Price History'!S51)),'Price History'!S51=0),"",'Price History'!S52/'Price History'!S51-1),"")</f>
        <v>1.3804210284136476E-2</v>
      </c>
      <c r="T51" s="150">
        <f>IFERROR(IF(OR(NOT(ISNUMBER('Price History'!T52)),NOT(ISNUMBER('Price History'!T51)),'Price History'!T51=0),"",'Price History'!T52/'Price History'!T51-1),"")</f>
        <v>3.2776349614395794E-2</v>
      </c>
      <c r="U51" s="150">
        <f>IFERROR(IF(OR(NOT(ISNUMBER('Price History'!U52)),NOT(ISNUMBER('Price History'!U51)),'Price History'!U51=0),"",'Price History'!U52/'Price History'!U51-1),"")</f>
        <v>1.8650793650793807E-2</v>
      </c>
      <c r="V51" s="151">
        <f>IFERROR(IF(OR(NOT(ISNUMBER('Price History'!V52)),NOT(ISNUMBER('Price History'!V51)),'Price History'!V51=0),"",'Price History'!V52/'Price History'!V51-1),"")</f>
        <v>2.2778178505000746E-4</v>
      </c>
      <c r="W51" s="152">
        <f>IFERROR('Price History'!B3+(INDEX('Price History'!B:B,MATCH(9.99E+307,'Returns (Calc)'!$A:$A)+1)-'Price History'!B3)*(ROW()-3)/(MATCH(9.99E+307,'Returns (Calc)'!$A:$A)-3),"")</f>
        <v>442.36320754716979</v>
      </c>
      <c r="X51" s="152">
        <f>IFERROR('Price History'!C3+(INDEX('Price History'!C:C,MATCH(9.99E+307,'Returns (Calc)'!$A:$A)+1)-'Price History'!C3)*(ROW()-3)/(MATCH(9.99E+307,'Returns (Calc)'!$A:$A)-3),"")</f>
        <v>97.669811320754718</v>
      </c>
      <c r="Y51" s="152">
        <f>IFERROR('Price History'!D3+(INDEX('Price History'!D:D,MATCH(9.99E+307,'Returns (Calc)'!$A:$A)+1)-'Price History'!D3)*(ROW()-3)/(MATCH(9.99E+307,'Returns (Calc)'!$A:$A)-3),"")</f>
        <v>943.77</v>
      </c>
      <c r="Z51" s="152">
        <f>IFERROR('Price History'!E3+(INDEX('Price History'!E:E,MATCH(9.99E+307,'Returns (Calc)'!$A:$A)+1)-'Price History'!E3)*(ROW()-3)/(MATCH(9.99E+307,'Returns (Calc)'!$A:$A)-3),"")</f>
        <v>166.38943396226415</v>
      </c>
      <c r="AA51" s="152">
        <f>IFERROR('Price History'!F3+(INDEX('Price History'!F:F,MATCH(9.99E+307,'Returns (Calc)'!$A:$A)+1)-'Price History'!F3)*(ROW()-3)/(MATCH(9.99E+307,'Returns (Calc)'!$A:$A)-3),"")</f>
        <v>111.90490566037735</v>
      </c>
      <c r="AB51" s="152">
        <f>IFERROR('Price History'!G3+(INDEX('Price History'!G:G,MATCH(9.99E+307,'Returns (Calc)'!$A:$A)+1)-'Price History'!G3)*(ROW()-3)/(MATCH(9.99E+307,'Returns (Calc)'!$A:$A)-3),"")</f>
        <v>90.001320754716971</v>
      </c>
      <c r="AC51" s="152">
        <f>IFERROR('Price History'!H3+(INDEX('Price History'!H:H,MATCH(9.99E+307,'Returns (Calc)'!$A:$A)+1)-'Price History'!H3)*(ROW()-3)/(MATCH(9.99E+307,'Returns (Calc)'!$A:$A)-3),"")</f>
        <v>358.88811320754718</v>
      </c>
      <c r="AD51" s="152">
        <f>IFERROR('Price History'!I3+(INDEX('Price History'!I:I,MATCH(9.99E+307,'Returns (Calc)'!$A:$A)+1)-'Price History'!I3)*(ROW()-3)/(MATCH(9.99E+307,'Returns (Calc)'!$A:$A)-3),"")</f>
        <v>99.77301886792452</v>
      </c>
      <c r="AE51" s="152">
        <f>IFERROR('Price History'!J3+(INDEX('Price History'!J:J,MATCH(9.99E+307,'Returns (Calc)'!$A:$A)+1)-'Price History'!J3)*(ROW()-3)/(MATCH(9.99E+307,'Returns (Calc)'!$A:$A)-3),"")</f>
        <v>117.16830188679246</v>
      </c>
      <c r="AF51" s="152">
        <f>IFERROR('Price History'!K3+(INDEX('Price History'!K:K,MATCH(9.99E+307,'Returns (Calc)'!$A:$A)+1)-'Price History'!K3)*(ROW()-3)/(MATCH(9.99E+307,'Returns (Calc)'!$A:$A)-3),"")</f>
        <v>73.811509433962257</v>
      </c>
      <c r="AG51" s="152">
        <f>IFERROR('Price History'!L3+(INDEX('Price History'!L:L,MATCH(9.99E+307,'Returns (Calc)'!$A:$A)+1)-'Price History'!L3)*(ROW()-3)/(MATCH(9.99E+307,'Returns (Calc)'!$A:$A)-3),"")</f>
        <v>196.71150943396228</v>
      </c>
      <c r="AH51" s="152">
        <f>IFERROR('Price History'!M3+(INDEX('Price History'!M:M,MATCH(9.99E+307,'Returns (Calc)'!$A:$A)+1)-'Price History'!M3)*(ROW()-3)/(MATCH(9.99E+307,'Returns (Calc)'!$A:$A)-3),"")</f>
        <v>99.834339622641508</v>
      </c>
      <c r="AI51" s="152">
        <f>IFERROR('Price History'!N3+(INDEX('Price History'!N:N,MATCH(9.99E+307,'Returns (Calc)'!$A:$A)+1)-'Price History'!N3)*(ROW()-3)/(MATCH(9.99E+307,'Returns (Calc)'!$A:$A)-3),"")</f>
        <v>397.55811320754714</v>
      </c>
      <c r="AJ51" s="152">
        <f>IFERROR('Price History'!O3+(INDEX('Price History'!O:O,MATCH(9.99E+307,'Returns (Calc)'!$A:$A)+1)-'Price History'!O3)*(ROW()-3)/(MATCH(9.99E+307,'Returns (Calc)'!$A:$A)-3),"")</f>
        <v>88.692641509433969</v>
      </c>
      <c r="AK51" s="152">
        <f>IFERROR('Price History'!Q3+(INDEX('Price History'!Q:Q,MATCH(9.99E+307,'Returns (Calc)'!$A:$A)+1)-'Price History'!Q3)*(ROW()-3)/(MATCH(9.99E+307,'Returns (Calc)'!$A:$A)-3),"")</f>
        <v>21.123018867924529</v>
      </c>
      <c r="AL51" s="152">
        <f>IFERROR('Price History'!R3+(INDEX('Price History'!R:R,MATCH(9.99E+307,'Returns (Calc)'!$A:$A)+1)-'Price History'!R3)*(ROW()-3)/(MATCH(9.99E+307,'Returns (Calc)'!$A:$A)-3),"")</f>
        <v>42.513207547169813</v>
      </c>
      <c r="AM51" s="152">
        <f>IFERROR('Price History'!S3+(INDEX('Price History'!S:S,MATCH(9.99E+307,'Returns (Calc)'!$A:$A)+1)-'Price History'!S3)*(ROW()-3)/(MATCH(9.99E+307,'Returns (Calc)'!$A:$A)-3),"")</f>
        <v>85.865471698113211</v>
      </c>
      <c r="AN51" s="152">
        <f>IFERROR('Price History'!T3+(INDEX('Price History'!T:T,MATCH(9.99E+307,'Returns (Calc)'!$A:$A)+1)-'Price History'!T3)*(ROW()-3)/(MATCH(9.99E+307,'Returns (Calc)'!$A:$A)-3),"")</f>
        <v>33.572075471698113</v>
      </c>
      <c r="AO51" s="153">
        <f>IFERROR('Price History'!V3+(INDEX('Price History'!V:V,MATCH(9.99E+307,'Returns (Calc)'!$A:$A)+1)-'Price History'!V3)*(ROW()-3)/(MATCH(9.99E+307,'Returns (Calc)'!$A:$A)-3),"")</f>
        <v>280.85867924528304</v>
      </c>
      <c r="AP51" s="151">
        <f>IFERROR(IF(OR(NOT(ISNUMBER('Price History'!W52)),NOT(ISNUMBER('Price History'!W51)),'Price History'!W51=0),"",'Price History'!W52/'Price History'!W51-1),"")</f>
        <v>1.6525387447555273E-2</v>
      </c>
      <c r="AQ51" s="151" t="str">
        <f>IFERROR(IF(OR(NOT(ISNUMBER('Price History'!X52)),NOT(ISNUMBER('Price History'!X51)),'Price History'!X51=0),"",'Price History'!X52/'Price History'!X51-1),"")</f>
        <v/>
      </c>
      <c r="AR51" s="151">
        <f>IFERROR(IF(OR(NOT(ISNUMBER('Price History'!Y52)),NOT(ISNUMBER('Price History'!Y51)),'Price History'!Y51=0),"",'Price History'!Y52/'Price History'!Y51-1),"")</f>
        <v>8.6938522045123534E-3</v>
      </c>
      <c r="AS51" s="151">
        <f>IFERROR(IF(OR(NOT(ISNUMBER('Price History'!Z52)),NOT(ISNUMBER('Price History'!Z51)),'Price History'!Z51=0),"",'Price History'!Z52/'Price History'!Z51-1),"")</f>
        <v>1.0628134702651115E-2</v>
      </c>
      <c r="AT51" s="151">
        <f>IFERROR(IF(OR(NOT(ISNUMBER('Price History'!AA52)),NOT(ISNUMBER('Price History'!AA51)),'Price History'!AA51=0),"",'Price History'!AA52/'Price History'!AA51-1),"")</f>
        <v>1.8691588785046731E-2</v>
      </c>
      <c r="AU51" s="151">
        <f>IFERROR(IF(OR(NOT(ISNUMBER('Price History'!AB52)),NOT(ISNUMBER('Price History'!AB51)),'Price History'!AB51=0),"",'Price History'!AB52/'Price History'!AB51-1),"")</f>
        <v>3.5064935064935021E-2</v>
      </c>
    </row>
    <row r="52" spans="1:47" ht="15" customHeight="1" x14ac:dyDescent="0.2">
      <c r="A52" s="149">
        <f>IF('Price History'!A53="","",'Price History'!A53)</f>
        <v>45534</v>
      </c>
      <c r="B52" s="150">
        <f>IFERROR(IF(OR(NOT(ISNUMBER('Price History'!B53)),NOT(ISNUMBER('Price History'!B52)),'Price History'!B52=0),"",'Price History'!B53/'Price History'!B52-1),"")</f>
        <v>2.8855454056958552E-2</v>
      </c>
      <c r="C52" s="150">
        <f>IFERROR(IF(OR(NOT(ISNUMBER('Price History'!C53)),NOT(ISNUMBER('Price History'!C52)),'Price History'!C52=0),"",'Price History'!C53/'Price History'!C52-1),"")</f>
        <v>-4.8434332056770391E-3</v>
      </c>
      <c r="D52" s="150">
        <f>IFERROR(IF(OR(NOT(ISNUMBER('Price History'!D53)),NOT(ISNUMBER('Price History'!D52)),'Price History'!D52=0),"",'Price History'!D53/'Price History'!D52-1),"")</f>
        <v>-3.7319287235233478E-3</v>
      </c>
      <c r="E52" s="150">
        <f>IFERROR(IF(OR(NOT(ISNUMBER('Price History'!E53)),NOT(ISNUMBER('Price History'!E52)),'Price History'!E52=0),"",'Price History'!E53/'Price History'!E52-1),"")</f>
        <v>-2.1289649671758948E-2</v>
      </c>
      <c r="F52" s="150">
        <f>IFERROR(IF(OR(NOT(ISNUMBER('Price History'!F53)),NOT(ISNUMBER('Price History'!F52)),'Price History'!F52=0),"",'Price History'!F53/'Price History'!F52-1),"")</f>
        <v>2.1063485049344521E-2</v>
      </c>
      <c r="G52" s="150">
        <f>IFERROR(IF(OR(NOT(ISNUMBER('Price History'!G53)),NOT(ISNUMBER('Price History'!G52)),'Price History'!G52=0),"",'Price History'!G53/'Price History'!G52-1),"")</f>
        <v>1.8617351371479351E-3</v>
      </c>
      <c r="H52" s="150">
        <f>IFERROR(IF(OR(NOT(ISNUMBER('Price History'!H53)),NOT(ISNUMBER('Price History'!H52)),'Price History'!H52=0),"",'Price History'!H53/'Price History'!H52-1),"")</f>
        <v>-6.4279424713824418E-2</v>
      </c>
      <c r="I52" s="150">
        <f>IFERROR(IF(OR(NOT(ISNUMBER('Price History'!I53)),NOT(ISNUMBER('Price History'!I52)),'Price History'!I52=0),"",'Price History'!I53/'Price History'!I52-1),"")</f>
        <v>-7.7280830943337597E-2</v>
      </c>
      <c r="J52" s="150">
        <f>IFERROR(IF(OR(NOT(ISNUMBER('Price History'!J53)),NOT(ISNUMBER('Price History'!J52)),'Price History'!J52=0),"",'Price History'!J53/'Price History'!J52-1),"")</f>
        <v>-8.1076563022400849E-3</v>
      </c>
      <c r="K52" s="150">
        <f>IFERROR(IF(OR(NOT(ISNUMBER('Price History'!K53)),NOT(ISNUMBER('Price History'!K52)),'Price History'!K52=0),"",'Price History'!K53/'Price History'!K52-1),"")</f>
        <v>-9.4398993077406956E-3</v>
      </c>
      <c r="L52" s="150">
        <f>IFERROR(IF(OR(NOT(ISNUMBER('Price History'!L53)),NOT(ISNUMBER('Price History'!L52)),'Price History'!L52=0),"",'Price History'!L53/'Price History'!L52-1),"")</f>
        <v>2.4618710219765916E-3</v>
      </c>
      <c r="M52" s="150">
        <f>IFERROR(IF(OR(NOT(ISNUMBER('Price History'!M53)),NOT(ISNUMBER('Price History'!M52)),'Price History'!M52=0),"",'Price History'!M53/'Price History'!M52-1),"")</f>
        <v>5.7058973704365634E-2</v>
      </c>
      <c r="N52" s="150">
        <f>IFERROR(IF(OR(NOT(ISNUMBER('Price History'!N53)),NOT(ISNUMBER('Price History'!N52)),'Price History'!N52=0),"",'Price History'!N53/'Price History'!N52-1),"")</f>
        <v>3.0442191006566421E-2</v>
      </c>
      <c r="O52" s="150">
        <f>IFERROR(IF(OR(NOT(ISNUMBER('Price History'!O53)),NOT(ISNUMBER('Price History'!O52)),'Price History'!O52=0),"",'Price History'!O53/'Price History'!O52-1),"")</f>
        <v>5.399568034558655E-4</v>
      </c>
      <c r="P52" s="150">
        <f>IFERROR(IF(OR(NOT(ISNUMBER('Price History'!P53)),NOT(ISNUMBER('Price History'!P52)),'Price History'!P52=0),"",'Price History'!P53/'Price History'!P52-1),"")</f>
        <v>1.3709876036450241E-2</v>
      </c>
      <c r="Q52" s="150">
        <f>IFERROR(IF(OR(NOT(ISNUMBER('Price History'!Q53)),NOT(ISNUMBER('Price History'!Q52)),'Price History'!Q52=0),"",'Price History'!Q53/'Price History'!Q52-1),"")</f>
        <v>3.5520974289580121E-3</v>
      </c>
      <c r="R52" s="150">
        <f>IFERROR(IF(OR(NOT(ISNUMBER('Price History'!R53)),NOT(ISNUMBER('Price History'!R52)),'Price History'!R52=0),"",'Price History'!R53/'Price History'!R52-1),"")</f>
        <v>3.3246259795773891E-3</v>
      </c>
      <c r="S52" s="150">
        <f>IFERROR(IF(OR(NOT(ISNUMBER('Price History'!S53)),NOT(ISNUMBER('Price History'!S52)),'Price History'!S52=0),"",'Price History'!S53/'Price History'!S52-1),"")</f>
        <v>-3.9714058776806338E-3</v>
      </c>
      <c r="T52" s="150">
        <f>IFERROR(IF(OR(NOT(ISNUMBER('Price History'!T53)),NOT(ISNUMBER('Price History'!T52)),'Price History'!T52=0),"",'Price History'!T53/'Price History'!T52-1),"")</f>
        <v>3.1113876789048422E-3</v>
      </c>
      <c r="U52" s="150">
        <f>IFERROR(IF(OR(NOT(ISNUMBER('Price History'!U53)),NOT(ISNUMBER('Price History'!U52)),'Price History'!U52=0),"",'Price History'!U53/'Price History'!U52-1),"")</f>
        <v>1.2465913517724747E-2</v>
      </c>
      <c r="V52" s="151">
        <f>IFERROR(IF(OR(NOT(ISNUMBER('Price History'!V53)),NOT(ISNUMBER('Price History'!V52)),'Price History'!V52=0),"",'Price History'!V53/'Price History'!V52-1),"")</f>
        <v>3.3400387140850807E-2</v>
      </c>
      <c r="W52" s="152">
        <f>IFERROR('Price History'!B3+(INDEX('Price History'!B:B,MATCH(9.99E+307,'Returns (Calc)'!$A:$A)+1)-'Price History'!B3)*(ROW()-3)/(MATCH(9.99E+307,'Returns (Calc)'!$A:$A)-3),"")</f>
        <v>440.56056603773584</v>
      </c>
      <c r="X52" s="152">
        <f>IFERROR('Price History'!C3+(INDEX('Price History'!C:C,MATCH(9.99E+307,'Returns (Calc)'!$A:$A)+1)-'Price History'!C3)*(ROW()-3)/(MATCH(9.99E+307,'Returns (Calc)'!$A:$A)-3),"")</f>
        <v>98.742515723270444</v>
      </c>
      <c r="Y52" s="152">
        <f>IFERROR('Price History'!D3+(INDEX('Price History'!D:D,MATCH(9.99E+307,'Returns (Calc)'!$A:$A)+1)-'Price History'!D3)*(ROW()-3)/(MATCH(9.99E+307,'Returns (Calc)'!$A:$A)-3),"")</f>
        <v>951.30666666666662</v>
      </c>
      <c r="Z52" s="152">
        <f>IFERROR('Price History'!E3+(INDEX('Price History'!E:E,MATCH(9.99E+307,'Returns (Calc)'!$A:$A)+1)-'Price History'!E3)*(ROW()-3)/(MATCH(9.99E+307,'Returns (Calc)'!$A:$A)-3),"")</f>
        <v>168.14754716981133</v>
      </c>
      <c r="AA52" s="152">
        <f>IFERROR('Price History'!F3+(INDEX('Price History'!F:F,MATCH(9.99E+307,'Returns (Calc)'!$A:$A)+1)-'Price History'!F3)*(ROW()-3)/(MATCH(9.99E+307,'Returns (Calc)'!$A:$A)-3),"")</f>
        <v>113.37459119496854</v>
      </c>
      <c r="AB52" s="152">
        <f>IFERROR('Price History'!G3+(INDEX('Price History'!G:G,MATCH(9.99E+307,'Returns (Calc)'!$A:$A)+1)-'Price History'!G3)*(ROW()-3)/(MATCH(9.99E+307,'Returns (Calc)'!$A:$A)-3),"")</f>
        <v>90.952389937106915</v>
      </c>
      <c r="AC52" s="152">
        <f>IFERROR('Price History'!H3+(INDEX('Price History'!H:H,MATCH(9.99E+307,'Returns (Calc)'!$A:$A)+1)-'Price History'!H3)*(ROW()-3)/(MATCH(9.99E+307,'Returns (Calc)'!$A:$A)-3),"")</f>
        <v>364.92515723270441</v>
      </c>
      <c r="AD52" s="152">
        <f>IFERROR('Price History'!I3+(INDEX('Price History'!I:I,MATCH(9.99E+307,'Returns (Calc)'!$A:$A)+1)-'Price History'!I3)*(ROW()-3)/(MATCH(9.99E+307,'Returns (Calc)'!$A:$A)-3),"")</f>
        <v>100.93974842767295</v>
      </c>
      <c r="AE52" s="152">
        <f>IFERROR('Price History'!J3+(INDEX('Price History'!J:J,MATCH(9.99E+307,'Returns (Calc)'!$A:$A)+1)-'Price History'!J3)*(ROW()-3)/(MATCH(9.99E+307,'Returns (Calc)'!$A:$A)-3),"")</f>
        <v>117.27930817610063</v>
      </c>
      <c r="AF52" s="152">
        <f>IFERROR('Price History'!K3+(INDEX('Price History'!K:K,MATCH(9.99E+307,'Returns (Calc)'!$A:$A)+1)-'Price History'!K3)*(ROW()-3)/(MATCH(9.99E+307,'Returns (Calc)'!$A:$A)-3),"")</f>
        <v>75.029874213836479</v>
      </c>
      <c r="AG52" s="152">
        <f>IFERROR('Price History'!L3+(INDEX('Price History'!L:L,MATCH(9.99E+307,'Returns (Calc)'!$A:$A)+1)-'Price History'!L3)*(ROW()-3)/(MATCH(9.99E+307,'Returns (Calc)'!$A:$A)-3),"")</f>
        <v>199.02320754716982</v>
      </c>
      <c r="AH52" s="152">
        <f>IFERROR('Price History'!M3+(INDEX('Price History'!M:M,MATCH(9.99E+307,'Returns (Calc)'!$A:$A)+1)-'Price History'!M3)*(ROW()-3)/(MATCH(9.99E+307,'Returns (Calc)'!$A:$A)-3),"")</f>
        <v>101.12213836477989</v>
      </c>
      <c r="AI52" s="152">
        <f>IFERROR('Price History'!N3+(INDEX('Price History'!N:N,MATCH(9.99E+307,'Returns (Calc)'!$A:$A)+1)-'Price History'!N3)*(ROW()-3)/(MATCH(9.99E+307,'Returns (Calc)'!$A:$A)-3),"")</f>
        <v>398.57182389937105</v>
      </c>
      <c r="AJ52" s="152">
        <f>IFERROR('Price History'!O3+(INDEX('Price History'!O:O,MATCH(9.99E+307,'Returns (Calc)'!$A:$A)+1)-'Price History'!O3)*(ROW()-3)/(MATCH(9.99E+307,'Returns (Calc)'!$A:$A)-3),"")</f>
        <v>88.971446540880507</v>
      </c>
      <c r="AK52" s="152">
        <f>IFERROR('Price History'!Q3+(INDEX('Price History'!Q:Q,MATCH(9.99E+307,'Returns (Calc)'!$A:$A)+1)-'Price History'!Q3)*(ROW()-3)/(MATCH(9.99E+307,'Returns (Calc)'!$A:$A)-3),"")</f>
        <v>21.563081761006288</v>
      </c>
      <c r="AL52" s="152">
        <f>IFERROR('Price History'!R3+(INDEX('Price History'!R:R,MATCH(9.99E+307,'Returns (Calc)'!$A:$A)+1)-'Price History'!R3)*(ROW()-3)/(MATCH(9.99E+307,'Returns (Calc)'!$A:$A)-3),"")</f>
        <v>42.680566037735844</v>
      </c>
      <c r="AM52" s="152">
        <f>IFERROR('Price History'!S3+(INDEX('Price History'!S:S,MATCH(9.99E+307,'Returns (Calc)'!$A:$A)+1)-'Price History'!S3)*(ROW()-3)/(MATCH(9.99E+307,'Returns (Calc)'!$A:$A)-3),"")</f>
        <v>86.4537106918239</v>
      </c>
      <c r="AN52" s="152">
        <f>IFERROR('Price History'!T3+(INDEX('Price History'!T:T,MATCH(9.99E+307,'Returns (Calc)'!$A:$A)+1)-'Price History'!T3)*(ROW()-3)/(MATCH(9.99E+307,'Returns (Calc)'!$A:$A)-3),"")</f>
        <v>33.74566037735849</v>
      </c>
      <c r="AO52" s="153">
        <f>IFERROR('Price History'!V3+(INDEX('Price History'!V:V,MATCH(9.99E+307,'Returns (Calc)'!$A:$A)+1)-'Price History'!V3)*(ROW()-3)/(MATCH(9.99E+307,'Returns (Calc)'!$A:$A)-3),"")</f>
        <v>281.80094339622639</v>
      </c>
      <c r="AP52" s="151">
        <f>IFERROR(IF(OR(NOT(ISNUMBER('Price History'!W53)),NOT(ISNUMBER('Price History'!W52)),'Price History'!W52=0),"",'Price History'!W53/'Price History'!W52-1),"")</f>
        <v>1.2634770889487834E-2</v>
      </c>
      <c r="AQ52" s="151" t="str">
        <f>IFERROR(IF(OR(NOT(ISNUMBER('Price History'!X53)),NOT(ISNUMBER('Price History'!X52)),'Price History'!X52=0),"",'Price History'!X53/'Price History'!X52-1),"")</f>
        <v/>
      </c>
      <c r="AR52" s="151">
        <f>IFERROR(IF(OR(NOT(ISNUMBER('Price History'!Y53)),NOT(ISNUMBER('Price History'!Y52)),'Price History'!Y52=0),"",'Price History'!Y53/'Price History'!Y52-1),"")</f>
        <v>1.2312743689718797E-2</v>
      </c>
      <c r="AS52" s="151">
        <f>IFERROR(IF(OR(NOT(ISNUMBER('Price History'!Z53)),NOT(ISNUMBER('Price History'!Z52)),'Price History'!Z52=0),"",'Price History'!Z53/'Price History'!Z52-1),"")</f>
        <v>1.9851116625310361E-2</v>
      </c>
      <c r="AT52" s="151">
        <f>IFERROR(IF(OR(NOT(ISNUMBER('Price History'!AA53)),NOT(ISNUMBER('Price History'!AA52)),'Price History'!AA52=0),"",'Price History'!AA53/'Price History'!AA52-1),"")</f>
        <v>2.1406727828746197E-2</v>
      </c>
      <c r="AU52" s="151">
        <f>IFERROR(IF(OR(NOT(ISNUMBER('Price History'!AB53)),NOT(ISNUMBER('Price History'!AB52)),'Price History'!AB52=0),"",'Price History'!AB53/'Price History'!AB52-1),"")</f>
        <v>8.6273525721455524E-2</v>
      </c>
    </row>
    <row r="53" spans="1:47" ht="15" customHeight="1" x14ac:dyDescent="0.2">
      <c r="A53" s="149">
        <f>IF('Price History'!A54="","",'Price History'!A54)</f>
        <v>45541</v>
      </c>
      <c r="B53" s="150">
        <f>IFERROR(IF(OR(NOT(ISNUMBER('Price History'!B54)),NOT(ISNUMBER('Price History'!B53)),'Price History'!B53=0),"",'Price History'!B54/'Price History'!B53-1),"")</f>
        <v>-1.9150084434463199E-2</v>
      </c>
      <c r="C53" s="150">
        <f>IFERROR(IF(OR(NOT(ISNUMBER('Price History'!C54)),NOT(ISNUMBER('Price History'!C53)),'Price History'!C53=0),"",'Price History'!C54/'Price History'!C53-1),"")</f>
        <v>-0.11058290888511602</v>
      </c>
      <c r="D53" s="150">
        <f>IFERROR(IF(OR(NOT(ISNUMBER('Price History'!D54)),NOT(ISNUMBER('Price History'!D53)),'Price History'!D53=0),"",'Price History'!D54/'Price History'!D53-1),"")</f>
        <v>-0.16714849769958495</v>
      </c>
      <c r="E53" s="150">
        <f>IFERROR(IF(OR(NOT(ISNUMBER('Price History'!E54)),NOT(ISNUMBER('Price History'!E53)),'Price History'!E53=0),"",'Price History'!E54/'Price History'!E53-1),"")</f>
        <v>-0.15853811434302922</v>
      </c>
      <c r="F53" s="150">
        <f>IFERROR(IF(OR(NOT(ISNUMBER('Price History'!F54)),NOT(ISNUMBER('Price History'!F53)),'Price History'!F53=0),"",'Price History'!F54/'Price History'!F53-1),"")</f>
        <v>-0.11136757068667036</v>
      </c>
      <c r="G53" s="150">
        <f>IFERROR(IF(OR(NOT(ISNUMBER('Price History'!G54)),NOT(ISNUMBER('Price History'!G53)),'Price History'!G53=0),"",'Price History'!G54/'Price History'!G53-1),"")</f>
        <v>-0.14234390485629334</v>
      </c>
      <c r="H53" s="150">
        <f>IFERROR(IF(OR(NOT(ISNUMBER('Price History'!H54)),NOT(ISNUMBER('Price History'!H53)),'Price History'!H53=0),"",'Price History'!H54/'Price History'!H53-1),"")</f>
        <v>-0.10246758678377244</v>
      </c>
      <c r="I53" s="150">
        <f>IFERROR(IF(OR(NOT(ISNUMBER('Price History'!I54)),NOT(ISNUMBER('Price History'!I53)),'Price History'!I53=0),"",'Price History'!I54/'Price History'!I53-1),"")</f>
        <v>-0.13852486559139787</v>
      </c>
      <c r="J53" s="150">
        <f>IFERROR(IF(OR(NOT(ISNUMBER('Price History'!J54)),NOT(ISNUMBER('Price History'!J53)),'Price History'!J53=0),"",'Price History'!J54/'Price History'!J53-1),"")</f>
        <v>-4.5504339765737312E-3</v>
      </c>
      <c r="K53" s="150">
        <f>IFERROR(IF(OR(NOT(ISNUMBER('Price History'!K54)),NOT(ISNUMBER('Price History'!K53)),'Price History'!K53=0),"",'Price History'!K54/'Price History'!K53-1),"")</f>
        <v>-3.6531130876747198E-2</v>
      </c>
      <c r="L53" s="150">
        <f>IFERROR(IF(OR(NOT(ISNUMBER('Price History'!L54)),NOT(ISNUMBER('Price History'!L53)),'Price History'!L53=0),"",'Price History'!L54/'Price History'!L53-1),"")</f>
        <v>-8.6672656483977262E-2</v>
      </c>
      <c r="M53" s="150">
        <f>IFERROR(IF(OR(NOT(ISNUMBER('Price History'!M54)),NOT(ISNUMBER('Price History'!M53)),'Price History'!M53=0),"",'Price History'!M54/'Price History'!M53-1),"")</f>
        <v>-0.13561164110614665</v>
      </c>
      <c r="N53" s="150">
        <f>IFERROR(IF(OR(NOT(ISNUMBER('Price History'!N54)),NOT(ISNUMBER('Price History'!N53)),'Price History'!N53=0),"",'Price History'!N54/'Price History'!N53-1),"")</f>
        <v>-5.624231180302075E-2</v>
      </c>
      <c r="O53" s="150">
        <f>IFERROR(IF(OR(NOT(ISNUMBER('Price History'!O54)),NOT(ISNUMBER('Price History'!O53)),'Price History'!O53=0),"",'Price History'!O54/'Price History'!O53-1),"")</f>
        <v>-5.6664867781975214E-2</v>
      </c>
      <c r="P53" s="150">
        <f>IFERROR(IF(OR(NOT(ISNUMBER('Price History'!P54)),NOT(ISNUMBER('Price History'!P53)),'Price History'!P53=0),"",'Price History'!P54/'Price History'!P53-1),"")</f>
        <v>-2.1379980563654088E-2</v>
      </c>
      <c r="Q53" s="150">
        <f>IFERROR(IF(OR(NOT(ISNUMBER('Price History'!Q54)),NOT(ISNUMBER('Price History'!Q53)),'Price History'!Q53=0),"",'Price History'!Q54/'Price History'!Q53-1),"")</f>
        <v>-2.696780718017866E-2</v>
      </c>
      <c r="R53" s="150">
        <f>IFERROR(IF(OR(NOT(ISNUMBER('Price History'!R54)),NOT(ISNUMBER('Price History'!R53)),'Price History'!R53=0),"",'Price History'!R54/'Price History'!R53-1),"")</f>
        <v>-4.0236686390532572E-2</v>
      </c>
      <c r="S53" s="150">
        <f>IFERROR(IF(OR(NOT(ISNUMBER('Price History'!S54)),NOT(ISNUMBER('Price History'!S53)),'Price History'!S53=0),"",'Price History'!S54/'Price History'!S53-1),"")</f>
        <v>-5.9808612440191422E-2</v>
      </c>
      <c r="T53" s="150">
        <f>IFERROR(IF(OR(NOT(ISNUMBER('Price History'!T54)),NOT(ISNUMBER('Price History'!T53)),'Price History'!T53=0),"",'Price History'!T54/'Price History'!T53-1),"")</f>
        <v>-4.1253101736972719E-2</v>
      </c>
      <c r="U53" s="150">
        <f>IFERROR(IF(OR(NOT(ISNUMBER('Price History'!U54)),NOT(ISNUMBER('Price History'!U53)),'Price History'!U53=0),"",'Price History'!U54/'Price History'!U53-1),"")</f>
        <v>-3.001154290111574E-2</v>
      </c>
      <c r="V53" s="151">
        <f>IFERROR(IF(OR(NOT(ISNUMBER('Price History'!V54)),NOT(ISNUMBER('Price History'!V53)),'Price History'!V53=0),"",'Price History'!V54/'Price History'!V53-1),"")</f>
        <v>1.0834833070114458E-2</v>
      </c>
      <c r="W53" s="152">
        <f>IFERROR('Price History'!B3+(INDEX('Price History'!B:B,MATCH(9.99E+307,'Returns (Calc)'!$A:$A)+1)-'Price History'!B3)*(ROW()-3)/(MATCH(9.99E+307,'Returns (Calc)'!$A:$A)-3),"")</f>
        <v>438.75792452830188</v>
      </c>
      <c r="X53" s="152">
        <f>IFERROR('Price History'!C3+(INDEX('Price History'!C:C,MATCH(9.99E+307,'Returns (Calc)'!$A:$A)+1)-'Price History'!C3)*(ROW()-3)/(MATCH(9.99E+307,'Returns (Calc)'!$A:$A)-3),"")</f>
        <v>99.815220125786169</v>
      </c>
      <c r="Y53" s="152">
        <f>IFERROR('Price History'!D3+(INDEX('Price History'!D:D,MATCH(9.99E+307,'Returns (Calc)'!$A:$A)+1)-'Price History'!D3)*(ROW()-3)/(MATCH(9.99E+307,'Returns (Calc)'!$A:$A)-3),"")</f>
        <v>958.84333333333325</v>
      </c>
      <c r="Z53" s="152">
        <f>IFERROR('Price History'!E3+(INDEX('Price History'!E:E,MATCH(9.99E+307,'Returns (Calc)'!$A:$A)+1)-'Price History'!E3)*(ROW()-3)/(MATCH(9.99E+307,'Returns (Calc)'!$A:$A)-3),"")</f>
        <v>169.90566037735852</v>
      </c>
      <c r="AA53" s="152">
        <f>IFERROR('Price History'!F3+(INDEX('Price History'!F:F,MATCH(9.99E+307,'Returns (Calc)'!$A:$A)+1)-'Price History'!F3)*(ROW()-3)/(MATCH(9.99E+307,'Returns (Calc)'!$A:$A)-3),"")</f>
        <v>114.84427672955975</v>
      </c>
      <c r="AB53" s="152">
        <f>IFERROR('Price History'!G3+(INDEX('Price History'!G:G,MATCH(9.99E+307,'Returns (Calc)'!$A:$A)+1)-'Price History'!G3)*(ROW()-3)/(MATCH(9.99E+307,'Returns (Calc)'!$A:$A)-3),"")</f>
        <v>91.903459119496858</v>
      </c>
      <c r="AC53" s="152">
        <f>IFERROR('Price History'!H3+(INDEX('Price History'!H:H,MATCH(9.99E+307,'Returns (Calc)'!$A:$A)+1)-'Price History'!H3)*(ROW()-3)/(MATCH(9.99E+307,'Returns (Calc)'!$A:$A)-3),"")</f>
        <v>370.96220125786164</v>
      </c>
      <c r="AD53" s="152">
        <f>IFERROR('Price History'!I3+(INDEX('Price History'!I:I,MATCH(9.99E+307,'Returns (Calc)'!$A:$A)+1)-'Price History'!I3)*(ROW()-3)/(MATCH(9.99E+307,'Returns (Calc)'!$A:$A)-3),"")</f>
        <v>102.10647798742139</v>
      </c>
      <c r="AE53" s="152">
        <f>IFERROR('Price History'!J3+(INDEX('Price History'!J:J,MATCH(9.99E+307,'Returns (Calc)'!$A:$A)+1)-'Price History'!J3)*(ROW()-3)/(MATCH(9.99E+307,'Returns (Calc)'!$A:$A)-3),"")</f>
        <v>117.39031446540881</v>
      </c>
      <c r="AF53" s="152">
        <f>IFERROR('Price History'!K3+(INDEX('Price History'!K:K,MATCH(9.99E+307,'Returns (Calc)'!$A:$A)+1)-'Price History'!K3)*(ROW()-3)/(MATCH(9.99E+307,'Returns (Calc)'!$A:$A)-3),"")</f>
        <v>76.2482389937107</v>
      </c>
      <c r="AG53" s="152">
        <f>IFERROR('Price History'!L3+(INDEX('Price History'!L:L,MATCH(9.99E+307,'Returns (Calc)'!$A:$A)+1)-'Price History'!L3)*(ROW()-3)/(MATCH(9.99E+307,'Returns (Calc)'!$A:$A)-3),"")</f>
        <v>201.33490566037736</v>
      </c>
      <c r="AH53" s="152">
        <f>IFERROR('Price History'!M3+(INDEX('Price History'!M:M,MATCH(9.99E+307,'Returns (Calc)'!$A:$A)+1)-'Price History'!M3)*(ROW()-3)/(MATCH(9.99E+307,'Returns (Calc)'!$A:$A)-3),"")</f>
        <v>102.40993710691825</v>
      </c>
      <c r="AI53" s="152">
        <f>IFERROR('Price History'!N3+(INDEX('Price History'!N:N,MATCH(9.99E+307,'Returns (Calc)'!$A:$A)+1)-'Price History'!N3)*(ROW()-3)/(MATCH(9.99E+307,'Returns (Calc)'!$A:$A)-3),"")</f>
        <v>399.58553459119491</v>
      </c>
      <c r="AJ53" s="152">
        <f>IFERROR('Price History'!O3+(INDEX('Price History'!O:O,MATCH(9.99E+307,'Returns (Calc)'!$A:$A)+1)-'Price History'!O3)*(ROW()-3)/(MATCH(9.99E+307,'Returns (Calc)'!$A:$A)-3),"")</f>
        <v>89.250251572327045</v>
      </c>
      <c r="AK53" s="152">
        <f>IFERROR('Price History'!Q3+(INDEX('Price History'!Q:Q,MATCH(9.99E+307,'Returns (Calc)'!$A:$A)+1)-'Price History'!Q3)*(ROW()-3)/(MATCH(9.99E+307,'Returns (Calc)'!$A:$A)-3),"")</f>
        <v>22.00314465408805</v>
      </c>
      <c r="AL53" s="152">
        <f>IFERROR('Price History'!R3+(INDEX('Price History'!R:R,MATCH(9.99E+307,'Returns (Calc)'!$A:$A)+1)-'Price History'!R3)*(ROW()-3)/(MATCH(9.99E+307,'Returns (Calc)'!$A:$A)-3),"")</f>
        <v>42.847924528301888</v>
      </c>
      <c r="AM53" s="152">
        <f>IFERROR('Price History'!S3+(INDEX('Price History'!S:S,MATCH(9.99E+307,'Returns (Calc)'!$A:$A)+1)-'Price History'!S3)*(ROW()-3)/(MATCH(9.99E+307,'Returns (Calc)'!$A:$A)-3),"")</f>
        <v>87.04194968553459</v>
      </c>
      <c r="AN53" s="152">
        <f>IFERROR('Price History'!T3+(INDEX('Price History'!T:T,MATCH(9.99E+307,'Returns (Calc)'!$A:$A)+1)-'Price History'!T3)*(ROW()-3)/(MATCH(9.99E+307,'Returns (Calc)'!$A:$A)-3),"")</f>
        <v>33.919245283018867</v>
      </c>
      <c r="AO53" s="153">
        <f>IFERROR('Price History'!V3+(INDEX('Price History'!V:V,MATCH(9.99E+307,'Returns (Calc)'!$A:$A)+1)-'Price History'!V3)*(ROW()-3)/(MATCH(9.99E+307,'Returns (Calc)'!$A:$A)-3),"")</f>
        <v>282.74320754716979</v>
      </c>
      <c r="AP53" s="151">
        <f>IFERROR(IF(OR(NOT(ISNUMBER('Price History'!W54)),NOT(ISNUMBER('Price History'!W53)),'Price History'!W53=0),"",'Price History'!W54/'Price History'!W53-1),"")</f>
        <v>-3.360505739477615E-2</v>
      </c>
      <c r="AQ53" s="151" t="str">
        <f>IFERROR(IF(OR(NOT(ISNUMBER('Price History'!X54)),NOT(ISNUMBER('Price History'!X53)),'Price History'!X53=0),"",'Price History'!X54/'Price History'!X53-1),"")</f>
        <v/>
      </c>
      <c r="AR53" s="151">
        <f>IFERROR(IF(OR(NOT(ISNUMBER('Price History'!Y54)),NOT(ISNUMBER('Price History'!Y53)),'Price History'!Y53=0),"",'Price History'!Y54/'Price History'!Y53-1),"")</f>
        <v>-1.5406446381512229E-2</v>
      </c>
      <c r="AS53" s="151">
        <f>IFERROR(IF(OR(NOT(ISNUMBER('Price History'!Z54)),NOT(ISNUMBER('Price History'!Z53)),'Price History'!Z53=0),"",'Price History'!Z54/'Price History'!Z53-1),"")</f>
        <v>-7.6642335766423431E-2</v>
      </c>
      <c r="AT53" s="151">
        <f>IFERROR(IF(OR(NOT(ISNUMBER('Price History'!AA54)),NOT(ISNUMBER('Price History'!AA53)),'Price History'!AA53=0),"",'Price History'!AA54/'Price History'!AA53-1),"")</f>
        <v>-5.075563159395502E-2</v>
      </c>
      <c r="AU53" s="151">
        <f>IFERROR(IF(OR(NOT(ISNUMBER('Price History'!AB54)),NOT(ISNUMBER('Price History'!AB53)),'Price History'!AB53=0),"",'Price History'!AB54/'Price History'!AB53-1),"")</f>
        <v>-2.5411199408612584E-3</v>
      </c>
    </row>
    <row r="54" spans="1:47" ht="15" customHeight="1" x14ac:dyDescent="0.2">
      <c r="A54" s="149">
        <f>IF('Price History'!A55="","",'Price History'!A55)</f>
        <v>45548</v>
      </c>
      <c r="B54" s="150">
        <f>IFERROR(IF(OR(NOT(ISNUMBER('Price History'!B55)),NOT(ISNUMBER('Price History'!B54)),'Price History'!B54=0),"",'Price History'!B55/'Price History'!B54-1),"")</f>
        <v>-4.7106015157700409E-2</v>
      </c>
      <c r="C54" s="150">
        <f>IFERROR(IF(OR(NOT(ISNUMBER('Price History'!C55)),NOT(ISNUMBER('Price History'!C54)),'Price History'!C54=0),"",'Price History'!C55/'Price History'!C54-1),"")</f>
        <v>0.1445660473402901</v>
      </c>
      <c r="D54" s="150">
        <f>IFERROR(IF(OR(NOT(ISNUMBER('Price History'!D55)),NOT(ISNUMBER('Price History'!D54)),'Price History'!D54=0),"",'Price History'!D55/'Price History'!D54-1),"")</f>
        <v>8.4443123801291264E-2</v>
      </c>
      <c r="E54" s="150">
        <f>IFERROR(IF(OR(NOT(ISNUMBER('Price History'!E55)),NOT(ISNUMBER('Price History'!E54)),'Price History'!E54=0),"",'Price History'!E55/'Price History'!E54-1),"")</f>
        <v>0.22401847575057765</v>
      </c>
      <c r="F54" s="150">
        <f>IFERROR(IF(OR(NOT(ISNUMBER('Price History'!F55)),NOT(ISNUMBER('Price History'!F54)),'Price History'!F54=0),"",'Price History'!F55/'Price History'!F54-1),"")</f>
        <v>5.1623376623376682E-2</v>
      </c>
      <c r="G54" s="150">
        <f>IFERROR(IF(OR(NOT(ISNUMBER('Price History'!G55)),NOT(ISNUMBER('Price History'!G54)),'Price History'!G54=0),"",'Price History'!G55/'Price History'!G54-1),"")</f>
        <v>6.9334103712263451E-2</v>
      </c>
      <c r="H54" s="150">
        <f>IFERROR(IF(OR(NOT(ISNUMBER('Price History'!H55)),NOT(ISNUMBER('Price History'!H54)),'Price History'!H54=0),"",'Price History'!H55/'Price History'!H54-1),"")</f>
        <v>5.6034482758620774E-2</v>
      </c>
      <c r="I54" s="150">
        <f>IFERROR(IF(OR(NOT(ISNUMBER('Price History'!I55)),NOT(ISNUMBER('Price History'!I54)),'Price History'!I54=0),"",'Price History'!I55/'Price History'!I54-1),"")</f>
        <v>0.15826426133593374</v>
      </c>
      <c r="J54" s="150">
        <f>IFERROR(IF(OR(NOT(ISNUMBER('Price History'!J55)),NOT(ISNUMBER('Price History'!J54)),'Price History'!J54=0),"",'Price History'!J55/'Price History'!J54-1),"")</f>
        <v>2.1586387877761792E-2</v>
      </c>
      <c r="K54" s="150">
        <f>IFERROR(IF(OR(NOT(ISNUMBER('Price History'!K55)),NOT(ISNUMBER('Price History'!K54)),'Price History'!K54=0),"",'Price History'!K55/'Price History'!K54-1),"")</f>
        <v>0.17342565117045838</v>
      </c>
      <c r="L54" s="150">
        <f>IFERROR(IF(OR(NOT(ISNUMBER('Price History'!L55)),NOT(ISNUMBER('Price History'!L54)),'Price History'!L54=0),"",'Price History'!L55/'Price History'!L54-1),"")</f>
        <v>0.1040136411332635</v>
      </c>
      <c r="M54" s="150">
        <f>IFERROR(IF(OR(NOT(ISNUMBER('Price History'!M55)),NOT(ISNUMBER('Price History'!M54)),'Price History'!M54=0),"",'Price History'!M55/'Price History'!M54-1),"")</f>
        <v>0.19488683989941324</v>
      </c>
      <c r="N54" s="150">
        <f>IFERROR(IF(OR(NOT(ISNUMBER('Price History'!N55)),NOT(ISNUMBER('Price History'!N54)),'Price History'!N54=0),"",'Price History'!N55/'Price History'!N54-1),"")</f>
        <v>3.7115384615384661E-2</v>
      </c>
      <c r="O54" s="150">
        <f>IFERROR(IF(OR(NOT(ISNUMBER('Price History'!O55)),NOT(ISNUMBER('Price History'!O54)),'Price History'!O54=0),"",'Price History'!O55/'Price History'!O54-1),"")</f>
        <v>2.8832951945080065E-2</v>
      </c>
      <c r="P54" s="150">
        <f>IFERROR(IF(OR(NOT(ISNUMBER('Price History'!P55)),NOT(ISNUMBER('Price History'!P54)),'Price History'!P54=0),"",'Price History'!P55/'Price History'!P54-1),"")</f>
        <v>1.8536908308507183E-2</v>
      </c>
      <c r="Q54" s="150">
        <f>IFERROR(IF(OR(NOT(ISNUMBER('Price History'!Q55)),NOT(ISNUMBER('Price History'!Q54)),'Price History'!Q54=0),"",'Price History'!Q55/'Price History'!Q54-1),"")</f>
        <v>2.5983024424042878E-2</v>
      </c>
      <c r="R54" s="150">
        <f>IFERROR(IF(OR(NOT(ISNUMBER('Price History'!R55)),NOT(ISNUMBER('Price History'!R54)),'Price History'!R54=0),"",'Price History'!R55/'Price History'!R54-1),"")</f>
        <v>4.636251541307046E-2</v>
      </c>
      <c r="S54" s="150">
        <f>IFERROR(IF(OR(NOT(ISNUMBER('Price History'!S55)),NOT(ISNUMBER('Price History'!S54)),'Price History'!S54=0),"",'Price History'!S55/'Price History'!S54-1),"")</f>
        <v>6.1553374530473715E-2</v>
      </c>
      <c r="T54" s="150">
        <f>IFERROR(IF(OR(NOT(ISNUMBER('Price History'!T55)),NOT(ISNUMBER('Price History'!T54)),'Price History'!T54=0),"",'Price History'!T55/'Price History'!T54-1),"")</f>
        <v>2.5558071821417006E-2</v>
      </c>
      <c r="U54" s="150">
        <f>IFERROR(IF(OR(NOT(ISNUMBER('Price History'!U55)),NOT(ISNUMBER('Price History'!U54)),'Price History'!U54=0),"",'Price History'!U55/'Price History'!U54-1),"")</f>
        <v>1.6660055533518348E-2</v>
      </c>
      <c r="V54" s="151">
        <f>IFERROR(IF(OR(NOT(ISNUMBER('Price History'!V55)),NOT(ISNUMBER('Price History'!V54)),'Price History'!V54=0),"",'Price History'!V55/'Price History'!V54-1),"")</f>
        <v>2.8558971005014033E-2</v>
      </c>
      <c r="W54" s="152">
        <f>IFERROR('Price History'!B3+(INDEX('Price History'!B:B,MATCH(9.99E+307,'Returns (Calc)'!$A:$A)+1)-'Price History'!B3)*(ROW()-3)/(MATCH(9.99E+307,'Returns (Calc)'!$A:$A)-3),"")</f>
        <v>436.95528301886793</v>
      </c>
      <c r="X54" s="152">
        <f>IFERROR('Price History'!C3+(INDEX('Price History'!C:C,MATCH(9.99E+307,'Returns (Calc)'!$A:$A)+1)-'Price History'!C3)*(ROW()-3)/(MATCH(9.99E+307,'Returns (Calc)'!$A:$A)-3),"")</f>
        <v>100.88792452830188</v>
      </c>
      <c r="Y54" s="152">
        <f>IFERROR('Price History'!D3+(INDEX('Price History'!D:D,MATCH(9.99E+307,'Returns (Calc)'!$A:$A)+1)-'Price History'!D3)*(ROW()-3)/(MATCH(9.99E+307,'Returns (Calc)'!$A:$A)-3),"")</f>
        <v>966.37999999999988</v>
      </c>
      <c r="Z54" s="152">
        <f>IFERROR('Price History'!E3+(INDEX('Price History'!E:E,MATCH(9.99E+307,'Returns (Calc)'!$A:$A)+1)-'Price History'!E3)*(ROW()-3)/(MATCH(9.99E+307,'Returns (Calc)'!$A:$A)-3),"")</f>
        <v>171.66377358490567</v>
      </c>
      <c r="AA54" s="152">
        <f>IFERROR('Price History'!F3+(INDEX('Price History'!F:F,MATCH(9.99E+307,'Returns (Calc)'!$A:$A)+1)-'Price History'!F3)*(ROW()-3)/(MATCH(9.99E+307,'Returns (Calc)'!$A:$A)-3),"")</f>
        <v>116.31396226415094</v>
      </c>
      <c r="AB54" s="152">
        <f>IFERROR('Price History'!G3+(INDEX('Price History'!G:G,MATCH(9.99E+307,'Returns (Calc)'!$A:$A)+1)-'Price History'!G3)*(ROW()-3)/(MATCH(9.99E+307,'Returns (Calc)'!$A:$A)-3),"")</f>
        <v>92.854528301886802</v>
      </c>
      <c r="AC54" s="152">
        <f>IFERROR('Price History'!H3+(INDEX('Price History'!H:H,MATCH(9.99E+307,'Returns (Calc)'!$A:$A)+1)-'Price History'!H3)*(ROW()-3)/(MATCH(9.99E+307,'Returns (Calc)'!$A:$A)-3),"")</f>
        <v>376.99924528301887</v>
      </c>
      <c r="AD54" s="152">
        <f>IFERROR('Price History'!I3+(INDEX('Price History'!I:I,MATCH(9.99E+307,'Returns (Calc)'!$A:$A)+1)-'Price History'!I3)*(ROW()-3)/(MATCH(9.99E+307,'Returns (Calc)'!$A:$A)-3),"")</f>
        <v>103.27320754716982</v>
      </c>
      <c r="AE54" s="152">
        <f>IFERROR('Price History'!J3+(INDEX('Price History'!J:J,MATCH(9.99E+307,'Returns (Calc)'!$A:$A)+1)-'Price History'!J3)*(ROW()-3)/(MATCH(9.99E+307,'Returns (Calc)'!$A:$A)-3),"")</f>
        <v>117.50132075471699</v>
      </c>
      <c r="AF54" s="152">
        <f>IFERROR('Price History'!K3+(INDEX('Price History'!K:K,MATCH(9.99E+307,'Returns (Calc)'!$A:$A)+1)-'Price History'!K3)*(ROW()-3)/(MATCH(9.99E+307,'Returns (Calc)'!$A:$A)-3),"")</f>
        <v>77.466603773584907</v>
      </c>
      <c r="AG54" s="152">
        <f>IFERROR('Price History'!L3+(INDEX('Price History'!L:L,MATCH(9.99E+307,'Returns (Calc)'!$A:$A)+1)-'Price History'!L3)*(ROW()-3)/(MATCH(9.99E+307,'Returns (Calc)'!$A:$A)-3),"")</f>
        <v>203.6466037735849</v>
      </c>
      <c r="AH54" s="152">
        <f>IFERROR('Price History'!M3+(INDEX('Price History'!M:M,MATCH(9.99E+307,'Returns (Calc)'!$A:$A)+1)-'Price History'!M3)*(ROW()-3)/(MATCH(9.99E+307,'Returns (Calc)'!$A:$A)-3),"")</f>
        <v>103.69773584905661</v>
      </c>
      <c r="AI54" s="152">
        <f>IFERROR('Price History'!N3+(INDEX('Price History'!N:N,MATCH(9.99E+307,'Returns (Calc)'!$A:$A)+1)-'Price History'!N3)*(ROW()-3)/(MATCH(9.99E+307,'Returns (Calc)'!$A:$A)-3),"")</f>
        <v>400.59924528301883</v>
      </c>
      <c r="AJ54" s="152">
        <f>IFERROR('Price History'!O3+(INDEX('Price History'!O:O,MATCH(9.99E+307,'Returns (Calc)'!$A:$A)+1)-'Price History'!O3)*(ROW()-3)/(MATCH(9.99E+307,'Returns (Calc)'!$A:$A)-3),"")</f>
        <v>89.529056603773583</v>
      </c>
      <c r="AK54" s="152">
        <f>IFERROR('Price History'!Q3+(INDEX('Price History'!Q:Q,MATCH(9.99E+307,'Returns (Calc)'!$A:$A)+1)-'Price History'!Q3)*(ROW()-3)/(MATCH(9.99E+307,'Returns (Calc)'!$A:$A)-3),"")</f>
        <v>22.443207547169809</v>
      </c>
      <c r="AL54" s="152">
        <f>IFERROR('Price History'!R3+(INDEX('Price History'!R:R,MATCH(9.99E+307,'Returns (Calc)'!$A:$A)+1)-'Price History'!R3)*(ROW()-3)/(MATCH(9.99E+307,'Returns (Calc)'!$A:$A)-3),"")</f>
        <v>43.015283018867926</v>
      </c>
      <c r="AM54" s="152">
        <f>IFERROR('Price History'!S3+(INDEX('Price History'!S:S,MATCH(9.99E+307,'Returns (Calc)'!$A:$A)+1)-'Price History'!S3)*(ROW()-3)/(MATCH(9.99E+307,'Returns (Calc)'!$A:$A)-3),"")</f>
        <v>87.630188679245279</v>
      </c>
      <c r="AN54" s="152">
        <f>IFERROR('Price History'!T3+(INDEX('Price History'!T:T,MATCH(9.99E+307,'Returns (Calc)'!$A:$A)+1)-'Price History'!T3)*(ROW()-3)/(MATCH(9.99E+307,'Returns (Calc)'!$A:$A)-3),"")</f>
        <v>34.092830188679244</v>
      </c>
      <c r="AO54" s="153">
        <f>IFERROR('Price History'!V3+(INDEX('Price History'!V:V,MATCH(9.99E+307,'Returns (Calc)'!$A:$A)+1)-'Price History'!V3)*(ROW()-3)/(MATCH(9.99E+307,'Returns (Calc)'!$A:$A)-3),"")</f>
        <v>283.68547169811319</v>
      </c>
      <c r="AP54" s="151">
        <f>IFERROR(IF(OR(NOT(ISNUMBER('Price History'!W55)),NOT(ISNUMBER('Price History'!W54)),'Price History'!W54=0),"",'Price History'!W55/'Price History'!W54-1),"")</f>
        <v>2.3928386985711647E-2</v>
      </c>
      <c r="AQ54" s="151" t="str">
        <f>IFERROR(IF(OR(NOT(ISNUMBER('Price History'!X55)),NOT(ISNUMBER('Price History'!X54)),'Price History'!X54=0),"",'Price History'!X55/'Price History'!X54-1),"")</f>
        <v/>
      </c>
      <c r="AR54" s="151">
        <f>IFERROR(IF(OR(NOT(ISNUMBER('Price History'!Y55)),NOT(ISNUMBER('Price History'!Y54)),'Price History'!Y54=0),"",'Price History'!Y55/'Price History'!Y54-1),"")</f>
        <v>2.2647724933086311E-2</v>
      </c>
      <c r="AS54" s="151">
        <f>IFERROR(IF(OR(NOT(ISNUMBER('Price History'!Z55)),NOT(ISNUMBER('Price History'!Z54)),'Price History'!Z54=0),"",'Price History'!Z55/'Price History'!Z54-1),"")</f>
        <v>0.10571554049814935</v>
      </c>
      <c r="AT54" s="151">
        <f>IFERROR(IF(OR(NOT(ISNUMBER('Price History'!AA55)),NOT(ISNUMBER('Price History'!AA54)),'Price History'!AA54=0),"",'Price History'!AA55/'Price History'!AA54-1),"")</f>
        <v>4.7011114448783253E-2</v>
      </c>
      <c r="AU54" s="151">
        <f>IFERROR(IF(OR(NOT(ISNUMBER('Price History'!AB55)),NOT(ISNUMBER('Price History'!AB54)),'Price History'!AB54=0),"",'Price History'!AB55/'Price History'!AB54-1),"")</f>
        <v>9.5418963360971443E-3</v>
      </c>
    </row>
    <row r="55" spans="1:47" ht="15" customHeight="1" x14ac:dyDescent="0.2">
      <c r="A55" s="149">
        <f>IF('Price History'!A56="","",'Price History'!A56)</f>
        <v>45555</v>
      </c>
      <c r="B55" s="150">
        <f>IFERROR(IF(OR(NOT(ISNUMBER('Price History'!B56)),NOT(ISNUMBER('Price History'!B55)),'Price History'!B55=0),"",'Price History'!B56/'Price History'!B55-1),"")</f>
        <v>-2.7138785925829412E-2</v>
      </c>
      <c r="C55" s="150">
        <f>IFERROR(IF(OR(NOT(ISNUMBER('Price History'!C56)),NOT(ISNUMBER('Price History'!C55)),'Price History'!C55=0),"",'Price History'!C56/'Price History'!C55-1),"")</f>
        <v>6.8601289748721372E-2</v>
      </c>
      <c r="D55" s="150">
        <f>IFERROR(IF(OR(NOT(ISNUMBER('Price History'!D56)),NOT(ISNUMBER('Price History'!D55)),'Price History'!D55=0),"",'Price History'!D56/'Price History'!D55-1),"")</f>
        <v>-2.5818906464067815E-2</v>
      </c>
      <c r="E55" s="150">
        <f>IFERROR(IF(OR(NOT(ISNUMBER('Price History'!E56)),NOT(ISNUMBER('Price History'!E55)),'Price History'!E55=0),"",'Price History'!E56/'Price History'!E55-1),"")</f>
        <v>2.3676202069385255E-2</v>
      </c>
      <c r="F55" s="150">
        <f>IFERROR(IF(OR(NOT(ISNUMBER('Price History'!F56)),NOT(ISNUMBER('Price History'!F55)),'Price History'!F55=0),"",'Price History'!F56/'Price History'!F55-1),"")</f>
        <v>0.15714726767520837</v>
      </c>
      <c r="G55" s="150">
        <f>IFERROR(IF(OR(NOT(ISNUMBER('Price History'!G56)),NOT(ISNUMBER('Price History'!G55)),'Price History'!G55=0),"",'Price History'!G56/'Price History'!G55-1),"")</f>
        <v>9.8608672159936628E-3</v>
      </c>
      <c r="H55" s="150">
        <f>IFERROR(IF(OR(NOT(ISNUMBER('Price History'!H56)),NOT(ISNUMBER('Price History'!H55)),'Price History'!H55=0),"",'Price History'!H56/'Price History'!H55-1),"")</f>
        <v>-3.5300606729179451E-3</v>
      </c>
      <c r="I55" s="150">
        <f>IFERROR(IF(OR(NOT(ISNUMBER('Price History'!I56)),NOT(ISNUMBER('Price History'!I55)),'Price History'!I55=0),"",'Price History'!I56/'Price History'!I55-1),"")</f>
        <v>-2.6014480552281505E-2</v>
      </c>
      <c r="J55" s="150">
        <f>IFERROR(IF(OR(NOT(ISNUMBER('Price History'!J56)),NOT(ISNUMBER('Price History'!J55)),'Price History'!J55=0),"",'Price History'!J56/'Price History'!J55-1),"")</f>
        <v>-2.7510772290354701E-2</v>
      </c>
      <c r="K55" s="150">
        <f>IFERROR(IF(OR(NOT(ISNUMBER('Price History'!K56)),NOT(ISNUMBER('Price History'!K55)),'Price History'!K55=0),"",'Price History'!K56/'Price History'!K55-1),"")</f>
        <v>4.5237426243326828E-2</v>
      </c>
      <c r="L55" s="150">
        <f>IFERROR(IF(OR(NOT(ISNUMBER('Price History'!L56)),NOT(ISNUMBER('Price History'!L55)),'Price History'!L55=0),"",'Price History'!L56/'Price History'!L55-1),"")</f>
        <v>9.2075561363904601E-3</v>
      </c>
      <c r="M55" s="150">
        <f>IFERROR(IF(OR(NOT(ISNUMBER('Price History'!M56)),NOT(ISNUMBER('Price History'!M55)),'Price History'!M55=0),"",'Price History'!M56/'Price History'!M55-1),"")</f>
        <v>0.10265403951829777</v>
      </c>
      <c r="N55" s="150">
        <f>IFERROR(IF(OR(NOT(ISNUMBER('Price History'!N56)),NOT(ISNUMBER('Price History'!N55)),'Price History'!N55=0),"",'Price History'!N56/'Price History'!N55-1),"")</f>
        <v>-4.2132805900653048E-2</v>
      </c>
      <c r="O55" s="150">
        <f>IFERROR(IF(OR(NOT(ISNUMBER('Price History'!O56)),NOT(ISNUMBER('Price History'!O55)),'Price History'!O55=0),"",'Price History'!O56/'Price History'!O55-1),"")</f>
        <v>3.0249110320284656E-2</v>
      </c>
      <c r="P55" s="150">
        <f>IFERROR(IF(OR(NOT(ISNUMBER('Price History'!P56)),NOT(ISNUMBER('Price History'!P55)),'Price History'!P55=0),"",'Price History'!P56/'Price History'!P55-1),"")</f>
        <v>1.2105947351316093E-2</v>
      </c>
      <c r="Q55" s="150">
        <f>IFERROR(IF(OR(NOT(ISNUMBER('Price History'!Q56)),NOT(ISNUMBER('Price History'!Q55)),'Price History'!Q55=0),"",'Price History'!Q56/'Price History'!Q55-1),"")</f>
        <v>8.2728347121392432E-3</v>
      </c>
      <c r="R55" s="150">
        <f>IFERROR(IF(OR(NOT(ISNUMBER('Price History'!R56)),NOT(ISNUMBER('Price History'!R55)),'Price History'!R55=0),"",'Price History'!R56/'Price History'!R55-1),"")</f>
        <v>1.2491161913740223E-2</v>
      </c>
      <c r="S55" s="150">
        <f>IFERROR(IF(OR(NOT(ISNUMBER('Price History'!S56)),NOT(ISNUMBER('Price History'!S55)),'Price History'!S55=0),"",'Price History'!S56/'Price History'!S55-1),"")</f>
        <v>1.6208195411482773E-2</v>
      </c>
      <c r="T55" s="150">
        <f>IFERROR(IF(OR(NOT(ISNUMBER('Price History'!T56)),NOT(ISNUMBER('Price History'!T55)),'Price History'!T55=0),"",'Price History'!T56/'Price History'!T55-1),"")</f>
        <v>1.7350157728706739E-2</v>
      </c>
      <c r="U55" s="150">
        <f>IFERROR(IF(OR(NOT(ISNUMBER('Price History'!U56)),NOT(ISNUMBER('Price History'!U55)),'Price History'!U55=0),"",'Price History'!U56/'Price History'!U55-1),"")</f>
        <v>1.3265704252828803E-2</v>
      </c>
      <c r="V55" s="151">
        <f>IFERROR(IF(OR(NOT(ISNUMBER('Price History'!V56)),NOT(ISNUMBER('Price History'!V55)),'Price History'!V55=0),"",'Price History'!V56/'Price History'!V55-1),"")</f>
        <v>-8.9727285572981375E-3</v>
      </c>
      <c r="W55" s="152">
        <f>IFERROR('Price History'!B3+(INDEX('Price History'!B:B,MATCH(9.99E+307,'Returns (Calc)'!$A:$A)+1)-'Price History'!B3)*(ROW()-3)/(MATCH(9.99E+307,'Returns (Calc)'!$A:$A)-3),"")</f>
        <v>435.15264150943392</v>
      </c>
      <c r="X55" s="152">
        <f>IFERROR('Price History'!C3+(INDEX('Price History'!C:C,MATCH(9.99E+307,'Returns (Calc)'!$A:$A)+1)-'Price History'!C3)*(ROW()-3)/(MATCH(9.99E+307,'Returns (Calc)'!$A:$A)-3),"")</f>
        <v>101.96062893081762</v>
      </c>
      <c r="Y55" s="152">
        <f>IFERROR('Price History'!D3+(INDEX('Price History'!D:D,MATCH(9.99E+307,'Returns (Calc)'!$A:$A)+1)-'Price History'!D3)*(ROW()-3)/(MATCH(9.99E+307,'Returns (Calc)'!$A:$A)-3),"")</f>
        <v>973.91666666666663</v>
      </c>
      <c r="Z55" s="152">
        <f>IFERROR('Price History'!E3+(INDEX('Price History'!E:E,MATCH(9.99E+307,'Returns (Calc)'!$A:$A)+1)-'Price History'!E3)*(ROW()-3)/(MATCH(9.99E+307,'Returns (Calc)'!$A:$A)-3),"")</f>
        <v>173.42188679245282</v>
      </c>
      <c r="AA55" s="152">
        <f>IFERROR('Price History'!F3+(INDEX('Price History'!F:F,MATCH(9.99E+307,'Returns (Calc)'!$A:$A)+1)-'Price History'!F3)*(ROW()-3)/(MATCH(9.99E+307,'Returns (Calc)'!$A:$A)-3),"")</f>
        <v>117.78364779874214</v>
      </c>
      <c r="AB55" s="152">
        <f>IFERROR('Price History'!G3+(INDEX('Price History'!G:G,MATCH(9.99E+307,'Returns (Calc)'!$A:$A)+1)-'Price History'!G3)*(ROW()-3)/(MATCH(9.99E+307,'Returns (Calc)'!$A:$A)-3),"")</f>
        <v>93.805597484276731</v>
      </c>
      <c r="AC55" s="152">
        <f>IFERROR('Price History'!H3+(INDEX('Price History'!H:H,MATCH(9.99E+307,'Returns (Calc)'!$A:$A)+1)-'Price History'!H3)*(ROW()-3)/(MATCH(9.99E+307,'Returns (Calc)'!$A:$A)-3),"")</f>
        <v>383.03628930817609</v>
      </c>
      <c r="AD55" s="152">
        <f>IFERROR('Price History'!I3+(INDEX('Price History'!I:I,MATCH(9.99E+307,'Returns (Calc)'!$A:$A)+1)-'Price History'!I3)*(ROW()-3)/(MATCH(9.99E+307,'Returns (Calc)'!$A:$A)-3),"")</f>
        <v>104.43993710691825</v>
      </c>
      <c r="AE55" s="152">
        <f>IFERROR('Price History'!J3+(INDEX('Price History'!J:J,MATCH(9.99E+307,'Returns (Calc)'!$A:$A)+1)-'Price History'!J3)*(ROW()-3)/(MATCH(9.99E+307,'Returns (Calc)'!$A:$A)-3),"")</f>
        <v>117.61232704402516</v>
      </c>
      <c r="AF55" s="152">
        <f>IFERROR('Price History'!K3+(INDEX('Price History'!K:K,MATCH(9.99E+307,'Returns (Calc)'!$A:$A)+1)-'Price History'!K3)*(ROW()-3)/(MATCH(9.99E+307,'Returns (Calc)'!$A:$A)-3),"")</f>
        <v>78.684968553459129</v>
      </c>
      <c r="AG55" s="152">
        <f>IFERROR('Price History'!L3+(INDEX('Price History'!L:L,MATCH(9.99E+307,'Returns (Calc)'!$A:$A)+1)-'Price History'!L3)*(ROW()-3)/(MATCH(9.99E+307,'Returns (Calc)'!$A:$A)-3),"")</f>
        <v>205.95830188679244</v>
      </c>
      <c r="AH55" s="152">
        <f>IFERROR('Price History'!M3+(INDEX('Price History'!M:M,MATCH(9.99E+307,'Returns (Calc)'!$A:$A)+1)-'Price History'!M3)*(ROW()-3)/(MATCH(9.99E+307,'Returns (Calc)'!$A:$A)-3),"")</f>
        <v>104.98553459119498</v>
      </c>
      <c r="AI55" s="152">
        <f>IFERROR('Price History'!N3+(INDEX('Price History'!N:N,MATCH(9.99E+307,'Returns (Calc)'!$A:$A)+1)-'Price History'!N3)*(ROW()-3)/(MATCH(9.99E+307,'Returns (Calc)'!$A:$A)-3),"")</f>
        <v>401.61295597484275</v>
      </c>
      <c r="AJ55" s="152">
        <f>IFERROR('Price History'!O3+(INDEX('Price History'!O:O,MATCH(9.99E+307,'Returns (Calc)'!$A:$A)+1)-'Price History'!O3)*(ROW()-3)/(MATCH(9.99E+307,'Returns (Calc)'!$A:$A)-3),"")</f>
        <v>89.807861635220121</v>
      </c>
      <c r="AK55" s="152">
        <f>IFERROR('Price History'!Q3+(INDEX('Price History'!Q:Q,MATCH(9.99E+307,'Returns (Calc)'!$A:$A)+1)-'Price History'!Q3)*(ROW()-3)/(MATCH(9.99E+307,'Returns (Calc)'!$A:$A)-3),"")</f>
        <v>22.883270440251572</v>
      </c>
      <c r="AL55" s="152">
        <f>IFERROR('Price History'!R3+(INDEX('Price History'!R:R,MATCH(9.99E+307,'Returns (Calc)'!$A:$A)+1)-'Price History'!R3)*(ROW()-3)/(MATCH(9.99E+307,'Returns (Calc)'!$A:$A)-3),"")</f>
        <v>43.182641509433964</v>
      </c>
      <c r="AM55" s="152">
        <f>IFERROR('Price History'!S3+(INDEX('Price History'!S:S,MATCH(9.99E+307,'Returns (Calc)'!$A:$A)+1)-'Price History'!S3)*(ROW()-3)/(MATCH(9.99E+307,'Returns (Calc)'!$A:$A)-3),"")</f>
        <v>88.218427672955983</v>
      </c>
      <c r="AN55" s="152">
        <f>IFERROR('Price History'!T3+(INDEX('Price History'!T:T,MATCH(9.99E+307,'Returns (Calc)'!$A:$A)+1)-'Price History'!T3)*(ROW()-3)/(MATCH(9.99E+307,'Returns (Calc)'!$A:$A)-3),"")</f>
        <v>34.266415094339621</v>
      </c>
      <c r="AO55" s="153">
        <f>IFERROR('Price History'!V3+(INDEX('Price History'!V:V,MATCH(9.99E+307,'Returns (Calc)'!$A:$A)+1)-'Price History'!V3)*(ROW()-3)/(MATCH(9.99E+307,'Returns (Calc)'!$A:$A)-3),"")</f>
        <v>284.62773584905659</v>
      </c>
      <c r="AP55" s="151">
        <f>IFERROR(IF(OR(NOT(ISNUMBER('Price History'!W56)),NOT(ISNUMBER('Price History'!W55)),'Price History'!W55=0),"",'Price History'!W56/'Price History'!W55-1),"")</f>
        <v>1.4542703429724302E-2</v>
      </c>
      <c r="AQ55" s="151" t="str">
        <f>IFERROR(IF(OR(NOT(ISNUMBER('Price History'!X56)),NOT(ISNUMBER('Price History'!X55)),'Price History'!X55=0),"",'Price History'!X56/'Price History'!X55-1),"")</f>
        <v/>
      </c>
      <c r="AR55" s="151">
        <f>IFERROR(IF(OR(NOT(ISNUMBER('Price History'!Y56)),NOT(ISNUMBER('Price History'!Y55)),'Price History'!Y55=0),"",'Price History'!Y56/'Price History'!Y55-1),"")</f>
        <v>5.4358767867928037E-3</v>
      </c>
      <c r="AS55" s="151">
        <f>IFERROR(IF(OR(NOT(ISNUMBER('Price History'!Z56)),NOT(ISNUMBER('Price History'!Z55)),'Price History'!Z55=0),"",'Price History'!Z56/'Price History'!Z55-1),"")</f>
        <v>5.1350431230140714E-2</v>
      </c>
      <c r="AT55" s="151">
        <f>IFERROR(IF(OR(NOT(ISNUMBER('Price History'!AA56)),NOT(ISNUMBER('Price History'!AA55)),'Price History'!AA55=0),"",'Price History'!AA56/'Price History'!AA55-1),"")</f>
        <v>5.5946062257925533E-3</v>
      </c>
      <c r="AU55" s="151">
        <f>IFERROR(IF(OR(NOT(ISNUMBER('Price History'!AB56)),NOT(ISNUMBER('Price History'!AB55)),'Price History'!AB55=0),"",'Price History'!AB56/'Price History'!AB55-1),"")</f>
        <v>-1.4085799495297091E-2</v>
      </c>
    </row>
    <row r="56" spans="1:47" ht="15" customHeight="1" x14ac:dyDescent="0.2">
      <c r="A56" s="149">
        <f>IF('Price History'!A57="","",'Price History'!A57)</f>
        <v>45562</v>
      </c>
      <c r="B56" s="150">
        <f>IFERROR(IF(OR(NOT(ISNUMBER('Price History'!B57)),NOT(ISNUMBER('Price History'!B56)),'Price History'!B56=0),"",'Price History'!B57/'Price History'!B56-1),"")</f>
        <v>-1.305762971472324E-2</v>
      </c>
      <c r="C56" s="150">
        <f>IFERROR(IF(OR(NOT(ISNUMBER('Price History'!C57)),NOT(ISNUMBER('Price History'!C56)),'Price History'!C56=0),"",'Price History'!C57/'Price History'!C56-1),"")</f>
        <v>-1.0820934346061906E-2</v>
      </c>
      <c r="D56" s="150">
        <f>IFERROR(IF(OR(NOT(ISNUMBER('Price History'!D57)),NOT(ISNUMBER('Price History'!D56)),'Price History'!D56=0),"",'Price History'!D57/'Price History'!D56-1),"")</f>
        <v>5.8171497244844383E-2</v>
      </c>
      <c r="E56" s="150">
        <f>IFERROR(IF(OR(NOT(ISNUMBER('Price History'!E57)),NOT(ISNUMBER('Price History'!E56)),'Price History'!E56=0),"",'Price History'!E57/'Price History'!E56-1),"")</f>
        <v>9.2752244485403423E-3</v>
      </c>
      <c r="F56" s="150">
        <f>IFERROR(IF(OR(NOT(ISNUMBER('Price History'!F57)),NOT(ISNUMBER('Price History'!F56)),'Price History'!F56=0),"",'Price History'!F57/'Price History'!F56-1),"")</f>
        <v>-4.6691568836712882E-2</v>
      </c>
      <c r="G56" s="150">
        <f>IFERROR(IF(OR(NOT(ISNUMBER('Price History'!G57)),NOT(ISNUMBER('Price History'!G56)),'Price History'!G56=0),"",'Price History'!G57/'Price History'!G56-1),"")</f>
        <v>3.1032637774210725E-2</v>
      </c>
      <c r="H56" s="150">
        <f>IFERROR(IF(OR(NOT(ISNUMBER('Price History'!H57)),NOT(ISNUMBER('Price History'!H56)),'Price History'!H56=0),"",'Price History'!H57/'Price History'!H56-1),"")</f>
        <v>0.1826635669212886</v>
      </c>
      <c r="I56" s="150">
        <f>IFERROR(IF(OR(NOT(ISNUMBER('Price History'!I57)),NOT(ISNUMBER('Price History'!I56)),'Price History'!I56=0),"",'Price History'!I57/'Price History'!I56-1),"")</f>
        <v>4.6590025066989282E-2</v>
      </c>
      <c r="J56" s="150">
        <f>IFERROR(IF(OR(NOT(ISNUMBER('Price History'!J57)),NOT(ISNUMBER('Price History'!J56)),'Price History'!J56=0),"",'Price History'!J57/'Price History'!J56-1),"")</f>
        <v>9.3728698023176626E-4</v>
      </c>
      <c r="K56" s="150">
        <f>IFERROR(IF(OR(NOT(ISNUMBER('Price History'!K57)),NOT(ISNUMBER('Price History'!K56)),'Price History'!K56=0),"",'Price History'!K57/'Price History'!K56-1),"")</f>
        <v>-9.6774193548386789E-3</v>
      </c>
      <c r="L56" s="150">
        <f>IFERROR(IF(OR(NOT(ISNUMBER('Price History'!L57)),NOT(ISNUMBER('Price History'!L56)),'Price History'!L56=0),"",'Price History'!L57/'Price History'!L56-1),"")</f>
        <v>2.2308552592854358E-2</v>
      </c>
      <c r="M56" s="150">
        <f>IFERROR(IF(OR(NOT(ISNUMBER('Price History'!M57)),NOT(ISNUMBER('Price History'!M56)),'Price History'!M56=0),"",'Price History'!M57/'Price History'!M56-1),"")</f>
        <v>4.0928851659421062E-2</v>
      </c>
      <c r="N56" s="150">
        <f>IFERROR(IF(OR(NOT(ISNUMBER('Price History'!N57)),NOT(ISNUMBER('Price History'!N56)),'Price History'!N56=0),"",'Price History'!N57/'Price History'!N56-1),"")</f>
        <v>-4.3878516734062734E-3</v>
      </c>
      <c r="O56" s="150">
        <f>IFERROR(IF(OR(NOT(ISNUMBER('Price History'!O57)),NOT(ISNUMBER('Price History'!O56)),'Price History'!O56=0),"",'Price History'!O57/'Price History'!O56-1),"")</f>
        <v>4.3177892918833116E-4</v>
      </c>
      <c r="P56" s="150">
        <f>IFERROR(IF(OR(NOT(ISNUMBER('Price History'!P57)),NOT(ISNUMBER('Price History'!P56)),'Price History'!P56=0),"",'Price History'!P57/'Price History'!P56-1),"")</f>
        <v>7.7065103957614234E-3</v>
      </c>
      <c r="Q56" s="150">
        <f>IFERROR(IF(OR(NOT(ISNUMBER('Price History'!Q57)),NOT(ISNUMBER('Price History'!Q56)),'Price History'!Q56=0),"",'Price History'!Q57/'Price History'!Q56-1),"")</f>
        <v>6.8653717347622045E-3</v>
      </c>
      <c r="R56" s="150">
        <f>IFERROR(IF(OR(NOT(ISNUMBER('Price History'!R57)),NOT(ISNUMBER('Price History'!R56)),'Price History'!R56=0),"",'Price History'!R57/'Price History'!R56-1),"")</f>
        <v>6.9832402234635271E-3</v>
      </c>
      <c r="S56" s="150">
        <f>IFERROR(IF(OR(NOT(ISNUMBER('Price History'!S57)),NOT(ISNUMBER('Price History'!S56)),'Price History'!S56=0),"",'Price History'!S57/'Price History'!S56-1),"")</f>
        <v>-1.3478602718185462E-3</v>
      </c>
      <c r="T56" s="150">
        <f>IFERROR(IF(OR(NOT(ISNUMBER('Price History'!T57)),NOT(ISNUMBER('Price History'!T56)),'Price History'!T56=0),"",'Price History'!T57/'Price History'!T56-1),"")</f>
        <v>2.1705426356588564E-3</v>
      </c>
      <c r="U56" s="150">
        <f>IFERROR(IF(OR(NOT(ISNUMBER('Price History'!U57)),NOT(ISNUMBER('Price History'!U56)),'Price History'!U56=0),"",'Price History'!U57/'Price History'!U56-1),"")</f>
        <v>6.16095494801705E-3</v>
      </c>
      <c r="V56" s="151">
        <f>IFERROR(IF(OR(NOT(ISNUMBER('Price History'!V57)),NOT(ISNUMBER('Price History'!V56)),'Price History'!V56=0),"",'Price History'!V57/'Price History'!V56-1),"")</f>
        <v>-3.3720681542739106E-2</v>
      </c>
      <c r="W56" s="152">
        <f>IFERROR('Price History'!B3+(INDEX('Price History'!B:B,MATCH(9.99E+307,'Returns (Calc)'!$A:$A)+1)-'Price History'!B3)*(ROW()-3)/(MATCH(9.99E+307,'Returns (Calc)'!$A:$A)-3),"")</f>
        <v>433.34999999999997</v>
      </c>
      <c r="X56" s="152">
        <f>IFERROR('Price History'!C3+(INDEX('Price History'!C:C,MATCH(9.99E+307,'Returns (Calc)'!$A:$A)+1)-'Price History'!C3)*(ROW()-3)/(MATCH(9.99E+307,'Returns (Calc)'!$A:$A)-3),"")</f>
        <v>103.03333333333333</v>
      </c>
      <c r="Y56" s="152">
        <f>IFERROR('Price History'!D3+(INDEX('Price History'!D:D,MATCH(9.99E+307,'Returns (Calc)'!$A:$A)+1)-'Price History'!D3)*(ROW()-3)/(MATCH(9.99E+307,'Returns (Calc)'!$A:$A)-3),"")</f>
        <v>981.45333333333338</v>
      </c>
      <c r="Z56" s="152">
        <f>IFERROR('Price History'!E3+(INDEX('Price History'!E:E,MATCH(9.99E+307,'Returns (Calc)'!$A:$A)+1)-'Price History'!E3)*(ROW()-3)/(MATCH(9.99E+307,'Returns (Calc)'!$A:$A)-3),"")</f>
        <v>175.18</v>
      </c>
      <c r="AA56" s="152">
        <f>IFERROR('Price History'!F3+(INDEX('Price History'!F:F,MATCH(9.99E+307,'Returns (Calc)'!$A:$A)+1)-'Price History'!F3)*(ROW()-3)/(MATCH(9.99E+307,'Returns (Calc)'!$A:$A)-3),"")</f>
        <v>119.25333333333334</v>
      </c>
      <c r="AB56" s="152">
        <f>IFERROR('Price History'!G3+(INDEX('Price History'!G:G,MATCH(9.99E+307,'Returns (Calc)'!$A:$A)+1)-'Price History'!G3)*(ROW()-3)/(MATCH(9.99E+307,'Returns (Calc)'!$A:$A)-3),"")</f>
        <v>94.756666666666661</v>
      </c>
      <c r="AC56" s="152">
        <f>IFERROR('Price History'!H3+(INDEX('Price History'!H:H,MATCH(9.99E+307,'Returns (Calc)'!$A:$A)+1)-'Price History'!H3)*(ROW()-3)/(MATCH(9.99E+307,'Returns (Calc)'!$A:$A)-3),"")</f>
        <v>389.07333333333332</v>
      </c>
      <c r="AD56" s="152">
        <f>IFERROR('Price History'!I3+(INDEX('Price History'!I:I,MATCH(9.99E+307,'Returns (Calc)'!$A:$A)+1)-'Price History'!I3)*(ROW()-3)/(MATCH(9.99E+307,'Returns (Calc)'!$A:$A)-3),"")</f>
        <v>105.60666666666665</v>
      </c>
      <c r="AE56" s="152">
        <f>IFERROR('Price History'!J3+(INDEX('Price History'!J:J,MATCH(9.99E+307,'Returns (Calc)'!$A:$A)+1)-'Price History'!J3)*(ROW()-3)/(MATCH(9.99E+307,'Returns (Calc)'!$A:$A)-3),"")</f>
        <v>117.72333333333334</v>
      </c>
      <c r="AF56" s="152">
        <f>IFERROR('Price History'!K3+(INDEX('Price History'!K:K,MATCH(9.99E+307,'Returns (Calc)'!$A:$A)+1)-'Price History'!K3)*(ROW()-3)/(MATCH(9.99E+307,'Returns (Calc)'!$A:$A)-3),"")</f>
        <v>79.903333333333336</v>
      </c>
      <c r="AG56" s="152">
        <f>IFERROR('Price History'!L3+(INDEX('Price History'!L:L,MATCH(9.99E+307,'Returns (Calc)'!$A:$A)+1)-'Price History'!L3)*(ROW()-3)/(MATCH(9.99E+307,'Returns (Calc)'!$A:$A)-3),"")</f>
        <v>208.26999999999998</v>
      </c>
      <c r="AH56" s="152">
        <f>IFERROR('Price History'!M3+(INDEX('Price History'!M:M,MATCH(9.99E+307,'Returns (Calc)'!$A:$A)+1)-'Price History'!M3)*(ROW()-3)/(MATCH(9.99E+307,'Returns (Calc)'!$A:$A)-3),"")</f>
        <v>106.27333333333334</v>
      </c>
      <c r="AI56" s="152">
        <f>IFERROR('Price History'!N3+(INDEX('Price History'!N:N,MATCH(9.99E+307,'Returns (Calc)'!$A:$A)+1)-'Price History'!N3)*(ROW()-3)/(MATCH(9.99E+307,'Returns (Calc)'!$A:$A)-3),"")</f>
        <v>402.62666666666667</v>
      </c>
      <c r="AJ56" s="152">
        <f>IFERROR('Price History'!O3+(INDEX('Price History'!O:O,MATCH(9.99E+307,'Returns (Calc)'!$A:$A)+1)-'Price History'!O3)*(ROW()-3)/(MATCH(9.99E+307,'Returns (Calc)'!$A:$A)-3),"")</f>
        <v>90.086666666666673</v>
      </c>
      <c r="AK56" s="152">
        <f>IFERROR('Price History'!Q3+(INDEX('Price History'!Q:Q,MATCH(9.99E+307,'Returns (Calc)'!$A:$A)+1)-'Price History'!Q3)*(ROW()-3)/(MATCH(9.99E+307,'Returns (Calc)'!$A:$A)-3),"")</f>
        <v>23.323333333333334</v>
      </c>
      <c r="AL56" s="152">
        <f>IFERROR('Price History'!R3+(INDEX('Price History'!R:R,MATCH(9.99E+307,'Returns (Calc)'!$A:$A)+1)-'Price History'!R3)*(ROW()-3)/(MATCH(9.99E+307,'Returns (Calc)'!$A:$A)-3),"")</f>
        <v>43.35</v>
      </c>
      <c r="AM56" s="152">
        <f>IFERROR('Price History'!S3+(INDEX('Price History'!S:S,MATCH(9.99E+307,'Returns (Calc)'!$A:$A)+1)-'Price History'!S3)*(ROW()-3)/(MATCH(9.99E+307,'Returns (Calc)'!$A:$A)-3),"")</f>
        <v>88.806666666666672</v>
      </c>
      <c r="AN56" s="152">
        <f>IFERROR('Price History'!T3+(INDEX('Price History'!T:T,MATCH(9.99E+307,'Returns (Calc)'!$A:$A)+1)-'Price History'!T3)*(ROW()-3)/(MATCH(9.99E+307,'Returns (Calc)'!$A:$A)-3),"")</f>
        <v>34.44</v>
      </c>
      <c r="AO56" s="153">
        <f>IFERROR('Price History'!V3+(INDEX('Price History'!V:V,MATCH(9.99E+307,'Returns (Calc)'!$A:$A)+1)-'Price History'!V3)*(ROW()-3)/(MATCH(9.99E+307,'Returns (Calc)'!$A:$A)-3),"")</f>
        <v>285.57</v>
      </c>
      <c r="AP56" s="151">
        <f>IFERROR(IF(OR(NOT(ISNUMBER('Price History'!W57)),NOT(ISNUMBER('Price History'!W56)),'Price History'!W56=0),"",'Price History'!W57/'Price History'!W56-1),"")</f>
        <v>5.9656972408650422E-3</v>
      </c>
      <c r="AQ56" s="151" t="str">
        <f>IFERROR(IF(OR(NOT(ISNUMBER('Price History'!X57)),NOT(ISNUMBER('Price History'!X56)),'Price History'!X56=0),"",'Price History'!X57/'Price History'!X56-1),"")</f>
        <v/>
      </c>
      <c r="AR56" s="151">
        <f>IFERROR(IF(OR(NOT(ISNUMBER('Price History'!Y57)),NOT(ISNUMBER('Price History'!Y56)),'Price History'!Y56=0),"",'Price History'!Y57/'Price History'!Y56-1),"")</f>
        <v>4.405286343612369E-3</v>
      </c>
      <c r="AS56" s="151">
        <f>IFERROR(IF(OR(NOT(ISNUMBER('Price History'!Z57)),NOT(ISNUMBER('Price History'!Z56)),'Price History'!Z56=0),"",'Price History'!Z57/'Price History'!Z56-1),"")</f>
        <v>-9.4986237789410621E-3</v>
      </c>
      <c r="AT56" s="151">
        <f>IFERROR(IF(OR(NOT(ISNUMBER('Price History'!AA57)),NOT(ISNUMBER('Price History'!AA56)),'Price History'!AA56=0),"",'Price History'!AA57/'Price History'!AA56-1),"")</f>
        <v>9.1298145506419903E-3</v>
      </c>
      <c r="AU56" s="151">
        <f>IFERROR(IF(OR(NOT(ISNUMBER('Price History'!AB57)),NOT(ISNUMBER('Price History'!AB56)),'Price History'!AB56=0),"",'Price History'!AB57/'Price History'!AB56-1),"")</f>
        <v>-1.8754653760238327E-2</v>
      </c>
    </row>
    <row r="57" spans="1:47" ht="15" customHeight="1" x14ac:dyDescent="0.2">
      <c r="A57" s="149">
        <f>IF('Price History'!A58="","",'Price History'!A58)</f>
        <v>45569</v>
      </c>
      <c r="B57" s="150">
        <f>IFERROR(IF(OR(NOT(ISNUMBER('Price History'!B58)),NOT(ISNUMBER('Price History'!B57)),'Price History'!B57=0),"",'Price History'!B58/'Price History'!B57-1),"")</f>
        <v>-1.6023900054318307E-2</v>
      </c>
      <c r="C57" s="150">
        <f>IFERROR(IF(OR(NOT(ISNUMBER('Price History'!C58)),NOT(ISNUMBER('Price History'!C57)),'Price History'!C57=0),"",'Price History'!C58/'Price History'!C57-1),"")</f>
        <v>4.1232775849374237E-2</v>
      </c>
      <c r="D57" s="150">
        <f>IFERROR(IF(OR(NOT(ISNUMBER('Price History'!D58)),NOT(ISNUMBER('Price History'!D57)),'Price History'!D57=0),"",'Price History'!D58/'Price History'!D57-1),"")</f>
        <v>-1.0148972416542779E-2</v>
      </c>
      <c r="E57" s="150">
        <f>IFERROR(IF(OR(NOT(ISNUMBER('Price History'!E58)),NOT(ISNUMBER('Price History'!E57)),'Price History'!E57=0),"",'Price History'!E58/'Price History'!E57-1),"")</f>
        <v>2.2857142857142909E-2</v>
      </c>
      <c r="F57" s="150">
        <f>IFERROR(IF(OR(NOT(ISNUMBER('Price History'!F58)),NOT(ISNUMBER('Price History'!F57)),'Price History'!F57=0),"",'Price History'!F58/'Price History'!F57-1),"")</f>
        <v>2.2390148334732851E-2</v>
      </c>
      <c r="G57" s="150">
        <f>IFERROR(IF(OR(NOT(ISNUMBER('Price History'!G58)),NOT(ISNUMBER('Price History'!G57)),'Price History'!G57=0),"",'Price History'!G58/'Price History'!G57-1),"")</f>
        <v>6.3570316554228956E-3</v>
      </c>
      <c r="H57" s="150">
        <f>IFERROR(IF(OR(NOT(ISNUMBER('Price History'!H58)),NOT(ISNUMBER('Price History'!H57)),'Price History'!H57=0),"",'Price History'!H58/'Price History'!H57-1),"")</f>
        <v>-4.8862679022746436E-2</v>
      </c>
      <c r="I57" s="150">
        <f>IFERROR(IF(OR(NOT(ISNUMBER('Price History'!I58)),NOT(ISNUMBER('Price History'!I57)),'Price History'!I57=0),"",'Price History'!I58/'Price History'!I57-1),"")</f>
        <v>2.8989098116947609E-2</v>
      </c>
      <c r="J57" s="150">
        <f>IFERROR(IF(OR(NOT(ISNUMBER('Price History'!J58)),NOT(ISNUMBER('Price History'!J57)),'Price History'!J57=0),"",'Price History'!J58/'Price History'!J57-1),"")</f>
        <v>-2.5197922873925194E-2</v>
      </c>
      <c r="K57" s="150">
        <f>IFERROR(IF(OR(NOT(ISNUMBER('Price History'!K58)),NOT(ISNUMBER('Price History'!K57)),'Price History'!K57=0),"",'Price History'!K58/'Price History'!K57-1),"")</f>
        <v>8.6047774158523271E-2</v>
      </c>
      <c r="L57" s="150">
        <f>IFERROR(IF(OR(NOT(ISNUMBER('Price History'!L58)),NOT(ISNUMBER('Price History'!L57)),'Price History'!L57=0),"",'Price History'!L58/'Price History'!L57-1),"")</f>
        <v>1.7964071856287456E-2</v>
      </c>
      <c r="M57" s="150">
        <f>IFERROR(IF(OR(NOT(ISNUMBER('Price History'!M58)),NOT(ISNUMBER('Price History'!M57)),'Price History'!M57=0),"",'Price History'!M58/'Price History'!M57-1),"")</f>
        <v>6.9063868799022154E-2</v>
      </c>
      <c r="N57" s="150">
        <f>IFERROR(IF(OR(NOT(ISNUMBER('Price History'!N58)),NOT(ISNUMBER('Price History'!N57)),'Price History'!N57=0),"",'Price History'!N58/'Price History'!N57-1),"")</f>
        <v>-1.6354130660214294E-2</v>
      </c>
      <c r="O57" s="150">
        <f>IFERROR(IF(OR(NOT(ISNUMBER('Price History'!O58)),NOT(ISNUMBER('Price History'!O57)),'Price History'!O57=0),"",'Price History'!O58/'Price History'!O57-1),"")</f>
        <v>2.8053517479498247E-3</v>
      </c>
      <c r="P57" s="150">
        <f>IFERROR(IF(OR(NOT(ISNUMBER('Price History'!P58)),NOT(ISNUMBER('Price History'!P57)),'Price History'!P57=0),"",'Price History'!P58/'Price History'!P57-1),"")</f>
        <v>-3.9831116067872152E-3</v>
      </c>
      <c r="Q57" s="150">
        <f>IFERROR(IF(OR(NOT(ISNUMBER('Price History'!Q58)),NOT(ISNUMBER('Price History'!Q57)),'Price History'!Q57=0),"",'Price History'!Q58/'Price History'!Q57-1),"")</f>
        <v>1.3304506901712365E-3</v>
      </c>
      <c r="R57" s="150">
        <f>IFERROR(IF(OR(NOT(ISNUMBER('Price History'!R58)),NOT(ISNUMBER('Price History'!R57)),'Price History'!R57=0),"",'Price History'!R58/'Price History'!R57-1),"")</f>
        <v>2.3116042533517511E-3</v>
      </c>
      <c r="S57" s="150">
        <f>IFERROR(IF(OR(NOT(ISNUMBER('Price History'!S58)),NOT(ISNUMBER('Price History'!S57)),'Price History'!S57=0),"",'Price History'!S58/'Price History'!S57-1),"")</f>
        <v>1.4958947250027999E-2</v>
      </c>
      <c r="T57" s="150">
        <f>IFERROR(IF(OR(NOT(ISNUMBER('Price History'!T58)),NOT(ISNUMBER('Price History'!T57)),'Price History'!T57=0),"",'Price History'!T58/'Price History'!T57-1),"")</f>
        <v>1.8564356435643692E-2</v>
      </c>
      <c r="U57" s="150">
        <f>IFERROR(IF(OR(NOT(ISNUMBER('Price History'!U58)),NOT(ISNUMBER('Price History'!U57)),'Price History'!U57=0),"",'Price History'!U58/'Price History'!U57-1),"")</f>
        <v>4.9751243781095411E-3</v>
      </c>
      <c r="V57" s="151">
        <f>IFERROR(IF(OR(NOT(ISNUMBER('Price History'!V58)),NOT(ISNUMBER('Price History'!V57)),'Price History'!V57=0),"",'Price History'!V58/'Price History'!V57-1),"")</f>
        <v>1.0033938320791025E-2</v>
      </c>
      <c r="W57" s="152">
        <f>IFERROR('Price History'!B3+(INDEX('Price History'!B:B,MATCH(9.99E+307,'Returns (Calc)'!$A:$A)+1)-'Price History'!B3)*(ROW()-3)/(MATCH(9.99E+307,'Returns (Calc)'!$A:$A)-3),"")</f>
        <v>431.54735849056601</v>
      </c>
      <c r="X57" s="152">
        <f>IFERROR('Price History'!C3+(INDEX('Price History'!C:C,MATCH(9.99E+307,'Returns (Calc)'!$A:$A)+1)-'Price History'!C3)*(ROW()-3)/(MATCH(9.99E+307,'Returns (Calc)'!$A:$A)-3),"")</f>
        <v>104.10603773584906</v>
      </c>
      <c r="Y57" s="152">
        <f>IFERROR('Price History'!D3+(INDEX('Price History'!D:D,MATCH(9.99E+307,'Returns (Calc)'!$A:$A)+1)-'Price History'!D3)*(ROW()-3)/(MATCH(9.99E+307,'Returns (Calc)'!$A:$A)-3),"")</f>
        <v>988.99</v>
      </c>
      <c r="Z57" s="152">
        <f>IFERROR('Price History'!E3+(INDEX('Price History'!E:E,MATCH(9.99E+307,'Returns (Calc)'!$A:$A)+1)-'Price History'!E3)*(ROW()-3)/(MATCH(9.99E+307,'Returns (Calc)'!$A:$A)-3),"")</f>
        <v>176.93811320754719</v>
      </c>
      <c r="AA57" s="152">
        <f>IFERROR('Price History'!F3+(INDEX('Price History'!F:F,MATCH(9.99E+307,'Returns (Calc)'!$A:$A)+1)-'Price History'!F3)*(ROW()-3)/(MATCH(9.99E+307,'Returns (Calc)'!$A:$A)-3),"")</f>
        <v>120.72301886792454</v>
      </c>
      <c r="AB57" s="152">
        <f>IFERROR('Price History'!G3+(INDEX('Price History'!G:G,MATCH(9.99E+307,'Returns (Calc)'!$A:$A)+1)-'Price History'!G3)*(ROW()-3)/(MATCH(9.99E+307,'Returns (Calc)'!$A:$A)-3),"")</f>
        <v>95.707735849056604</v>
      </c>
      <c r="AC57" s="152">
        <f>IFERROR('Price History'!H3+(INDEX('Price History'!H:H,MATCH(9.99E+307,'Returns (Calc)'!$A:$A)+1)-'Price History'!H3)*(ROW()-3)/(MATCH(9.99E+307,'Returns (Calc)'!$A:$A)-3),"")</f>
        <v>395.11037735849055</v>
      </c>
      <c r="AD57" s="152">
        <f>IFERROR('Price History'!I3+(INDEX('Price History'!I:I,MATCH(9.99E+307,'Returns (Calc)'!$A:$A)+1)-'Price History'!I3)*(ROW()-3)/(MATCH(9.99E+307,'Returns (Calc)'!$A:$A)-3),"")</f>
        <v>106.77339622641509</v>
      </c>
      <c r="AE57" s="152">
        <f>IFERROR('Price History'!J3+(INDEX('Price History'!J:J,MATCH(9.99E+307,'Returns (Calc)'!$A:$A)+1)-'Price History'!J3)*(ROW()-3)/(MATCH(9.99E+307,'Returns (Calc)'!$A:$A)-3),"")</f>
        <v>117.83433962264152</v>
      </c>
      <c r="AF57" s="152">
        <f>IFERROR('Price History'!K3+(INDEX('Price History'!K:K,MATCH(9.99E+307,'Returns (Calc)'!$A:$A)+1)-'Price History'!K3)*(ROW()-3)/(MATCH(9.99E+307,'Returns (Calc)'!$A:$A)-3),"")</f>
        <v>81.121698113207543</v>
      </c>
      <c r="AG57" s="152">
        <f>IFERROR('Price History'!L3+(INDEX('Price History'!L:L,MATCH(9.99E+307,'Returns (Calc)'!$A:$A)+1)-'Price History'!L3)*(ROW()-3)/(MATCH(9.99E+307,'Returns (Calc)'!$A:$A)-3),"")</f>
        <v>210.58169811320755</v>
      </c>
      <c r="AH57" s="152">
        <f>IFERROR('Price History'!M3+(INDEX('Price History'!M:M,MATCH(9.99E+307,'Returns (Calc)'!$A:$A)+1)-'Price History'!M3)*(ROW()-3)/(MATCH(9.99E+307,'Returns (Calc)'!$A:$A)-3),"")</f>
        <v>107.5611320754717</v>
      </c>
      <c r="AI57" s="152">
        <f>IFERROR('Price History'!N3+(INDEX('Price History'!N:N,MATCH(9.99E+307,'Returns (Calc)'!$A:$A)+1)-'Price History'!N3)*(ROW()-3)/(MATCH(9.99E+307,'Returns (Calc)'!$A:$A)-3),"")</f>
        <v>403.64037735849058</v>
      </c>
      <c r="AJ57" s="152">
        <f>IFERROR('Price History'!O3+(INDEX('Price History'!O:O,MATCH(9.99E+307,'Returns (Calc)'!$A:$A)+1)-'Price History'!O3)*(ROW()-3)/(MATCH(9.99E+307,'Returns (Calc)'!$A:$A)-3),"")</f>
        <v>90.365471698113211</v>
      </c>
      <c r="AK57" s="152">
        <f>IFERROR('Price History'!Q3+(INDEX('Price History'!Q:Q,MATCH(9.99E+307,'Returns (Calc)'!$A:$A)+1)-'Price History'!Q3)*(ROW()-3)/(MATCH(9.99E+307,'Returns (Calc)'!$A:$A)-3),"")</f>
        <v>23.763396226415097</v>
      </c>
      <c r="AL57" s="152">
        <f>IFERROR('Price History'!R3+(INDEX('Price History'!R:R,MATCH(9.99E+307,'Returns (Calc)'!$A:$A)+1)-'Price History'!R3)*(ROW()-3)/(MATCH(9.99E+307,'Returns (Calc)'!$A:$A)-3),"")</f>
        <v>43.517358490566039</v>
      </c>
      <c r="AM57" s="152">
        <f>IFERROR('Price History'!S3+(INDEX('Price History'!S:S,MATCH(9.99E+307,'Returns (Calc)'!$A:$A)+1)-'Price History'!S3)*(ROW()-3)/(MATCH(9.99E+307,'Returns (Calc)'!$A:$A)-3),"")</f>
        <v>89.394905660377361</v>
      </c>
      <c r="AN57" s="152">
        <f>IFERROR('Price History'!T3+(INDEX('Price History'!T:T,MATCH(9.99E+307,'Returns (Calc)'!$A:$A)+1)-'Price History'!T3)*(ROW()-3)/(MATCH(9.99E+307,'Returns (Calc)'!$A:$A)-3),"")</f>
        <v>34.613584905660375</v>
      </c>
      <c r="AO57" s="153">
        <f>IFERROR('Price History'!V3+(INDEX('Price History'!V:V,MATCH(9.99E+307,'Returns (Calc)'!$A:$A)+1)-'Price History'!V3)*(ROW()-3)/(MATCH(9.99E+307,'Returns (Calc)'!$A:$A)-3),"")</f>
        <v>286.51226415094339</v>
      </c>
      <c r="AP57" s="151">
        <f>IFERROR(IF(OR(NOT(ISNUMBER('Price History'!W58)),NOT(ISNUMBER('Price History'!W57)),'Price History'!W57=0),"",'Price History'!W58/'Price History'!W57-1),"")</f>
        <v>7.165801828515006E-3</v>
      </c>
      <c r="AQ57" s="151" t="str">
        <f>IFERROR(IF(OR(NOT(ISNUMBER('Price History'!X58)),NOT(ISNUMBER('Price History'!X57)),'Price History'!X57=0),"",'Price History'!X58/'Price History'!X57-1),"")</f>
        <v/>
      </c>
      <c r="AR57" s="151">
        <f>IFERROR(IF(OR(NOT(ISNUMBER('Price History'!Y58)),NOT(ISNUMBER('Price History'!Y57)),'Price History'!Y57=0),"",'Price History'!Y58/'Price History'!Y57-1),"")</f>
        <v>2.1929824561404132E-3</v>
      </c>
      <c r="AS57" s="151">
        <f>IFERROR(IF(OR(NOT(ISNUMBER('Price History'!Z58)),NOT(ISNUMBER('Price History'!Z57)),'Price History'!Z57=0),"",'Price History'!Z58/'Price History'!Z57-1),"")</f>
        <v>9.2083038195389655E-3</v>
      </c>
      <c r="AT57" s="151">
        <f>IFERROR(IF(OR(NOT(ISNUMBER('Price History'!AA58)),NOT(ISNUMBER('Price History'!AA57)),'Price History'!AA57=0),"",'Price History'!AA58/'Price History'!AA57-1),"")</f>
        <v>1.7387616624257918E-2</v>
      </c>
      <c r="AU57" s="151">
        <f>IFERROR(IF(OR(NOT(ISNUMBER('Price History'!AB58)),NOT(ISNUMBER('Price History'!AB57)),'Price History'!AB57=0),"",'Price History'!AB58/'Price History'!AB57-1),"")</f>
        <v>-2.9309935973440893E-2</v>
      </c>
    </row>
    <row r="58" spans="1:47" ht="15" customHeight="1" x14ac:dyDescent="0.2">
      <c r="A58" s="149">
        <f>IF('Price History'!A59="","",'Price History'!A59)</f>
        <v>45576</v>
      </c>
      <c r="B58" s="150">
        <f>IFERROR(IF(OR(NOT(ISNUMBER('Price History'!B59)),NOT(ISNUMBER('Price History'!B58)),'Price History'!B58=0),"",'Price History'!B59/'Price History'!B58-1),"")</f>
        <v>-2.3264066874334577E-2</v>
      </c>
      <c r="C58" s="150">
        <f>IFERROR(IF(OR(NOT(ISNUMBER('Price History'!C59)),NOT(ISNUMBER('Price History'!C58)),'Price History'!C58=0),"",'Price History'!C59/'Price History'!C58-1),"")</f>
        <v>5.2934639862612487E-2</v>
      </c>
      <c r="D58" s="150">
        <f>IFERROR(IF(OR(NOT(ISNUMBER('Price History'!D59)),NOT(ISNUMBER('Price History'!D58)),'Price History'!D58=0),"",'Price History'!D59/'Price History'!D58-1),"")</f>
        <v>9.2277271229266322E-3</v>
      </c>
      <c r="E58" s="150">
        <f>IFERROR(IF(OR(NOT(ISNUMBER('Price History'!E59)),NOT(ISNUMBER('Price History'!E58)),'Price History'!E58=0),"",'Price History'!E59/'Price History'!E58-1),"")</f>
        <v>2.7414617289638787E-2</v>
      </c>
      <c r="F58" s="150">
        <f>IFERROR(IF(OR(NOT(ISNUMBER('Price History'!F59)),NOT(ISNUMBER('Price History'!F58)),'Price History'!F58=0),"",'Price History'!F59/'Price History'!F58-1),"")</f>
        <v>9.5674787845606346E-2</v>
      </c>
      <c r="G58" s="150">
        <f>IFERROR(IF(OR(NOT(ISNUMBER('Price History'!G59)),NOT(ISNUMBER('Price History'!G58)),'Price History'!G58=0),"",'Price History'!G59/'Price History'!G58-1),"")</f>
        <v>2.0755446693309532E-2</v>
      </c>
      <c r="H58" s="150">
        <f>IFERROR(IF(OR(NOT(ISNUMBER('Price History'!H59)),NOT(ISNUMBER('Price History'!H58)),'Price History'!H58=0),"",'Price History'!H59/'Price History'!H58-1),"")</f>
        <v>4.6845782895384325E-2</v>
      </c>
      <c r="I58" s="150">
        <f>IFERROR(IF(OR(NOT(ISNUMBER('Price History'!I59)),NOT(ISNUMBER('Price History'!I58)),'Price History'!I58=0),"",'Price History'!I59/'Price History'!I58-1),"")</f>
        <v>7.9059314551729543E-2</v>
      </c>
      <c r="J58" s="150">
        <f>IFERROR(IF(OR(NOT(ISNUMBER('Price History'!J59)),NOT(ISNUMBER('Price History'!J58)),'Price History'!J58=0),"",'Price History'!J59/'Price History'!J58-1),"")</f>
        <v>-1.7815037987948701E-2</v>
      </c>
      <c r="K58" s="150">
        <f>IFERROR(IF(OR(NOT(ISNUMBER('Price History'!K59)),NOT(ISNUMBER('Price History'!K58)),'Price History'!K58=0),"",'Price History'!K59/'Price History'!K58-1),"")</f>
        <v>8.7478130467383064E-2</v>
      </c>
      <c r="L58" s="150">
        <f>IFERROR(IF(OR(NOT(ISNUMBER('Price History'!L59)),NOT(ISNUMBER('Price History'!L58)),'Price History'!L58=0),"",'Price History'!L59/'Price History'!L58-1),"")</f>
        <v>5.3223981900452522E-2</v>
      </c>
      <c r="M58" s="150">
        <f>IFERROR(IF(OR(NOT(ISNUMBER('Price History'!M59)),NOT(ISNUMBER('Price History'!M58)),'Price History'!M58=0),"",'Price History'!M59/'Price History'!M58-1),"")</f>
        <v>6.3077656026679252E-2</v>
      </c>
      <c r="N58" s="150">
        <f>IFERROR(IF(OR(NOT(ISNUMBER('Price History'!N59)),NOT(ISNUMBER('Price History'!N58)),'Price History'!N58=0),"",'Price History'!N59/'Price History'!N58-1),"")</f>
        <v>5.7982473479607277E-2</v>
      </c>
      <c r="O58" s="150">
        <f>IFERROR(IF(OR(NOT(ISNUMBER('Price History'!O59)),NOT(ISNUMBER('Price History'!O58)),'Price History'!O58=0),"",'Price History'!O59/'Price History'!O58-1),"")</f>
        <v>1.1943189154293155E-2</v>
      </c>
      <c r="P58" s="150">
        <f>IFERROR(IF(OR(NOT(ISNUMBER('Price History'!P59)),NOT(ISNUMBER('Price History'!P58)),'Price History'!P58=0),"",'Price History'!P59/'Price History'!P58-1),"")</f>
        <v>5.5986563224830199E-4</v>
      </c>
      <c r="Q58" s="150">
        <f>IFERROR(IF(OR(NOT(ISNUMBER('Price History'!Q59)),NOT(ISNUMBER('Price History'!Q58)),'Price History'!Q58=0),"",'Price History'!Q59/'Price History'!Q58-1),"")</f>
        <v>8.1381830260753851E-3</v>
      </c>
      <c r="R58" s="150">
        <f>IFERROR(IF(OR(NOT(ISNUMBER('Price History'!R59)),NOT(ISNUMBER('Price History'!R58)),'Price History'!R58=0),"",'Price History'!R59/'Price History'!R58-1),"")</f>
        <v>8.9944649446493941E-3</v>
      </c>
      <c r="S58" s="150">
        <f>IFERROR(IF(OR(NOT(ISNUMBER('Price History'!S59)),NOT(ISNUMBER('Price History'!S58)),'Price History'!S58=0),"",'Price History'!S59/'Price History'!S58-1),"")</f>
        <v>2.1609042553191626E-2</v>
      </c>
      <c r="T58" s="150">
        <f>IFERROR(IF(OR(NOT(ISNUMBER('Price History'!T59)),NOT(ISNUMBER('Price History'!T58)),'Price History'!T58=0),"",'Price History'!T59/'Price History'!T58-1),"")</f>
        <v>4.2527339003646247E-3</v>
      </c>
      <c r="U58" s="150">
        <f>IFERROR(IF(OR(NOT(ISNUMBER('Price History'!U59)),NOT(ISNUMBER('Price History'!U58)),'Price History'!U58=0),"",'Price History'!U59/'Price History'!U58-1),"")</f>
        <v>1.1424219345011366E-2</v>
      </c>
      <c r="V58" s="151">
        <f>IFERROR(IF(OR(NOT(ISNUMBER('Price History'!V59)),NOT(ISNUMBER('Price History'!V58)),'Price History'!V58=0),"",'Price History'!V59/'Price History'!V58-1),"")</f>
        <v>-3.2870708546395289E-4</v>
      </c>
      <c r="W58" s="152">
        <f>IFERROR('Price History'!B3+(INDEX('Price History'!B:B,MATCH(9.99E+307,'Returns (Calc)'!$A:$A)+1)-'Price History'!B3)*(ROW()-3)/(MATCH(9.99E+307,'Returns (Calc)'!$A:$A)-3),"")</f>
        <v>429.74471698113206</v>
      </c>
      <c r="X58" s="152">
        <f>IFERROR('Price History'!C3+(INDEX('Price History'!C:C,MATCH(9.99E+307,'Returns (Calc)'!$A:$A)+1)-'Price History'!C3)*(ROW()-3)/(MATCH(9.99E+307,'Returns (Calc)'!$A:$A)-3),"")</f>
        <v>105.17874213836478</v>
      </c>
      <c r="Y58" s="152">
        <f>IFERROR('Price History'!D3+(INDEX('Price History'!D:D,MATCH(9.99E+307,'Returns (Calc)'!$A:$A)+1)-'Price History'!D3)*(ROW()-3)/(MATCH(9.99E+307,'Returns (Calc)'!$A:$A)-3),"")</f>
        <v>996.52666666666664</v>
      </c>
      <c r="Z58" s="152">
        <f>IFERROR('Price History'!E3+(INDEX('Price History'!E:E,MATCH(9.99E+307,'Returns (Calc)'!$A:$A)+1)-'Price History'!E3)*(ROW()-3)/(MATCH(9.99E+307,'Returns (Calc)'!$A:$A)-3),"")</f>
        <v>178.69622641509434</v>
      </c>
      <c r="AA58" s="152">
        <f>IFERROR('Price History'!F3+(INDEX('Price History'!F:F,MATCH(9.99E+307,'Returns (Calc)'!$A:$A)+1)-'Price History'!F3)*(ROW()-3)/(MATCH(9.99E+307,'Returns (Calc)'!$A:$A)-3),"")</f>
        <v>122.19270440251572</v>
      </c>
      <c r="AB58" s="152">
        <f>IFERROR('Price History'!G3+(INDEX('Price History'!G:G,MATCH(9.99E+307,'Returns (Calc)'!$A:$A)+1)-'Price History'!G3)*(ROW()-3)/(MATCH(9.99E+307,'Returns (Calc)'!$A:$A)-3),"")</f>
        <v>96.658805031446548</v>
      </c>
      <c r="AC58" s="152">
        <f>IFERROR('Price History'!H3+(INDEX('Price History'!H:H,MATCH(9.99E+307,'Returns (Calc)'!$A:$A)+1)-'Price History'!H3)*(ROW()-3)/(MATCH(9.99E+307,'Returns (Calc)'!$A:$A)-3),"")</f>
        <v>401.14742138364778</v>
      </c>
      <c r="AD58" s="152">
        <f>IFERROR('Price History'!I3+(INDEX('Price History'!I:I,MATCH(9.99E+307,'Returns (Calc)'!$A:$A)+1)-'Price History'!I3)*(ROW()-3)/(MATCH(9.99E+307,'Returns (Calc)'!$A:$A)-3),"")</f>
        <v>107.94012578616352</v>
      </c>
      <c r="AE58" s="152">
        <f>IFERROR('Price History'!J3+(INDEX('Price History'!J:J,MATCH(9.99E+307,'Returns (Calc)'!$A:$A)+1)-'Price History'!J3)*(ROW()-3)/(MATCH(9.99E+307,'Returns (Calc)'!$A:$A)-3),"")</f>
        <v>117.94534591194969</v>
      </c>
      <c r="AF58" s="152">
        <f>IFERROR('Price History'!K3+(INDEX('Price History'!K:K,MATCH(9.99E+307,'Returns (Calc)'!$A:$A)+1)-'Price History'!K3)*(ROW()-3)/(MATCH(9.99E+307,'Returns (Calc)'!$A:$A)-3),"")</f>
        <v>82.340062893081765</v>
      </c>
      <c r="AG58" s="152">
        <f>IFERROR('Price History'!L3+(INDEX('Price History'!L:L,MATCH(9.99E+307,'Returns (Calc)'!$A:$A)+1)-'Price History'!L3)*(ROW()-3)/(MATCH(9.99E+307,'Returns (Calc)'!$A:$A)-3),"")</f>
        <v>212.89339622641509</v>
      </c>
      <c r="AH58" s="152">
        <f>IFERROR('Price History'!M3+(INDEX('Price History'!M:M,MATCH(9.99E+307,'Returns (Calc)'!$A:$A)+1)-'Price History'!M3)*(ROW()-3)/(MATCH(9.99E+307,'Returns (Calc)'!$A:$A)-3),"")</f>
        <v>108.84893081761007</v>
      </c>
      <c r="AI58" s="152">
        <f>IFERROR('Price History'!N3+(INDEX('Price History'!N:N,MATCH(9.99E+307,'Returns (Calc)'!$A:$A)+1)-'Price History'!N3)*(ROW()-3)/(MATCH(9.99E+307,'Returns (Calc)'!$A:$A)-3),"")</f>
        <v>404.65408805031444</v>
      </c>
      <c r="AJ58" s="152">
        <f>IFERROR('Price History'!O3+(INDEX('Price History'!O:O,MATCH(9.99E+307,'Returns (Calc)'!$A:$A)+1)-'Price History'!O3)*(ROW()-3)/(MATCH(9.99E+307,'Returns (Calc)'!$A:$A)-3),"")</f>
        <v>90.644276729559749</v>
      </c>
      <c r="AK58" s="152">
        <f>IFERROR('Price History'!Q3+(INDEX('Price History'!Q:Q,MATCH(9.99E+307,'Returns (Calc)'!$A:$A)+1)-'Price History'!Q3)*(ROW()-3)/(MATCH(9.99E+307,'Returns (Calc)'!$A:$A)-3),"")</f>
        <v>24.203459119496856</v>
      </c>
      <c r="AL58" s="152">
        <f>IFERROR('Price History'!R3+(INDEX('Price History'!R:R,MATCH(9.99E+307,'Returns (Calc)'!$A:$A)+1)-'Price History'!R3)*(ROW()-3)/(MATCH(9.99E+307,'Returns (Calc)'!$A:$A)-3),"")</f>
        <v>43.684716981132077</v>
      </c>
      <c r="AM58" s="152">
        <f>IFERROR('Price History'!S3+(INDEX('Price History'!S:S,MATCH(9.99E+307,'Returns (Calc)'!$A:$A)+1)-'Price History'!S3)*(ROW()-3)/(MATCH(9.99E+307,'Returns (Calc)'!$A:$A)-3),"")</f>
        <v>89.983144654088051</v>
      </c>
      <c r="AN58" s="152">
        <f>IFERROR('Price History'!T3+(INDEX('Price History'!T:T,MATCH(9.99E+307,'Returns (Calc)'!$A:$A)+1)-'Price History'!T3)*(ROW()-3)/(MATCH(9.99E+307,'Returns (Calc)'!$A:$A)-3),"")</f>
        <v>34.787169811320751</v>
      </c>
      <c r="AO58" s="153">
        <f>IFERROR('Price History'!V3+(INDEX('Price History'!V:V,MATCH(9.99E+307,'Returns (Calc)'!$A:$A)+1)-'Price History'!V3)*(ROW()-3)/(MATCH(9.99E+307,'Returns (Calc)'!$A:$A)-3),"")</f>
        <v>287.4545283018868</v>
      </c>
      <c r="AP58" s="151">
        <f>IFERROR(IF(OR(NOT(ISNUMBER('Price History'!W59)),NOT(ISNUMBER('Price History'!W58)),'Price History'!W58=0),"",'Price History'!W59/'Price History'!W58-1),"")</f>
        <v>1.1122015047432043E-2</v>
      </c>
      <c r="AQ58" s="151" t="str">
        <f>IFERROR(IF(OR(NOT(ISNUMBER('Price History'!X59)),NOT(ISNUMBER('Price History'!X58)),'Price History'!X58=0),"",'Price History'!X59/'Price History'!X58-1),"")</f>
        <v/>
      </c>
      <c r="AR58" s="151">
        <f>IFERROR(IF(OR(NOT(ISNUMBER('Price History'!Y59)),NOT(ISNUMBER('Price History'!Y58)),'Price History'!Y58=0),"",'Price History'!Y59/'Price History'!Y58-1),"")</f>
        <v>5.3709966182613478E-3</v>
      </c>
      <c r="AS58" s="151">
        <f>IFERROR(IF(OR(NOT(ISNUMBER('Price History'!Z59)),NOT(ISNUMBER('Price History'!Z58)),'Price History'!Z58=0),"",'Price History'!Z59/'Price History'!Z58-1),"")</f>
        <v>2.1811899362919718E-2</v>
      </c>
      <c r="AT58" s="151">
        <f>IFERROR(IF(OR(NOT(ISNUMBER('Price History'!AA59)),NOT(ISNUMBER('Price History'!AA58)),'Price History'!AA58=0),"",'Price History'!AA59/'Price History'!AA58-1),"")</f>
        <v>4.3073502848409717E-3</v>
      </c>
      <c r="AU58" s="151">
        <f>IFERROR(IF(OR(NOT(ISNUMBER('Price History'!AB59)),NOT(ISNUMBER('Price History'!AB58)),'Price History'!AB58=0),"",'Price History'!AB59/'Price History'!AB58-1),"")</f>
        <v>3.2491327502809364E-2</v>
      </c>
    </row>
    <row r="59" spans="1:47" ht="15" customHeight="1" x14ac:dyDescent="0.2">
      <c r="A59" s="149">
        <f>IF('Price History'!A60="","",'Price History'!A60)</f>
        <v>45583</v>
      </c>
      <c r="B59" s="150">
        <f>IFERROR(IF(OR(NOT(ISNUMBER('Price History'!B60)),NOT(ISNUMBER('Price History'!B59)),'Price History'!B59=0),"",'Price History'!B60/'Price History'!B59-1),"")</f>
        <v>-1.049614468531801E-3</v>
      </c>
      <c r="C59" s="150">
        <f>IFERROR(IF(OR(NOT(ISNUMBER('Price History'!C60)),NOT(ISNUMBER('Price History'!C59)),'Price History'!C59=0),"",'Price History'!C60/'Price History'!C59-1),"")</f>
        <v>-3.5786241964885335E-2</v>
      </c>
      <c r="D59" s="150">
        <f>IFERROR(IF(OR(NOT(ISNUMBER('Price History'!D60)),NOT(ISNUMBER('Price History'!D59)),'Price History'!D59=0),"",'Price History'!D60/'Price History'!D59-1),"")</f>
        <v>-0.13967804748255386</v>
      </c>
      <c r="E59" s="150">
        <f>IFERROR(IF(OR(NOT(ISNUMBER('Price History'!E60)),NOT(ISNUMBER('Price History'!E59)),'Price History'!E59=0),"",'Price History'!E60/'Price History'!E59-1),"")</f>
        <v>-8.7448848029596515E-3</v>
      </c>
      <c r="F59" s="150">
        <f>IFERROR(IF(OR(NOT(ISNUMBER('Price History'!F60)),NOT(ISNUMBER('Price History'!F59)),'Price History'!F59=0),"",'Price History'!F60/'Price History'!F59-1),"")</f>
        <v>-3.1355402873204152E-2</v>
      </c>
      <c r="G59" s="150">
        <f>IFERROR(IF(OR(NOT(ISNUMBER('Price History'!G60)),NOT(ISNUMBER('Price History'!G59)),'Price History'!G59=0),"",'Price History'!G60/'Price History'!G59-1),"")</f>
        <v>-0.15584743622126807</v>
      </c>
      <c r="H59" s="150">
        <f>IFERROR(IF(OR(NOT(ISNUMBER('Price History'!H60)),NOT(ISNUMBER('Price History'!H59)),'Price History'!H59=0),"",'Price History'!H60/'Price History'!H59-1),"")</f>
        <v>3.9578828617091277E-2</v>
      </c>
      <c r="I59" s="150">
        <f>IFERROR(IF(OR(NOT(ISNUMBER('Price History'!I60)),NOT(ISNUMBER('Price History'!I59)),'Price History'!I59=0),"",'Price History'!I60/'Price History'!I59-1),"")</f>
        <v>2.3728057125855351E-2</v>
      </c>
      <c r="J59" s="150">
        <f>IFERROR(IF(OR(NOT(ISNUMBER('Price History'!J60)),NOT(ISNUMBER('Price History'!J59)),'Price History'!J59=0),"",'Price History'!J60/'Price History'!J59-1),"")</f>
        <v>1.8760558371121228E-2</v>
      </c>
      <c r="K59" s="150">
        <f>IFERROR(IF(OR(NOT(ISNUMBER('Price History'!K60)),NOT(ISNUMBER('Price History'!K59)),'Price History'!K59=0),"",'Price History'!K60/'Price History'!K59-1),"")</f>
        <v>-1.2410940013789951E-2</v>
      </c>
      <c r="L59" s="150">
        <f>IFERROR(IF(OR(NOT(ISNUMBER('Price History'!L60)),NOT(ISNUMBER('Price History'!L59)),'Price History'!L59=0),"",'Price History'!L60/'Price History'!L59-1),"")</f>
        <v>5.2252832823156625E-2</v>
      </c>
      <c r="M59" s="150">
        <f>IFERROR(IF(OR(NOT(ISNUMBER('Price History'!M60)),NOT(ISNUMBER('Price History'!M59)),'Price History'!M59=0),"",'Price History'!M60/'Price History'!M59-1),"")</f>
        <v>3.6748229810881217E-3</v>
      </c>
      <c r="N59" s="150">
        <f>IFERROR(IF(OR(NOT(ISNUMBER('Price History'!N60)),NOT(ISNUMBER('Price History'!N59)),'Price History'!N59=0),"",'Price History'!N60/'Price History'!N59-1),"")</f>
        <v>2.6779597683252998E-3</v>
      </c>
      <c r="O59" s="150">
        <f>IFERROR(IF(OR(NOT(ISNUMBER('Price History'!O60)),NOT(ISNUMBER('Price History'!O59)),'Price History'!O59=0),"",'Price History'!O60/'Price History'!O59-1),"")</f>
        <v>1.254651780967575E-2</v>
      </c>
      <c r="P59" s="150">
        <f>IFERROR(IF(OR(NOT(ISNUMBER('Price History'!P60)),NOT(ISNUMBER('Price History'!P59)),'Price History'!P59=0),"",'Price History'!P60/'Price History'!P59-1),"")</f>
        <v>1.934452438049572E-2</v>
      </c>
      <c r="Q59" s="150">
        <f>IFERROR(IF(OR(NOT(ISNUMBER('Price History'!Q60)),NOT(ISNUMBER('Price History'!Q59)),'Price History'!Q59=0),"",'Price History'!Q60/'Price History'!Q59-1),"")</f>
        <v>8.2372322899506578E-3</v>
      </c>
      <c r="R59" s="150">
        <f>IFERROR(IF(OR(NOT(ISNUMBER('Price History'!R60)),NOT(ISNUMBER('Price History'!R59)),'Price History'!R59=0),"",'Price History'!R60/'Price History'!R59-1),"")</f>
        <v>7.5428571428570734E-3</v>
      </c>
      <c r="S59" s="150">
        <f>IFERROR(IF(OR(NOT(ISNUMBER('Price History'!S60)),NOT(ISNUMBER('Price History'!S59)),'Price History'!S59=0),"",'Price History'!S60/'Price History'!S59-1),"")</f>
        <v>4.3388653867013627E-3</v>
      </c>
      <c r="T59" s="150">
        <f>IFERROR(IF(OR(NOT(ISNUMBER('Price History'!T60)),NOT(ISNUMBER('Price History'!T59)),'Price History'!T59=0),"",'Price History'!T60/'Price History'!T59-1),"")</f>
        <v>-4.8396854204477702E-3</v>
      </c>
      <c r="U59" s="150">
        <f>IFERROR(IF(OR(NOT(ISNUMBER('Price History'!U60)),NOT(ISNUMBER('Price History'!U59)),'Price History'!U59=0),"",'Price History'!U60/'Price History'!U59-1),"")</f>
        <v>9.4126506024097001E-3</v>
      </c>
      <c r="V59" s="151">
        <f>IFERROR(IF(OR(NOT(ISNUMBER('Price History'!V60)),NOT(ISNUMBER('Price History'!V59)),'Price History'!V59=0),"",'Price History'!V60/'Price History'!V59-1),"")</f>
        <v>4.5997588688758251E-2</v>
      </c>
      <c r="W59" s="152">
        <f>IFERROR('Price History'!B3+(INDEX('Price History'!B:B,MATCH(9.99E+307,'Returns (Calc)'!$A:$A)+1)-'Price History'!B3)*(ROW()-3)/(MATCH(9.99E+307,'Returns (Calc)'!$A:$A)-3),"")</f>
        <v>427.9420754716981</v>
      </c>
      <c r="X59" s="152">
        <f>IFERROR('Price History'!C3+(INDEX('Price History'!C:C,MATCH(9.99E+307,'Returns (Calc)'!$A:$A)+1)-'Price History'!C3)*(ROW()-3)/(MATCH(9.99E+307,'Returns (Calc)'!$A:$A)-3),"")</f>
        <v>106.25144654088051</v>
      </c>
      <c r="Y59" s="152">
        <f>IFERROR('Price History'!D3+(INDEX('Price History'!D:D,MATCH(9.99E+307,'Returns (Calc)'!$A:$A)+1)-'Price History'!D3)*(ROW()-3)/(MATCH(9.99E+307,'Returns (Calc)'!$A:$A)-3),"")</f>
        <v>1004.0633333333333</v>
      </c>
      <c r="Z59" s="152">
        <f>IFERROR('Price History'!E3+(INDEX('Price History'!E:E,MATCH(9.99E+307,'Returns (Calc)'!$A:$A)+1)-'Price History'!E3)*(ROW()-3)/(MATCH(9.99E+307,'Returns (Calc)'!$A:$A)-3),"")</f>
        <v>180.4543396226415</v>
      </c>
      <c r="AA59" s="152">
        <f>IFERROR('Price History'!F3+(INDEX('Price History'!F:F,MATCH(9.99E+307,'Returns (Calc)'!$A:$A)+1)-'Price History'!F3)*(ROW()-3)/(MATCH(9.99E+307,'Returns (Calc)'!$A:$A)-3),"")</f>
        <v>123.66238993710692</v>
      </c>
      <c r="AB59" s="152">
        <f>IFERROR('Price History'!G3+(INDEX('Price History'!G:G,MATCH(9.99E+307,'Returns (Calc)'!$A:$A)+1)-'Price History'!G3)*(ROW()-3)/(MATCH(9.99E+307,'Returns (Calc)'!$A:$A)-3),"")</f>
        <v>97.609874213836477</v>
      </c>
      <c r="AC59" s="152">
        <f>IFERROR('Price History'!H3+(INDEX('Price History'!H:H,MATCH(9.99E+307,'Returns (Calc)'!$A:$A)+1)-'Price History'!H3)*(ROW()-3)/(MATCH(9.99E+307,'Returns (Calc)'!$A:$A)-3),"")</f>
        <v>407.18446540880501</v>
      </c>
      <c r="AD59" s="152">
        <f>IFERROR('Price History'!I3+(INDEX('Price History'!I:I,MATCH(9.99E+307,'Returns (Calc)'!$A:$A)+1)-'Price History'!I3)*(ROW()-3)/(MATCH(9.99E+307,'Returns (Calc)'!$A:$A)-3),"")</f>
        <v>109.10685534591195</v>
      </c>
      <c r="AE59" s="152">
        <f>IFERROR('Price History'!J3+(INDEX('Price History'!J:J,MATCH(9.99E+307,'Returns (Calc)'!$A:$A)+1)-'Price History'!J3)*(ROW()-3)/(MATCH(9.99E+307,'Returns (Calc)'!$A:$A)-3),"")</f>
        <v>118.05635220125787</v>
      </c>
      <c r="AF59" s="152">
        <f>IFERROR('Price History'!K3+(INDEX('Price History'!K:K,MATCH(9.99E+307,'Returns (Calc)'!$A:$A)+1)-'Price History'!K3)*(ROW()-3)/(MATCH(9.99E+307,'Returns (Calc)'!$A:$A)-3),"")</f>
        <v>83.558427672955972</v>
      </c>
      <c r="AG59" s="152">
        <f>IFERROR('Price History'!L3+(INDEX('Price History'!L:L,MATCH(9.99E+307,'Returns (Calc)'!$A:$A)+1)-'Price History'!L3)*(ROW()-3)/(MATCH(9.99E+307,'Returns (Calc)'!$A:$A)-3),"")</f>
        <v>215.20509433962263</v>
      </c>
      <c r="AH59" s="152">
        <f>IFERROR('Price History'!M3+(INDEX('Price History'!M:M,MATCH(9.99E+307,'Returns (Calc)'!$A:$A)+1)-'Price History'!M3)*(ROW()-3)/(MATCH(9.99E+307,'Returns (Calc)'!$A:$A)-3),"")</f>
        <v>110.13672955974843</v>
      </c>
      <c r="AI59" s="152">
        <f>IFERROR('Price History'!N3+(INDEX('Price History'!N:N,MATCH(9.99E+307,'Returns (Calc)'!$A:$A)+1)-'Price History'!N3)*(ROW()-3)/(MATCH(9.99E+307,'Returns (Calc)'!$A:$A)-3),"")</f>
        <v>405.66779874213836</v>
      </c>
      <c r="AJ59" s="152">
        <f>IFERROR('Price History'!O3+(INDEX('Price History'!O:O,MATCH(9.99E+307,'Returns (Calc)'!$A:$A)+1)-'Price History'!O3)*(ROW()-3)/(MATCH(9.99E+307,'Returns (Calc)'!$A:$A)-3),"")</f>
        <v>90.923081761006287</v>
      </c>
      <c r="AK59" s="152">
        <f>IFERROR('Price History'!Q3+(INDEX('Price History'!Q:Q,MATCH(9.99E+307,'Returns (Calc)'!$A:$A)+1)-'Price History'!Q3)*(ROW()-3)/(MATCH(9.99E+307,'Returns (Calc)'!$A:$A)-3),"")</f>
        <v>24.643522012578615</v>
      </c>
      <c r="AL59" s="152">
        <f>IFERROR('Price History'!R3+(INDEX('Price History'!R:R,MATCH(9.99E+307,'Returns (Calc)'!$A:$A)+1)-'Price History'!R3)*(ROW()-3)/(MATCH(9.99E+307,'Returns (Calc)'!$A:$A)-3),"")</f>
        <v>43.852075471698114</v>
      </c>
      <c r="AM59" s="152">
        <f>IFERROR('Price History'!S3+(INDEX('Price History'!S:S,MATCH(9.99E+307,'Returns (Calc)'!$A:$A)+1)-'Price History'!S3)*(ROW()-3)/(MATCH(9.99E+307,'Returns (Calc)'!$A:$A)-3),"")</f>
        <v>90.57138364779874</v>
      </c>
      <c r="AN59" s="152">
        <f>IFERROR('Price History'!T3+(INDEX('Price History'!T:T,MATCH(9.99E+307,'Returns (Calc)'!$A:$A)+1)-'Price History'!T3)*(ROW()-3)/(MATCH(9.99E+307,'Returns (Calc)'!$A:$A)-3),"")</f>
        <v>34.960754716981135</v>
      </c>
      <c r="AO59" s="153">
        <f>IFERROR('Price History'!V3+(INDEX('Price History'!V:V,MATCH(9.99E+307,'Returns (Calc)'!$A:$A)+1)-'Price History'!V3)*(ROW()-3)/(MATCH(9.99E+307,'Returns (Calc)'!$A:$A)-3),"")</f>
        <v>288.3967924528302</v>
      </c>
      <c r="AP59" s="151">
        <f>IFERROR(IF(OR(NOT(ISNUMBER('Price History'!W60)),NOT(ISNUMBER('Price History'!W59)),'Price History'!W59=0),"",'Price History'!W60/'Price History'!W59-1),"")</f>
        <v>1.0109996764801066E-2</v>
      </c>
      <c r="AQ59" s="151" t="str">
        <f>IFERROR(IF(OR(NOT(ISNUMBER('Price History'!X60)),NOT(ISNUMBER('Price History'!X59)),'Price History'!X59=0),"",'Price History'!X60/'Price History'!X59-1),"")</f>
        <v/>
      </c>
      <c r="AR59" s="151">
        <f>IFERROR(IF(OR(NOT(ISNUMBER('Price History'!Y60)),NOT(ISNUMBER('Price History'!Y59)),'Price History'!Y59=0),"",'Price History'!Y60/'Price History'!Y59-1),"")</f>
        <v>7.3209339137316753E-3</v>
      </c>
      <c r="AS59" s="151">
        <f>IFERROR(IF(OR(NOT(ISNUMBER('Price History'!Z60)),NOT(ISNUMBER('Price History'!Z59)),'Price History'!Z59=0),"",'Price History'!Z60/'Price History'!Z59-1),"")</f>
        <v>7.555743421747918E-3</v>
      </c>
      <c r="AT59" s="151">
        <f>IFERROR(IF(OR(NOT(ISNUMBER('Price History'!AA60)),NOT(ISNUMBER('Price History'!AA59)),'Price History'!AA59=0),"",'Price History'!AA60/'Price History'!AA59-1),"")</f>
        <v>5.6862202545655771E-2</v>
      </c>
      <c r="AU59" s="151">
        <f>IFERROR(IF(OR(NOT(ISNUMBER('Price History'!AB60)),NOT(ISNUMBER('Price History'!AB59)),'Price History'!AB59=0),"",'Price History'!AB60/'Price History'!AB59-1),"")</f>
        <v>4.7321597577134167E-2</v>
      </c>
    </row>
    <row r="60" spans="1:47" ht="15" customHeight="1" x14ac:dyDescent="0.2">
      <c r="A60" s="149">
        <f>IF('Price History'!A61="","",'Price History'!A61)</f>
        <v>45590</v>
      </c>
      <c r="B60" s="150">
        <f>IFERROR(IF(OR(NOT(ISNUMBER('Price History'!B61)),NOT(ISNUMBER('Price History'!B60)),'Price History'!B60=0),"",'Price History'!B61/'Price History'!B60-1),"")</f>
        <v>-2.2590422307536828E-2</v>
      </c>
      <c r="C60" s="150">
        <f>IFERROR(IF(OR(NOT(ISNUMBER('Price History'!C61)),NOT(ISNUMBER('Price History'!C60)),'Price History'!C60=0),"",'Price History'!C61/'Price History'!C60-1),"")</f>
        <v>-1.9701492537313459E-2</v>
      </c>
      <c r="D60" s="150">
        <f>IFERROR(IF(OR(NOT(ISNUMBER('Price History'!D61)),NOT(ISNUMBER('Price History'!D60)),'Price History'!D60=0),"",'Price History'!D61/'Price History'!D60-1),"")</f>
        <v>-1.5983917676497872E-2</v>
      </c>
      <c r="E60" s="150">
        <f>IFERROR(IF(OR(NOT(ISNUMBER('Price History'!E61)),NOT(ISNUMBER('Price History'!E60)),'Price History'!E60=0),"",'Price History'!E61/'Price History'!E60-1),"")</f>
        <v>-3.8285358819204918E-2</v>
      </c>
      <c r="F60" s="150">
        <f>IFERROR(IF(OR(NOT(ISNUMBER('Price History'!F61)),NOT(ISNUMBER('Price History'!F60)),'Price History'!F60=0),"",'Price History'!F61/'Price History'!F60-1),"")</f>
        <v>-3.0822801134898103E-2</v>
      </c>
      <c r="G60" s="150">
        <f>IFERROR(IF(OR(NOT(ISNUMBER('Price History'!G61)),NOT(ISNUMBER('Price History'!G60)),'Price History'!G60=0),"",'Price History'!G61/'Price History'!G60-1),"")</f>
        <v>-7.9293836026331777E-3</v>
      </c>
      <c r="H60" s="150">
        <f>IFERROR(IF(OR(NOT(ISNUMBER('Price History'!H61)),NOT(ISNUMBER('Price History'!H60)),'Price History'!H60=0),"",'Price History'!H61/'Price History'!H60-1),"")</f>
        <v>-2.9119189726894534E-2</v>
      </c>
      <c r="I60" s="150">
        <f>IFERROR(IF(OR(NOT(ISNUMBER('Price History'!I61)),NOT(ISNUMBER('Price History'!I60)),'Price History'!I60=0),"",'Price History'!I61/'Price History'!I60-1),"")</f>
        <v>2.5648477802804548E-2</v>
      </c>
      <c r="J60" s="150">
        <f>IFERROR(IF(OR(NOT(ISNUMBER('Price History'!J61)),NOT(ISNUMBER('Price History'!J60)),'Price History'!J60=0),"",'Price History'!J61/'Price History'!J60-1),"")</f>
        <v>-4.0495723511956738E-2</v>
      </c>
      <c r="K60" s="150">
        <f>IFERROR(IF(OR(NOT(ISNUMBER('Price History'!K61)),NOT(ISNUMBER('Price History'!K60)),'Price History'!K60=0),"",'Price History'!K61/'Price History'!K60-1),"")</f>
        <v>4.3984175005818082E-2</v>
      </c>
      <c r="L60" s="150">
        <f>IFERROR(IF(OR(NOT(ISNUMBER('Price History'!L61)),NOT(ISNUMBER('Price History'!L60)),'Price History'!L60=0),"",'Price History'!L61/'Price History'!L60-1),"")</f>
        <v>1.3269368173930873E-2</v>
      </c>
      <c r="M60" s="150">
        <f>IFERROR(IF(OR(NOT(ISNUMBER('Price History'!M61)),NOT(ISNUMBER('Price History'!M60)),'Price History'!M60=0),"",'Price History'!M61/'Price History'!M60-1),"")</f>
        <v>-7.1441328808719007E-4</v>
      </c>
      <c r="N60" s="150">
        <f>IFERROR(IF(OR(NOT(ISNUMBER('Price History'!N61)),NOT(ISNUMBER('Price History'!N60)),'Price History'!N60=0),"",'Price History'!N61/'Price History'!N60-1),"")</f>
        <v>-1.0973084886128359E-2</v>
      </c>
      <c r="O60" s="150">
        <f>IFERROR(IF(OR(NOT(ISNUMBER('Price History'!O61)),NOT(ISNUMBER('Price History'!O60)),'Price History'!O60=0),"",'Price History'!O61/'Price History'!O60-1),"")</f>
        <v>-3.328782946550457E-2</v>
      </c>
      <c r="P60" s="150">
        <f>IFERROR(IF(OR(NOT(ISNUMBER('Price History'!P61)),NOT(ISNUMBER('Price History'!P60)),'Price History'!P60=0),"",'Price History'!P61/'Price History'!P60-1),"")</f>
        <v>-2.3604140526976125E-2</v>
      </c>
      <c r="Q60" s="150">
        <f>IFERROR(IF(OR(NOT(ISNUMBER('Price History'!Q61)),NOT(ISNUMBER('Price History'!Q60)),'Price History'!Q60=0),"",'Price History'!Q61/'Price History'!Q60-1),"")</f>
        <v>-2.7777777777777679E-3</v>
      </c>
      <c r="R60" s="150">
        <f>IFERROR(IF(OR(NOT(ISNUMBER('Price History'!R61)),NOT(ISNUMBER('Price History'!R60)),'Price History'!R60=0),"",'Price History'!R61/'Price History'!R60-1),"")</f>
        <v>2.2686025408349408E-3</v>
      </c>
      <c r="S60" s="150">
        <f>IFERROR(IF(OR(NOT(ISNUMBER('Price History'!S61)),NOT(ISNUMBER('Price History'!S60)),'Price History'!S60=0),"",'Price History'!S61/'Price History'!S60-1),"")</f>
        <v>-1.4688411275515678E-2</v>
      </c>
      <c r="T60" s="150">
        <f>IFERROR(IF(OR(NOT(ISNUMBER('Price History'!T61)),NOT(ISNUMBER('Price History'!T60)),'Price History'!T60=0),"",'Price History'!T61/'Price History'!T60-1),"")</f>
        <v>-1.9148936170212627E-2</v>
      </c>
      <c r="U60" s="150">
        <f>IFERROR(IF(OR(NOT(ISNUMBER('Price History'!U61)),NOT(ISNUMBER('Price History'!U60)),'Price History'!U60=0),"",'Price History'!U61/'Price History'!U60-1),"")</f>
        <v>-2.3125699365908137E-2</v>
      </c>
      <c r="V60" s="151">
        <f>IFERROR(IF(OR(NOT(ISNUMBER('Price History'!V61)),NOT(ISNUMBER('Price History'!V60)),'Price History'!V60=0),"",'Price History'!V61/'Price History'!V60-1),"")</f>
        <v>-3.0562347188264005E-2</v>
      </c>
      <c r="W60" s="152">
        <f>IFERROR('Price History'!B3+(INDEX('Price History'!B:B,MATCH(9.99E+307,'Returns (Calc)'!$A:$A)+1)-'Price History'!B3)*(ROW()-3)/(MATCH(9.99E+307,'Returns (Calc)'!$A:$A)-3),"")</f>
        <v>426.13943396226415</v>
      </c>
      <c r="X60" s="152">
        <f>IFERROR('Price History'!C3+(INDEX('Price History'!C:C,MATCH(9.99E+307,'Returns (Calc)'!$A:$A)+1)-'Price History'!C3)*(ROW()-3)/(MATCH(9.99E+307,'Returns (Calc)'!$A:$A)-3),"")</f>
        <v>107.32415094339623</v>
      </c>
      <c r="Y60" s="152">
        <f>IFERROR('Price History'!D3+(INDEX('Price History'!D:D,MATCH(9.99E+307,'Returns (Calc)'!$A:$A)+1)-'Price History'!D3)*(ROW()-3)/(MATCH(9.99E+307,'Returns (Calc)'!$A:$A)-3),"")</f>
        <v>1011.5999999999999</v>
      </c>
      <c r="Z60" s="152">
        <f>IFERROR('Price History'!E3+(INDEX('Price History'!E:E,MATCH(9.99E+307,'Returns (Calc)'!$A:$A)+1)-'Price History'!E3)*(ROW()-3)/(MATCH(9.99E+307,'Returns (Calc)'!$A:$A)-3),"")</f>
        <v>182.21245283018868</v>
      </c>
      <c r="AA60" s="152">
        <f>IFERROR('Price History'!F3+(INDEX('Price History'!F:F,MATCH(9.99E+307,'Returns (Calc)'!$A:$A)+1)-'Price History'!F3)*(ROW()-3)/(MATCH(9.99E+307,'Returns (Calc)'!$A:$A)-3),"")</f>
        <v>125.13207547169812</v>
      </c>
      <c r="AB60" s="152">
        <f>IFERROR('Price History'!G3+(INDEX('Price History'!G:G,MATCH(9.99E+307,'Returns (Calc)'!$A:$A)+1)-'Price History'!G3)*(ROW()-3)/(MATCH(9.99E+307,'Returns (Calc)'!$A:$A)-3),"")</f>
        <v>98.560943396226406</v>
      </c>
      <c r="AC60" s="152">
        <f>IFERROR('Price History'!H3+(INDEX('Price History'!H:H,MATCH(9.99E+307,'Returns (Calc)'!$A:$A)+1)-'Price History'!H3)*(ROW()-3)/(MATCH(9.99E+307,'Returns (Calc)'!$A:$A)-3),"")</f>
        <v>413.22150943396224</v>
      </c>
      <c r="AD60" s="152">
        <f>IFERROR('Price History'!I3+(INDEX('Price History'!I:I,MATCH(9.99E+307,'Returns (Calc)'!$A:$A)+1)-'Price History'!I3)*(ROW()-3)/(MATCH(9.99E+307,'Returns (Calc)'!$A:$A)-3),"")</f>
        <v>110.27358490566039</v>
      </c>
      <c r="AE60" s="152">
        <f>IFERROR('Price History'!J3+(INDEX('Price History'!J:J,MATCH(9.99E+307,'Returns (Calc)'!$A:$A)+1)-'Price History'!J3)*(ROW()-3)/(MATCH(9.99E+307,'Returns (Calc)'!$A:$A)-3),"")</f>
        <v>118.16735849056604</v>
      </c>
      <c r="AF60" s="152">
        <f>IFERROR('Price History'!K3+(INDEX('Price History'!K:K,MATCH(9.99E+307,'Returns (Calc)'!$A:$A)+1)-'Price History'!K3)*(ROW()-3)/(MATCH(9.99E+307,'Returns (Calc)'!$A:$A)-3),"")</f>
        <v>84.776792452830179</v>
      </c>
      <c r="AG60" s="152">
        <f>IFERROR('Price History'!L3+(INDEX('Price History'!L:L,MATCH(9.99E+307,'Returns (Calc)'!$A:$A)+1)-'Price History'!L3)*(ROW()-3)/(MATCH(9.99E+307,'Returns (Calc)'!$A:$A)-3),"")</f>
        <v>217.5167924528302</v>
      </c>
      <c r="AH60" s="152">
        <f>IFERROR('Price History'!M3+(INDEX('Price History'!M:M,MATCH(9.99E+307,'Returns (Calc)'!$A:$A)+1)-'Price History'!M3)*(ROW()-3)/(MATCH(9.99E+307,'Returns (Calc)'!$A:$A)-3),"")</f>
        <v>111.4245283018868</v>
      </c>
      <c r="AI60" s="152">
        <f>IFERROR('Price History'!N3+(INDEX('Price History'!N:N,MATCH(9.99E+307,'Returns (Calc)'!$A:$A)+1)-'Price History'!N3)*(ROW()-3)/(MATCH(9.99E+307,'Returns (Calc)'!$A:$A)-3),"")</f>
        <v>406.68150943396222</v>
      </c>
      <c r="AJ60" s="152">
        <f>IFERROR('Price History'!O3+(INDEX('Price History'!O:O,MATCH(9.99E+307,'Returns (Calc)'!$A:$A)+1)-'Price History'!O3)*(ROW()-3)/(MATCH(9.99E+307,'Returns (Calc)'!$A:$A)-3),"")</f>
        <v>91.201886792452825</v>
      </c>
      <c r="AK60" s="152">
        <f>IFERROR('Price History'!Q3+(INDEX('Price History'!Q:Q,MATCH(9.99E+307,'Returns (Calc)'!$A:$A)+1)-'Price History'!Q3)*(ROW()-3)/(MATCH(9.99E+307,'Returns (Calc)'!$A:$A)-3),"")</f>
        <v>25.083584905660377</v>
      </c>
      <c r="AL60" s="152">
        <f>IFERROR('Price History'!R3+(INDEX('Price History'!R:R,MATCH(9.99E+307,'Returns (Calc)'!$A:$A)+1)-'Price History'!R3)*(ROW()-3)/(MATCH(9.99E+307,'Returns (Calc)'!$A:$A)-3),"")</f>
        <v>44.019433962264152</v>
      </c>
      <c r="AM60" s="152">
        <f>IFERROR('Price History'!S3+(INDEX('Price History'!S:S,MATCH(9.99E+307,'Returns (Calc)'!$A:$A)+1)-'Price History'!S3)*(ROW()-3)/(MATCH(9.99E+307,'Returns (Calc)'!$A:$A)-3),"")</f>
        <v>91.159622641509429</v>
      </c>
      <c r="AN60" s="152">
        <f>IFERROR('Price History'!T3+(INDEX('Price History'!T:T,MATCH(9.99E+307,'Returns (Calc)'!$A:$A)+1)-'Price History'!T3)*(ROW()-3)/(MATCH(9.99E+307,'Returns (Calc)'!$A:$A)-3),"")</f>
        <v>35.134339622641505</v>
      </c>
      <c r="AO60" s="153">
        <f>IFERROR('Price History'!V3+(INDEX('Price History'!V:V,MATCH(9.99E+307,'Returns (Calc)'!$A:$A)+1)-'Price History'!V3)*(ROW()-3)/(MATCH(9.99E+307,'Returns (Calc)'!$A:$A)-3),"")</f>
        <v>289.3390566037736</v>
      </c>
      <c r="AP60" s="151">
        <f>IFERROR(IF(OR(NOT(ISNUMBER('Price History'!W61)),NOT(ISNUMBER('Price History'!W60)),'Price History'!W60=0),"",'Price History'!W61/'Price History'!W60-1),"")</f>
        <v>-2.2820081671871217E-2</v>
      </c>
      <c r="AQ60" s="151" t="str">
        <f>IFERROR(IF(OR(NOT(ISNUMBER('Price History'!X61)),NOT(ISNUMBER('Price History'!X60)),'Price History'!X60=0),"",'Price History'!X61/'Price History'!X60-1),"")</f>
        <v/>
      </c>
      <c r="AR60" s="151">
        <f>IFERROR(IF(OR(NOT(ISNUMBER('Price History'!Y61)),NOT(ISNUMBER('Price History'!Y60)),'Price History'!Y60=0),"",'Price History'!Y61/'Price History'!Y60-1),"")</f>
        <v>-1.1196228638774119E-2</v>
      </c>
      <c r="AS60" s="151">
        <f>IFERROR(IF(OR(NOT(ISNUMBER('Price History'!Z61)),NOT(ISNUMBER('Price History'!Z60)),'Price History'!Z60=0),"",'Price History'!Z61/'Price History'!Z60-1),"")</f>
        <v>-7.011379726257283E-2</v>
      </c>
      <c r="AT60" s="151">
        <f>IFERROR(IF(OR(NOT(ISNUMBER('Price History'!AA61)),NOT(ISNUMBER('Price History'!AA60)),'Price History'!AA60=0),"",'Price History'!AA61/'Price History'!AA60-1),"")</f>
        <v>-1.2043461186019178E-2</v>
      </c>
      <c r="AU60" s="151">
        <f>IFERROR(IF(OR(NOT(ISNUMBER('Price History'!AB61)),NOT(ISNUMBER('Price History'!AB60)),'Price History'!AB60=0),"",'Price History'!AB61/'Price History'!AB60-1),"")</f>
        <v>-4.1071751310319926E-2</v>
      </c>
    </row>
    <row r="61" spans="1:47" ht="15" customHeight="1" x14ac:dyDescent="0.2">
      <c r="A61" s="149">
        <f>IF('Price History'!A62="","",'Price History'!A62)</f>
        <v>45597</v>
      </c>
      <c r="B61" s="150">
        <f>IFERROR(IF(OR(NOT(ISNUMBER('Price History'!B62)),NOT(ISNUMBER('Price History'!B61)),'Price History'!B61=0),"",'Price History'!B62/'Price History'!B61-1),"")</f>
        <v>-1.901926734474535E-3</v>
      </c>
      <c r="C61" s="150">
        <f>IFERROR(IF(OR(NOT(ISNUMBER('Price History'!C62)),NOT(ISNUMBER('Price History'!C61)),'Price History'!C61=0),"",'Price History'!C62/'Price History'!C61-1),"")</f>
        <v>2.0300446609833322E-4</v>
      </c>
      <c r="D61" s="150">
        <f>IFERROR(IF(OR(NOT(ISNUMBER('Price History'!D62)),NOT(ISNUMBER('Price History'!D61)),'Price History'!D61=0),"",'Price History'!D62/'Price History'!D61-1),"")</f>
        <v>-4.9744989070960255E-2</v>
      </c>
      <c r="E61" s="150">
        <f>IFERROR(IF(OR(NOT(ISNUMBER('Price History'!E62)),NOT(ISNUMBER('Price History'!E61)),'Price History'!E61=0),"",'Price History'!E62/'Price History'!E61-1),"")</f>
        <v>-2.3638715747383299E-2</v>
      </c>
      <c r="F61" s="150">
        <f>IFERROR(IF(OR(NOT(ISNUMBER('Price History'!F62)),NOT(ISNUMBER('Price History'!F61)),'Price History'!F61=0),"",'Price History'!F62/'Price History'!F61-1),"")</f>
        <v>8.3832335329341312E-3</v>
      </c>
      <c r="G61" s="150">
        <f>IFERROR(IF(OR(NOT(ISNUMBER('Price History'!G62)),NOT(ISNUMBER('Price History'!G61)),'Price History'!G61=0),"",'Price History'!G62/'Price History'!G61-1),"")</f>
        <v>-5.579852209319891E-3</v>
      </c>
      <c r="H61" s="150">
        <f>IFERROR(IF(OR(NOT(ISNUMBER('Price History'!H62)),NOT(ISNUMBER('Price History'!H61)),'Price History'!H61=0),"",'Price History'!H62/'Price History'!H61-1),"")</f>
        <v>-7.5819672131147597E-2</v>
      </c>
      <c r="I61" s="150">
        <f>IFERROR(IF(OR(NOT(ISNUMBER('Price History'!I62)),NOT(ISNUMBER('Price History'!I61)),'Price History'!I61=0),"",'Price History'!I62/'Price History'!I61-1),"")</f>
        <v>-4.3355058090110532E-2</v>
      </c>
      <c r="J61" s="150">
        <f>IFERROR(IF(OR(NOT(ISNUMBER('Price History'!J62)),NOT(ISNUMBER('Price History'!J61)),'Price History'!J61=0),"",'Price History'!J62/'Price History'!J61-1),"")</f>
        <v>-3.5201018737493261E-2</v>
      </c>
      <c r="K61" s="150">
        <f>IFERROR(IF(OR(NOT(ISNUMBER('Price History'!K62)),NOT(ISNUMBER('Price History'!K61)),'Price History'!K61=0),"",'Price History'!K62/'Price History'!K61-1),"")</f>
        <v>-6.553722692822106E-2</v>
      </c>
      <c r="L61" s="150">
        <f>IFERROR(IF(OR(NOT(ISNUMBER('Price History'!L62)),NOT(ISNUMBER('Price History'!L61)),'Price History'!L61=0),"",'Price History'!L62/'Price History'!L61-1),"")</f>
        <v>-5.1576508512138464E-2</v>
      </c>
      <c r="M61" s="150">
        <f>IFERROR(IF(OR(NOT(ISNUMBER('Price History'!M62)),NOT(ISNUMBER('Price History'!M61)),'Price History'!M61=0),"",'Price History'!M62/'Price History'!M61-1),"")</f>
        <v>-4.7006255585344103E-2</v>
      </c>
      <c r="N61" s="150">
        <f>IFERROR(IF(OR(NOT(ISNUMBER('Price History'!N62)),NOT(ISNUMBER('Price History'!N61)),'Price History'!N61=0),"",'Price History'!N62/'Price History'!N61-1),"")</f>
        <v>-1.3774335356918521E-2</v>
      </c>
      <c r="O61" s="150">
        <f>IFERROR(IF(OR(NOT(ISNUMBER('Price History'!O62)),NOT(ISNUMBER('Price History'!O61)),'Price History'!O61=0),"",'Price History'!O62/'Price History'!O61-1),"")</f>
        <v>-2.3897458179448217E-3</v>
      </c>
      <c r="P61" s="150">
        <f>IFERROR(IF(OR(NOT(ISNUMBER('Price History'!P62)),NOT(ISNUMBER('Price History'!P61)),'Price History'!P61=0),"",'Price History'!P62/'Price History'!P61-1),"")</f>
        <v>-9.6377800979841055E-4</v>
      </c>
      <c r="Q61" s="150">
        <f>IFERROR(IF(OR(NOT(ISNUMBER('Price History'!Q62)),NOT(ISNUMBER('Price History'!Q61)),'Price History'!Q61=0),"",'Price History'!Q62/'Price History'!Q61-1),"")</f>
        <v>-8.8481074881205934E-3</v>
      </c>
      <c r="R61" s="150">
        <f>IFERROR(IF(OR(NOT(ISNUMBER('Price History'!R62)),NOT(ISNUMBER('Price History'!R61)),'Price History'!R61=0),"",'Price History'!R62/'Price History'!R61-1),"")</f>
        <v>-8.3748302399274666E-3</v>
      </c>
      <c r="S61" s="150">
        <f>IFERROR(IF(OR(NOT(ISNUMBER('Price History'!S62)),NOT(ISNUMBER('Price History'!S61)),'Price History'!S61=0),"",'Price History'!S62/'Price History'!S61-1),"")</f>
        <v>-1.3701633234681543E-2</v>
      </c>
      <c r="T61" s="150">
        <f>IFERROR(IF(OR(NOT(ISNUMBER('Price History'!T62)),NOT(ISNUMBER('Price History'!T61)),'Price History'!T61=0),"",'Price History'!T62/'Price History'!T61-1),"")</f>
        <v>6.197706848465323E-4</v>
      </c>
      <c r="U61" s="150">
        <f>IFERROR(IF(OR(NOT(ISNUMBER('Price History'!U62)),NOT(ISNUMBER('Price History'!U61)),'Price History'!U61=0),"",'Price History'!U62/'Price History'!U61-1),"")</f>
        <v>-1.5273004963727299E-3</v>
      </c>
      <c r="V61" s="151">
        <f>IFERROR(IF(OR(NOT(ISNUMBER('Price History'!V62)),NOT(ISNUMBER('Price History'!V61)),'Price History'!V61=0),"",'Price History'!V62/'Price History'!V61-1),"")</f>
        <v>3.1958205728697564E-2</v>
      </c>
      <c r="W61" s="152">
        <f>IFERROR('Price History'!B3+(INDEX('Price History'!B:B,MATCH(9.99E+307,'Returns (Calc)'!$A:$A)+1)-'Price History'!B3)*(ROW()-3)/(MATCH(9.99E+307,'Returns (Calc)'!$A:$A)-3),"")</f>
        <v>424.3367924528302</v>
      </c>
      <c r="X61" s="152">
        <f>IFERROR('Price History'!C3+(INDEX('Price History'!C:C,MATCH(9.99E+307,'Returns (Calc)'!$A:$A)+1)-'Price History'!C3)*(ROW()-3)/(MATCH(9.99E+307,'Returns (Calc)'!$A:$A)-3),"")</f>
        <v>108.39685534591194</v>
      </c>
      <c r="Y61" s="152">
        <f>IFERROR('Price History'!D3+(INDEX('Price History'!D:D,MATCH(9.99E+307,'Returns (Calc)'!$A:$A)+1)-'Price History'!D3)*(ROW()-3)/(MATCH(9.99E+307,'Returns (Calc)'!$A:$A)-3),"")</f>
        <v>1019.1366666666667</v>
      </c>
      <c r="Z61" s="152">
        <f>IFERROR('Price History'!E3+(INDEX('Price History'!E:E,MATCH(9.99E+307,'Returns (Calc)'!$A:$A)+1)-'Price History'!E3)*(ROW()-3)/(MATCH(9.99E+307,'Returns (Calc)'!$A:$A)-3),"")</f>
        <v>183.97056603773586</v>
      </c>
      <c r="AA61" s="152">
        <f>IFERROR('Price History'!F3+(INDEX('Price History'!F:F,MATCH(9.99E+307,'Returns (Calc)'!$A:$A)+1)-'Price History'!F3)*(ROW()-3)/(MATCH(9.99E+307,'Returns (Calc)'!$A:$A)-3),"")</f>
        <v>126.60176100628931</v>
      </c>
      <c r="AB61" s="152">
        <f>IFERROR('Price History'!G3+(INDEX('Price History'!G:G,MATCH(9.99E+307,'Returns (Calc)'!$A:$A)+1)-'Price History'!G3)*(ROW()-3)/(MATCH(9.99E+307,'Returns (Calc)'!$A:$A)-3),"")</f>
        <v>99.51201257861635</v>
      </c>
      <c r="AC61" s="152">
        <f>IFERROR('Price History'!H3+(INDEX('Price History'!H:H,MATCH(9.99E+307,'Returns (Calc)'!$A:$A)+1)-'Price History'!H3)*(ROW()-3)/(MATCH(9.99E+307,'Returns (Calc)'!$A:$A)-3),"")</f>
        <v>419.25855345911953</v>
      </c>
      <c r="AD61" s="152">
        <f>IFERROR('Price History'!I3+(INDEX('Price History'!I:I,MATCH(9.99E+307,'Returns (Calc)'!$A:$A)+1)-'Price History'!I3)*(ROW()-3)/(MATCH(9.99E+307,'Returns (Calc)'!$A:$A)-3),"")</f>
        <v>111.44031446540882</v>
      </c>
      <c r="AE61" s="152">
        <f>IFERROR('Price History'!J3+(INDEX('Price History'!J:J,MATCH(9.99E+307,'Returns (Calc)'!$A:$A)+1)-'Price History'!J3)*(ROW()-3)/(MATCH(9.99E+307,'Returns (Calc)'!$A:$A)-3),"")</f>
        <v>118.27836477987422</v>
      </c>
      <c r="AF61" s="152">
        <f>IFERROR('Price History'!K3+(INDEX('Price History'!K:K,MATCH(9.99E+307,'Returns (Calc)'!$A:$A)+1)-'Price History'!K3)*(ROW()-3)/(MATCH(9.99E+307,'Returns (Calc)'!$A:$A)-3),"")</f>
        <v>85.9951572327044</v>
      </c>
      <c r="AG61" s="152">
        <f>IFERROR('Price History'!L3+(INDEX('Price History'!L:L,MATCH(9.99E+307,'Returns (Calc)'!$A:$A)+1)-'Price History'!L3)*(ROW()-3)/(MATCH(9.99E+307,'Returns (Calc)'!$A:$A)-3),"")</f>
        <v>219.82849056603774</v>
      </c>
      <c r="AH61" s="152">
        <f>IFERROR('Price History'!M3+(INDEX('Price History'!M:M,MATCH(9.99E+307,'Returns (Calc)'!$A:$A)+1)-'Price History'!M3)*(ROW()-3)/(MATCH(9.99E+307,'Returns (Calc)'!$A:$A)-3),"")</f>
        <v>112.71232704402516</v>
      </c>
      <c r="AI61" s="152">
        <f>IFERROR('Price History'!N3+(INDEX('Price History'!N:N,MATCH(9.99E+307,'Returns (Calc)'!$A:$A)+1)-'Price History'!N3)*(ROW()-3)/(MATCH(9.99E+307,'Returns (Calc)'!$A:$A)-3),"")</f>
        <v>407.69522012578614</v>
      </c>
      <c r="AJ61" s="152">
        <f>IFERROR('Price History'!O3+(INDEX('Price History'!O:O,MATCH(9.99E+307,'Returns (Calc)'!$A:$A)+1)-'Price History'!O3)*(ROW()-3)/(MATCH(9.99E+307,'Returns (Calc)'!$A:$A)-3),"")</f>
        <v>91.480691823899377</v>
      </c>
      <c r="AK61" s="152">
        <f>IFERROR('Price History'!Q3+(INDEX('Price History'!Q:Q,MATCH(9.99E+307,'Returns (Calc)'!$A:$A)+1)-'Price History'!Q3)*(ROW()-3)/(MATCH(9.99E+307,'Returns (Calc)'!$A:$A)-3),"")</f>
        <v>25.523647798742136</v>
      </c>
      <c r="AL61" s="152">
        <f>IFERROR('Price History'!R3+(INDEX('Price History'!R:R,MATCH(9.99E+307,'Returns (Calc)'!$A:$A)+1)-'Price History'!R3)*(ROW()-3)/(MATCH(9.99E+307,'Returns (Calc)'!$A:$A)-3),"")</f>
        <v>44.18679245283019</v>
      </c>
      <c r="AM61" s="152">
        <f>IFERROR('Price History'!S3+(INDEX('Price History'!S:S,MATCH(9.99E+307,'Returns (Calc)'!$A:$A)+1)-'Price History'!S3)*(ROW()-3)/(MATCH(9.99E+307,'Returns (Calc)'!$A:$A)-3),"")</f>
        <v>91.747861635220119</v>
      </c>
      <c r="AN61" s="152">
        <f>IFERROR('Price History'!T3+(INDEX('Price History'!T:T,MATCH(9.99E+307,'Returns (Calc)'!$A:$A)+1)-'Price History'!T3)*(ROW()-3)/(MATCH(9.99E+307,'Returns (Calc)'!$A:$A)-3),"")</f>
        <v>35.307924528301882</v>
      </c>
      <c r="AO61" s="153">
        <f>IFERROR('Price History'!V3+(INDEX('Price History'!V:V,MATCH(9.99E+307,'Returns (Calc)'!$A:$A)+1)-'Price History'!V3)*(ROW()-3)/(MATCH(9.99E+307,'Returns (Calc)'!$A:$A)-3),"")</f>
        <v>290.28132075471694</v>
      </c>
      <c r="AP61" s="151">
        <f>IFERROR(IF(OR(NOT(ISNUMBER('Price History'!W62)),NOT(ISNUMBER('Price History'!W61)),'Price History'!W61=0),"",'Price History'!W62/'Price History'!W61-1),"")</f>
        <v>-6.9649295313012338E-3</v>
      </c>
      <c r="AQ61" s="151" t="str">
        <f>IFERROR(IF(OR(NOT(ISNUMBER('Price History'!X62)),NOT(ISNUMBER('Price History'!X61)),'Price History'!X61=0),"",'Price History'!X62/'Price History'!X61-1),"")</f>
        <v/>
      </c>
      <c r="AR61" s="151">
        <f>IFERROR(IF(OR(NOT(ISNUMBER('Price History'!Y62)),NOT(ISNUMBER('Price History'!Y61)),'Price History'!Y61=0),"",'Price History'!Y62/'Price History'!Y61-1),"")</f>
        <v>-6.5554231227653581E-3</v>
      </c>
      <c r="AS61" s="151">
        <f>IFERROR(IF(OR(NOT(ISNUMBER('Price History'!Z62)),NOT(ISNUMBER('Price History'!Z61)),'Price History'!Z61=0),"",'Price History'!Z62/'Price History'!Z61-1),"")</f>
        <v>-4.1337694563500893E-2</v>
      </c>
      <c r="AT61" s="151">
        <f>IFERROR(IF(OR(NOT(ISNUMBER('Price History'!AA62)),NOT(ISNUMBER('Price History'!AA61)),'Price History'!AA61=0),"",'Price History'!AA62/'Price History'!AA61-1),"")</f>
        <v>1.8550417384390894E-3</v>
      </c>
      <c r="AU61" s="151">
        <f>IFERROR(IF(OR(NOT(ISNUMBER('Price History'!AB62)),NOT(ISNUMBER('Price History'!AB61)),'Price History'!AB61=0),"",'Price History'!AB62/'Price History'!AB61-1),"")</f>
        <v>2.5915280591810586E-3</v>
      </c>
    </row>
    <row r="62" spans="1:47" ht="15" customHeight="1" x14ac:dyDescent="0.2">
      <c r="A62" s="149">
        <f>IF('Price History'!A63="","",'Price History'!A63)</f>
        <v>45604</v>
      </c>
      <c r="B62" s="150">
        <f>IFERROR(IF(OR(NOT(ISNUMBER('Price History'!B63)),NOT(ISNUMBER('Price History'!B62)),'Price History'!B62=0),"",'Price History'!B63/'Price History'!B62-1),"")</f>
        <v>2.4606462303231158E-2</v>
      </c>
      <c r="C62" s="150">
        <f>IFERROR(IF(OR(NOT(ISNUMBER('Price History'!C63)),NOT(ISNUMBER('Price History'!C62)),'Price History'!C62=0),"",'Price History'!C63/'Price History'!C62-1),"")</f>
        <v>1.5932616196468352E-2</v>
      </c>
      <c r="D62" s="150">
        <f>IFERROR(IF(OR(NOT(ISNUMBER('Price History'!D63)),NOT(ISNUMBER('Price History'!D62)),'Price History'!D62=0),"",'Price History'!D63/'Price History'!D62-1),"")</f>
        <v>-7.8027512591144488E-3</v>
      </c>
      <c r="E62" s="150">
        <f>IFERROR(IF(OR(NOT(ISNUMBER('Price History'!E63)),NOT(ISNUMBER('Price History'!E62)),'Price History'!E62=0),"",'Price History'!E63/'Price History'!E62-1),"")</f>
        <v>8.7147675258973711E-2</v>
      </c>
      <c r="F62" s="150">
        <f>IFERROR(IF(OR(NOT(ISNUMBER('Price History'!F63)),NOT(ISNUMBER('Price History'!F62)),'Price History'!F62=0),"",'Price History'!F63/'Price History'!F62-1),"")</f>
        <v>8.8809712325151891E-2</v>
      </c>
      <c r="G62" s="150">
        <f>IFERROR(IF(OR(NOT(ISNUMBER('Price History'!G63)),NOT(ISNUMBER('Price History'!G62)),'Price History'!G62=0),"",'Price History'!G63/'Price History'!G62-1),"")</f>
        <v>2.6994237185320014E-2</v>
      </c>
      <c r="H62" s="150">
        <f>IFERROR(IF(OR(NOT(ISNUMBER('Price History'!H63)),NOT(ISNUMBER('Price History'!H62)),'Price History'!H62=0),"",'Price History'!H63/'Price History'!H62-1),"")</f>
        <v>0.1220520056440233</v>
      </c>
      <c r="I62" s="150">
        <f>IFERROR(IF(OR(NOT(ISNUMBER('Price History'!I63)),NOT(ISNUMBER('Price History'!I62)),'Price History'!I62=0),"",'Price History'!I63/'Price History'!I62-1),"")</f>
        <v>9.0269549763033252E-2</v>
      </c>
      <c r="J62" s="150">
        <f>IFERROR(IF(OR(NOT(ISNUMBER('Price History'!J63)),NOT(ISNUMBER('Price History'!J62)),'Price History'!J62=0),"",'Price History'!J63/'Price History'!J62-1),"")</f>
        <v>2.1400961629112869E-2</v>
      </c>
      <c r="K62" s="150">
        <f>IFERROR(IF(OR(NOT(ISNUMBER('Price History'!K63)),NOT(ISNUMBER('Price History'!K62)),'Price History'!K62=0),"",'Price History'!K63/'Price History'!K62-1),"")</f>
        <v>0.39289122137404586</v>
      </c>
      <c r="L62" s="150">
        <f>IFERROR(IF(OR(NOT(ISNUMBER('Price History'!L63)),NOT(ISNUMBER('Price History'!L62)),'Price History'!L62=0),"",'Price History'!L63/'Price History'!L62-1),"")</f>
        <v>4.2750929368029711E-2</v>
      </c>
      <c r="M62" s="150">
        <f>IFERROR(IF(OR(NOT(ISNUMBER('Price History'!M63)),NOT(ISNUMBER('Price History'!M62)),'Price History'!M62=0),"",'Price History'!M63/'Price History'!M62-1),"")</f>
        <v>0.17638784696174037</v>
      </c>
      <c r="N62" s="150">
        <f>IFERROR(IF(OR(NOT(ISNUMBER('Price History'!N63)),NOT(ISNUMBER('Price History'!N62)),'Price History'!N62=0),"",'Price History'!N63/'Price History'!N62-1),"")</f>
        <v>9.6833078621158197E-2</v>
      </c>
      <c r="O62" s="150">
        <f>IFERROR(IF(OR(NOT(ISNUMBER('Price History'!O63)),NOT(ISNUMBER('Price History'!O62)),'Price History'!O62=0),"",'Price History'!O63/'Price History'!O62-1),"")</f>
        <v>8.8632404181184565E-2</v>
      </c>
      <c r="P62" s="150">
        <f>IFERROR(IF(OR(NOT(ISNUMBER('Price History'!P63)),NOT(ISNUMBER('Price History'!P62)),'Price History'!P62=0),"",'Price History'!P63/'Price History'!P62-1),"")</f>
        <v>3.4729479861725254E-2</v>
      </c>
      <c r="Q62" s="150">
        <f>IFERROR(IF(OR(NOT(ISNUMBER('Price History'!Q63)),NOT(ISNUMBER('Price History'!Q62)),'Price History'!Q62=0),"",'Price History'!Q63/'Price History'!Q62-1),"")</f>
        <v>2.4301537444205712E-2</v>
      </c>
      <c r="R62" s="150">
        <f>IFERROR(IF(OR(NOT(ISNUMBER('Price History'!R63)),NOT(ISNUMBER('Price History'!R62)),'Price History'!R62=0),"",'Price History'!R63/'Price History'!R62-1),"")</f>
        <v>3.8575667655786239E-2</v>
      </c>
      <c r="S62" s="150">
        <f>IFERROR(IF(OR(NOT(ISNUMBER('Price History'!S63)),NOT(ISNUMBER('Price History'!S62)),'Price History'!S62=0),"",'Price History'!S63/'Price History'!S62-1),"")</f>
        <v>5.9791064681040229E-2</v>
      </c>
      <c r="T62" s="150">
        <f>IFERROR(IF(OR(NOT(ISNUMBER('Price History'!T63)),NOT(ISNUMBER('Price History'!T62)),'Price History'!T62=0),"",'Price History'!T63/'Price History'!T62-1),"")</f>
        <v>7.7423350882626307E-2</v>
      </c>
      <c r="U62" s="150">
        <f>IFERROR(IF(OR(NOT(ISNUMBER('Price History'!U63)),NOT(ISNUMBER('Price History'!U62)),'Price History'!U62=0),"",'Price History'!U63/'Price History'!U62-1),"")</f>
        <v>3.4799235181644406E-2</v>
      </c>
      <c r="V62" s="151">
        <f>IFERROR(IF(OR(NOT(ISNUMBER('Price History'!V63)),NOT(ISNUMBER('Price History'!V62)),'Price History'!V62=0),"",'Price History'!V63/'Price History'!V62-1),"")</f>
        <v>5.8934431953075794E-2</v>
      </c>
      <c r="W62" s="152">
        <f>IFERROR('Price History'!B3+(INDEX('Price History'!B:B,MATCH(9.99E+307,'Returns (Calc)'!$A:$A)+1)-'Price History'!B3)*(ROW()-3)/(MATCH(9.99E+307,'Returns (Calc)'!$A:$A)-3),"")</f>
        <v>422.53415094339618</v>
      </c>
      <c r="X62" s="152">
        <f>IFERROR('Price History'!C3+(INDEX('Price History'!C:C,MATCH(9.99E+307,'Returns (Calc)'!$A:$A)+1)-'Price History'!C3)*(ROW()-3)/(MATCH(9.99E+307,'Returns (Calc)'!$A:$A)-3),"")</f>
        <v>109.46955974842768</v>
      </c>
      <c r="Y62" s="152">
        <f>IFERROR('Price History'!D3+(INDEX('Price History'!D:D,MATCH(9.99E+307,'Returns (Calc)'!$A:$A)+1)-'Price History'!D3)*(ROW()-3)/(MATCH(9.99E+307,'Returns (Calc)'!$A:$A)-3),"")</f>
        <v>1026.6733333333334</v>
      </c>
      <c r="Z62" s="152">
        <f>IFERROR('Price History'!E3+(INDEX('Price History'!E:E,MATCH(9.99E+307,'Returns (Calc)'!$A:$A)+1)-'Price History'!E3)*(ROW()-3)/(MATCH(9.99E+307,'Returns (Calc)'!$A:$A)-3),"")</f>
        <v>185.72867924528302</v>
      </c>
      <c r="AA62" s="152">
        <f>IFERROR('Price History'!F3+(INDEX('Price History'!F:F,MATCH(9.99E+307,'Returns (Calc)'!$A:$A)+1)-'Price History'!F3)*(ROW()-3)/(MATCH(9.99E+307,'Returns (Calc)'!$A:$A)-3),"")</f>
        <v>128.07144654088052</v>
      </c>
      <c r="AB62" s="152">
        <f>IFERROR('Price History'!G3+(INDEX('Price History'!G:G,MATCH(9.99E+307,'Returns (Calc)'!$A:$A)+1)-'Price History'!G3)*(ROW()-3)/(MATCH(9.99E+307,'Returns (Calc)'!$A:$A)-3),"")</f>
        <v>100.46308176100629</v>
      </c>
      <c r="AC62" s="152">
        <f>IFERROR('Price History'!H3+(INDEX('Price History'!H:H,MATCH(9.99E+307,'Returns (Calc)'!$A:$A)+1)-'Price History'!H3)*(ROW()-3)/(MATCH(9.99E+307,'Returns (Calc)'!$A:$A)-3),"")</f>
        <v>425.29559748427675</v>
      </c>
      <c r="AD62" s="152">
        <f>IFERROR('Price History'!I3+(INDEX('Price History'!I:I,MATCH(9.99E+307,'Returns (Calc)'!$A:$A)+1)-'Price History'!I3)*(ROW()-3)/(MATCH(9.99E+307,'Returns (Calc)'!$A:$A)-3),"")</f>
        <v>112.60704402515725</v>
      </c>
      <c r="AE62" s="152">
        <f>IFERROR('Price History'!J3+(INDEX('Price History'!J:J,MATCH(9.99E+307,'Returns (Calc)'!$A:$A)+1)-'Price History'!J3)*(ROW()-3)/(MATCH(9.99E+307,'Returns (Calc)'!$A:$A)-3),"")</f>
        <v>118.3893710691824</v>
      </c>
      <c r="AF62" s="152">
        <f>IFERROR('Price History'!K3+(INDEX('Price History'!K:K,MATCH(9.99E+307,'Returns (Calc)'!$A:$A)+1)-'Price History'!K3)*(ROW()-3)/(MATCH(9.99E+307,'Returns (Calc)'!$A:$A)-3),"")</f>
        <v>87.213522012578608</v>
      </c>
      <c r="AG62" s="152">
        <f>IFERROR('Price History'!L3+(INDEX('Price History'!L:L,MATCH(9.99E+307,'Returns (Calc)'!$A:$A)+1)-'Price History'!L3)*(ROW()-3)/(MATCH(9.99E+307,'Returns (Calc)'!$A:$A)-3),"")</f>
        <v>222.14018867924528</v>
      </c>
      <c r="AH62" s="152">
        <f>IFERROR('Price History'!M3+(INDEX('Price History'!M:M,MATCH(9.99E+307,'Returns (Calc)'!$A:$A)+1)-'Price History'!M3)*(ROW()-3)/(MATCH(9.99E+307,'Returns (Calc)'!$A:$A)-3),"")</f>
        <v>114.00012578616352</v>
      </c>
      <c r="AI62" s="152">
        <f>IFERROR('Price History'!N3+(INDEX('Price History'!N:N,MATCH(9.99E+307,'Returns (Calc)'!$A:$A)+1)-'Price History'!N3)*(ROW()-3)/(MATCH(9.99E+307,'Returns (Calc)'!$A:$A)-3),"")</f>
        <v>408.70893081761005</v>
      </c>
      <c r="AJ62" s="152">
        <f>IFERROR('Price History'!O3+(INDEX('Price History'!O:O,MATCH(9.99E+307,'Returns (Calc)'!$A:$A)+1)-'Price History'!O3)*(ROW()-3)/(MATCH(9.99E+307,'Returns (Calc)'!$A:$A)-3),"")</f>
        <v>91.759496855345915</v>
      </c>
      <c r="AK62" s="152">
        <f>IFERROR('Price History'!Q3+(INDEX('Price History'!Q:Q,MATCH(9.99E+307,'Returns (Calc)'!$A:$A)+1)-'Price History'!Q3)*(ROW()-3)/(MATCH(9.99E+307,'Returns (Calc)'!$A:$A)-3),"")</f>
        <v>25.963710691823895</v>
      </c>
      <c r="AL62" s="152">
        <f>IFERROR('Price History'!R3+(INDEX('Price History'!R:R,MATCH(9.99E+307,'Returns (Calc)'!$A:$A)+1)-'Price History'!R3)*(ROW()-3)/(MATCH(9.99E+307,'Returns (Calc)'!$A:$A)-3),"")</f>
        <v>44.354150943396228</v>
      </c>
      <c r="AM62" s="152">
        <f>IFERROR('Price History'!S3+(INDEX('Price History'!S:S,MATCH(9.99E+307,'Returns (Calc)'!$A:$A)+1)-'Price History'!S3)*(ROW()-3)/(MATCH(9.99E+307,'Returns (Calc)'!$A:$A)-3),"")</f>
        <v>92.336100628930822</v>
      </c>
      <c r="AN62" s="152">
        <f>IFERROR('Price History'!T3+(INDEX('Price History'!T:T,MATCH(9.99E+307,'Returns (Calc)'!$A:$A)+1)-'Price History'!T3)*(ROW()-3)/(MATCH(9.99E+307,'Returns (Calc)'!$A:$A)-3),"")</f>
        <v>35.481509433962266</v>
      </c>
      <c r="AO62" s="153">
        <f>IFERROR('Price History'!V3+(INDEX('Price History'!V:V,MATCH(9.99E+307,'Returns (Calc)'!$A:$A)+1)-'Price History'!V3)*(ROW()-3)/(MATCH(9.99E+307,'Returns (Calc)'!$A:$A)-3),"")</f>
        <v>291.22358490566035</v>
      </c>
      <c r="AP62" s="151">
        <f>IFERROR(IF(OR(NOT(ISNUMBER('Price History'!W63)),NOT(ISNUMBER('Price History'!W62)),'Price History'!W62=0),"",'Price History'!W63/'Price History'!W62-1),"")</f>
        <v>3.8947107847182139E-2</v>
      </c>
      <c r="AQ62" s="151" t="str">
        <f>IFERROR(IF(OR(NOT(ISNUMBER('Price History'!X63)),NOT(ISNUMBER('Price History'!X62)),'Price History'!X62=0),"",'Price History'!X63/'Price History'!X62-1),"")</f>
        <v/>
      </c>
      <c r="AR62" s="151">
        <f>IFERROR(IF(OR(NOT(ISNUMBER('Price History'!Y63)),NOT(ISNUMBER('Price History'!Y62)),'Price History'!Y62=0),"",'Price History'!Y63/'Price History'!Y62-1),"")</f>
        <v>2.6794641071785641E-2</v>
      </c>
      <c r="AS62" s="151">
        <f>IFERROR(IF(OR(NOT(ISNUMBER('Price History'!Z63)),NOT(ISNUMBER('Price History'!Z62)),'Price History'!Z62=0),"",'Price History'!Z63/'Price History'!Z62-1),"")</f>
        <v>7.6357432790164159E-2</v>
      </c>
      <c r="AT62" s="151">
        <f>IFERROR(IF(OR(NOT(ISNUMBER('Price History'!AA63)),NOT(ISNUMBER('Price History'!AA62)),'Price History'!AA62=0),"",'Price History'!AA63/'Price History'!AA62-1),"")</f>
        <v>5.1448221134770433E-2</v>
      </c>
      <c r="AU62" s="151">
        <f>IFERROR(IF(OR(NOT(ISNUMBER('Price History'!AB63)),NOT(ISNUMBER('Price History'!AB62)),'Price History'!AB62=0),"",'Price History'!AB63/'Price History'!AB62-1),"")</f>
        <v>0.10442710781088449</v>
      </c>
    </row>
    <row r="63" spans="1:47" ht="15" customHeight="1" x14ac:dyDescent="0.2">
      <c r="A63" s="149">
        <f>IF('Price History'!A64="","",'Price History'!A64)</f>
        <v>45611</v>
      </c>
      <c r="B63" s="150">
        <f>IFERROR(IF(OR(NOT(ISNUMBER('Price History'!B64)),NOT(ISNUMBER('Price History'!B63)),'Price History'!B63=0),"",'Price History'!B64/'Price History'!B63-1),"")</f>
        <v>1.7566911943074359E-2</v>
      </c>
      <c r="C63" s="150">
        <f>IFERROR(IF(OR(NOT(ISNUMBER('Price History'!C64)),NOT(ISNUMBER('Price History'!C63)),'Price History'!C63=0),"",'Price History'!C64/'Price History'!C63-1),"")</f>
        <v>-6.5028468684447116E-2</v>
      </c>
      <c r="D63" s="150">
        <f>IFERROR(IF(OR(NOT(ISNUMBER('Price History'!D64)),NOT(ISNUMBER('Price History'!D63)),'Price History'!D63=0),"",'Price History'!D64/'Price History'!D63-1),"")</f>
        <v>-1.6182798957512623E-2</v>
      </c>
      <c r="E63" s="150">
        <f>IFERROR(IF(OR(NOT(ISNUMBER('Price History'!E64)),NOT(ISNUMBER('Price History'!E63)),'Price History'!E63=0),"",'Price History'!E64/'Price History'!E63-1),"")</f>
        <v>-0.10237659963436918</v>
      </c>
      <c r="F63" s="150">
        <f>IFERROR(IF(OR(NOT(ISNUMBER('Price History'!F64)),NOT(ISNUMBER('Price History'!F63)),'Price History'!F63=0),"",'Price History'!F64/'Price History'!F63-1),"")</f>
        <v>2.0361168343230984E-2</v>
      </c>
      <c r="G63" s="150">
        <f>IFERROR(IF(OR(NOT(ISNUMBER('Price History'!G64)),NOT(ISNUMBER('Price History'!G63)),'Price History'!G63=0),"",'Price History'!G64/'Price History'!G63-1),"")</f>
        <v>-0.10617247489663317</v>
      </c>
      <c r="H63" s="150">
        <f>IFERROR(IF(OR(NOT(ISNUMBER('Price History'!H64)),NOT(ISNUMBER('Price History'!H63)),'Price History'!H63=0),"",'Price History'!H64/'Price History'!H63-1),"")</f>
        <v>-0.13904607922392886</v>
      </c>
      <c r="I63" s="150">
        <f>IFERROR(IF(OR(NOT(ISNUMBER('Price History'!I64)),NOT(ISNUMBER('Price History'!I63)),'Price History'!I63=0),"",'Price History'!I64/'Price History'!I63-1),"")</f>
        <v>-3.8239489234531021E-2</v>
      </c>
      <c r="J63" s="150">
        <f>IFERROR(IF(OR(NOT(ISNUMBER('Price History'!J64)),NOT(ISNUMBER('Price History'!J63)),'Price History'!J63=0),"",'Price History'!J64/'Price History'!J63-1),"")</f>
        <v>-2.0767952741369777E-2</v>
      </c>
      <c r="K63" s="150">
        <f>IFERROR(IF(OR(NOT(ISNUMBER('Price History'!K64)),NOT(ISNUMBER('Price History'!K63)),'Price History'!K63=0),"",'Price History'!K64/'Price History'!K63-1),"")</f>
        <v>0.1263915053947593</v>
      </c>
      <c r="L63" s="150">
        <f>IFERROR(IF(OR(NOT(ISNUMBER('Price History'!L64)),NOT(ISNUMBER('Price History'!L63)),'Price History'!L63=0),"",'Price History'!L64/'Price History'!L63-1),"")</f>
        <v>-7.5477463712757764E-2</v>
      </c>
      <c r="M63" s="150">
        <f>IFERROR(IF(OR(NOT(ISNUMBER('Price History'!M64)),NOT(ISNUMBER('Price History'!M63)),'Price History'!M63=0),"",'Price History'!M64/'Price History'!M63-1),"")</f>
        <v>-3.882024711040255E-2</v>
      </c>
      <c r="N63" s="150">
        <f>IFERROR(IF(OR(NOT(ISNUMBER('Price History'!N64)),NOT(ISNUMBER('Price History'!N63)),'Price History'!N63=0),"",'Price History'!N64/'Price History'!N63-1),"")</f>
        <v>-9.8773077369663675E-2</v>
      </c>
      <c r="O63" s="150">
        <f>IFERROR(IF(OR(NOT(ISNUMBER('Price History'!O64)),NOT(ISNUMBER('Price History'!O63)),'Price History'!O63=0),"",'Price History'!O64/'Price History'!O63-1),"")</f>
        <v>-1.940388077615518E-2</v>
      </c>
      <c r="P63" s="150">
        <f>IFERROR(IF(OR(NOT(ISNUMBER('Price History'!P64)),NOT(ISNUMBER('Price History'!P63)),'Price History'!P63=0),"",'Price History'!P64/'Price History'!P63-1),"")</f>
        <v>1.2431046538730062E-3</v>
      </c>
      <c r="Q63" s="150">
        <f>IFERROR(IF(OR(NOT(ISNUMBER('Price History'!Q64)),NOT(ISNUMBER('Price History'!Q63)),'Price History'!Q63=0),"",'Price History'!Q64/'Price History'!Q63-1),"")</f>
        <v>-9.5222724338283049E-3</v>
      </c>
      <c r="R63" s="150">
        <f>IFERROR(IF(OR(NOT(ISNUMBER('Price History'!R64)),NOT(ISNUMBER('Price History'!R63)),'Price History'!R63=0),"",'Price History'!R64/'Price History'!R63-1),"")</f>
        <v>-1.6483516483516536E-2</v>
      </c>
      <c r="S63" s="150">
        <f>IFERROR(IF(OR(NOT(ISNUMBER('Price History'!S64)),NOT(ISNUMBER('Price History'!S63)),'Price History'!S63=0),"",'Price History'!S64/'Price History'!S63-1),"")</f>
        <v>-3.0830536912751616E-2</v>
      </c>
      <c r="T63" s="150">
        <f>IFERROR(IF(OR(NOT(ISNUMBER('Price History'!T64)),NOT(ISNUMBER('Price History'!T63)),'Price History'!T63=0),"",'Price History'!T64/'Price History'!T63-1),"")</f>
        <v>-1.5234262719172165E-2</v>
      </c>
      <c r="U63" s="150">
        <f>IFERROR(IF(OR(NOT(ISNUMBER('Price History'!U64)),NOT(ISNUMBER('Price History'!U63)),'Price History'!U63=0),"",'Price History'!U64/'Price History'!U63-1),"")</f>
        <v>-1.552106430155209E-2</v>
      </c>
      <c r="V63" s="151">
        <f>IFERROR(IF(OR(NOT(ISNUMBER('Price History'!V64)),NOT(ISNUMBER('Price History'!V63)),'Price History'!V63=0),"",'Price History'!V64/'Price History'!V63-1),"")</f>
        <v>7.6491922189252382E-3</v>
      </c>
      <c r="W63" s="152">
        <f>IFERROR('Price History'!B3+(INDEX('Price History'!B:B,MATCH(9.99E+307,'Returns (Calc)'!$A:$A)+1)-'Price History'!B3)*(ROW()-3)/(MATCH(9.99E+307,'Returns (Calc)'!$A:$A)-3),"")</f>
        <v>420.73150943396223</v>
      </c>
      <c r="X63" s="152">
        <f>IFERROR('Price History'!C3+(INDEX('Price History'!C:C,MATCH(9.99E+307,'Returns (Calc)'!$A:$A)+1)-'Price History'!C3)*(ROW()-3)/(MATCH(9.99E+307,'Returns (Calc)'!$A:$A)-3),"")</f>
        <v>110.5422641509434</v>
      </c>
      <c r="Y63" s="152">
        <f>IFERROR('Price History'!D3+(INDEX('Price History'!D:D,MATCH(9.99E+307,'Returns (Calc)'!$A:$A)+1)-'Price History'!D3)*(ROW()-3)/(MATCH(9.99E+307,'Returns (Calc)'!$A:$A)-3),"")</f>
        <v>1034.21</v>
      </c>
      <c r="Z63" s="152">
        <f>IFERROR('Price History'!E3+(INDEX('Price History'!E:E,MATCH(9.99E+307,'Returns (Calc)'!$A:$A)+1)-'Price History'!E3)*(ROW()-3)/(MATCH(9.99E+307,'Returns (Calc)'!$A:$A)-3),"")</f>
        <v>187.4867924528302</v>
      </c>
      <c r="AA63" s="152">
        <f>IFERROR('Price History'!F3+(INDEX('Price History'!F:F,MATCH(9.99E+307,'Returns (Calc)'!$A:$A)+1)-'Price History'!F3)*(ROW()-3)/(MATCH(9.99E+307,'Returns (Calc)'!$A:$A)-3),"")</f>
        <v>129.54113207547169</v>
      </c>
      <c r="AB63" s="152">
        <f>IFERROR('Price History'!G3+(INDEX('Price History'!G:G,MATCH(9.99E+307,'Returns (Calc)'!$A:$A)+1)-'Price History'!G3)*(ROW()-3)/(MATCH(9.99E+307,'Returns (Calc)'!$A:$A)-3),"")</f>
        <v>101.41415094339624</v>
      </c>
      <c r="AC63" s="152">
        <f>IFERROR('Price History'!H3+(INDEX('Price History'!H:H,MATCH(9.99E+307,'Returns (Calc)'!$A:$A)+1)-'Price History'!H3)*(ROW()-3)/(MATCH(9.99E+307,'Returns (Calc)'!$A:$A)-3),"")</f>
        <v>431.33264150943398</v>
      </c>
      <c r="AD63" s="152">
        <f>IFERROR('Price History'!I3+(INDEX('Price History'!I:I,MATCH(9.99E+307,'Returns (Calc)'!$A:$A)+1)-'Price History'!I3)*(ROW()-3)/(MATCH(9.99E+307,'Returns (Calc)'!$A:$A)-3),"")</f>
        <v>113.77377358490565</v>
      </c>
      <c r="AE63" s="152">
        <f>IFERROR('Price History'!J3+(INDEX('Price History'!J:J,MATCH(9.99E+307,'Returns (Calc)'!$A:$A)+1)-'Price History'!J3)*(ROW()-3)/(MATCH(9.99E+307,'Returns (Calc)'!$A:$A)-3),"")</f>
        <v>118.50037735849057</v>
      </c>
      <c r="AF63" s="152">
        <f>IFERROR('Price History'!K3+(INDEX('Price History'!K:K,MATCH(9.99E+307,'Returns (Calc)'!$A:$A)+1)-'Price History'!K3)*(ROW()-3)/(MATCH(9.99E+307,'Returns (Calc)'!$A:$A)-3),"")</f>
        <v>88.431886792452829</v>
      </c>
      <c r="AG63" s="152">
        <f>IFERROR('Price History'!L3+(INDEX('Price History'!L:L,MATCH(9.99E+307,'Returns (Calc)'!$A:$A)+1)-'Price History'!L3)*(ROW()-3)/(MATCH(9.99E+307,'Returns (Calc)'!$A:$A)-3),"")</f>
        <v>224.45188679245283</v>
      </c>
      <c r="AH63" s="152">
        <f>IFERROR('Price History'!M3+(INDEX('Price History'!M:M,MATCH(9.99E+307,'Returns (Calc)'!$A:$A)+1)-'Price History'!M3)*(ROW()-3)/(MATCH(9.99E+307,'Returns (Calc)'!$A:$A)-3),"")</f>
        <v>115.28792452830189</v>
      </c>
      <c r="AI63" s="152">
        <f>IFERROR('Price History'!N3+(INDEX('Price History'!N:N,MATCH(9.99E+307,'Returns (Calc)'!$A:$A)+1)-'Price History'!N3)*(ROW()-3)/(MATCH(9.99E+307,'Returns (Calc)'!$A:$A)-3),"")</f>
        <v>409.72264150943397</v>
      </c>
      <c r="AJ63" s="152">
        <f>IFERROR('Price History'!O3+(INDEX('Price History'!O:O,MATCH(9.99E+307,'Returns (Calc)'!$A:$A)+1)-'Price History'!O3)*(ROW()-3)/(MATCH(9.99E+307,'Returns (Calc)'!$A:$A)-3),"")</f>
        <v>92.038301886792453</v>
      </c>
      <c r="AK63" s="152">
        <f>IFERROR('Price History'!Q3+(INDEX('Price History'!Q:Q,MATCH(9.99E+307,'Returns (Calc)'!$A:$A)+1)-'Price History'!Q3)*(ROW()-3)/(MATCH(9.99E+307,'Returns (Calc)'!$A:$A)-3),"")</f>
        <v>26.403773584905661</v>
      </c>
      <c r="AL63" s="152">
        <f>IFERROR('Price History'!R3+(INDEX('Price History'!R:R,MATCH(9.99E+307,'Returns (Calc)'!$A:$A)+1)-'Price History'!R3)*(ROW()-3)/(MATCH(9.99E+307,'Returns (Calc)'!$A:$A)-3),"")</f>
        <v>44.521509433962265</v>
      </c>
      <c r="AM63" s="152">
        <f>IFERROR('Price History'!S3+(INDEX('Price History'!S:S,MATCH(9.99E+307,'Returns (Calc)'!$A:$A)+1)-'Price History'!S3)*(ROW()-3)/(MATCH(9.99E+307,'Returns (Calc)'!$A:$A)-3),"")</f>
        <v>92.924339622641511</v>
      </c>
      <c r="AN63" s="152">
        <f>IFERROR('Price History'!T3+(INDEX('Price History'!T:T,MATCH(9.99E+307,'Returns (Calc)'!$A:$A)+1)-'Price History'!T3)*(ROW()-3)/(MATCH(9.99E+307,'Returns (Calc)'!$A:$A)-3),"")</f>
        <v>35.655094339622643</v>
      </c>
      <c r="AO63" s="153">
        <f>IFERROR('Price History'!V3+(INDEX('Price History'!V:V,MATCH(9.99E+307,'Returns (Calc)'!$A:$A)+1)-'Price History'!V3)*(ROW()-3)/(MATCH(9.99E+307,'Returns (Calc)'!$A:$A)-3),"")</f>
        <v>292.16584905660375</v>
      </c>
      <c r="AP63" s="151">
        <f>IFERROR(IF(OR(NOT(ISNUMBER('Price History'!W64)),NOT(ISNUMBER('Price History'!W63)),'Price History'!W63=0),"",'Price History'!W64/'Price History'!W63-1),"")</f>
        <v>-1.3581129378127166E-2</v>
      </c>
      <c r="AQ63" s="151" t="str">
        <f>IFERROR(IF(OR(NOT(ISNUMBER('Price History'!X64)),NOT(ISNUMBER('Price History'!X63)),'Price History'!X63=0),"",'Price History'!X64/'Price History'!X63-1),"")</f>
        <v/>
      </c>
      <c r="AR63" s="151">
        <f>IFERROR(IF(OR(NOT(ISNUMBER('Price History'!Y64)),NOT(ISNUMBER('Price History'!Y63)),'Price History'!Y63=0),"",'Price History'!Y64/'Price History'!Y63-1),"")</f>
        <v>-1.2658227848101222E-2</v>
      </c>
      <c r="AS63" s="151">
        <f>IFERROR(IF(OR(NOT(ISNUMBER('Price History'!Z64)),NOT(ISNUMBER('Price History'!Z63)),'Price History'!Z63=0),"",'Price History'!Z64/'Price History'!Z63-1),"")</f>
        <v>-4.2629939334317135E-2</v>
      </c>
      <c r="AT63" s="151">
        <f>IFERROR(IF(OR(NOT(ISNUMBER('Price History'!AA64)),NOT(ISNUMBER('Price History'!AA63)),'Price History'!AA63=0),"",'Price History'!AA64/'Price History'!AA63-1),"")</f>
        <v>3.647798742138364E-2</v>
      </c>
      <c r="AU63" s="151">
        <f>IFERROR(IF(OR(NOT(ISNUMBER('Price History'!AB64)),NOT(ISNUMBER('Price History'!AB63)),'Price History'!AB63=0),"",'Price History'!AB64/'Price History'!AB63-1),"")</f>
        <v>-9.2085106382978621E-2</v>
      </c>
    </row>
    <row r="64" spans="1:47" ht="15" customHeight="1" x14ac:dyDescent="0.2">
      <c r="A64" s="149">
        <f>IF('Price History'!A65="","",'Price History'!A65)</f>
        <v>45618</v>
      </c>
      <c r="B64" s="150">
        <f>IFERROR(IF(OR(NOT(ISNUMBER('Price History'!B65)),NOT(ISNUMBER('Price History'!B64)),'Price History'!B64=0),"",'Price History'!B65/'Price History'!B64-1),"")</f>
        <v>1.7442437968095081E-2</v>
      </c>
      <c r="C64" s="150">
        <f>IFERROR(IF(OR(NOT(ISNUMBER('Price History'!C65)),NOT(ISNUMBER('Price History'!C64)),'Price History'!C64=0),"",'Price History'!C65/'Price History'!C64-1),"")</f>
        <v>8.5683760683760823E-2</v>
      </c>
      <c r="D64" s="150">
        <f>IFERROR(IF(OR(NOT(ISNUMBER('Price History'!D65)),NOT(ISNUMBER('Price History'!D64)),'Price History'!D64=0),"",'Price History'!D65/'Price History'!D64-1),"")</f>
        <v>2.1623952686052439E-2</v>
      </c>
      <c r="E64" s="150">
        <f>IFERROR(IF(OR(NOT(ISNUMBER('Price History'!E65)),NOT(ISNUMBER('Price History'!E64)),'Price History'!E64=0),"",'Price History'!E65/'Price History'!E64-1),"")</f>
        <v>-3.7030179596371227E-3</v>
      </c>
      <c r="F64" s="150">
        <f>IFERROR(IF(OR(NOT(ISNUMBER('Price History'!F65)),NOT(ISNUMBER('Price History'!F64)),'Price History'!F64=0),"",'Price History'!F65/'Price History'!F64-1),"")</f>
        <v>0.10547570970424025</v>
      </c>
      <c r="G64" s="150">
        <f>IFERROR(IF(OR(NOT(ISNUMBER('Price History'!G65)),NOT(ISNUMBER('Price History'!G64)),'Price History'!G64=0),"",'Price History'!G65/'Price History'!G64-1),"")</f>
        <v>4.3779943829505896E-2</v>
      </c>
      <c r="H64" s="150">
        <f>IFERROR(IF(OR(NOT(ISNUMBER('Price History'!H65)),NOT(ISNUMBER('Price History'!H64)),'Price History'!H64=0),"",'Price History'!H65/'Price History'!H64-1),"")</f>
        <v>6.5310380803338619E-2</v>
      </c>
      <c r="I64" s="150">
        <f>IFERROR(IF(OR(NOT(ISNUMBER('Price History'!I65)),NOT(ISNUMBER('Price History'!I64)),'Price History'!I64=0),"",'Price History'!I65/'Price History'!I64-1),"")</f>
        <v>-2.1186440677967155E-4</v>
      </c>
      <c r="J64" s="150">
        <f>IFERROR(IF(OR(NOT(ISNUMBER('Price History'!J65)),NOT(ISNUMBER('Price History'!J64)),'Price History'!J64=0),"",'Price History'!J65/'Price History'!J64-1),"")</f>
        <v>2.0925629182769301E-2</v>
      </c>
      <c r="K64" s="150">
        <f>IFERROR(IF(OR(NOT(ISNUMBER('Price History'!K65)),NOT(ISNUMBER('Price History'!K64)),'Price History'!K64=0),"",'Price History'!K65/'Price History'!K64-1),"")</f>
        <v>-2.1590390755663713E-2</v>
      </c>
      <c r="L64" s="150">
        <f>IFERROR(IF(OR(NOT(ISNUMBER('Price History'!L65)),NOT(ISNUMBER('Price History'!L64)),'Price History'!L64=0),"",'Price History'!L65/'Price History'!L64-1),"")</f>
        <v>2.1869663416515195E-2</v>
      </c>
      <c r="M64" s="150">
        <f>IFERROR(IF(OR(NOT(ISNUMBER('Price History'!M65)),NOT(ISNUMBER('Price History'!M64)),'Price History'!M64=0),"",'Price History'!M65/'Price History'!M64-1),"")</f>
        <v>0.1594791839442693</v>
      </c>
      <c r="N64" s="150">
        <f>IFERROR(IF(OR(NOT(ISNUMBER('Price History'!N65)),NOT(ISNUMBER('Price History'!N64)),'Price History'!N64=0),"",'Price History'!N65/'Price History'!N64-1),"")</f>
        <v>-3.1629804595232902E-2</v>
      </c>
      <c r="O64" s="150">
        <f>IFERROR(IF(OR(NOT(ISNUMBER('Price History'!O65)),NOT(ISNUMBER('Price History'!O64)),'Price History'!O64=0),"",'Price History'!O65/'Price History'!O64-1),"")</f>
        <v>3.6515707874337E-2</v>
      </c>
      <c r="P64" s="150">
        <f>IFERROR(IF(OR(NOT(ISNUMBER('Price History'!P65)),NOT(ISNUMBER('Price History'!P64)),'Price History'!P64=0),"",'Price History'!P65/'Price History'!P64-1),"")</f>
        <v>2.7159152634437911E-2</v>
      </c>
      <c r="Q64" s="150">
        <f>IFERROR(IF(OR(NOT(ISNUMBER('Price History'!Q65)),NOT(ISNUMBER('Price History'!Q64)),'Price History'!Q64=0),"",'Price History'!Q65/'Price History'!Q64-1),"")</f>
        <v>7.4955189832166536E-3</v>
      </c>
      <c r="R64" s="150">
        <f>IFERROR(IF(OR(NOT(ISNUMBER('Price History'!R65)),NOT(ISNUMBER('Price History'!R64)),'Price History'!R64=0),"",'Price History'!R65/'Price History'!R64-1),"")</f>
        <v>1.7206703910614518E-2</v>
      </c>
      <c r="S64" s="150">
        <f>IFERROR(IF(OR(NOT(ISNUMBER('Price History'!S65)),NOT(ISNUMBER('Price History'!S64)),'Price History'!S64=0),"",'Price History'!S65/'Price History'!S64-1),"")</f>
        <v>1.785327851114471E-2</v>
      </c>
      <c r="T64" s="150">
        <f>IFERROR(IF(OR(NOT(ISNUMBER('Price History'!T65)),NOT(ISNUMBER('Price History'!T64)),'Price History'!T64=0),"",'Price History'!T65/'Price History'!T64-1),"")</f>
        <v>3.8528896672504365E-2</v>
      </c>
      <c r="U64" s="150">
        <f>IFERROR(IF(OR(NOT(ISNUMBER('Price History'!U65)),NOT(ISNUMBER('Price History'!U64)),'Price History'!U64=0),"",'Price History'!U65/'Price History'!U64-1),"")</f>
        <v>2.5150150150150097E-2</v>
      </c>
      <c r="V64" s="151">
        <f>IFERROR(IF(OR(NOT(ISNUMBER('Price History'!V65)),NOT(ISNUMBER('Price History'!V64)),'Price History'!V64=0),"",'Price History'!V65/'Price History'!V64-1),"")</f>
        <v>9.1617040769564895E-4</v>
      </c>
      <c r="W64" s="152">
        <f>IFERROR('Price History'!B3+(INDEX('Price History'!B:B,MATCH(9.99E+307,'Returns (Calc)'!$A:$A)+1)-'Price History'!B3)*(ROW()-3)/(MATCH(9.99E+307,'Returns (Calc)'!$A:$A)-3),"")</f>
        <v>418.92886792452828</v>
      </c>
      <c r="X64" s="152">
        <f>IFERROR('Price History'!C3+(INDEX('Price History'!C:C,MATCH(9.99E+307,'Returns (Calc)'!$A:$A)+1)-'Price History'!C3)*(ROW()-3)/(MATCH(9.99E+307,'Returns (Calc)'!$A:$A)-3),"")</f>
        <v>111.61496855345911</v>
      </c>
      <c r="Y64" s="152">
        <f>IFERROR('Price History'!D3+(INDEX('Price History'!D:D,MATCH(9.99E+307,'Returns (Calc)'!$A:$A)+1)-'Price History'!D3)*(ROW()-3)/(MATCH(9.99E+307,'Returns (Calc)'!$A:$A)-3),"")</f>
        <v>1041.7466666666667</v>
      </c>
      <c r="Z64" s="152">
        <f>IFERROR('Price History'!E3+(INDEX('Price History'!E:E,MATCH(9.99E+307,'Returns (Calc)'!$A:$A)+1)-'Price History'!E3)*(ROW()-3)/(MATCH(9.99E+307,'Returns (Calc)'!$A:$A)-3),"")</f>
        <v>189.24490566037736</v>
      </c>
      <c r="AA64" s="152">
        <f>IFERROR('Price History'!F3+(INDEX('Price History'!F:F,MATCH(9.99E+307,'Returns (Calc)'!$A:$A)+1)-'Price History'!F3)*(ROW()-3)/(MATCH(9.99E+307,'Returns (Calc)'!$A:$A)-3),"")</f>
        <v>131.01081761006287</v>
      </c>
      <c r="AB64" s="152">
        <f>IFERROR('Price History'!G3+(INDEX('Price History'!G:G,MATCH(9.99E+307,'Returns (Calc)'!$A:$A)+1)-'Price History'!G3)*(ROW()-3)/(MATCH(9.99E+307,'Returns (Calc)'!$A:$A)-3),"")</f>
        <v>102.36522012578617</v>
      </c>
      <c r="AC64" s="152">
        <f>IFERROR('Price History'!H3+(INDEX('Price History'!H:H,MATCH(9.99E+307,'Returns (Calc)'!$A:$A)+1)-'Price History'!H3)*(ROW()-3)/(MATCH(9.99E+307,'Returns (Calc)'!$A:$A)-3),"")</f>
        <v>437.36968553459121</v>
      </c>
      <c r="AD64" s="152">
        <f>IFERROR('Price History'!I3+(INDEX('Price History'!I:I,MATCH(9.99E+307,'Returns (Calc)'!$A:$A)+1)-'Price History'!I3)*(ROW()-3)/(MATCH(9.99E+307,'Returns (Calc)'!$A:$A)-3),"")</f>
        <v>114.94050314465409</v>
      </c>
      <c r="AE64" s="152">
        <f>IFERROR('Price History'!J3+(INDEX('Price History'!J:J,MATCH(9.99E+307,'Returns (Calc)'!$A:$A)+1)-'Price History'!J3)*(ROW()-3)/(MATCH(9.99E+307,'Returns (Calc)'!$A:$A)-3),"")</f>
        <v>118.61138364779875</v>
      </c>
      <c r="AF64" s="152">
        <f>IFERROR('Price History'!K3+(INDEX('Price History'!K:K,MATCH(9.99E+307,'Returns (Calc)'!$A:$A)+1)-'Price History'!K3)*(ROW()-3)/(MATCH(9.99E+307,'Returns (Calc)'!$A:$A)-3),"")</f>
        <v>89.650251572327036</v>
      </c>
      <c r="AG64" s="152">
        <f>IFERROR('Price History'!L3+(INDEX('Price History'!L:L,MATCH(9.99E+307,'Returns (Calc)'!$A:$A)+1)-'Price History'!L3)*(ROW()-3)/(MATCH(9.99E+307,'Returns (Calc)'!$A:$A)-3),"")</f>
        <v>226.76358490566037</v>
      </c>
      <c r="AH64" s="152">
        <f>IFERROR('Price History'!M3+(INDEX('Price History'!M:M,MATCH(9.99E+307,'Returns (Calc)'!$A:$A)+1)-'Price History'!M3)*(ROW()-3)/(MATCH(9.99E+307,'Returns (Calc)'!$A:$A)-3),"")</f>
        <v>116.57572327044025</v>
      </c>
      <c r="AI64" s="152">
        <f>IFERROR('Price History'!N3+(INDEX('Price History'!N:N,MATCH(9.99E+307,'Returns (Calc)'!$A:$A)+1)-'Price History'!N3)*(ROW()-3)/(MATCH(9.99E+307,'Returns (Calc)'!$A:$A)-3),"")</f>
        <v>410.73635220125783</v>
      </c>
      <c r="AJ64" s="152">
        <f>IFERROR('Price History'!O3+(INDEX('Price History'!O:O,MATCH(9.99E+307,'Returns (Calc)'!$A:$A)+1)-'Price History'!O3)*(ROW()-3)/(MATCH(9.99E+307,'Returns (Calc)'!$A:$A)-3),"")</f>
        <v>92.317106918238991</v>
      </c>
      <c r="AK64" s="152">
        <f>IFERROR('Price History'!Q3+(INDEX('Price History'!Q:Q,MATCH(9.99E+307,'Returns (Calc)'!$A:$A)+1)-'Price History'!Q3)*(ROW()-3)/(MATCH(9.99E+307,'Returns (Calc)'!$A:$A)-3),"")</f>
        <v>26.843836477987423</v>
      </c>
      <c r="AL64" s="152">
        <f>IFERROR('Price History'!R3+(INDEX('Price History'!R:R,MATCH(9.99E+307,'Returns (Calc)'!$A:$A)+1)-'Price History'!R3)*(ROW()-3)/(MATCH(9.99E+307,'Returns (Calc)'!$A:$A)-3),"")</f>
        <v>44.688867924528303</v>
      </c>
      <c r="AM64" s="152">
        <f>IFERROR('Price History'!S3+(INDEX('Price History'!S:S,MATCH(9.99E+307,'Returns (Calc)'!$A:$A)+1)-'Price History'!S3)*(ROW()-3)/(MATCH(9.99E+307,'Returns (Calc)'!$A:$A)-3),"")</f>
        <v>93.512578616352201</v>
      </c>
      <c r="AN64" s="152">
        <f>IFERROR('Price History'!T3+(INDEX('Price History'!T:T,MATCH(9.99E+307,'Returns (Calc)'!$A:$A)+1)-'Price History'!T3)*(ROW()-3)/(MATCH(9.99E+307,'Returns (Calc)'!$A:$A)-3),"")</f>
        <v>35.82867924528302</v>
      </c>
      <c r="AO64" s="153">
        <f>IFERROR('Price History'!V3+(INDEX('Price History'!V:V,MATCH(9.99E+307,'Returns (Calc)'!$A:$A)+1)-'Price History'!V3)*(ROW()-3)/(MATCH(9.99E+307,'Returns (Calc)'!$A:$A)-3),"")</f>
        <v>293.10811320754715</v>
      </c>
      <c r="AP64" s="151">
        <f>IFERROR(IF(OR(NOT(ISNUMBER('Price History'!W65)),NOT(ISNUMBER('Price History'!W64)),'Price History'!W64=0),"",'Price History'!W65/'Price History'!W64-1),"")</f>
        <v>2.2383252818035437E-2</v>
      </c>
      <c r="AQ64" s="151" t="str">
        <f>IFERROR(IF(OR(NOT(ISNUMBER('Price History'!X65)),NOT(ISNUMBER('Price History'!X64)),'Price History'!X64=0),"",'Price History'!X65/'Price History'!X64-1),"")</f>
        <v/>
      </c>
      <c r="AR64" s="151">
        <f>IFERROR(IF(OR(NOT(ISNUMBER('Price History'!Y65)),NOT(ISNUMBER('Price History'!Y64)),'Price History'!Y64=0),"",'Price History'!Y65/'Price History'!Y64-1),"")</f>
        <v>1.4990138067061176E-2</v>
      </c>
      <c r="AS64" s="151">
        <f>IFERROR(IF(OR(NOT(ISNUMBER('Price History'!Z65)),NOT(ISNUMBER('Price History'!Z64)),'Price History'!Z64=0),"",'Price History'!Z65/'Price History'!Z64-1),"")</f>
        <v>2.3862533538848041E-2</v>
      </c>
      <c r="AT64" s="151">
        <f>IFERROR(IF(OR(NOT(ISNUMBER('Price History'!AA65)),NOT(ISNUMBER('Price History'!AA64)),'Price History'!AA64=0),"",'Price History'!AA65/'Price History'!AA64-1),"")</f>
        <v>8.9563106796116454E-2</v>
      </c>
      <c r="AU64" s="151">
        <f>IFERROR(IF(OR(NOT(ISNUMBER('Price History'!AB65)),NOT(ISNUMBER('Price History'!AB64)),'Price History'!AB64=0),"",'Price History'!AB65/'Price History'!AB64-1),"")</f>
        <v>1.5091863517060267E-2</v>
      </c>
    </row>
    <row r="65" spans="1:47" ht="15" customHeight="1" x14ac:dyDescent="0.2">
      <c r="A65" s="149">
        <f>IF('Price History'!A66="","",'Price History'!A66)</f>
        <v>45625</v>
      </c>
      <c r="B65" s="150">
        <f>IFERROR(IF(OR(NOT(ISNUMBER('Price History'!B66)),NOT(ISNUMBER('Price History'!B65)),'Price History'!B65=0),"",'Price History'!B66/'Price History'!B65-1),"")</f>
        <v>7.3806502001365626E-3</v>
      </c>
      <c r="C65" s="150">
        <f>IFERROR(IF(OR(NOT(ISNUMBER('Price History'!C66)),NOT(ISNUMBER('Price History'!C65)),'Price History'!C65=0),"",'Price History'!C66/'Price History'!C65-1),"")</f>
        <v>-1.5744932099981401E-3</v>
      </c>
      <c r="D65" s="150">
        <f>IFERROR(IF(OR(NOT(ISNUMBER('Price History'!D66)),NOT(ISNUMBER('Price History'!D65)),'Price History'!D65=0),"",'Price History'!D66/'Price History'!D65-1),"")</f>
        <v>2.0412470602424015E-2</v>
      </c>
      <c r="E65" s="150">
        <f>IFERROR(IF(OR(NOT(ISNUMBER('Price History'!E66)),NOT(ISNUMBER('Price History'!E65)),'Price History'!E65=0),"",'Price History'!E66/'Price History'!E65-1),"")</f>
        <v>-1.3070680790435607E-2</v>
      </c>
      <c r="F65" s="150">
        <f>IFERROR(IF(OR(NOT(ISNUMBER('Price History'!F66)),NOT(ISNUMBER('Price History'!F65)),'Price History'!F65=0),"",'Price History'!F66/'Price History'!F65-1),"")</f>
        <v>-7.0699473514558964E-2</v>
      </c>
      <c r="G65" s="150">
        <f>IFERROR(IF(OR(NOT(ISNUMBER('Price History'!G66)),NOT(ISNUMBER('Price History'!G65)),'Price History'!G65=0),"",'Price History'!G66/'Price History'!G65-1),"")</f>
        <v>1.1712567268122864E-2</v>
      </c>
      <c r="H65" s="150">
        <f>IFERROR(IF(OR(NOT(ISNUMBER('Price History'!H66)),NOT(ISNUMBER('Price History'!H65)),'Price History'!H65=0),"",'Price History'!H66/'Price History'!H65-1),"")</f>
        <v>-4.563705807462537E-2</v>
      </c>
      <c r="I65" s="150">
        <f>IFERROR(IF(OR(NOT(ISNUMBER('Price History'!I66)),NOT(ISNUMBER('Price History'!I65)),'Price History'!I65=0),"",'Price History'!I66/'Price History'!I65-1),"")</f>
        <v>-2.6064844246662444E-2</v>
      </c>
      <c r="J65" s="150">
        <f>IFERROR(IF(OR(NOT(ISNUMBER('Price History'!J66)),NOT(ISNUMBER('Price History'!J65)),'Price History'!J65=0),"",'Price History'!J66/'Price History'!J65-1),"")</f>
        <v>8.4941371987812264E-3</v>
      </c>
      <c r="K65" s="150">
        <f>IFERROR(IF(OR(NOT(ISNUMBER('Price History'!K66)),NOT(ISNUMBER('Price History'!K65)),'Price History'!K65=0),"",'Price History'!K66/'Price History'!K65-1),"")</f>
        <v>4.2424242424242475E-2</v>
      </c>
      <c r="L65" s="150">
        <f>IFERROR(IF(OR(NOT(ISNUMBER('Price History'!L66)),NOT(ISNUMBER('Price History'!L65)),'Price History'!L65=0),"",'Price History'!L66/'Price History'!L65-1),"")</f>
        <v>-2.8517520215633363E-2</v>
      </c>
      <c r="M65" s="150">
        <f>IFERROR(IF(OR(NOT(ISNUMBER('Price History'!M66)),NOT(ISNUMBER('Price History'!M65)),'Price History'!M65=0),"",'Price History'!M66/'Price History'!M65-1),"")</f>
        <v>-8.9550103712180751E-2</v>
      </c>
      <c r="N65" s="150">
        <f>IFERROR(IF(OR(NOT(ISNUMBER('Price History'!N66)),NOT(ISNUMBER('Price History'!N65)),'Price History'!N65=0),"",'Price History'!N66/'Price History'!N65-1),"")</f>
        <v>3.8051311617180561E-2</v>
      </c>
      <c r="O65" s="150">
        <f>IFERROR(IF(OR(NOT(ISNUMBER('Price History'!O66)),NOT(ISNUMBER('Price History'!O65)),'Price History'!O65=0),"",'Price History'!O66/'Price History'!O65-1),"")</f>
        <v>6.7900019681164103E-3</v>
      </c>
      <c r="P65" s="150">
        <f>IFERROR(IF(OR(NOT(ISNUMBER('Price History'!P66)),NOT(ISNUMBER('Price History'!P65)),'Price History'!P65=0),"",'Price History'!P66/'Price History'!P65-1),"")</f>
        <v>9.3676814988290502E-3</v>
      </c>
      <c r="Q65" s="150">
        <f>IFERROR(IF(OR(NOT(ISNUMBER('Price History'!Q66)),NOT(ISNUMBER('Price History'!Q65)),'Price History'!Q65=0),"",'Price History'!Q66/'Price History'!Q65-1),"")</f>
        <v>6.145883875141589E-3</v>
      </c>
      <c r="R65" s="150">
        <f>IFERROR(IF(OR(NOT(ISNUMBER('Price History'!R66)),NOT(ISNUMBER('Price History'!R65)),'Price History'!R65=0),"",'Price History'!R66/'Price History'!R65-1),"")</f>
        <v>9.2267135325130312E-3</v>
      </c>
      <c r="S65" s="150">
        <f>IFERROR(IF(OR(NOT(ISNUMBER('Price History'!S66)),NOT(ISNUMBER('Price History'!S65)),'Price History'!S65=0),"",'Price History'!S66/'Price History'!S65-1),"")</f>
        <v>1.3075369405761705E-2</v>
      </c>
      <c r="T65" s="150">
        <f>IFERROR(IF(OR(NOT(ISNUMBER('Price History'!T66)),NOT(ISNUMBER('Price History'!T65)),'Price History'!T65=0),"",'Price History'!T66/'Price History'!T65-1),"")</f>
        <v>1.9673974142777606E-3</v>
      </c>
      <c r="U65" s="150">
        <f>IFERROR(IF(OR(NOT(ISNUMBER('Price History'!U66)),NOT(ISNUMBER('Price History'!U65)),'Price History'!U65=0),"",'Price History'!U66/'Price History'!U65-1),"")</f>
        <v>6.2248260710362491E-3</v>
      </c>
      <c r="V65" s="151">
        <f>IFERROR(IF(OR(NOT(ISNUMBER('Price History'!V66)),NOT(ISNUMBER('Price History'!V65)),'Price History'!V65=0),"",'Price History'!V66/'Price History'!V65-1),"")</f>
        <v>1.6639424648578149E-2</v>
      </c>
      <c r="W65" s="152">
        <f>IFERROR('Price History'!B3+(INDEX('Price History'!B:B,MATCH(9.99E+307,'Returns (Calc)'!$A:$A)+1)-'Price History'!B3)*(ROW()-3)/(MATCH(9.99E+307,'Returns (Calc)'!$A:$A)-3),"")</f>
        <v>417.12622641509432</v>
      </c>
      <c r="X65" s="152">
        <f>IFERROR('Price History'!C3+(INDEX('Price History'!C:C,MATCH(9.99E+307,'Returns (Calc)'!$A:$A)+1)-'Price History'!C3)*(ROW()-3)/(MATCH(9.99E+307,'Returns (Calc)'!$A:$A)-3),"")</f>
        <v>112.68767295597485</v>
      </c>
      <c r="Y65" s="152">
        <f>IFERROR('Price History'!D3+(INDEX('Price History'!D:D,MATCH(9.99E+307,'Returns (Calc)'!$A:$A)+1)-'Price History'!D3)*(ROW()-3)/(MATCH(9.99E+307,'Returns (Calc)'!$A:$A)-3),"")</f>
        <v>1049.2833333333333</v>
      </c>
      <c r="Z65" s="152">
        <f>IFERROR('Price History'!E3+(INDEX('Price History'!E:E,MATCH(9.99E+307,'Returns (Calc)'!$A:$A)+1)-'Price History'!E3)*(ROW()-3)/(MATCH(9.99E+307,'Returns (Calc)'!$A:$A)-3),"")</f>
        <v>191.00301886792454</v>
      </c>
      <c r="AA65" s="152">
        <f>IFERROR('Price History'!F3+(INDEX('Price History'!F:F,MATCH(9.99E+307,'Returns (Calc)'!$A:$A)+1)-'Price History'!F3)*(ROW()-3)/(MATCH(9.99E+307,'Returns (Calc)'!$A:$A)-3),"")</f>
        <v>132.48050314465408</v>
      </c>
      <c r="AB65" s="152">
        <f>IFERROR('Price History'!G3+(INDEX('Price History'!G:G,MATCH(9.99E+307,'Returns (Calc)'!$A:$A)+1)-'Price History'!G3)*(ROW()-3)/(MATCH(9.99E+307,'Returns (Calc)'!$A:$A)-3),"")</f>
        <v>103.3162893081761</v>
      </c>
      <c r="AC65" s="152">
        <f>IFERROR('Price History'!H3+(INDEX('Price History'!H:H,MATCH(9.99E+307,'Returns (Calc)'!$A:$A)+1)-'Price History'!H3)*(ROW()-3)/(MATCH(9.99E+307,'Returns (Calc)'!$A:$A)-3),"")</f>
        <v>443.40672955974844</v>
      </c>
      <c r="AD65" s="152">
        <f>IFERROR('Price History'!I3+(INDEX('Price History'!I:I,MATCH(9.99E+307,'Returns (Calc)'!$A:$A)+1)-'Price History'!I3)*(ROW()-3)/(MATCH(9.99E+307,'Returns (Calc)'!$A:$A)-3),"")</f>
        <v>116.10723270440252</v>
      </c>
      <c r="AE65" s="152">
        <f>IFERROR('Price History'!J3+(INDEX('Price History'!J:J,MATCH(9.99E+307,'Returns (Calc)'!$A:$A)+1)-'Price History'!J3)*(ROW()-3)/(MATCH(9.99E+307,'Returns (Calc)'!$A:$A)-3),"")</f>
        <v>118.72238993710693</v>
      </c>
      <c r="AF65" s="152">
        <f>IFERROR('Price History'!K3+(INDEX('Price History'!K:K,MATCH(9.99E+307,'Returns (Calc)'!$A:$A)+1)-'Price History'!K3)*(ROW()-3)/(MATCH(9.99E+307,'Returns (Calc)'!$A:$A)-3),"")</f>
        <v>90.868616352201258</v>
      </c>
      <c r="AG65" s="152">
        <f>IFERROR('Price History'!L3+(INDEX('Price History'!L:L,MATCH(9.99E+307,'Returns (Calc)'!$A:$A)+1)-'Price History'!L3)*(ROW()-3)/(MATCH(9.99E+307,'Returns (Calc)'!$A:$A)-3),"")</f>
        <v>229.07528301886794</v>
      </c>
      <c r="AH65" s="152">
        <f>IFERROR('Price History'!M3+(INDEX('Price History'!M:M,MATCH(9.99E+307,'Returns (Calc)'!$A:$A)+1)-'Price History'!M3)*(ROW()-3)/(MATCH(9.99E+307,'Returns (Calc)'!$A:$A)-3),"")</f>
        <v>117.86352201257861</v>
      </c>
      <c r="AI65" s="152">
        <f>IFERROR('Price History'!N3+(INDEX('Price History'!N:N,MATCH(9.99E+307,'Returns (Calc)'!$A:$A)+1)-'Price History'!N3)*(ROW()-3)/(MATCH(9.99E+307,'Returns (Calc)'!$A:$A)-3),"")</f>
        <v>411.75006289308175</v>
      </c>
      <c r="AJ65" s="152">
        <f>IFERROR('Price History'!O3+(INDEX('Price History'!O:O,MATCH(9.99E+307,'Returns (Calc)'!$A:$A)+1)-'Price History'!O3)*(ROW()-3)/(MATCH(9.99E+307,'Returns (Calc)'!$A:$A)-3),"")</f>
        <v>92.595911949685529</v>
      </c>
      <c r="AK65" s="152">
        <f>IFERROR('Price History'!Q3+(INDEX('Price History'!Q:Q,MATCH(9.99E+307,'Returns (Calc)'!$A:$A)+1)-'Price History'!Q3)*(ROW()-3)/(MATCH(9.99E+307,'Returns (Calc)'!$A:$A)-3),"")</f>
        <v>27.283899371069186</v>
      </c>
      <c r="AL65" s="152">
        <f>IFERROR('Price History'!R3+(INDEX('Price History'!R:R,MATCH(9.99E+307,'Returns (Calc)'!$A:$A)+1)-'Price History'!R3)*(ROW()-3)/(MATCH(9.99E+307,'Returns (Calc)'!$A:$A)-3),"")</f>
        <v>44.856226415094341</v>
      </c>
      <c r="AM65" s="152">
        <f>IFERROR('Price History'!S3+(INDEX('Price History'!S:S,MATCH(9.99E+307,'Returns (Calc)'!$A:$A)+1)-'Price History'!S3)*(ROW()-3)/(MATCH(9.99E+307,'Returns (Calc)'!$A:$A)-3),"")</f>
        <v>94.10081761006289</v>
      </c>
      <c r="AN65" s="152">
        <f>IFERROR('Price History'!T3+(INDEX('Price History'!T:T,MATCH(9.99E+307,'Returns (Calc)'!$A:$A)+1)-'Price History'!T3)*(ROW()-3)/(MATCH(9.99E+307,'Returns (Calc)'!$A:$A)-3),"")</f>
        <v>36.002264150943397</v>
      </c>
      <c r="AO65" s="153">
        <f>IFERROR('Price History'!V3+(INDEX('Price History'!V:V,MATCH(9.99E+307,'Returns (Calc)'!$A:$A)+1)-'Price History'!V3)*(ROW()-3)/(MATCH(9.99E+307,'Returns (Calc)'!$A:$A)-3),"")</f>
        <v>294.05037735849055</v>
      </c>
      <c r="AP65" s="151">
        <f>IFERROR(IF(OR(NOT(ISNUMBER('Price History'!W66)),NOT(ISNUMBER('Price History'!W65)),'Price History'!W65=0),"",'Price History'!W66/'Price History'!W65-1),"")</f>
        <v>8.3477713025672529E-3</v>
      </c>
      <c r="AQ65" s="151" t="str">
        <f>IFERROR(IF(OR(NOT(ISNUMBER('Price History'!X66)),NOT(ISNUMBER('Price History'!X65)),'Price History'!X65=0),"",'Price History'!X66/'Price History'!X65-1),"")</f>
        <v/>
      </c>
      <c r="AR65" s="151">
        <f>IFERROR(IF(OR(NOT(ISNUMBER('Price History'!Y66)),NOT(ISNUMBER('Price History'!Y65)),'Price History'!Y65=0),"",'Price History'!Y66/'Price History'!Y65-1),"")</f>
        <v>1.1076564321803373E-2</v>
      </c>
      <c r="AS65" s="151">
        <f>IFERROR(IF(OR(NOT(ISNUMBER('Price History'!Z66)),NOT(ISNUMBER('Price History'!Z65)),'Price History'!Z65=0),"",'Price History'!Z66/'Price History'!Z65-1),"")</f>
        <v>5.5756899916363789E-3</v>
      </c>
      <c r="AT65" s="151">
        <f>IFERROR(IF(OR(NOT(ISNUMBER('Price History'!AA66)),NOT(ISNUMBER('Price History'!AA65)),'Price History'!AA65=0),"",'Price History'!AA66/'Price History'!AA65-1),"")</f>
        <v>-1.2252171975941084E-2</v>
      </c>
      <c r="AU65" s="151">
        <f>IFERROR(IF(OR(NOT(ISNUMBER('Price History'!AB66)),NOT(ISNUMBER('Price History'!AB65)),'Price History'!AB65=0),"",'Price History'!AB66/'Price History'!AB65-1),"")</f>
        <v>5.203619909502244E-2</v>
      </c>
    </row>
    <row r="66" spans="1:47" ht="15" customHeight="1" x14ac:dyDescent="0.2">
      <c r="A66" s="149">
        <f>IF('Price History'!A67="","",'Price History'!A67)</f>
        <v>45632</v>
      </c>
      <c r="B66" s="150">
        <f>IFERROR(IF(OR(NOT(ISNUMBER('Price History'!B67)),NOT(ISNUMBER('Price History'!B66)),'Price History'!B66=0),"",'Price History'!B67/'Price History'!B66-1),"")</f>
        <v>7.1773302579807519E-2</v>
      </c>
      <c r="C66" s="150">
        <f>IFERROR(IF(OR(NOT(ISNUMBER('Price History'!C67)),NOT(ISNUMBER('Price History'!C66)),'Price History'!C66=0),"",'Price History'!C67/'Price History'!C66-1),"")</f>
        <v>6.6922925290755053E-2</v>
      </c>
      <c r="D66" s="150">
        <f>IFERROR(IF(OR(NOT(ISNUMBER('Price History'!D67)),NOT(ISNUMBER('Price History'!D66)),'Price History'!D66=0),"",'Price History'!D67/'Price History'!D66-1),"")</f>
        <v>3.2576899211062882E-2</v>
      </c>
      <c r="E66" s="150">
        <f>IFERROR(IF(OR(NOT(ISNUMBER('Price History'!E67)),NOT(ISNUMBER('Price History'!E66)),'Price History'!E66=0),"",'Price History'!E67/'Price History'!E66-1),"")</f>
        <v>0.10764499121265381</v>
      </c>
      <c r="F66" s="150">
        <f>IFERROR(IF(OR(NOT(ISNUMBER('Price History'!F67)),NOT(ISNUMBER('Price History'!F66)),'Price History'!F66=0),"",'Price History'!F67/'Price History'!F66-1),"")</f>
        <v>5.6885189039195261E-2</v>
      </c>
      <c r="G66" s="150">
        <f>IFERROR(IF(OR(NOT(ISNUMBER('Price History'!G67)),NOT(ISNUMBER('Price History'!G66)),'Price History'!G66=0),"",'Price History'!G67/'Price History'!G66-1),"")</f>
        <v>2.0337922403002029E-3</v>
      </c>
      <c r="H66" s="150">
        <f>IFERROR(IF(OR(NOT(ISNUMBER('Price History'!H67)),NOT(ISNUMBER('Price History'!H66)),'Price History'!H66=0),"",'Price History'!H67/'Price History'!H66-1),"")</f>
        <v>3.283735248845554E-2</v>
      </c>
      <c r="I66" s="150">
        <f>IFERROR(IF(OR(NOT(ISNUMBER('Price History'!I67)),NOT(ISNUMBER('Price History'!I66)),'Price History'!I66=0),"",'Price History'!I67/'Price History'!I66-1),"")</f>
        <v>3.0388743835219056E-2</v>
      </c>
      <c r="J66" s="150">
        <f>IFERROR(IF(OR(NOT(ISNUMBER('Price History'!J67)),NOT(ISNUMBER('Price History'!J66)),'Price History'!J66=0),"",'Price History'!J67/'Price History'!J66-1),"")</f>
        <v>-4.0922823400164732E-2</v>
      </c>
      <c r="K66" s="150">
        <f>IFERROR(IF(OR(NOT(ISNUMBER('Price History'!K67)),NOT(ISNUMBER('Price History'!K66)),'Price History'!K66=0),"",'Price History'!K67/'Price History'!K66-1),"")</f>
        <v>0.13804412641621955</v>
      </c>
      <c r="L66" s="150">
        <f>IFERROR(IF(OR(NOT(ISNUMBER('Price History'!L67)),NOT(ISNUMBER('Price History'!L66)),'Price History'!L66=0),"",'Price History'!L67/'Price History'!L66-1),"")</f>
        <v>9.9439542755673793E-2</v>
      </c>
      <c r="M66" s="150">
        <f>IFERROR(IF(OR(NOT(ISNUMBER('Price History'!M67)),NOT(ISNUMBER('Price History'!M66)),'Price History'!M66=0),"",'Price History'!M67/'Price History'!M66-1),"")</f>
        <v>4.933616152093645E-2</v>
      </c>
      <c r="N66" s="150">
        <f>IFERROR(IF(OR(NOT(ISNUMBER('Price History'!N67)),NOT(ISNUMBER('Price History'!N66)),'Price History'!N66=0),"",'Price History'!N67/'Price History'!N66-1),"")</f>
        <v>-1.28810373186935E-2</v>
      </c>
      <c r="O66" s="150">
        <f>IFERROR(IF(OR(NOT(ISNUMBER('Price History'!O67)),NOT(ISNUMBER('Price History'!O66)),'Price History'!O66=0),"",'Price History'!O67/'Price History'!O66-1),"")</f>
        <v>-2.0819079268888596E-2</v>
      </c>
      <c r="P66" s="150">
        <f>IFERROR(IF(OR(NOT(ISNUMBER('Price History'!P67)),NOT(ISNUMBER('Price History'!P66)),'Price History'!P66=0),"",'Price History'!P67/'Price History'!P66-1),"")</f>
        <v>-2.5297507671581676E-2</v>
      </c>
      <c r="Q66" s="150">
        <f>IFERROR(IF(OR(NOT(ISNUMBER('Price History'!Q67)),NOT(ISNUMBER('Price History'!Q66)),'Price History'!Q66=0),"",'Price History'!Q67/'Price History'!Q66-1),"")</f>
        <v>3.6971547982638242E-3</v>
      </c>
      <c r="R66" s="150">
        <f>IFERROR(IF(OR(NOT(ISNUMBER('Price History'!R67)),NOT(ISNUMBER('Price History'!R66)),'Price History'!R66=0),"",'Price History'!R67/'Price History'!R66-1),"")</f>
        <v>1.8502394427514224E-2</v>
      </c>
      <c r="S66" s="150">
        <f>IFERROR(IF(OR(NOT(ISNUMBER('Price History'!S67)),NOT(ISNUMBER('Price History'!S66)),'Price History'!S66=0),"",'Price History'!S67/'Price History'!S66-1),"")</f>
        <v>1.9307450157397765E-2</v>
      </c>
      <c r="T66" s="150">
        <f>IFERROR(IF(OR(NOT(ISNUMBER('Price History'!T67)),NOT(ISNUMBER('Price History'!T66)),'Price History'!T66=0),"",'Price History'!T67/'Price History'!T66-1),"")</f>
        <v>-8.4151472650773051E-4</v>
      </c>
      <c r="U66" s="150">
        <f>IFERROR(IF(OR(NOT(ISNUMBER('Price History'!U67)),NOT(ISNUMBER('Price History'!U66)),'Price History'!U66=0),"",'Price History'!U67/'Price History'!U66-1),"")</f>
        <v>-2.4017467248908297E-2</v>
      </c>
      <c r="V66" s="151">
        <f>IFERROR(IF(OR(NOT(ISNUMBER('Price History'!V67)),NOT(ISNUMBER('Price History'!V66)),'Price History'!V66=0),"",'Price History'!V67/'Price History'!V66-1),"")</f>
        <v>-1.2926460657898931E-2</v>
      </c>
      <c r="W66" s="152">
        <f>IFERROR('Price History'!B3+(INDEX('Price History'!B:B,MATCH(9.99E+307,'Returns (Calc)'!$A:$A)+1)-'Price History'!B3)*(ROW()-3)/(MATCH(9.99E+307,'Returns (Calc)'!$A:$A)-3),"")</f>
        <v>415.32358490566037</v>
      </c>
      <c r="X66" s="152">
        <f>IFERROR('Price History'!C3+(INDEX('Price History'!C:C,MATCH(9.99E+307,'Returns (Calc)'!$A:$A)+1)-'Price History'!C3)*(ROW()-3)/(MATCH(9.99E+307,'Returns (Calc)'!$A:$A)-3),"")</f>
        <v>113.76037735849056</v>
      </c>
      <c r="Y66" s="152">
        <f>IFERROR('Price History'!D3+(INDEX('Price History'!D:D,MATCH(9.99E+307,'Returns (Calc)'!$A:$A)+1)-'Price History'!D3)*(ROW()-3)/(MATCH(9.99E+307,'Returns (Calc)'!$A:$A)-3),"")</f>
        <v>1056.82</v>
      </c>
      <c r="Z66" s="152">
        <f>IFERROR('Price History'!E3+(INDEX('Price History'!E:E,MATCH(9.99E+307,'Returns (Calc)'!$A:$A)+1)-'Price History'!E3)*(ROW()-3)/(MATCH(9.99E+307,'Returns (Calc)'!$A:$A)-3),"")</f>
        <v>192.76113207547172</v>
      </c>
      <c r="AA66" s="152">
        <f>IFERROR('Price History'!F3+(INDEX('Price History'!F:F,MATCH(9.99E+307,'Returns (Calc)'!$A:$A)+1)-'Price History'!F3)*(ROW()-3)/(MATCH(9.99E+307,'Returns (Calc)'!$A:$A)-3),"")</f>
        <v>133.95018867924529</v>
      </c>
      <c r="AB66" s="152">
        <f>IFERROR('Price History'!G3+(INDEX('Price History'!G:G,MATCH(9.99E+307,'Returns (Calc)'!$A:$A)+1)-'Price History'!G3)*(ROW()-3)/(MATCH(9.99E+307,'Returns (Calc)'!$A:$A)-3),"")</f>
        <v>104.26735849056604</v>
      </c>
      <c r="AC66" s="152">
        <f>IFERROR('Price History'!H3+(INDEX('Price History'!H:H,MATCH(9.99E+307,'Returns (Calc)'!$A:$A)+1)-'Price History'!H3)*(ROW()-3)/(MATCH(9.99E+307,'Returns (Calc)'!$A:$A)-3),"")</f>
        <v>449.44377358490567</v>
      </c>
      <c r="AD66" s="152">
        <f>IFERROR('Price History'!I3+(INDEX('Price History'!I:I,MATCH(9.99E+307,'Returns (Calc)'!$A:$A)+1)-'Price History'!I3)*(ROW()-3)/(MATCH(9.99E+307,'Returns (Calc)'!$A:$A)-3),"")</f>
        <v>117.27396226415095</v>
      </c>
      <c r="AE66" s="152">
        <f>IFERROR('Price History'!J3+(INDEX('Price History'!J:J,MATCH(9.99E+307,'Returns (Calc)'!$A:$A)+1)-'Price History'!J3)*(ROW()-3)/(MATCH(9.99E+307,'Returns (Calc)'!$A:$A)-3),"")</f>
        <v>118.8333962264151</v>
      </c>
      <c r="AF66" s="152">
        <f>IFERROR('Price History'!K3+(INDEX('Price History'!K:K,MATCH(9.99E+307,'Returns (Calc)'!$A:$A)+1)-'Price History'!K3)*(ROW()-3)/(MATCH(9.99E+307,'Returns (Calc)'!$A:$A)-3),"")</f>
        <v>92.086981132075479</v>
      </c>
      <c r="AG66" s="152">
        <f>IFERROR('Price History'!L3+(INDEX('Price History'!L:L,MATCH(9.99E+307,'Returns (Calc)'!$A:$A)+1)-'Price History'!L3)*(ROW()-3)/(MATCH(9.99E+307,'Returns (Calc)'!$A:$A)-3),"")</f>
        <v>231.38698113207548</v>
      </c>
      <c r="AH66" s="152">
        <f>IFERROR('Price History'!M3+(INDEX('Price History'!M:M,MATCH(9.99E+307,'Returns (Calc)'!$A:$A)+1)-'Price History'!M3)*(ROW()-3)/(MATCH(9.99E+307,'Returns (Calc)'!$A:$A)-3),"")</f>
        <v>119.15132075471698</v>
      </c>
      <c r="AI66" s="152">
        <f>IFERROR('Price History'!N3+(INDEX('Price History'!N:N,MATCH(9.99E+307,'Returns (Calc)'!$A:$A)+1)-'Price History'!N3)*(ROW()-3)/(MATCH(9.99E+307,'Returns (Calc)'!$A:$A)-3),"")</f>
        <v>412.76377358490561</v>
      </c>
      <c r="AJ66" s="152">
        <f>IFERROR('Price History'!O3+(INDEX('Price History'!O:O,MATCH(9.99E+307,'Returns (Calc)'!$A:$A)+1)-'Price History'!O3)*(ROW()-3)/(MATCH(9.99E+307,'Returns (Calc)'!$A:$A)-3),"")</f>
        <v>92.874716981132082</v>
      </c>
      <c r="AK66" s="152">
        <f>IFERROR('Price History'!Q3+(INDEX('Price History'!Q:Q,MATCH(9.99E+307,'Returns (Calc)'!$A:$A)+1)-'Price History'!Q3)*(ROW()-3)/(MATCH(9.99E+307,'Returns (Calc)'!$A:$A)-3),"")</f>
        <v>27.723962264150941</v>
      </c>
      <c r="AL66" s="152">
        <f>IFERROR('Price History'!R3+(INDEX('Price History'!R:R,MATCH(9.99E+307,'Returns (Calc)'!$A:$A)+1)-'Price History'!R3)*(ROW()-3)/(MATCH(9.99E+307,'Returns (Calc)'!$A:$A)-3),"")</f>
        <v>45.023584905660378</v>
      </c>
      <c r="AM66" s="152">
        <f>IFERROR('Price History'!S3+(INDEX('Price History'!S:S,MATCH(9.99E+307,'Returns (Calc)'!$A:$A)+1)-'Price History'!S3)*(ROW()-3)/(MATCH(9.99E+307,'Returns (Calc)'!$A:$A)-3),"")</f>
        <v>94.689056603773594</v>
      </c>
      <c r="AN66" s="152">
        <f>IFERROR('Price History'!T3+(INDEX('Price History'!T:T,MATCH(9.99E+307,'Returns (Calc)'!$A:$A)+1)-'Price History'!T3)*(ROW()-3)/(MATCH(9.99E+307,'Returns (Calc)'!$A:$A)-3),"")</f>
        <v>36.175849056603774</v>
      </c>
      <c r="AO66" s="153">
        <f>IFERROR('Price History'!V3+(INDEX('Price History'!V:V,MATCH(9.99E+307,'Returns (Calc)'!$A:$A)+1)-'Price History'!V3)*(ROW()-3)/(MATCH(9.99E+307,'Returns (Calc)'!$A:$A)-3),"")</f>
        <v>294.99264150943395</v>
      </c>
      <c r="AP66" s="151">
        <f>IFERROR(IF(OR(NOT(ISNUMBER('Price History'!W67)),NOT(ISNUMBER('Price History'!W66)),'Price History'!W66=0),"",'Price History'!W67/'Price History'!W66-1),"")</f>
        <v>-1.4370509215869909E-2</v>
      </c>
      <c r="AQ66" s="151" t="str">
        <f>IFERROR(IF(OR(NOT(ISNUMBER('Price History'!X67)),NOT(ISNUMBER('Price History'!X66)),'Price History'!X66=0),"",'Price History'!X67/'Price History'!X66-1),"")</f>
        <v/>
      </c>
      <c r="AR66" s="151">
        <f>IFERROR(IF(OR(NOT(ISNUMBER('Price History'!Y67)),NOT(ISNUMBER('Price History'!Y66)),'Price History'!Y66=0),"",'Price History'!Y67/'Price History'!Y66-1),"")</f>
        <v>-8.4566596194503019E-3</v>
      </c>
      <c r="AS66" s="151">
        <f>IFERROR(IF(OR(NOT(ISNUMBER('Price History'!Z67)),NOT(ISNUMBER('Price History'!Z66)),'Price History'!Z66=0),"",'Price History'!Z67/'Price History'!Z66-1),"")</f>
        <v>-3.6151926808982382E-2</v>
      </c>
      <c r="AT66" s="151">
        <f>IFERROR(IF(OR(NOT(ISNUMBER('Price History'!AA67)),NOT(ISNUMBER('Price History'!AA66)),'Price History'!AA66=0),"",'Price History'!AA67/'Price History'!AA66-1),"")</f>
        <v>5.401443391971128E-2</v>
      </c>
      <c r="AU66" s="151">
        <f>IFERROR(IF(OR(NOT(ISNUMBER('Price History'!AB67)),NOT(ISNUMBER('Price History'!AB66)),'Price History'!AB66=0),"",'Price History'!AB67/'Price History'!AB66-1),"")</f>
        <v>9.9188062321702741E-2</v>
      </c>
    </row>
    <row r="67" spans="1:47" ht="15" customHeight="1" x14ac:dyDescent="0.2">
      <c r="A67" s="149">
        <f>IF('Price History'!A68="","",'Price History'!A68)</f>
        <v>45639</v>
      </c>
      <c r="B67" s="150">
        <f>IFERROR(IF(OR(NOT(ISNUMBER('Price History'!B68)),NOT(ISNUMBER('Price History'!B67)),'Price History'!B67=0),"",'Price History'!B68/'Price History'!B67-1),"")</f>
        <v>-0.15782335069444453</v>
      </c>
      <c r="C67" s="150">
        <f>IFERROR(IF(OR(NOT(ISNUMBER('Price History'!C68)),NOT(ISNUMBER('Price History'!C67)),'Price History'!C67=0),"",'Price History'!C68/'Price History'!C67-1),"")</f>
        <v>3.8060046189376529E-2</v>
      </c>
      <c r="D67" s="150">
        <f>IFERROR(IF(OR(NOT(ISNUMBER('Price History'!D68)),NOT(ISNUMBER('Price History'!D67)),'Price History'!D67=0),"",'Price History'!D68/'Price History'!D67-1),"")</f>
        <v>1.354967020074116E-2</v>
      </c>
      <c r="E67" s="150">
        <f>IFERROR(IF(OR(NOT(ISNUMBER('Price History'!E68)),NOT(ISNUMBER('Price History'!E67)),'Price History'!E67=0),"",'Price History'!E68/'Price History'!E67-1),"")</f>
        <v>0.25216750722502401</v>
      </c>
      <c r="F67" s="150">
        <f>IFERROR(IF(OR(NOT(ISNUMBER('Price History'!F68)),NOT(ISNUMBER('Price History'!F67)),'Price History'!F67=0),"",'Price History'!F68/'Price History'!F67-1),"")</f>
        <v>6.4544360573242088E-3</v>
      </c>
      <c r="G67" s="150">
        <f>IFERROR(IF(OR(NOT(ISNUMBER('Price History'!G68)),NOT(ISNUMBER('Price History'!G67)),'Price History'!G67=0),"",'Price History'!G68/'Price History'!G67-1),"")</f>
        <v>8.2747853239657498E-3</v>
      </c>
      <c r="H67" s="150">
        <f>IFERROR(IF(OR(NOT(ISNUMBER('Price History'!H68)),NOT(ISNUMBER('Price History'!H67)),'Price History'!H67=0),"",'Price History'!H68/'Price History'!H67-1),"")</f>
        <v>1.3114754098360493E-2</v>
      </c>
      <c r="I67" s="150">
        <f>IFERROR(IF(OR(NOT(ISNUMBER('Price History'!I68)),NOT(ISNUMBER('Price History'!I67)),'Price History'!I67=0),"",'Price History'!I68/'Price History'!I67-1),"")</f>
        <v>-5.7506862814105664E-2</v>
      </c>
      <c r="J67" s="150">
        <f>IFERROR(IF(OR(NOT(ISNUMBER('Price History'!J68)),NOT(ISNUMBER('Price History'!J67)),'Price History'!J67=0),"",'Price History'!J68/'Price History'!J67-1),"")</f>
        <v>-7.7319587628865705E-3</v>
      </c>
      <c r="K67" s="150">
        <f>IFERROR(IF(OR(NOT(ISNUMBER('Price History'!K68)),NOT(ISNUMBER('Price History'!K67)),'Price History'!K67=0),"",'Price History'!K68/'Price History'!K67-1),"")</f>
        <v>-3.5368090123134577E-3</v>
      </c>
      <c r="L67" s="150">
        <f>IFERROR(IF(OR(NOT(ISNUMBER('Price History'!L68)),NOT(ISNUMBER('Price History'!L67)),'Price History'!L67=0),"",'Price History'!L68/'Price History'!L67-1),"")</f>
        <v>-6.8641800837833111E-3</v>
      </c>
      <c r="M67" s="150">
        <f>IFERROR(IF(OR(NOT(ISNUMBER('Price History'!M68)),NOT(ISNUMBER('Price History'!M67)),'Price History'!M67=0),"",'Price History'!M68/'Price History'!M67-1),"")</f>
        <v>-6.0342891367822005E-2</v>
      </c>
      <c r="N67" s="150">
        <f>IFERROR(IF(OR(NOT(ISNUMBER('Price History'!N68)),NOT(ISNUMBER('Price History'!N67)),'Price History'!N67=0),"",'Price History'!N68/'Price History'!N67-1),"")</f>
        <v>3.5273750270503612E-3</v>
      </c>
      <c r="O67" s="150">
        <f>IFERROR(IF(OR(NOT(ISNUMBER('Price History'!O68)),NOT(ISNUMBER('Price History'!O67)),'Price History'!O67=0),"",'Price History'!O68/'Price History'!O67-1),"")</f>
        <v>-1.2377720103813217E-2</v>
      </c>
      <c r="P67" s="150">
        <f>IFERROR(IF(OR(NOT(ISNUMBER('Price History'!P68)),NOT(ISNUMBER('Price History'!P67)),'Price History'!P67=0),"",'Price History'!P68/'Price History'!P67-1),"")</f>
        <v>-2.0195039545419569E-2</v>
      </c>
      <c r="Q67" s="150">
        <f>IFERROR(IF(OR(NOT(ISNUMBER('Price History'!Q68)),NOT(ISNUMBER('Price History'!Q67)),'Price History'!Q67=0),"",'Price History'!Q68/'Price History'!Q67-1),"")</f>
        <v>-1.7616912235746129E-3</v>
      </c>
      <c r="R67" s="150">
        <f>IFERROR(IF(OR(NOT(ISNUMBER('Price History'!R68)),NOT(ISNUMBER('Price History'!R67)),'Price History'!R67=0),"",'Price History'!R68/'Price History'!R67-1),"")</f>
        <v>3.8469758495405237E-3</v>
      </c>
      <c r="S67" s="150">
        <f>IFERROR(IF(OR(NOT(ISNUMBER('Price History'!S68)),NOT(ISNUMBER('Price History'!S67)),'Price History'!S67=0),"",'Price History'!S68/'Price History'!S67-1),"")</f>
        <v>-9.3679225859584214E-3</v>
      </c>
      <c r="T67" s="150">
        <f>IFERROR(IF(OR(NOT(ISNUMBER('Price History'!T68)),NOT(ISNUMBER('Price History'!T67)),'Price History'!T67=0),"",'Price History'!T68/'Price History'!T67-1),"")</f>
        <v>-4.1549691184727622E-2</v>
      </c>
      <c r="U67" s="150">
        <f>IFERROR(IF(OR(NOT(ISNUMBER('Price History'!U68)),NOT(ISNUMBER('Price History'!U67)),'Price History'!U67=0),"",'Price History'!U68/'Price History'!U67-1),"")</f>
        <v>-1.4914243102162494E-2</v>
      </c>
      <c r="V67" s="151">
        <f>IFERROR(IF(OR(NOT(ISNUMBER('Price History'!V68)),NOT(ISNUMBER('Price History'!V67)),'Price History'!V67=0),"",'Price History'!V68/'Price History'!V67-1),"")</f>
        <v>1.1988142163729121E-2</v>
      </c>
      <c r="W67" s="152">
        <f>IFERROR('Price History'!B3+(INDEX('Price History'!B:B,MATCH(9.99E+307,'Returns (Calc)'!$A:$A)+1)-'Price History'!B3)*(ROW()-3)/(MATCH(9.99E+307,'Returns (Calc)'!$A:$A)-3),"")</f>
        <v>413.52094339622641</v>
      </c>
      <c r="X67" s="152">
        <f>IFERROR('Price History'!C3+(INDEX('Price History'!C:C,MATCH(9.99E+307,'Returns (Calc)'!$A:$A)+1)-'Price History'!C3)*(ROW()-3)/(MATCH(9.99E+307,'Returns (Calc)'!$A:$A)-3),"")</f>
        <v>114.8330817610063</v>
      </c>
      <c r="Y67" s="152">
        <f>IFERROR('Price History'!D3+(INDEX('Price History'!D:D,MATCH(9.99E+307,'Returns (Calc)'!$A:$A)+1)-'Price History'!D3)*(ROW()-3)/(MATCH(9.99E+307,'Returns (Calc)'!$A:$A)-3),"")</f>
        <v>1064.3566666666666</v>
      </c>
      <c r="Z67" s="152">
        <f>IFERROR('Price History'!E3+(INDEX('Price History'!E:E,MATCH(9.99E+307,'Returns (Calc)'!$A:$A)+1)-'Price History'!E3)*(ROW()-3)/(MATCH(9.99E+307,'Returns (Calc)'!$A:$A)-3),"")</f>
        <v>194.51924528301888</v>
      </c>
      <c r="AA67" s="152">
        <f>IFERROR('Price History'!F3+(INDEX('Price History'!F:F,MATCH(9.99E+307,'Returns (Calc)'!$A:$A)+1)-'Price History'!F3)*(ROW()-3)/(MATCH(9.99E+307,'Returns (Calc)'!$A:$A)-3),"")</f>
        <v>135.41987421383647</v>
      </c>
      <c r="AB67" s="152">
        <f>IFERROR('Price History'!G3+(INDEX('Price History'!G:G,MATCH(9.99E+307,'Returns (Calc)'!$A:$A)+1)-'Price History'!G3)*(ROW()-3)/(MATCH(9.99E+307,'Returns (Calc)'!$A:$A)-3),"")</f>
        <v>105.21842767295598</v>
      </c>
      <c r="AC67" s="152">
        <f>IFERROR('Price History'!H3+(INDEX('Price History'!H:H,MATCH(9.99E+307,'Returns (Calc)'!$A:$A)+1)-'Price History'!H3)*(ROW()-3)/(MATCH(9.99E+307,'Returns (Calc)'!$A:$A)-3),"")</f>
        <v>455.4808176100629</v>
      </c>
      <c r="AD67" s="152">
        <f>IFERROR('Price History'!I3+(INDEX('Price History'!I:I,MATCH(9.99E+307,'Returns (Calc)'!$A:$A)+1)-'Price History'!I3)*(ROW()-3)/(MATCH(9.99E+307,'Returns (Calc)'!$A:$A)-3),"")</f>
        <v>118.44069182389936</v>
      </c>
      <c r="AE67" s="152">
        <f>IFERROR('Price History'!J3+(INDEX('Price History'!J:J,MATCH(9.99E+307,'Returns (Calc)'!$A:$A)+1)-'Price History'!J3)*(ROW()-3)/(MATCH(9.99E+307,'Returns (Calc)'!$A:$A)-3),"")</f>
        <v>118.94440251572328</v>
      </c>
      <c r="AF67" s="152">
        <f>IFERROR('Price History'!K3+(INDEX('Price History'!K:K,MATCH(9.99E+307,'Returns (Calc)'!$A:$A)+1)-'Price History'!K3)*(ROW()-3)/(MATCH(9.99E+307,'Returns (Calc)'!$A:$A)-3),"")</f>
        <v>93.305345911949686</v>
      </c>
      <c r="AG67" s="152">
        <f>IFERROR('Price History'!L3+(INDEX('Price History'!L:L,MATCH(9.99E+307,'Returns (Calc)'!$A:$A)+1)-'Price History'!L3)*(ROW()-3)/(MATCH(9.99E+307,'Returns (Calc)'!$A:$A)-3),"")</f>
        <v>233.69867924528302</v>
      </c>
      <c r="AH67" s="152">
        <f>IFERROR('Price History'!M3+(INDEX('Price History'!M:M,MATCH(9.99E+307,'Returns (Calc)'!$A:$A)+1)-'Price History'!M3)*(ROW()-3)/(MATCH(9.99E+307,'Returns (Calc)'!$A:$A)-3),"")</f>
        <v>120.43911949685534</v>
      </c>
      <c r="AI67" s="152">
        <f>IFERROR('Price History'!N3+(INDEX('Price History'!N:N,MATCH(9.99E+307,'Returns (Calc)'!$A:$A)+1)-'Price History'!N3)*(ROW()-3)/(MATCH(9.99E+307,'Returns (Calc)'!$A:$A)-3),"")</f>
        <v>413.77748427672952</v>
      </c>
      <c r="AJ67" s="152">
        <f>IFERROR('Price History'!O3+(INDEX('Price History'!O:O,MATCH(9.99E+307,'Returns (Calc)'!$A:$A)+1)-'Price History'!O3)*(ROW()-3)/(MATCH(9.99E+307,'Returns (Calc)'!$A:$A)-3),"")</f>
        <v>93.15352201257862</v>
      </c>
      <c r="AK67" s="152">
        <f>IFERROR('Price History'!Q3+(INDEX('Price History'!Q:Q,MATCH(9.99E+307,'Returns (Calc)'!$A:$A)+1)-'Price History'!Q3)*(ROW()-3)/(MATCH(9.99E+307,'Returns (Calc)'!$A:$A)-3),"")</f>
        <v>28.164025157232704</v>
      </c>
      <c r="AL67" s="152">
        <f>IFERROR('Price History'!R3+(INDEX('Price History'!R:R,MATCH(9.99E+307,'Returns (Calc)'!$A:$A)+1)-'Price History'!R3)*(ROW()-3)/(MATCH(9.99E+307,'Returns (Calc)'!$A:$A)-3),"")</f>
        <v>45.190943396226416</v>
      </c>
      <c r="AM67" s="152">
        <f>IFERROR('Price History'!S3+(INDEX('Price History'!S:S,MATCH(9.99E+307,'Returns (Calc)'!$A:$A)+1)-'Price History'!S3)*(ROW()-3)/(MATCH(9.99E+307,'Returns (Calc)'!$A:$A)-3),"")</f>
        <v>95.277295597484283</v>
      </c>
      <c r="AN67" s="152">
        <f>IFERROR('Price History'!T3+(INDEX('Price History'!T:T,MATCH(9.99E+307,'Returns (Calc)'!$A:$A)+1)-'Price History'!T3)*(ROW()-3)/(MATCH(9.99E+307,'Returns (Calc)'!$A:$A)-3),"")</f>
        <v>36.34943396226415</v>
      </c>
      <c r="AO67" s="153">
        <f>IFERROR('Price History'!V3+(INDEX('Price History'!V:V,MATCH(9.99E+307,'Returns (Calc)'!$A:$A)+1)-'Price History'!V3)*(ROW()-3)/(MATCH(9.99E+307,'Returns (Calc)'!$A:$A)-3),"")</f>
        <v>295.93490566037735</v>
      </c>
      <c r="AP67" s="151">
        <f>IFERROR(IF(OR(NOT(ISNUMBER('Price History'!W68)),NOT(ISNUMBER('Price History'!W67)),'Price History'!W67=0),"",'Price History'!W68/'Price History'!W67-1),"")</f>
        <v>-7.0522979397781294E-3</v>
      </c>
      <c r="AQ67" s="151" t="str">
        <f>IFERROR(IF(OR(NOT(ISNUMBER('Price History'!X68)),NOT(ISNUMBER('Price History'!X67)),'Price History'!X67=0),"",'Price History'!X68/'Price History'!X67-1),"")</f>
        <v/>
      </c>
      <c r="AR67" s="151">
        <f>IFERROR(IF(OR(NOT(ISNUMBER('Price History'!Y68)),NOT(ISNUMBER('Price History'!Y67)),'Price History'!Y67=0),"",'Price History'!Y68/'Price History'!Y67-1),"")</f>
        <v>-8.141112618724633E-3</v>
      </c>
      <c r="AS67" s="151">
        <f>IFERROR(IF(OR(NOT(ISNUMBER('Price History'!Z68)),NOT(ISNUMBER('Price History'!Z67)),'Price History'!Z67=0),"",'Price History'!Z68/'Price History'!Z67-1),"")</f>
        <v>-5.4478513490191505E-2</v>
      </c>
      <c r="AT67" s="151">
        <f>IFERROR(IF(OR(NOT(ISNUMBER('Price History'!AA68)),NOT(ISNUMBER('Price History'!AA67)),'Price History'!AA67=0),"",'Price History'!AA68/'Price History'!AA67-1),"")</f>
        <v>-1.6903819407296461E-2</v>
      </c>
      <c r="AU67" s="151">
        <f>IFERROR(IF(OR(NOT(ISNUMBER('Price History'!AB68)),NOT(ISNUMBER('Price History'!AB67)),'Price History'!AB67=0),"",'Price History'!AB68/'Price History'!AB67-1),"")</f>
        <v>-8.6524256338590511E-2</v>
      </c>
    </row>
    <row r="68" spans="1:47" ht="15" customHeight="1" x14ac:dyDescent="0.2">
      <c r="A68" s="149">
        <f>IF('Price History'!A69="","",'Price History'!A69)</f>
        <v>45646</v>
      </c>
      <c r="B68" s="150">
        <f>IFERROR(IF(OR(NOT(ISNUMBER('Price History'!B69)),NOT(ISNUMBER('Price History'!B68)),'Price History'!B68=0),"",'Price History'!B69/'Price History'!B68-1),"")</f>
        <v>-3.9768945006334655E-2</v>
      </c>
      <c r="C68" s="150">
        <f>IFERROR(IF(OR(NOT(ISNUMBER('Price History'!C69)),NOT(ISNUMBER('Price History'!C68)),'Price History'!C68=0),"",'Price History'!C69/'Price History'!C68-1),"")</f>
        <v>3.9156358458662943E-3</v>
      </c>
      <c r="D68" s="150">
        <f>IFERROR(IF(OR(NOT(ISNUMBER('Price History'!D69)),NOT(ISNUMBER('Price History'!D68)),'Price History'!D68=0),"",'Price History'!D69/'Price History'!D68-1),"")</f>
        <v>-1.7956464044721843E-2</v>
      </c>
      <c r="E68" s="150">
        <f>IFERROR(IF(OR(NOT(ISNUMBER('Price History'!E69)),NOT(ISNUMBER('Price History'!E68)),'Price History'!E68=0),"",'Price History'!E69/'Price History'!E68-1),"")</f>
        <v>-1.7830474725075818E-2</v>
      </c>
      <c r="F68" s="150">
        <f>IFERROR(IF(OR(NOT(ISNUMBER('Price History'!F69)),NOT(ISNUMBER('Price History'!F68)),'Price History'!F68=0),"",'Price History'!F69/'Price History'!F68-1),"")</f>
        <v>-1.5543478260869659E-2</v>
      </c>
      <c r="G68" s="150">
        <f>IFERROR(IF(OR(NOT(ISNUMBER('Price History'!G69)),NOT(ISNUMBER('Price History'!G68)),'Price History'!G68=0),"",'Price History'!G69/'Price History'!G68-1),"")</f>
        <v>-3.7318055125425742E-2</v>
      </c>
      <c r="H68" s="150">
        <f>IFERROR(IF(OR(NOT(ISNUMBER('Price History'!H69)),NOT(ISNUMBER('Price History'!H68)),'Price History'!H68=0),"",'Price History'!H69/'Price History'!H68-1),"")</f>
        <v>-0.12072178091595565</v>
      </c>
      <c r="I68" s="150">
        <f>IFERROR(IF(OR(NOT(ISNUMBER('Price History'!I69)),NOT(ISNUMBER('Price History'!I68)),'Price History'!I68=0),"",'Price History'!I69/'Price History'!I68-1),"")</f>
        <v>3.360716952949927E-3</v>
      </c>
      <c r="J68" s="150">
        <f>IFERROR(IF(OR(NOT(ISNUMBER('Price History'!J69)),NOT(ISNUMBER('Price History'!J68)),'Price History'!J68=0),"",'Price History'!J69/'Price History'!J68-1),"")</f>
        <v>-6.2241462241462209E-2</v>
      </c>
      <c r="K68" s="150">
        <f>IFERROR(IF(OR(NOT(ISNUMBER('Price History'!K69)),NOT(ISNUMBER('Price History'!K68)),'Price History'!K68=0),"",'Price History'!K69/'Price History'!K68-1),"")</f>
        <v>5.889312475351649E-2</v>
      </c>
      <c r="L68" s="150">
        <f>IFERROR(IF(OR(NOT(ISNUMBER('Price History'!L69)),NOT(ISNUMBER('Price History'!L68)),'Price History'!L68=0),"",'Price History'!L69/'Price History'!L68-1),"")</f>
        <v>-1.8803679422676356E-2</v>
      </c>
      <c r="M68" s="150">
        <f>IFERROR(IF(OR(NOT(ISNUMBER('Price History'!M69)),NOT(ISNUMBER('Price History'!M68)),'Price History'!M68=0),"",'Price History'!M69/'Price History'!M68-1),"")</f>
        <v>-4.5574057843996485E-2</v>
      </c>
      <c r="N68" s="150">
        <f>IFERROR(IF(OR(NOT(ISNUMBER('Price History'!N69)),NOT(ISNUMBER('Price History'!N68)),'Price History'!N68=0),"",'Price History'!N69/'Price History'!N68-1),"")</f>
        <v>-0.14331615379639018</v>
      </c>
      <c r="O68" s="150">
        <f>IFERROR(IF(OR(NOT(ISNUMBER('Price History'!O69)),NOT(ISNUMBER('Price History'!O68)),'Price History'!O68=0),"",'Price History'!O69/'Price History'!O68-1),"")</f>
        <v>-5.387103294926221E-2</v>
      </c>
      <c r="P68" s="150">
        <f>IFERROR(IF(OR(NOT(ISNUMBER('Price History'!P69)),NOT(ISNUMBER('Price History'!P68)),'Price History'!P68=0),"",'Price History'!P69/'Price History'!P68-1),"")</f>
        <v>-3.1583072100313525E-2</v>
      </c>
      <c r="Q68" s="150">
        <f>IFERROR(IF(OR(NOT(ISNUMBER('Price History'!Q69)),NOT(ISNUMBER('Price History'!Q68)),'Price History'!Q68=0),"",'Price History'!Q69/'Price History'!Q68-1),"")</f>
        <v>-1.2193165409914886E-2</v>
      </c>
      <c r="R68" s="150">
        <f>IFERROR(IF(OR(NOT(ISNUMBER('Price History'!R69)),NOT(ISNUMBER('Price History'!R68)),'Price History'!R68=0),"",'Price History'!R69/'Price History'!R68-1),"")</f>
        <v>-1.1070896316797918E-2</v>
      </c>
      <c r="S68" s="150">
        <f>IFERROR(IF(OR(NOT(ISNUMBER('Price History'!S69)),NOT(ISNUMBER('Price History'!S68)),'Price History'!S68=0),"",'Price History'!S69/'Price History'!S68-1),"")</f>
        <v>-2.2446222591707476E-2</v>
      </c>
      <c r="T68" s="150">
        <f>IFERROR(IF(OR(NOT(ISNUMBER('Price History'!T69)),NOT(ISNUMBER('Price History'!T68)),'Price History'!T68=0),"",'Price History'!T69/'Price History'!T68-1),"")</f>
        <v>-3.0462800234329235E-2</v>
      </c>
      <c r="U68" s="150">
        <f>IFERROR(IF(OR(NOT(ISNUMBER('Price History'!U69)),NOT(ISNUMBER('Price History'!U68)),'Price History'!U68=0),"",'Price History'!U69/'Price History'!U68-1),"")</f>
        <v>-2.9901589704769194E-2</v>
      </c>
      <c r="V68" s="151">
        <f>IFERROR(IF(OR(NOT(ISNUMBER('Price History'!V69)),NOT(ISNUMBER('Price History'!V68)),'Price History'!V68=0),"",'Price History'!V69/'Price History'!V68-1),"")</f>
        <v>9.4640270400772053E-3</v>
      </c>
      <c r="W68" s="152">
        <f>IFERROR('Price History'!B3+(INDEX('Price History'!B:B,MATCH(9.99E+307,'Returns (Calc)'!$A:$A)+1)-'Price History'!B3)*(ROW()-3)/(MATCH(9.99E+307,'Returns (Calc)'!$A:$A)-3),"")</f>
        <v>411.71830188679246</v>
      </c>
      <c r="X68" s="152">
        <f>IFERROR('Price History'!C3+(INDEX('Price History'!C:C,MATCH(9.99E+307,'Returns (Calc)'!$A:$A)+1)-'Price History'!C3)*(ROW()-3)/(MATCH(9.99E+307,'Returns (Calc)'!$A:$A)-3),"")</f>
        <v>115.90578616352201</v>
      </c>
      <c r="Y68" s="152">
        <f>IFERROR('Price History'!D3+(INDEX('Price History'!D:D,MATCH(9.99E+307,'Returns (Calc)'!$A:$A)+1)-'Price History'!D3)*(ROW()-3)/(MATCH(9.99E+307,'Returns (Calc)'!$A:$A)-3),"")</f>
        <v>1071.8933333333334</v>
      </c>
      <c r="Z68" s="152">
        <f>IFERROR('Price History'!E3+(INDEX('Price History'!E:E,MATCH(9.99E+307,'Returns (Calc)'!$A:$A)+1)-'Price History'!E3)*(ROW()-3)/(MATCH(9.99E+307,'Returns (Calc)'!$A:$A)-3),"")</f>
        <v>196.27735849056606</v>
      </c>
      <c r="AA68" s="152">
        <f>IFERROR('Price History'!F3+(INDEX('Price History'!F:F,MATCH(9.99E+307,'Returns (Calc)'!$A:$A)+1)-'Price History'!F3)*(ROW()-3)/(MATCH(9.99E+307,'Returns (Calc)'!$A:$A)-3),"")</f>
        <v>136.88955974842767</v>
      </c>
      <c r="AB68" s="152">
        <f>IFERROR('Price History'!G3+(INDEX('Price History'!G:G,MATCH(9.99E+307,'Returns (Calc)'!$A:$A)+1)-'Price History'!G3)*(ROW()-3)/(MATCH(9.99E+307,'Returns (Calc)'!$A:$A)-3),"")</f>
        <v>106.16949685534591</v>
      </c>
      <c r="AC68" s="152">
        <f>IFERROR('Price History'!H3+(INDEX('Price History'!H:H,MATCH(9.99E+307,'Returns (Calc)'!$A:$A)+1)-'Price History'!H3)*(ROW()-3)/(MATCH(9.99E+307,'Returns (Calc)'!$A:$A)-3),"")</f>
        <v>461.51786163522013</v>
      </c>
      <c r="AD68" s="152">
        <f>IFERROR('Price History'!I3+(INDEX('Price History'!I:I,MATCH(9.99E+307,'Returns (Calc)'!$A:$A)+1)-'Price History'!I3)*(ROW()-3)/(MATCH(9.99E+307,'Returns (Calc)'!$A:$A)-3),"")</f>
        <v>119.60742138364779</v>
      </c>
      <c r="AE68" s="152">
        <f>IFERROR('Price History'!J3+(INDEX('Price History'!J:J,MATCH(9.99E+307,'Returns (Calc)'!$A:$A)+1)-'Price History'!J3)*(ROW()-3)/(MATCH(9.99E+307,'Returns (Calc)'!$A:$A)-3),"")</f>
        <v>119.05540880503145</v>
      </c>
      <c r="AF68" s="152">
        <f>IFERROR('Price History'!K3+(INDEX('Price History'!K:K,MATCH(9.99E+307,'Returns (Calc)'!$A:$A)+1)-'Price History'!K3)*(ROW()-3)/(MATCH(9.99E+307,'Returns (Calc)'!$A:$A)-3),"")</f>
        <v>94.523710691823894</v>
      </c>
      <c r="AG68" s="152">
        <f>IFERROR('Price History'!L3+(INDEX('Price History'!L:L,MATCH(9.99E+307,'Returns (Calc)'!$A:$A)+1)-'Price History'!L3)*(ROW()-3)/(MATCH(9.99E+307,'Returns (Calc)'!$A:$A)-3),"")</f>
        <v>236.01037735849059</v>
      </c>
      <c r="AH68" s="152">
        <f>IFERROR('Price History'!M3+(INDEX('Price History'!M:M,MATCH(9.99E+307,'Returns (Calc)'!$A:$A)+1)-'Price History'!M3)*(ROW()-3)/(MATCH(9.99E+307,'Returns (Calc)'!$A:$A)-3),"")</f>
        <v>121.7269182389937</v>
      </c>
      <c r="AI68" s="152">
        <f>IFERROR('Price History'!N3+(INDEX('Price History'!N:N,MATCH(9.99E+307,'Returns (Calc)'!$A:$A)+1)-'Price History'!N3)*(ROW()-3)/(MATCH(9.99E+307,'Returns (Calc)'!$A:$A)-3),"")</f>
        <v>414.79119496855344</v>
      </c>
      <c r="AJ68" s="152">
        <f>IFERROR('Price History'!O3+(INDEX('Price History'!O:O,MATCH(9.99E+307,'Returns (Calc)'!$A:$A)+1)-'Price History'!O3)*(ROW()-3)/(MATCH(9.99E+307,'Returns (Calc)'!$A:$A)-3),"")</f>
        <v>93.432327044025158</v>
      </c>
      <c r="AK68" s="152">
        <f>IFERROR('Price History'!Q3+(INDEX('Price History'!Q:Q,MATCH(9.99E+307,'Returns (Calc)'!$A:$A)+1)-'Price History'!Q3)*(ROW()-3)/(MATCH(9.99E+307,'Returns (Calc)'!$A:$A)-3),"")</f>
        <v>28.604088050314466</v>
      </c>
      <c r="AL68" s="152">
        <f>IFERROR('Price History'!R3+(INDEX('Price History'!R:R,MATCH(9.99E+307,'Returns (Calc)'!$A:$A)+1)-'Price History'!R3)*(ROW()-3)/(MATCH(9.99E+307,'Returns (Calc)'!$A:$A)-3),"")</f>
        <v>45.358301886792454</v>
      </c>
      <c r="AM68" s="152">
        <f>IFERROR('Price History'!S3+(INDEX('Price History'!S:S,MATCH(9.99E+307,'Returns (Calc)'!$A:$A)+1)-'Price History'!S3)*(ROW()-3)/(MATCH(9.99E+307,'Returns (Calc)'!$A:$A)-3),"")</f>
        <v>95.865534591194972</v>
      </c>
      <c r="AN68" s="152">
        <f>IFERROR('Price History'!T3+(INDEX('Price History'!T:T,MATCH(9.99E+307,'Returns (Calc)'!$A:$A)+1)-'Price History'!T3)*(ROW()-3)/(MATCH(9.99E+307,'Returns (Calc)'!$A:$A)-3),"")</f>
        <v>36.523018867924527</v>
      </c>
      <c r="AO68" s="153">
        <f>IFERROR('Price History'!V3+(INDEX('Price History'!V:V,MATCH(9.99E+307,'Returns (Calc)'!$A:$A)+1)-'Price History'!V3)*(ROW()-3)/(MATCH(9.99E+307,'Returns (Calc)'!$A:$A)-3),"")</f>
        <v>296.87716981132075</v>
      </c>
      <c r="AP68" s="151">
        <f>IFERROR(IF(OR(NOT(ISNUMBER('Price History'!W69)),NOT(ISNUMBER('Price History'!W68)),'Price History'!W68=0),"",'Price History'!W69/'Price History'!W68-1),"")</f>
        <v>-2.8569148511691012E-2</v>
      </c>
      <c r="AQ68" s="151" t="str">
        <f>IFERROR(IF(OR(NOT(ISNUMBER('Price History'!X69)),NOT(ISNUMBER('Price History'!X68)),'Price History'!X68=0),"",'Price History'!X69/'Price History'!X68-1),"")</f>
        <v/>
      </c>
      <c r="AR68" s="151">
        <f>IFERROR(IF(OR(NOT(ISNUMBER('Price History'!Y69)),NOT(ISNUMBER('Price History'!Y68)),'Price History'!Y68=0),"",'Price History'!Y69/'Price History'!Y68-1),"")</f>
        <v>-2.0519835841313339E-2</v>
      </c>
      <c r="AS68" s="151">
        <f>IFERROR(IF(OR(NOT(ISNUMBER('Price History'!Z69)),NOT(ISNUMBER('Price History'!Z68)),'Price History'!Z68=0),"",'Price History'!Z69/'Price History'!Z68-1),"")</f>
        <v>1.4176198588464306E-2</v>
      </c>
      <c r="AT68" s="151">
        <f>IFERROR(IF(OR(NOT(ISNUMBER('Price History'!AA69)),NOT(ISNUMBER('Price History'!AA68)),'Price History'!AA68=0),"",'Price History'!AA69/'Price History'!AA68-1),"")</f>
        <v>-1.0773751224289807E-2</v>
      </c>
      <c r="AU68" s="151">
        <f>IFERROR(IF(OR(NOT(ISNUMBER('Price History'!AB69)),NOT(ISNUMBER('Price History'!AB68)),'Price History'!AB68=0),"",'Price History'!AB69/'Price History'!AB68-1),"")</f>
        <v>-2.0237783022991507E-2</v>
      </c>
    </row>
    <row r="69" spans="1:47" ht="15" customHeight="1" x14ac:dyDescent="0.2">
      <c r="A69" s="149">
        <f>IF('Price History'!A70="","",'Price History'!A70)</f>
        <v>45653</v>
      </c>
      <c r="B69" s="150">
        <f>IFERROR(IF(OR(NOT(ISNUMBER('Price History'!B70)),NOT(ISNUMBER('Price History'!B69)),'Price History'!B69=0),"",'Price History'!B70/'Price History'!B69-1),"")</f>
        <v>-1.5430373236129391E-3</v>
      </c>
      <c r="C69" s="150">
        <f>IFERROR(IF(OR(NOT(ISNUMBER('Price History'!C70)),NOT(ISNUMBER('Price History'!C69)),'Price History'!C69=0),"",'Price History'!C70/'Price History'!C69-1),"")</f>
        <v>1.9501817214786499E-3</v>
      </c>
      <c r="D69" s="150">
        <f>IFERROR(IF(OR(NOT(ISNUMBER('Price History'!D70)),NOT(ISNUMBER('Price History'!D69)),'Price History'!D69=0),"",'Price History'!D70/'Price History'!D69-1),"")</f>
        <v>1.12123738607941E-2</v>
      </c>
      <c r="E69" s="150">
        <f>IFERROR(IF(OR(NOT(ISNUMBER('Price History'!E70)),NOT(ISNUMBER('Price History'!E69)),'Price History'!E69=0),"",'Price History'!E70/'Price History'!E69-1),"")</f>
        <v>9.7866654379578977E-2</v>
      </c>
      <c r="F69" s="150">
        <f>IFERROR(IF(OR(NOT(ISNUMBER('Price History'!F70)),NOT(ISNUMBER('Price History'!F69)),'Price History'!F69=0),"",'Price History'!F70/'Price History'!F69-1),"")</f>
        <v>-2.0094954179087909E-2</v>
      </c>
      <c r="G69" s="150">
        <f>IFERROR(IF(OR(NOT(ISNUMBER('Price History'!G70)),NOT(ISNUMBER('Price History'!G69)),'Price History'!G69=0),"",'Price History'!G70/'Price History'!G69-1),"")</f>
        <v>2.4609940485764925E-2</v>
      </c>
      <c r="H69" s="150">
        <f>IFERROR(IF(OR(NOT(ISNUMBER('Price History'!H70)),NOT(ISNUMBER('Price History'!H69)),'Price History'!H69=0),"",'Price History'!H70/'Price History'!H69-1),"")</f>
        <v>-1.6506803479812482E-2</v>
      </c>
      <c r="I69" s="150">
        <f>IFERROR(IF(OR(NOT(ISNUMBER('Price History'!I70)),NOT(ISNUMBER('Price History'!I69)),'Price History'!I69=0),"",'Price History'!I70/'Price History'!I69-1),"")</f>
        <v>1.7119464086341685E-2</v>
      </c>
      <c r="J69" s="150">
        <f>IFERROR(IF(OR(NOT(ISNUMBER('Price History'!J70)),NOT(ISNUMBER('Price History'!J69)),'Price History'!J69=0),"",'Price History'!J70/'Price History'!J69-1),"")</f>
        <v>1.8567911366434098E-2</v>
      </c>
      <c r="K69" s="150">
        <f>IFERROR(IF(OR(NOT(ISNUMBER('Price History'!K70)),NOT(ISNUMBER('Price History'!K69)),'Price History'!K69=0),"",'Price History'!K70/'Price History'!K69-1),"")</f>
        <v>-1.8249534450651805E-2</v>
      </c>
      <c r="L69" s="150">
        <f>IFERROR(IF(OR(NOT(ISNUMBER('Price History'!L70)),NOT(ISNUMBER('Price History'!L69)),'Price History'!L69=0),"",'Price History'!L70/'Price History'!L69-1),"")</f>
        <v>2.2427098979644677E-2</v>
      </c>
      <c r="M69" s="150">
        <f>IFERROR(IF(OR(NOT(ISNUMBER('Price History'!M70)),NOT(ISNUMBER('Price History'!M69)),'Price History'!M69=0),"",'Price History'!M70/'Price History'!M69-1),"")</f>
        <v>-4.1071875782619616E-2</v>
      </c>
      <c r="N69" s="150">
        <f>IFERROR(IF(OR(NOT(ISNUMBER('Price History'!N70)),NOT(ISNUMBER('Price History'!N69)),'Price History'!N69=0),"",'Price History'!N70/'Price History'!N69-1),"")</f>
        <v>2.8922395348251806E-2</v>
      </c>
      <c r="O69" s="150">
        <f>IFERROR(IF(OR(NOT(ISNUMBER('Price History'!O70)),NOT(ISNUMBER('Price History'!O69)),'Price History'!O69=0),"",'Price History'!O70/'Price History'!O69-1),"")</f>
        <v>3.9525691699604515E-3</v>
      </c>
      <c r="P69" s="150">
        <f>IFERROR(IF(OR(NOT(ISNUMBER('Price History'!P70)),NOT(ISNUMBER('Price History'!P69)),'Price History'!P69=0),"",'Price History'!P70/'Price History'!P69-1),"")</f>
        <v>4.5318442987780649E-3</v>
      </c>
      <c r="Q69" s="150">
        <f>IFERROR(IF(OR(NOT(ISNUMBER('Price History'!Q70)),NOT(ISNUMBER('Price History'!Q69)),'Price History'!Q69=0),"",'Price History'!Q70/'Price History'!Q69-1),"")</f>
        <v>6.4966704563911293E-3</v>
      </c>
      <c r="R69" s="150">
        <f>IFERROR(IF(OR(NOT(ISNUMBER('Price History'!R70)),NOT(ISNUMBER('Price History'!R69)),'Price History'!R69=0),"",'Price History'!R70/'Price History'!R69-1),"")</f>
        <v>9.2572658772873684E-3</v>
      </c>
      <c r="S69" s="150">
        <f>IFERROR(IF(OR(NOT(ISNUMBER('Price History'!S70)),NOT(ISNUMBER('Price History'!S69)),'Price History'!S69=0),"",'Price History'!S70/'Price History'!S69-1),"")</f>
        <v>1.265015414053372E-2</v>
      </c>
      <c r="T69" s="150">
        <f>IFERROR(IF(OR(NOT(ISNUMBER('Price History'!T70)),NOT(ISNUMBER('Price History'!T69)),'Price History'!T69=0),"",'Price History'!T70/'Price History'!T69-1),"")</f>
        <v>9.3655589123866623E-3</v>
      </c>
      <c r="U69" s="150">
        <f>IFERROR(IF(OR(NOT(ISNUMBER('Price History'!U70)),NOT(ISNUMBER('Price History'!U69)),'Price History'!U69=0),"",'Price History'!U70/'Price History'!U69-1),"")</f>
        <v>6.6328521264145124E-3</v>
      </c>
      <c r="V69" s="151">
        <f>IFERROR(IF(OR(NOT(ISNUMBER('Price History'!V70)),NOT(ISNUMBER('Price History'!V69)),'Price History'!V69=0),"",'Price History'!V70/'Price History'!V69-1),"")</f>
        <v>2.9656557925954452E-3</v>
      </c>
      <c r="W69" s="152">
        <f>IFERROR('Price History'!B3+(INDEX('Price History'!B:B,MATCH(9.99E+307,'Returns (Calc)'!$A:$A)+1)-'Price History'!B3)*(ROW()-3)/(MATCH(9.99E+307,'Returns (Calc)'!$A:$A)-3),"")</f>
        <v>409.91566037735845</v>
      </c>
      <c r="X69" s="152">
        <f>IFERROR('Price History'!C3+(INDEX('Price History'!C:C,MATCH(9.99E+307,'Returns (Calc)'!$A:$A)+1)-'Price History'!C3)*(ROW()-3)/(MATCH(9.99E+307,'Returns (Calc)'!$A:$A)-3),"")</f>
        <v>116.97849056603775</v>
      </c>
      <c r="Y69" s="152">
        <f>IFERROR('Price History'!D3+(INDEX('Price History'!D:D,MATCH(9.99E+307,'Returns (Calc)'!$A:$A)+1)-'Price History'!D3)*(ROW()-3)/(MATCH(9.99E+307,'Returns (Calc)'!$A:$A)-3),"")</f>
        <v>1079.43</v>
      </c>
      <c r="Z69" s="152">
        <f>IFERROR('Price History'!E3+(INDEX('Price History'!E:E,MATCH(9.99E+307,'Returns (Calc)'!$A:$A)+1)-'Price History'!E3)*(ROW()-3)/(MATCH(9.99E+307,'Returns (Calc)'!$A:$A)-3),"")</f>
        <v>198.03547169811321</v>
      </c>
      <c r="AA69" s="152">
        <f>IFERROR('Price History'!F3+(INDEX('Price History'!F:F,MATCH(9.99E+307,'Returns (Calc)'!$A:$A)+1)-'Price History'!F3)*(ROW()-3)/(MATCH(9.99E+307,'Returns (Calc)'!$A:$A)-3),"")</f>
        <v>138.35924528301888</v>
      </c>
      <c r="AB69" s="152">
        <f>IFERROR('Price History'!G3+(INDEX('Price History'!G:G,MATCH(9.99E+307,'Returns (Calc)'!$A:$A)+1)-'Price History'!G3)*(ROW()-3)/(MATCH(9.99E+307,'Returns (Calc)'!$A:$A)-3),"")</f>
        <v>107.12056603773586</v>
      </c>
      <c r="AC69" s="152">
        <f>IFERROR('Price History'!H3+(INDEX('Price History'!H:H,MATCH(9.99E+307,'Returns (Calc)'!$A:$A)+1)-'Price History'!H3)*(ROW()-3)/(MATCH(9.99E+307,'Returns (Calc)'!$A:$A)-3),"")</f>
        <v>467.55490566037736</v>
      </c>
      <c r="AD69" s="152">
        <f>IFERROR('Price History'!I3+(INDEX('Price History'!I:I,MATCH(9.99E+307,'Returns (Calc)'!$A:$A)+1)-'Price History'!I3)*(ROW()-3)/(MATCH(9.99E+307,'Returns (Calc)'!$A:$A)-3),"")</f>
        <v>120.77415094339622</v>
      </c>
      <c r="AE69" s="152">
        <f>IFERROR('Price History'!J3+(INDEX('Price History'!J:J,MATCH(9.99E+307,'Returns (Calc)'!$A:$A)+1)-'Price History'!J3)*(ROW()-3)/(MATCH(9.99E+307,'Returns (Calc)'!$A:$A)-3),"")</f>
        <v>119.16641509433963</v>
      </c>
      <c r="AF69" s="152">
        <f>IFERROR('Price History'!K3+(INDEX('Price History'!K:K,MATCH(9.99E+307,'Returns (Calc)'!$A:$A)+1)-'Price History'!K3)*(ROW()-3)/(MATCH(9.99E+307,'Returns (Calc)'!$A:$A)-3),"")</f>
        <v>95.742075471698115</v>
      </c>
      <c r="AG69" s="152">
        <f>IFERROR('Price History'!L3+(INDEX('Price History'!L:L,MATCH(9.99E+307,'Returns (Calc)'!$A:$A)+1)-'Price History'!L3)*(ROW()-3)/(MATCH(9.99E+307,'Returns (Calc)'!$A:$A)-3),"")</f>
        <v>238.3220754716981</v>
      </c>
      <c r="AH69" s="152">
        <f>IFERROR('Price History'!M3+(INDEX('Price History'!M:M,MATCH(9.99E+307,'Returns (Calc)'!$A:$A)+1)-'Price History'!M3)*(ROW()-3)/(MATCH(9.99E+307,'Returns (Calc)'!$A:$A)-3),"")</f>
        <v>123.01471698113207</v>
      </c>
      <c r="AI69" s="152">
        <f>IFERROR('Price History'!N3+(INDEX('Price History'!N:N,MATCH(9.99E+307,'Returns (Calc)'!$A:$A)+1)-'Price History'!N3)*(ROW()-3)/(MATCH(9.99E+307,'Returns (Calc)'!$A:$A)-3),"")</f>
        <v>415.80490566037736</v>
      </c>
      <c r="AJ69" s="152">
        <f>IFERROR('Price History'!O3+(INDEX('Price History'!O:O,MATCH(9.99E+307,'Returns (Calc)'!$A:$A)+1)-'Price History'!O3)*(ROW()-3)/(MATCH(9.99E+307,'Returns (Calc)'!$A:$A)-3),"")</f>
        <v>93.711132075471696</v>
      </c>
      <c r="AK69" s="152">
        <f>IFERROR('Price History'!Q3+(INDEX('Price History'!Q:Q,MATCH(9.99E+307,'Returns (Calc)'!$A:$A)+1)-'Price History'!Q3)*(ROW()-3)/(MATCH(9.99E+307,'Returns (Calc)'!$A:$A)-3),"")</f>
        <v>29.044150943396222</v>
      </c>
      <c r="AL69" s="152">
        <f>IFERROR('Price History'!R3+(INDEX('Price History'!R:R,MATCH(9.99E+307,'Returns (Calc)'!$A:$A)+1)-'Price History'!R3)*(ROW()-3)/(MATCH(9.99E+307,'Returns (Calc)'!$A:$A)-3),"")</f>
        <v>45.525660377358491</v>
      </c>
      <c r="AM69" s="152">
        <f>IFERROR('Price History'!S3+(INDEX('Price History'!S:S,MATCH(9.99E+307,'Returns (Calc)'!$A:$A)+1)-'Price History'!S3)*(ROW()-3)/(MATCH(9.99E+307,'Returns (Calc)'!$A:$A)-3),"")</f>
        <v>96.453773584905662</v>
      </c>
      <c r="AN69" s="152">
        <f>IFERROR('Price History'!T3+(INDEX('Price History'!T:T,MATCH(9.99E+307,'Returns (Calc)'!$A:$A)+1)-'Price History'!T3)*(ROW()-3)/(MATCH(9.99E+307,'Returns (Calc)'!$A:$A)-3),"")</f>
        <v>36.696603773584904</v>
      </c>
      <c r="AO69" s="153">
        <f>IFERROR('Price History'!V3+(INDEX('Price History'!V:V,MATCH(9.99E+307,'Returns (Calc)'!$A:$A)+1)-'Price History'!V3)*(ROW()-3)/(MATCH(9.99E+307,'Returns (Calc)'!$A:$A)-3),"")</f>
        <v>297.81943396226416</v>
      </c>
      <c r="AP69" s="151">
        <f>IFERROR(IF(OR(NOT(ISNUMBER('Price History'!W70)),NOT(ISNUMBER('Price History'!W69)),'Price History'!W69=0),"",'Price History'!W70/'Price History'!W69-1),"")</f>
        <v>1.1911607656288625E-2</v>
      </c>
      <c r="AQ69" s="151" t="str">
        <f>IFERROR(IF(OR(NOT(ISNUMBER('Price History'!X70)),NOT(ISNUMBER('Price History'!X69)),'Price History'!X69=0),"",'Price History'!X70/'Price History'!X69-1),"")</f>
        <v/>
      </c>
      <c r="AR69" s="151">
        <f>IFERROR(IF(OR(NOT(ISNUMBER('Price History'!Y70)),NOT(ISNUMBER('Price History'!Y69)),'Price History'!Y69=0),"",'Price History'!Y70/'Price History'!Y69-1),"")</f>
        <v>4.3894652833200709E-3</v>
      </c>
      <c r="AS69" s="151">
        <f>IFERROR(IF(OR(NOT(ISNUMBER('Price History'!Z70)),NOT(ISNUMBER('Price History'!Z69)),'Price History'!Z69=0),"",'Price History'!Z70/'Price History'!Z69-1),"")</f>
        <v>1.1818345431639621E-2</v>
      </c>
      <c r="AT69" s="151">
        <f>IFERROR(IF(OR(NOT(ISNUMBER('Price History'!AA70)),NOT(ISNUMBER('Price History'!AA69)),'Price History'!AA69=0),"",'Price History'!AA70/'Price History'!AA69-1),"")</f>
        <v>-1.6501650165017256E-3</v>
      </c>
      <c r="AU69" s="151">
        <f>IFERROR(IF(OR(NOT(ISNUMBER('Price History'!AB70)),NOT(ISNUMBER('Price History'!AB69)),'Price History'!AB69=0),"",'Price History'!AB70/'Price History'!AB69-1),"")</f>
        <v>-4.52375641311622E-2</v>
      </c>
    </row>
    <row r="70" spans="1:47" ht="15" customHeight="1" x14ac:dyDescent="0.2">
      <c r="A70" s="149">
        <f>IF('Price History'!A71="","",'Price History'!A71)</f>
        <v>45660</v>
      </c>
      <c r="B70" s="150">
        <f>IFERROR(IF(OR(NOT(ISNUMBER('Price History'!B71)),NOT(ISNUMBER('Price History'!B70)),'Price History'!B70=0),"",'Price History'!B71/'Price History'!B70-1),"")</f>
        <v>-3.5634294929224208E-2</v>
      </c>
      <c r="C70" s="150">
        <f>IFERROR(IF(OR(NOT(ISNUMBER('Price History'!C71)),NOT(ISNUMBER('Price History'!C70)),'Price History'!C70=0),"",'Price History'!C71/'Price History'!C70-1),"")</f>
        <v>1.9198442891267931E-2</v>
      </c>
      <c r="D70" s="150">
        <f>IFERROR(IF(OR(NOT(ISNUMBER('Price History'!D71)),NOT(ISNUMBER('Price History'!D70)),'Price History'!D70=0),"",'Price History'!D71/'Price History'!D70-1),"")</f>
        <v>1.0803741506268949E-3</v>
      </c>
      <c r="E70" s="150">
        <f>IFERROR(IF(OR(NOT(ISNUMBER('Price History'!E71)),NOT(ISNUMBER('Price History'!E70)),'Price History'!E70=0),"",'Price History'!E71/'Price History'!E70-1),"")</f>
        <v>-3.8066059512318007E-2</v>
      </c>
      <c r="F70" s="150">
        <f>IFERROR(IF(OR(NOT(ISNUMBER('Price History'!F71)),NOT(ISNUMBER('Price History'!F70)),'Price History'!F70=0),"",'Price History'!F71/'Price History'!F70-1),"")</f>
        <v>1.1267605633802802E-2</v>
      </c>
      <c r="G70" s="150">
        <f>IFERROR(IF(OR(NOT(ISNUMBER('Price History'!G71)),NOT(ISNUMBER('Price History'!G70)),'Price History'!G70=0),"",'Price History'!G71/'Price History'!G70-1),"")</f>
        <v>1.883830455259039E-2</v>
      </c>
      <c r="H70" s="150">
        <f>IFERROR(IF(OR(NOT(ISNUMBER('Price History'!H71)),NOT(ISNUMBER('Price History'!H70)),'Price History'!H70=0),"",'Price History'!H71/'Price History'!H70-1),"")</f>
        <v>1.5309594012247629E-2</v>
      </c>
      <c r="I70" s="150">
        <f>IFERROR(IF(OR(NOT(ISNUMBER('Price History'!I71)),NOT(ISNUMBER('Price History'!I70)),'Price History'!I70=0),"",'Price History'!I71/'Price History'!I70-1),"")</f>
        <v>5.4445664105378766E-2</v>
      </c>
      <c r="J70" s="150">
        <f>IFERROR(IF(OR(NOT(ISNUMBER('Price History'!J71)),NOT(ISNUMBER('Price History'!J70)),'Price History'!J70=0),"",'Price History'!J71/'Price History'!J70-1),"")</f>
        <v>3.7264578507401058E-3</v>
      </c>
      <c r="K70" s="150">
        <f>IFERROR(IF(OR(NOT(ISNUMBER('Price History'!K71)),NOT(ISNUMBER('Price History'!K70)),'Price History'!K70=0),"",'Price History'!K71/'Price History'!K70-1),"")</f>
        <v>1.0242792109256493E-2</v>
      </c>
      <c r="L70" s="150">
        <f>IFERROR(IF(OR(NOT(ISNUMBER('Price History'!L71)),NOT(ISNUMBER('Price History'!L70)),'Price History'!L70=0),"",'Price History'!L71/'Price History'!L70-1),"")</f>
        <v>3.4599797365754803E-2</v>
      </c>
      <c r="M70" s="150">
        <f>IFERROR(IF(OR(NOT(ISNUMBER('Price History'!M71)),NOT(ISNUMBER('Price History'!M70)),'Price History'!M70=0),"",'Price History'!M71/'Price History'!M70-1),"")</f>
        <v>9.1668843039958148E-2</v>
      </c>
      <c r="N70" s="150">
        <f>IFERROR(IF(OR(NOT(ISNUMBER('Price History'!N71)),NOT(ISNUMBER('Price History'!N70)),'Price History'!N70=0),"",'Price History'!N71/'Price History'!N70-1),"")</f>
        <v>-4.0365984930031962E-3</v>
      </c>
      <c r="O70" s="150">
        <f>IFERROR(IF(OR(NOT(ISNUMBER('Price History'!O71)),NOT(ISNUMBER('Price History'!O70)),'Price History'!O70=0),"",'Price History'!O71/'Price History'!O70-1),"")</f>
        <v>7.8740157480314821E-3</v>
      </c>
      <c r="P70" s="150">
        <f>IFERROR(IF(OR(NOT(ISNUMBER('Price History'!P71)),NOT(ISNUMBER('Price History'!P70)),'Price History'!P70=0),"",'Price History'!P71/'Price History'!P70-1),"")</f>
        <v>-5.639249174251848E-4</v>
      </c>
      <c r="Q70" s="150">
        <f>IFERROR(IF(OR(NOT(ISNUMBER('Price History'!Q71)),NOT(ISNUMBER('Price History'!Q70)),'Price History'!Q70=0),"",'Price History'!Q71/'Price History'!Q70-1),"")</f>
        <v>-4.0342101016620502E-3</v>
      </c>
      <c r="R70" s="150">
        <f>IFERROR(IF(OR(NOT(ISNUMBER('Price History'!R71)),NOT(ISNUMBER('Price History'!R70)),'Price History'!R70=0),"",'Price History'!R71/'Price History'!R70-1),"")</f>
        <v>-3.4129692832765013E-3</v>
      </c>
      <c r="S70" s="150">
        <f>IFERROR(IF(OR(NOT(ISNUMBER('Price History'!S71)),NOT(ISNUMBER('Price History'!S70)),'Price History'!S70=0),"",'Price History'!S71/'Price History'!S70-1),"")</f>
        <v>3.0442998110433717E-3</v>
      </c>
      <c r="T70" s="150">
        <f>IFERROR(IF(OR(NOT(ISNUMBER('Price History'!T71)),NOT(ISNUMBER('Price History'!T70)),'Price History'!T70=0),"",'Price History'!T71/'Price History'!T70-1),"")</f>
        <v>7.4827895839568725E-3</v>
      </c>
      <c r="U70" s="150">
        <f>IFERROR(IF(OR(NOT(ISNUMBER('Price History'!U71)),NOT(ISNUMBER('Price History'!U70)),'Price History'!U70=0),"",'Price History'!U71/'Price History'!U70-1),"")</f>
        <v>-1.1627906976744429E-3</v>
      </c>
      <c r="V70" s="151">
        <f>IFERROR(IF(OR(NOT(ISNUMBER('Price History'!V71)),NOT(ISNUMBER('Price History'!V70)),'Price History'!V70=0),"",'Price History'!V71/'Price History'!V70-1),"")</f>
        <v>-1.1763957776929845E-2</v>
      </c>
      <c r="W70" s="152">
        <f>IFERROR('Price History'!B3+(INDEX('Price History'!B:B,MATCH(9.99E+307,'Returns (Calc)'!$A:$A)+1)-'Price History'!B3)*(ROW()-3)/(MATCH(9.99E+307,'Returns (Calc)'!$A:$A)-3),"")</f>
        <v>408.1130188679245</v>
      </c>
      <c r="X70" s="152">
        <f>IFERROR('Price History'!C3+(INDEX('Price History'!C:C,MATCH(9.99E+307,'Returns (Calc)'!$A:$A)+1)-'Price History'!C3)*(ROW()-3)/(MATCH(9.99E+307,'Returns (Calc)'!$A:$A)-3),"")</f>
        <v>118.05119496855346</v>
      </c>
      <c r="Y70" s="152">
        <f>IFERROR('Price History'!D3+(INDEX('Price History'!D:D,MATCH(9.99E+307,'Returns (Calc)'!$A:$A)+1)-'Price History'!D3)*(ROW()-3)/(MATCH(9.99E+307,'Returns (Calc)'!$A:$A)-3),"")</f>
        <v>1086.9666666666667</v>
      </c>
      <c r="Z70" s="152">
        <f>IFERROR('Price History'!E3+(INDEX('Price History'!E:E,MATCH(9.99E+307,'Returns (Calc)'!$A:$A)+1)-'Price History'!E3)*(ROW()-3)/(MATCH(9.99E+307,'Returns (Calc)'!$A:$A)-3),"")</f>
        <v>199.7935849056604</v>
      </c>
      <c r="AA70" s="152">
        <f>IFERROR('Price History'!F3+(INDEX('Price History'!F:F,MATCH(9.99E+307,'Returns (Calc)'!$A:$A)+1)-'Price History'!F3)*(ROW()-3)/(MATCH(9.99E+307,'Returns (Calc)'!$A:$A)-3),"")</f>
        <v>139.82893081761006</v>
      </c>
      <c r="AB70" s="152">
        <f>IFERROR('Price History'!G3+(INDEX('Price History'!G:G,MATCH(9.99E+307,'Returns (Calc)'!$A:$A)+1)-'Price History'!G3)*(ROW()-3)/(MATCH(9.99E+307,'Returns (Calc)'!$A:$A)-3),"")</f>
        <v>108.07163522012578</v>
      </c>
      <c r="AC70" s="152">
        <f>IFERROR('Price History'!H3+(INDEX('Price History'!H:H,MATCH(9.99E+307,'Returns (Calc)'!$A:$A)+1)-'Price History'!H3)*(ROW()-3)/(MATCH(9.99E+307,'Returns (Calc)'!$A:$A)-3),"")</f>
        <v>473.59194968553459</v>
      </c>
      <c r="AD70" s="152">
        <f>IFERROR('Price History'!I3+(INDEX('Price History'!I:I,MATCH(9.99E+307,'Returns (Calc)'!$A:$A)+1)-'Price History'!I3)*(ROW()-3)/(MATCH(9.99E+307,'Returns (Calc)'!$A:$A)-3),"")</f>
        <v>121.94088050314465</v>
      </c>
      <c r="AE70" s="152">
        <f>IFERROR('Price History'!J3+(INDEX('Price History'!J:J,MATCH(9.99E+307,'Returns (Calc)'!$A:$A)+1)-'Price History'!J3)*(ROW()-3)/(MATCH(9.99E+307,'Returns (Calc)'!$A:$A)-3),"")</f>
        <v>119.27742138364781</v>
      </c>
      <c r="AF70" s="152">
        <f>IFERROR('Price History'!K3+(INDEX('Price History'!K:K,MATCH(9.99E+307,'Returns (Calc)'!$A:$A)+1)-'Price History'!K3)*(ROW()-3)/(MATCH(9.99E+307,'Returns (Calc)'!$A:$A)-3),"")</f>
        <v>96.960440251572322</v>
      </c>
      <c r="AG70" s="152">
        <f>IFERROR('Price History'!L3+(INDEX('Price History'!L:L,MATCH(9.99E+307,'Returns (Calc)'!$A:$A)+1)-'Price History'!L3)*(ROW()-3)/(MATCH(9.99E+307,'Returns (Calc)'!$A:$A)-3),"")</f>
        <v>240.63377358490567</v>
      </c>
      <c r="AH70" s="152">
        <f>IFERROR('Price History'!M3+(INDEX('Price History'!M:M,MATCH(9.99E+307,'Returns (Calc)'!$A:$A)+1)-'Price History'!M3)*(ROW()-3)/(MATCH(9.99E+307,'Returns (Calc)'!$A:$A)-3),"")</f>
        <v>124.30251572327043</v>
      </c>
      <c r="AI70" s="152">
        <f>IFERROR('Price History'!N3+(INDEX('Price History'!N:N,MATCH(9.99E+307,'Returns (Calc)'!$A:$A)+1)-'Price History'!N3)*(ROW()-3)/(MATCH(9.99E+307,'Returns (Calc)'!$A:$A)-3),"")</f>
        <v>416.81861635220127</v>
      </c>
      <c r="AJ70" s="152">
        <f>IFERROR('Price History'!O3+(INDEX('Price History'!O:O,MATCH(9.99E+307,'Returns (Calc)'!$A:$A)+1)-'Price History'!O3)*(ROW()-3)/(MATCH(9.99E+307,'Returns (Calc)'!$A:$A)-3),"")</f>
        <v>93.989937106918234</v>
      </c>
      <c r="AK70" s="152">
        <f>IFERROR('Price History'!Q3+(INDEX('Price History'!Q:Q,MATCH(9.99E+307,'Returns (Calc)'!$A:$A)+1)-'Price History'!Q3)*(ROW()-3)/(MATCH(9.99E+307,'Returns (Calc)'!$A:$A)-3),"")</f>
        <v>29.484213836477988</v>
      </c>
      <c r="AL70" s="152">
        <f>IFERROR('Price History'!R3+(INDEX('Price History'!R:R,MATCH(9.99E+307,'Returns (Calc)'!$A:$A)+1)-'Price History'!R3)*(ROW()-3)/(MATCH(9.99E+307,'Returns (Calc)'!$A:$A)-3),"")</f>
        <v>45.693018867924529</v>
      </c>
      <c r="AM70" s="152">
        <f>IFERROR('Price History'!S3+(INDEX('Price History'!S:S,MATCH(9.99E+307,'Returns (Calc)'!$A:$A)+1)-'Price History'!S3)*(ROW()-3)/(MATCH(9.99E+307,'Returns (Calc)'!$A:$A)-3),"")</f>
        <v>97.042012578616351</v>
      </c>
      <c r="AN70" s="152">
        <f>IFERROR('Price History'!T3+(INDEX('Price History'!T:T,MATCH(9.99E+307,'Returns (Calc)'!$A:$A)+1)-'Price History'!T3)*(ROW()-3)/(MATCH(9.99E+307,'Returns (Calc)'!$A:$A)-3),"")</f>
        <v>36.870188679245281</v>
      </c>
      <c r="AO70" s="153">
        <f>IFERROR('Price History'!V3+(INDEX('Price History'!V:V,MATCH(9.99E+307,'Returns (Calc)'!$A:$A)+1)-'Price History'!V3)*(ROW()-3)/(MATCH(9.99E+307,'Returns (Calc)'!$A:$A)-3),"")</f>
        <v>298.76169811320756</v>
      </c>
      <c r="AP70" s="151">
        <f>IFERROR(IF(OR(NOT(ISNUMBER('Price History'!W71)),NOT(ISNUMBER('Price History'!W70)),'Price History'!W70=0),"",'Price History'!W71/'Price History'!W70-1),"")</f>
        <v>-1.7048222113980049E-3</v>
      </c>
      <c r="AQ70" s="151" t="str">
        <f>IFERROR(IF(OR(NOT(ISNUMBER('Price History'!X71)),NOT(ISNUMBER('Price History'!X70)),'Price History'!X70=0),"",'Price History'!X71/'Price History'!X70-1),"")</f>
        <v/>
      </c>
      <c r="AR70" s="151">
        <f>IFERROR(IF(OR(NOT(ISNUMBER('Price History'!Y71)),NOT(ISNUMBER('Price History'!Y70)),'Price History'!Y70=0),"",'Price History'!Y71/'Price History'!Y70-1),"")</f>
        <v>-1.3905442987683925E-3</v>
      </c>
      <c r="AS70" s="151">
        <f>IFERROR(IF(OR(NOT(ISNUMBER('Price History'!Z71)),NOT(ISNUMBER('Price History'!Z70)),'Price History'!Z70=0),"",'Price History'!Z71/'Price History'!Z70-1),"")</f>
        <v>1.1028103877623652E-2</v>
      </c>
      <c r="AT70" s="151">
        <f>IFERROR(IF(OR(NOT(ISNUMBER('Price History'!AA71)),NOT(ISNUMBER('Price History'!AA70)),'Price History'!AA70=0),"",'Price History'!AA71/'Price History'!AA70-1),"")</f>
        <v>-2.9090909090909056E-2</v>
      </c>
      <c r="AU70" s="151">
        <f>IFERROR(IF(OR(NOT(ISNUMBER('Price History'!AB71)),NOT(ISNUMBER('Price History'!AB70)),'Price History'!AB70=0),"",'Price History'!AB71/'Price History'!AB70-1),"")</f>
        <v>-4.5792252698471092E-3</v>
      </c>
    </row>
    <row r="71" spans="1:47" ht="15" customHeight="1" x14ac:dyDescent="0.2">
      <c r="A71" s="149">
        <f>IF('Price History'!A72="","",'Price History'!A72)</f>
        <v>45667</v>
      </c>
      <c r="B71" s="150">
        <f>IFERROR(IF(OR(NOT(ISNUMBER('Price History'!B72)),NOT(ISNUMBER('Price History'!B71)),'Price History'!B71=0),"",'Price History'!B72/'Price History'!B71-1),"")</f>
        <v>-5.7249692268388386E-2</v>
      </c>
      <c r="C71" s="150">
        <f>IFERROR(IF(OR(NOT(ISNUMBER('Price History'!C72)),NOT(ISNUMBER('Price History'!C71)),'Price History'!C71=0),"",'Price History'!C72/'Price History'!C71-1),"")</f>
        <v>-7.4652777777777235E-3</v>
      </c>
      <c r="D71" s="150">
        <f>IFERROR(IF(OR(NOT(ISNUMBER('Price History'!D72)),NOT(ISNUMBER('Price History'!D71)),'Price History'!D71=0),"",'Price History'!D72/'Price History'!D71-1),"")</f>
        <v>3.4506262247593122E-2</v>
      </c>
      <c r="E71" s="150">
        <f>IFERROR(IF(OR(NOT(ISNUMBER('Price History'!E72)),NOT(ISNUMBER('Price History'!E71)),'Price History'!E71=0),"",'Price History'!E72/'Price History'!E71-1),"")</f>
        <v>-3.5427574171029597E-2</v>
      </c>
      <c r="F71" s="150">
        <f>IFERROR(IF(OR(NOT(ISNUMBER('Price History'!F72)),NOT(ISNUMBER('Price History'!F71)),'Price History'!F71=0),"",'Price History'!F72/'Price History'!F71-1),"")</f>
        <v>-2.8300835654596179E-2</v>
      </c>
      <c r="G71" s="150">
        <f>IFERROR(IF(OR(NOT(ISNUMBER('Price History'!G72)),NOT(ISNUMBER('Price History'!G71)),'Price History'!G71=0),"",'Price History'!G72/'Price History'!G71-1),"")</f>
        <v>3.9753466872110899E-2</v>
      </c>
      <c r="H71" s="150">
        <f>IFERROR(IF(OR(NOT(ISNUMBER('Price History'!H72)),NOT(ISNUMBER('Price History'!H71)),'Price History'!H71=0),"",'Price History'!H72/'Price History'!H71-1),"")</f>
        <v>0.1053278230760637</v>
      </c>
      <c r="I71" s="150">
        <f>IFERROR(IF(OR(NOT(ISNUMBER('Price History'!I72)),NOT(ISNUMBER('Price History'!I71)),'Price History'!I71=0),"",'Price History'!I72/'Price History'!I71-1),"")</f>
        <v>-5.9199111666319637E-2</v>
      </c>
      <c r="J71" s="150">
        <f>IFERROR(IF(OR(NOT(ISNUMBER('Price History'!J72)),NOT(ISNUMBER('Price History'!J71)),'Price History'!J71=0),"",'Price History'!J72/'Price History'!J71-1),"")</f>
        <v>-1.9265502709211346E-2</v>
      </c>
      <c r="K71" s="150">
        <f>IFERROR(IF(OR(NOT(ISNUMBER('Price History'!K72)),NOT(ISNUMBER('Price History'!K71)),'Price History'!K71=0),"",'Price History'!K72/'Price History'!K71-1),"")</f>
        <v>-0.15809237701840029</v>
      </c>
      <c r="L71" s="150">
        <f>IFERROR(IF(OR(NOT(ISNUMBER('Price History'!L72)),NOT(ISNUMBER('Price History'!L71)),'Price History'!L71=0),"",'Price History'!L72/'Price History'!L71-1),"")</f>
        <v>-1.1261812662194393E-3</v>
      </c>
      <c r="M71" s="150">
        <f>IFERROR(IF(OR(NOT(ISNUMBER('Price History'!M72)),NOT(ISNUMBER('Price History'!M71)),'Price History'!M71=0),"",'Price History'!M72/'Price History'!M71-1),"")</f>
        <v>2.5996810207336463E-2</v>
      </c>
      <c r="N71" s="150">
        <f>IFERROR(IF(OR(NOT(ISNUMBER('Price History'!N72)),NOT(ISNUMBER('Price History'!N71)),'Price History'!N71=0),"",'Price History'!N72/'Price History'!N71-1),"")</f>
        <v>6.0180295251897054E-3</v>
      </c>
      <c r="O71" s="150">
        <f>IFERROR(IF(OR(NOT(ISNUMBER('Price History'!O72)),NOT(ISNUMBER('Price History'!O71)),'Price History'!O71=0),"",'Price History'!O72/'Price History'!O71-1),"")</f>
        <v>-2.6288006756756688E-2</v>
      </c>
      <c r="P71" s="150">
        <f>IFERROR(IF(OR(NOT(ISNUMBER('Price History'!P72)),NOT(ISNUMBER('Price History'!P71)),'Price History'!P71=0),"",'Price History'!P72/'Price History'!P71-1),"")</f>
        <v>-2.4987909076253478E-2</v>
      </c>
      <c r="Q71" s="150">
        <f>IFERROR(IF(OR(NOT(ISNUMBER('Price History'!Q72)),NOT(ISNUMBER('Price History'!Q71)),'Price History'!Q71=0),"",'Price History'!Q72/'Price History'!Q71-1),"")</f>
        <v>-1.2151652624756926E-2</v>
      </c>
      <c r="R71" s="150">
        <f>IFERROR(IF(OR(NOT(ISNUMBER('Price History'!R72)),NOT(ISNUMBER('Price History'!R71)),'Price History'!R71=0),"",'Price History'!R72/'Price History'!R71-1),"")</f>
        <v>-1.9263698630136994E-2</v>
      </c>
      <c r="S71" s="150">
        <f>IFERROR(IF(OR(NOT(ISNUMBER('Price History'!S72)),NOT(ISNUMBER('Price History'!S71)),'Price History'!S71=0),"",'Price History'!S72/'Price History'!S71-1),"")</f>
        <v>-1.3500784929356247E-2</v>
      </c>
      <c r="T71" s="150">
        <f>IFERROR(IF(OR(NOT(ISNUMBER('Price History'!T72)),NOT(ISNUMBER('Price History'!T71)),'Price History'!T71=0),"",'Price History'!T72/'Price History'!T71-1),"")</f>
        <v>0</v>
      </c>
      <c r="U71" s="150">
        <f>IFERROR(IF(OR(NOT(ISNUMBER('Price History'!U72)),NOT(ISNUMBER('Price History'!U71)),'Price History'!U71=0),"",'Price History'!U72/'Price History'!U71-1),"")</f>
        <v>-1.5521924718665092E-2</v>
      </c>
      <c r="V71" s="151">
        <f>IFERROR(IF(OR(NOT(ISNUMBER('Price History'!V72)),NOT(ISNUMBER('Price History'!V71)),'Price History'!V71=0),"",'Price History'!V72/'Price History'!V71-1),"")</f>
        <v>-2.2842802908435655E-2</v>
      </c>
      <c r="W71" s="152">
        <f>IFERROR('Price History'!B3+(INDEX('Price History'!B:B,MATCH(9.99E+307,'Returns (Calc)'!$A:$A)+1)-'Price History'!B3)*(ROW()-3)/(MATCH(9.99E+307,'Returns (Calc)'!$A:$A)-3),"")</f>
        <v>406.31037735849054</v>
      </c>
      <c r="X71" s="152">
        <f>IFERROR('Price History'!C3+(INDEX('Price History'!C:C,MATCH(9.99E+307,'Returns (Calc)'!$A:$A)+1)-'Price History'!C3)*(ROW()-3)/(MATCH(9.99E+307,'Returns (Calc)'!$A:$A)-3),"")</f>
        <v>119.12389937106917</v>
      </c>
      <c r="Y71" s="152">
        <f>IFERROR('Price History'!D3+(INDEX('Price History'!D:D,MATCH(9.99E+307,'Returns (Calc)'!$A:$A)+1)-'Price History'!D3)*(ROW()-3)/(MATCH(9.99E+307,'Returns (Calc)'!$A:$A)-3),"")</f>
        <v>1094.5033333333333</v>
      </c>
      <c r="Z71" s="152">
        <f>IFERROR('Price History'!E3+(INDEX('Price History'!E:E,MATCH(9.99E+307,'Returns (Calc)'!$A:$A)+1)-'Price History'!E3)*(ROW()-3)/(MATCH(9.99E+307,'Returns (Calc)'!$A:$A)-3),"")</f>
        <v>201.55169811320755</v>
      </c>
      <c r="AA71" s="152">
        <f>IFERROR('Price History'!F3+(INDEX('Price History'!F:F,MATCH(9.99E+307,'Returns (Calc)'!$A:$A)+1)-'Price History'!F3)*(ROW()-3)/(MATCH(9.99E+307,'Returns (Calc)'!$A:$A)-3),"")</f>
        <v>141.29861635220124</v>
      </c>
      <c r="AB71" s="152">
        <f>IFERROR('Price History'!G3+(INDEX('Price History'!G:G,MATCH(9.99E+307,'Returns (Calc)'!$A:$A)+1)-'Price History'!G3)*(ROW()-3)/(MATCH(9.99E+307,'Returns (Calc)'!$A:$A)-3),"")</f>
        <v>109.02270440251573</v>
      </c>
      <c r="AC71" s="152">
        <f>IFERROR('Price History'!H3+(INDEX('Price History'!H:H,MATCH(9.99E+307,'Returns (Calc)'!$A:$A)+1)-'Price History'!H3)*(ROW()-3)/(MATCH(9.99E+307,'Returns (Calc)'!$A:$A)-3),"")</f>
        <v>479.62899371069182</v>
      </c>
      <c r="AD71" s="152">
        <f>IFERROR('Price History'!I3+(INDEX('Price History'!I:I,MATCH(9.99E+307,'Returns (Calc)'!$A:$A)+1)-'Price History'!I3)*(ROW()-3)/(MATCH(9.99E+307,'Returns (Calc)'!$A:$A)-3),"")</f>
        <v>123.10761006289309</v>
      </c>
      <c r="AE71" s="152">
        <f>IFERROR('Price History'!J3+(INDEX('Price History'!J:J,MATCH(9.99E+307,'Returns (Calc)'!$A:$A)+1)-'Price History'!J3)*(ROW()-3)/(MATCH(9.99E+307,'Returns (Calc)'!$A:$A)-3),"")</f>
        <v>119.38842767295598</v>
      </c>
      <c r="AF71" s="152">
        <f>IFERROR('Price History'!K3+(INDEX('Price History'!K:K,MATCH(9.99E+307,'Returns (Calc)'!$A:$A)+1)-'Price History'!K3)*(ROW()-3)/(MATCH(9.99E+307,'Returns (Calc)'!$A:$A)-3),"")</f>
        <v>98.178805031446529</v>
      </c>
      <c r="AG71" s="152">
        <f>IFERROR('Price History'!L3+(INDEX('Price History'!L:L,MATCH(9.99E+307,'Returns (Calc)'!$A:$A)+1)-'Price History'!L3)*(ROW()-3)/(MATCH(9.99E+307,'Returns (Calc)'!$A:$A)-3),"")</f>
        <v>242.94547169811321</v>
      </c>
      <c r="AH71" s="152">
        <f>IFERROR('Price History'!M3+(INDEX('Price History'!M:M,MATCH(9.99E+307,'Returns (Calc)'!$A:$A)+1)-'Price History'!M3)*(ROW()-3)/(MATCH(9.99E+307,'Returns (Calc)'!$A:$A)-3),"")</f>
        <v>125.59031446540882</v>
      </c>
      <c r="AI71" s="152">
        <f>IFERROR('Price History'!N3+(INDEX('Price History'!N:N,MATCH(9.99E+307,'Returns (Calc)'!$A:$A)+1)-'Price History'!N3)*(ROW()-3)/(MATCH(9.99E+307,'Returns (Calc)'!$A:$A)-3),"")</f>
        <v>417.83232704402513</v>
      </c>
      <c r="AJ71" s="152">
        <f>IFERROR('Price History'!O3+(INDEX('Price History'!O:O,MATCH(9.99E+307,'Returns (Calc)'!$A:$A)+1)-'Price History'!O3)*(ROW()-3)/(MATCH(9.99E+307,'Returns (Calc)'!$A:$A)-3),"")</f>
        <v>94.268742138364786</v>
      </c>
      <c r="AK71" s="152">
        <f>IFERROR('Price History'!Q3+(INDEX('Price History'!Q:Q,MATCH(9.99E+307,'Returns (Calc)'!$A:$A)+1)-'Price History'!Q3)*(ROW()-3)/(MATCH(9.99E+307,'Returns (Calc)'!$A:$A)-3),"")</f>
        <v>29.92427672955975</v>
      </c>
      <c r="AL71" s="152">
        <f>IFERROR('Price History'!R3+(INDEX('Price History'!R:R,MATCH(9.99E+307,'Returns (Calc)'!$A:$A)+1)-'Price History'!R3)*(ROW()-3)/(MATCH(9.99E+307,'Returns (Calc)'!$A:$A)-3),"")</f>
        <v>45.860377358490567</v>
      </c>
      <c r="AM71" s="152">
        <f>IFERROR('Price History'!S3+(INDEX('Price History'!S:S,MATCH(9.99E+307,'Returns (Calc)'!$A:$A)+1)-'Price History'!S3)*(ROW()-3)/(MATCH(9.99E+307,'Returns (Calc)'!$A:$A)-3),"")</f>
        <v>97.63025157232704</v>
      </c>
      <c r="AN71" s="152">
        <f>IFERROR('Price History'!T3+(INDEX('Price History'!T:T,MATCH(9.99E+307,'Returns (Calc)'!$A:$A)+1)-'Price History'!T3)*(ROW()-3)/(MATCH(9.99E+307,'Returns (Calc)'!$A:$A)-3),"")</f>
        <v>37.043773584905665</v>
      </c>
      <c r="AO71" s="153">
        <f>IFERROR('Price History'!V3+(INDEX('Price History'!V:V,MATCH(9.99E+307,'Returns (Calc)'!$A:$A)+1)-'Price History'!V3)*(ROW()-3)/(MATCH(9.99E+307,'Returns (Calc)'!$A:$A)-3),"")</f>
        <v>299.70396226415096</v>
      </c>
      <c r="AP71" s="151">
        <f>IFERROR(IF(OR(NOT(ISNUMBER('Price History'!W72)),NOT(ISNUMBER('Price History'!W71)),'Price History'!W71=0),"",'Price History'!W72/'Price History'!W71-1),"")</f>
        <v>-1.7971863056029824E-2</v>
      </c>
      <c r="AQ71" s="151" t="str">
        <f>IFERROR(IF(OR(NOT(ISNUMBER('Price History'!X72)),NOT(ISNUMBER('Price History'!X71)),'Price History'!X71=0),"",'Price History'!X72/'Price History'!X71-1),"")</f>
        <v/>
      </c>
      <c r="AR71" s="151">
        <f>IFERROR(IF(OR(NOT(ISNUMBER('Price History'!Y72)),NOT(ISNUMBER('Price History'!Y71)),'Price History'!Y71=0),"",'Price History'!Y72/'Price History'!Y71-1),"")</f>
        <v>-1.591406405410789E-2</v>
      </c>
      <c r="AS71" s="151">
        <f>IFERROR(IF(OR(NOT(ISNUMBER('Price History'!Z72)),NOT(ISNUMBER('Price History'!Z71)),'Price History'!Z71=0),"",'Price History'!Z72/'Price History'!Z71-1),"")</f>
        <v>-1.5247478301666506E-3</v>
      </c>
      <c r="AT71" s="151">
        <f>IFERROR(IF(OR(NOT(ISNUMBER('Price History'!AA72)),NOT(ISNUMBER('Price History'!AA71)),'Price History'!AA71=0),"",'Price History'!AA72/'Price History'!AA71-1),"")</f>
        <v>-4.9256611054363852E-2</v>
      </c>
      <c r="AU71" s="151">
        <f>IFERROR(IF(OR(NOT(ISNUMBER('Price History'!AB72)),NOT(ISNUMBER('Price History'!AB71)),'Price History'!AB71=0),"",'Price History'!AB72/'Price History'!AB71-1),"")</f>
        <v>2.215650377881051E-2</v>
      </c>
    </row>
    <row r="72" spans="1:47" ht="15" customHeight="1" x14ac:dyDescent="0.2">
      <c r="A72" s="149">
        <f>IF('Price History'!A73="","",'Price History'!A73)</f>
        <v>45674</v>
      </c>
      <c r="B72" s="150">
        <f>IFERROR(IF(OR(NOT(ISNUMBER('Price History'!B73)),NOT(ISNUMBER('Price History'!B72)),'Price History'!B72=0),"",'Price History'!B73/'Price History'!B72-1),"")</f>
        <v>5.9297398502167864E-2</v>
      </c>
      <c r="C72" s="150">
        <f>IFERROR(IF(OR(NOT(ISNUMBER('Price History'!C73)),NOT(ISNUMBER('Price History'!C72)),'Price History'!C72=0),"",'Price History'!C73/'Price History'!C72-1),"")</f>
        <v>4.9064194507608905E-2</v>
      </c>
      <c r="D72" s="150">
        <f>IFERROR(IF(OR(NOT(ISNUMBER('Price History'!D73)),NOT(ISNUMBER('Price History'!D72)),'Price History'!D72=0),"",'Price History'!D73/'Price History'!D72-1),"")</f>
        <v>2.343106572228626E-2</v>
      </c>
      <c r="E72" s="150">
        <f>IFERROR(IF(OR(NOT(ISNUMBER('Price History'!E73)),NOT(ISNUMBER('Price History'!E72)),'Price History'!E72=0),"",'Price History'!E73/'Price History'!E72-1),"")</f>
        <v>5.853084856160673E-2</v>
      </c>
      <c r="F72" s="150">
        <f>IFERROR(IF(OR(NOT(ISNUMBER('Price History'!F73)),NOT(ISNUMBER('Price History'!F72)),'Price History'!F72=0),"",'Price History'!F73/'Price History'!F72-1),"")</f>
        <v>2.3391812865497075E-2</v>
      </c>
      <c r="G72" s="150">
        <f>IFERROR(IF(OR(NOT(ISNUMBER('Price History'!G73)),NOT(ISNUMBER('Price History'!G72)),'Price History'!G72=0),"",'Price History'!G73/'Price History'!G72-1),"")</f>
        <v>0.10892116182572598</v>
      </c>
      <c r="H72" s="150">
        <f>IFERROR(IF(OR(NOT(ISNUMBER('Price History'!H73)),NOT(ISNUMBER('Price History'!H72)),'Price History'!H72=0),"",'Price History'!H73/'Price History'!H72-1),"")</f>
        <v>6.4470493128536921E-2</v>
      </c>
      <c r="I72" s="150">
        <f>IFERROR(IF(OR(NOT(ISNUMBER('Price History'!I73)),NOT(ISNUMBER('Price History'!I72)),'Price History'!I72=0),"",'Price History'!I73/'Price History'!I72-1),"")</f>
        <v>1.3204485098849084E-2</v>
      </c>
      <c r="J72" s="150">
        <f>IFERROR(IF(OR(NOT(ISNUMBER('Price History'!J73)),NOT(ISNUMBER('Price History'!J72)),'Price History'!J72=0),"",'Price History'!J73/'Price History'!J72-1),"")</f>
        <v>5.6783302639656252E-2</v>
      </c>
      <c r="K72" s="150">
        <f>IFERROR(IF(OR(NOT(ISNUMBER('Price History'!K73)),NOT(ISNUMBER('Price History'!K72)),'Price History'!K72=0),"",'Price History'!K73/'Price History'!K72-1),"")</f>
        <v>6.7053226286053924E-2</v>
      </c>
      <c r="L72" s="150">
        <f>IFERROR(IF(OR(NOT(ISNUMBER('Price History'!L73)),NOT(ISNUMBER('Price History'!L72)),'Price History'!L72=0),"",'Price History'!L73/'Price History'!L72-1),"")</f>
        <v>1.4999999999999902E-2</v>
      </c>
      <c r="M72" s="150">
        <f>IFERROR(IF(OR(NOT(ISNUMBER('Price History'!M73)),NOT(ISNUMBER('Price History'!M72)),'Price History'!M72=0),"",'Price History'!M73/'Price History'!M72-1),"")</f>
        <v>5.3862894450489751E-2</v>
      </c>
      <c r="N72" s="150">
        <f>IFERROR(IF(OR(NOT(ISNUMBER('Price History'!N73)),NOT(ISNUMBER('Price History'!N72)),'Price History'!N72=0),"",'Price History'!N73/'Price History'!N72-1),"")</f>
        <v>3.0374059966793654E-2</v>
      </c>
      <c r="O72" s="150">
        <f>IFERROR(IF(OR(NOT(ISNUMBER('Price History'!O73)),NOT(ISNUMBER('Price History'!O72)),'Price History'!O72=0),"",'Price History'!O73/'Price History'!O72-1),"")</f>
        <v>4.889949040442354E-2</v>
      </c>
      <c r="P72" s="150">
        <f>IFERROR(IF(OR(NOT(ISNUMBER('Price History'!P73)),NOT(ISNUMBER('Price History'!P72)),'Price History'!P72=0),"",'Price History'!P73/'Price History'!P72-1),"")</f>
        <v>4.8363095238095344E-2</v>
      </c>
      <c r="Q72" s="150">
        <f>IFERROR(IF(OR(NOT(ISNUMBER('Price History'!Q73)),NOT(ISNUMBER('Price History'!Q72)),'Price History'!Q72=0),"",'Price History'!Q73/'Price History'!Q72-1),"")</f>
        <v>1.7221584385763489E-2</v>
      </c>
      <c r="R72" s="150">
        <f>IFERROR(IF(OR(NOT(ISNUMBER('Price History'!R73)),NOT(ISNUMBER('Price History'!R72)),'Price History'!R72=0),"",'Price History'!R73/'Price History'!R72-1),"")</f>
        <v>2.3134002618943716E-2</v>
      </c>
      <c r="S72" s="150">
        <f>IFERROR(IF(OR(NOT(ISNUMBER('Price History'!S73)),NOT(ISNUMBER('Price History'!S72)),'Price History'!S72=0),"",'Price History'!S73/'Price History'!S72-1),"")</f>
        <v>3.2145130490133678E-2</v>
      </c>
      <c r="T72" s="150">
        <f>IFERROR(IF(OR(NOT(ISNUMBER('Price History'!T73)),NOT(ISNUMBER('Price History'!T72)),'Price History'!T72=0),"",'Price History'!T73/'Price History'!T72-1),"")</f>
        <v>3.8621509209744609E-2</v>
      </c>
      <c r="U72" s="150">
        <f>IFERROR(IF(OR(NOT(ISNUMBER('Price History'!U73)),NOT(ISNUMBER('Price History'!U72)),'Price History'!U72=0),"",'Price History'!U73/'Price History'!U72-1),"")</f>
        <v>3.6263303113913903E-2</v>
      </c>
      <c r="V72" s="151">
        <f>IFERROR(IF(OR(NOT(ISNUMBER('Price History'!V73)),NOT(ISNUMBER('Price History'!V72)),'Price History'!V72=0),"",'Price History'!V73/'Price History'!V72-1),"")</f>
        <v>3.8686948505202157E-2</v>
      </c>
      <c r="W72" s="152">
        <f>IFERROR('Price History'!B3+(INDEX('Price History'!B:B,MATCH(9.99E+307,'Returns (Calc)'!$A:$A)+1)-'Price History'!B3)*(ROW()-3)/(MATCH(9.99E+307,'Returns (Calc)'!$A:$A)-3),"")</f>
        <v>404.50773584905659</v>
      </c>
      <c r="X72" s="152">
        <f>IFERROR('Price History'!C3+(INDEX('Price History'!C:C,MATCH(9.99E+307,'Returns (Calc)'!$A:$A)+1)-'Price History'!C3)*(ROW()-3)/(MATCH(9.99E+307,'Returns (Calc)'!$A:$A)-3),"")</f>
        <v>120.19660377358491</v>
      </c>
      <c r="Y72" s="152">
        <f>IFERROR('Price History'!D3+(INDEX('Price History'!D:D,MATCH(9.99E+307,'Returns (Calc)'!$A:$A)+1)-'Price History'!D3)*(ROW()-3)/(MATCH(9.99E+307,'Returns (Calc)'!$A:$A)-3),"")</f>
        <v>1102.04</v>
      </c>
      <c r="Z72" s="152">
        <f>IFERROR('Price History'!E3+(INDEX('Price History'!E:E,MATCH(9.99E+307,'Returns (Calc)'!$A:$A)+1)-'Price History'!E3)*(ROW()-3)/(MATCH(9.99E+307,'Returns (Calc)'!$A:$A)-3),"")</f>
        <v>203.30981132075473</v>
      </c>
      <c r="AA72" s="152">
        <f>IFERROR('Price History'!F3+(INDEX('Price History'!F:F,MATCH(9.99E+307,'Returns (Calc)'!$A:$A)+1)-'Price History'!F3)*(ROW()-3)/(MATCH(9.99E+307,'Returns (Calc)'!$A:$A)-3),"")</f>
        <v>142.76830188679247</v>
      </c>
      <c r="AB72" s="152">
        <f>IFERROR('Price History'!G3+(INDEX('Price History'!G:G,MATCH(9.99E+307,'Returns (Calc)'!$A:$A)+1)-'Price History'!G3)*(ROW()-3)/(MATCH(9.99E+307,'Returns (Calc)'!$A:$A)-3),"")</f>
        <v>109.97377358490567</v>
      </c>
      <c r="AC72" s="152">
        <f>IFERROR('Price History'!H3+(INDEX('Price History'!H:H,MATCH(9.99E+307,'Returns (Calc)'!$A:$A)+1)-'Price History'!H3)*(ROW()-3)/(MATCH(9.99E+307,'Returns (Calc)'!$A:$A)-3),"")</f>
        <v>485.6660377358491</v>
      </c>
      <c r="AD72" s="152">
        <f>IFERROR('Price History'!I3+(INDEX('Price History'!I:I,MATCH(9.99E+307,'Returns (Calc)'!$A:$A)+1)-'Price History'!I3)*(ROW()-3)/(MATCH(9.99E+307,'Returns (Calc)'!$A:$A)-3),"")</f>
        <v>124.27433962264149</v>
      </c>
      <c r="AE72" s="152">
        <f>IFERROR('Price History'!J3+(INDEX('Price History'!J:J,MATCH(9.99E+307,'Returns (Calc)'!$A:$A)+1)-'Price History'!J3)*(ROW()-3)/(MATCH(9.99E+307,'Returns (Calc)'!$A:$A)-3),"")</f>
        <v>119.49943396226416</v>
      </c>
      <c r="AF72" s="152">
        <f>IFERROR('Price History'!K3+(INDEX('Price History'!K:K,MATCH(9.99E+307,'Returns (Calc)'!$A:$A)+1)-'Price History'!K3)*(ROW()-3)/(MATCH(9.99E+307,'Returns (Calc)'!$A:$A)-3),"")</f>
        <v>99.397169811320751</v>
      </c>
      <c r="AG72" s="152">
        <f>IFERROR('Price History'!L3+(INDEX('Price History'!L:L,MATCH(9.99E+307,'Returns (Calc)'!$A:$A)+1)-'Price History'!L3)*(ROW()-3)/(MATCH(9.99E+307,'Returns (Calc)'!$A:$A)-3),"")</f>
        <v>245.25716981132075</v>
      </c>
      <c r="AH72" s="152">
        <f>IFERROR('Price History'!M3+(INDEX('Price History'!M:M,MATCH(9.99E+307,'Returns (Calc)'!$A:$A)+1)-'Price History'!M3)*(ROW()-3)/(MATCH(9.99E+307,'Returns (Calc)'!$A:$A)-3),"")</f>
        <v>126.87811320754716</v>
      </c>
      <c r="AI72" s="152">
        <f>IFERROR('Price History'!N3+(INDEX('Price History'!N:N,MATCH(9.99E+307,'Returns (Calc)'!$A:$A)+1)-'Price History'!N3)*(ROW()-3)/(MATCH(9.99E+307,'Returns (Calc)'!$A:$A)-3),"")</f>
        <v>418.84603773584905</v>
      </c>
      <c r="AJ72" s="152">
        <f>IFERROR('Price History'!O3+(INDEX('Price History'!O:O,MATCH(9.99E+307,'Returns (Calc)'!$A:$A)+1)-'Price History'!O3)*(ROW()-3)/(MATCH(9.99E+307,'Returns (Calc)'!$A:$A)-3),"")</f>
        <v>94.547547169811324</v>
      </c>
      <c r="AK72" s="152">
        <f>IFERROR('Price History'!Q3+(INDEX('Price History'!Q:Q,MATCH(9.99E+307,'Returns (Calc)'!$A:$A)+1)-'Price History'!Q3)*(ROW()-3)/(MATCH(9.99E+307,'Returns (Calc)'!$A:$A)-3),"")</f>
        <v>30.364339622641513</v>
      </c>
      <c r="AL72" s="152">
        <f>IFERROR('Price History'!R3+(INDEX('Price History'!R:R,MATCH(9.99E+307,'Returns (Calc)'!$A:$A)+1)-'Price History'!R3)*(ROW()-3)/(MATCH(9.99E+307,'Returns (Calc)'!$A:$A)-3),"")</f>
        <v>46.027735849056604</v>
      </c>
      <c r="AM72" s="152">
        <f>IFERROR('Price History'!S3+(INDEX('Price History'!S:S,MATCH(9.99E+307,'Returns (Calc)'!$A:$A)+1)-'Price History'!S3)*(ROW()-3)/(MATCH(9.99E+307,'Returns (Calc)'!$A:$A)-3),"")</f>
        <v>98.21849056603773</v>
      </c>
      <c r="AN72" s="152">
        <f>IFERROR('Price History'!T3+(INDEX('Price History'!T:T,MATCH(9.99E+307,'Returns (Calc)'!$A:$A)+1)-'Price History'!T3)*(ROW()-3)/(MATCH(9.99E+307,'Returns (Calc)'!$A:$A)-3),"")</f>
        <v>37.217358490566042</v>
      </c>
      <c r="AO72" s="153">
        <f>IFERROR('Price History'!V3+(INDEX('Price History'!V:V,MATCH(9.99E+307,'Returns (Calc)'!$A:$A)+1)-'Price History'!V3)*(ROW()-3)/(MATCH(9.99E+307,'Returns (Calc)'!$A:$A)-3),"")</f>
        <v>300.64622641509436</v>
      </c>
      <c r="AP72" s="151">
        <f>IFERROR(IF(OR(NOT(ISNUMBER('Price History'!W73)),NOT(ISNUMBER('Price History'!W72)),'Price History'!W72=0),"",'Price History'!W73/'Price History'!W72-1),"")</f>
        <v>4.4219940377608458E-2</v>
      </c>
      <c r="AQ72" s="151" t="str">
        <f>IFERROR(IF(OR(NOT(ISNUMBER('Price History'!X73)),NOT(ISNUMBER('Price History'!X72)),'Price History'!X72=0),"",'Price History'!X73/'Price History'!X72-1),"")</f>
        <v/>
      </c>
      <c r="AR72" s="151">
        <f>IFERROR(IF(OR(NOT(ISNUMBER('Price History'!Y73)),NOT(ISNUMBER('Price History'!Y72)),'Price History'!Y72=0),"",'Price History'!Y73/'Price History'!Y72-1),"")</f>
        <v>2.5267839094400557E-2</v>
      </c>
      <c r="AS72" s="151">
        <f>IFERROR(IF(OR(NOT(ISNUMBER('Price History'!Z73)),NOT(ISNUMBER('Price History'!Z72)),'Price History'!Z72=0),"",'Price History'!Z73/'Price History'!Z72-1),"")</f>
        <v>6.4959473746035501E-2</v>
      </c>
      <c r="AT72" s="151">
        <f>IFERROR(IF(OR(NOT(ISNUMBER('Price History'!AA73)),NOT(ISNUMBER('Price History'!AA72)),'Price History'!AA72=0),"",'Price History'!AA73/'Price History'!AA72-1),"")</f>
        <v>2.4352393458278776E-2</v>
      </c>
      <c r="AU72" s="151">
        <f>IFERROR(IF(OR(NOT(ISNUMBER('Price History'!AB73)),NOT(ISNUMBER('Price History'!AB72)),'Price History'!AB72=0),"",'Price History'!AB73/'Price History'!AB72-1),"")</f>
        <v>-5.3272101033294827E-3</v>
      </c>
    </row>
    <row r="73" spans="1:47" ht="15" customHeight="1" x14ac:dyDescent="0.2">
      <c r="A73" s="149">
        <f>IF('Price History'!A74="","",'Price History'!A74)</f>
        <v>45681</v>
      </c>
      <c r="B73" s="150">
        <f>IFERROR(IF(OR(NOT(ISNUMBER('Price History'!B74)),NOT(ISNUMBER('Price History'!B73)),'Price History'!B73=0),"",'Price History'!B74/'Price History'!B73-1),"")</f>
        <v>1.2535175236633389E-2</v>
      </c>
      <c r="C73" s="150">
        <f>IFERROR(IF(OR(NOT(ISNUMBER('Price History'!C74)),NOT(ISNUMBER('Price History'!C73)),'Price History'!C73=0),"",'Price History'!C74/'Price History'!C73-1),"")</f>
        <v>7.6865360566902741E-2</v>
      </c>
      <c r="D73" s="150">
        <f>IFERROR(IF(OR(NOT(ISNUMBER('Price History'!D74)),NOT(ISNUMBER('Price History'!D73)),'Price History'!D73=0),"",'Price History'!D74/'Price History'!D73-1),"")</f>
        <v>-3.1840555801445847E-2</v>
      </c>
      <c r="E73" s="150">
        <f>IFERROR(IF(OR(NOT(ISNUMBER('Price History'!E74)),NOT(ISNUMBER('Price History'!E73)),'Price History'!E73=0),"",'Price History'!E74/'Price History'!E73-1),"")</f>
        <v>3.0595675583283466E-2</v>
      </c>
      <c r="F73" s="150">
        <f>IFERROR(IF(OR(NOT(ISNUMBER('Price History'!F74)),NOT(ISNUMBER('Price History'!F73)),'Price History'!F73=0),"",'Price History'!F74/'Price History'!F73-1),"")</f>
        <v>5.0196078431372637E-2</v>
      </c>
      <c r="G73" s="150">
        <f>IFERROR(IF(OR(NOT(ISNUMBER('Price History'!G74)),NOT(ISNUMBER('Price History'!G73)),'Price History'!G73=0),"",'Price History'!G74/'Price History'!G73-1),"")</f>
        <v>-1.0156354403314194E-2</v>
      </c>
      <c r="H73" s="150">
        <f>IFERROR(IF(OR(NOT(ISNUMBER('Price History'!H74)),NOT(ISNUMBER('Price History'!H73)),'Price History'!H73=0),"",'Price History'!H74/'Price History'!H73-1),"")</f>
        <v>-2.4207328650085458E-2</v>
      </c>
      <c r="I73" s="150">
        <f>IFERROR(IF(OR(NOT(ISNUMBER('Price History'!I74)),NOT(ISNUMBER('Price History'!I73)),'Price History'!I73=0),"",'Price History'!I74/'Price History'!I73-1),"")</f>
        <v>3.567528212595561E-2</v>
      </c>
      <c r="J73" s="150">
        <f>IFERROR(IF(OR(NOT(ISNUMBER('Price History'!J74)),NOT(ISNUMBER('Price History'!J73)),'Price History'!J73=0),"",'Price History'!J74/'Price History'!J73-1),"")</f>
        <v>8.6358795623971307E-2</v>
      </c>
      <c r="K73" s="150">
        <f>IFERROR(IF(OR(NOT(ISNUMBER('Price History'!K74)),NOT(ISNUMBER('Price History'!K73)),'Price History'!K73=0),"",'Price History'!K74/'Price History'!K73-1),"")</f>
        <v>0.10045980214574346</v>
      </c>
      <c r="L73" s="150">
        <f>IFERROR(IF(OR(NOT(ISNUMBER('Price History'!L74)),NOT(ISNUMBER('Price History'!L73)),'Price History'!L73=0),"",'Price History'!L74/'Price History'!L73-1),"")</f>
        <v>4.9067903023278348E-2</v>
      </c>
      <c r="M73" s="150">
        <f>IFERROR(IF(OR(NOT(ISNUMBER('Price History'!M74)),NOT(ISNUMBER('Price History'!M73)),'Price History'!M73=0),"",'Price History'!M74/'Price History'!M73-1),"")</f>
        <v>7.6849325171472804E-2</v>
      </c>
      <c r="N73" s="150">
        <f>IFERROR(IF(OR(NOT(ISNUMBER('Price History'!N74)),NOT(ISNUMBER('Price History'!N73)),'Price History'!N73=0),"",'Price History'!N74/'Price History'!N73-1),"")</f>
        <v>4.1753554502369727E-2</v>
      </c>
      <c r="O73" s="150">
        <f>IFERROR(IF(OR(NOT(ISNUMBER('Price History'!O74)),NOT(ISNUMBER('Price History'!O73)),'Price History'!O73=0),"",'Price History'!O74/'Price History'!O73-1),"")</f>
        <v>5.0651230101304012E-3</v>
      </c>
      <c r="P73" s="150">
        <f>IFERROR(IF(OR(NOT(ISNUMBER('Price History'!P74)),NOT(ISNUMBER('Price History'!P73)),'Price History'!P73=0),"",'Price History'!P74/'Price History'!P73-1),"")</f>
        <v>2.2080277580631691E-3</v>
      </c>
      <c r="Q73" s="150">
        <f>IFERROR(IF(OR(NOT(ISNUMBER('Price History'!Q74)),NOT(ISNUMBER('Price History'!Q73)),'Price History'!Q73=0),"",'Price History'!Q74/'Price History'!Q73-1),"")</f>
        <v>1.0319251854240541E-2</v>
      </c>
      <c r="R73" s="150">
        <f>IFERROR(IF(OR(NOT(ISNUMBER('Price History'!R74)),NOT(ISNUMBER('Price History'!R73)),'Price History'!R73=0),"",'Price History'!R74/'Price History'!R73-1),"")</f>
        <v>1.3865187713310467E-2</v>
      </c>
      <c r="S73" s="150">
        <f>IFERROR(IF(OR(NOT(ISNUMBER('Price History'!S74)),NOT(ISNUMBER('Price History'!S73)),'Price History'!S73=0),"",'Price History'!S74/'Price History'!S73-1),"")</f>
        <v>2.7135368485969869E-2</v>
      </c>
      <c r="T73" s="150">
        <f>IFERROR(IF(OR(NOT(ISNUMBER('Price History'!T74)),NOT(ISNUMBER('Price History'!T73)),'Price History'!T73=0),"",'Price History'!T74/'Price History'!T73-1),"")</f>
        <v>2.5743707093819346E-3</v>
      </c>
      <c r="U73" s="150">
        <f>IFERROR(IF(OR(NOT(ISNUMBER('Price History'!U74)),NOT(ISNUMBER('Price History'!U73)),'Price History'!U73=0),"",'Price History'!U74/'Price History'!U73-1),"")</f>
        <v>2.6626093571699982E-3</v>
      </c>
      <c r="V73" s="151">
        <f>IFERROR(IF(OR(NOT(ISNUMBER('Price History'!V74)),NOT(ISNUMBER('Price History'!V73)),'Price History'!V73=0),"",'Price History'!V74/'Price History'!V73-1),"")</f>
        <v>3.3093479570165174E-2</v>
      </c>
      <c r="W73" s="152">
        <f>IFERROR('Price History'!B3+(INDEX('Price History'!B:B,MATCH(9.99E+307,'Returns (Calc)'!$A:$A)+1)-'Price History'!B3)*(ROW()-3)/(MATCH(9.99E+307,'Returns (Calc)'!$A:$A)-3),"")</f>
        <v>402.70509433962263</v>
      </c>
      <c r="X73" s="152">
        <f>IFERROR('Price History'!C3+(INDEX('Price History'!C:C,MATCH(9.99E+307,'Returns (Calc)'!$A:$A)+1)-'Price History'!C3)*(ROW()-3)/(MATCH(9.99E+307,'Returns (Calc)'!$A:$A)-3),"")</f>
        <v>121.26930817610062</v>
      </c>
      <c r="Y73" s="152">
        <f>IFERROR('Price History'!D3+(INDEX('Price History'!D:D,MATCH(9.99E+307,'Returns (Calc)'!$A:$A)+1)-'Price History'!D3)*(ROW()-3)/(MATCH(9.99E+307,'Returns (Calc)'!$A:$A)-3),"")</f>
        <v>1109.5766666666666</v>
      </c>
      <c r="Z73" s="152">
        <f>IFERROR('Price History'!E3+(INDEX('Price History'!E:E,MATCH(9.99E+307,'Returns (Calc)'!$A:$A)+1)-'Price History'!E3)*(ROW()-3)/(MATCH(9.99E+307,'Returns (Calc)'!$A:$A)-3),"")</f>
        <v>205.06792452830189</v>
      </c>
      <c r="AA73" s="152">
        <f>IFERROR('Price History'!F3+(INDEX('Price History'!F:F,MATCH(9.99E+307,'Returns (Calc)'!$A:$A)+1)-'Price History'!F3)*(ROW()-3)/(MATCH(9.99E+307,'Returns (Calc)'!$A:$A)-3),"")</f>
        <v>144.23798742138365</v>
      </c>
      <c r="AB73" s="152">
        <f>IFERROR('Price History'!G3+(INDEX('Price History'!G:G,MATCH(9.99E+307,'Returns (Calc)'!$A:$A)+1)-'Price History'!G3)*(ROW()-3)/(MATCH(9.99E+307,'Returns (Calc)'!$A:$A)-3),"")</f>
        <v>110.92484276729559</v>
      </c>
      <c r="AC73" s="152">
        <f>IFERROR('Price History'!H3+(INDEX('Price History'!H:H,MATCH(9.99E+307,'Returns (Calc)'!$A:$A)+1)-'Price History'!H3)*(ROW()-3)/(MATCH(9.99E+307,'Returns (Calc)'!$A:$A)-3),"")</f>
        <v>491.70308176100633</v>
      </c>
      <c r="AD73" s="152">
        <f>IFERROR('Price History'!I3+(INDEX('Price History'!I:I,MATCH(9.99E+307,'Returns (Calc)'!$A:$A)+1)-'Price History'!I3)*(ROW()-3)/(MATCH(9.99E+307,'Returns (Calc)'!$A:$A)-3),"")</f>
        <v>125.44106918238992</v>
      </c>
      <c r="AE73" s="152">
        <f>IFERROR('Price History'!J3+(INDEX('Price History'!J:J,MATCH(9.99E+307,'Returns (Calc)'!$A:$A)+1)-'Price History'!J3)*(ROW()-3)/(MATCH(9.99E+307,'Returns (Calc)'!$A:$A)-3),"")</f>
        <v>119.61044025157233</v>
      </c>
      <c r="AF73" s="152">
        <f>IFERROR('Price History'!K3+(INDEX('Price History'!K:K,MATCH(9.99E+307,'Returns (Calc)'!$A:$A)+1)-'Price History'!K3)*(ROW()-3)/(MATCH(9.99E+307,'Returns (Calc)'!$A:$A)-3),"")</f>
        <v>100.61553459119496</v>
      </c>
      <c r="AG73" s="152">
        <f>IFERROR('Price History'!L3+(INDEX('Price History'!L:L,MATCH(9.99E+307,'Returns (Calc)'!$A:$A)+1)-'Price History'!L3)*(ROW()-3)/(MATCH(9.99E+307,'Returns (Calc)'!$A:$A)-3),"")</f>
        <v>247.56886792452832</v>
      </c>
      <c r="AH73" s="152">
        <f>IFERROR('Price History'!M3+(INDEX('Price History'!M:M,MATCH(9.99E+307,'Returns (Calc)'!$A:$A)+1)-'Price History'!M3)*(ROW()-3)/(MATCH(9.99E+307,'Returns (Calc)'!$A:$A)-3),"")</f>
        <v>128.16591194968552</v>
      </c>
      <c r="AI73" s="152">
        <f>IFERROR('Price History'!N3+(INDEX('Price History'!N:N,MATCH(9.99E+307,'Returns (Calc)'!$A:$A)+1)-'Price History'!N3)*(ROW()-3)/(MATCH(9.99E+307,'Returns (Calc)'!$A:$A)-3),"")</f>
        <v>419.85974842767291</v>
      </c>
      <c r="AJ73" s="152">
        <f>IFERROR('Price History'!O3+(INDEX('Price History'!O:O,MATCH(9.99E+307,'Returns (Calc)'!$A:$A)+1)-'Price History'!O3)*(ROW()-3)/(MATCH(9.99E+307,'Returns (Calc)'!$A:$A)-3),"")</f>
        <v>94.826352201257862</v>
      </c>
      <c r="AK73" s="152">
        <f>IFERROR('Price History'!Q3+(INDEX('Price History'!Q:Q,MATCH(9.99E+307,'Returns (Calc)'!$A:$A)+1)-'Price History'!Q3)*(ROW()-3)/(MATCH(9.99E+307,'Returns (Calc)'!$A:$A)-3),"")</f>
        <v>30.804402515723268</v>
      </c>
      <c r="AL73" s="152">
        <f>IFERROR('Price History'!R3+(INDEX('Price History'!R:R,MATCH(9.99E+307,'Returns (Calc)'!$A:$A)+1)-'Price History'!R3)*(ROW()-3)/(MATCH(9.99E+307,'Returns (Calc)'!$A:$A)-3),"")</f>
        <v>46.195094339622642</v>
      </c>
      <c r="AM73" s="152">
        <f>IFERROR('Price History'!S3+(INDEX('Price History'!S:S,MATCH(9.99E+307,'Returns (Calc)'!$A:$A)+1)-'Price History'!S3)*(ROW()-3)/(MATCH(9.99E+307,'Returns (Calc)'!$A:$A)-3),"")</f>
        <v>98.806729559748433</v>
      </c>
      <c r="AN73" s="152">
        <f>IFERROR('Price History'!T3+(INDEX('Price History'!T:T,MATCH(9.99E+307,'Returns (Calc)'!$A:$A)+1)-'Price History'!T3)*(ROW()-3)/(MATCH(9.99E+307,'Returns (Calc)'!$A:$A)-3),"")</f>
        <v>37.390943396226419</v>
      </c>
      <c r="AO73" s="153">
        <f>IFERROR('Price History'!V3+(INDEX('Price History'!V:V,MATCH(9.99E+307,'Returns (Calc)'!$A:$A)+1)-'Price History'!V3)*(ROW()-3)/(MATCH(9.99E+307,'Returns (Calc)'!$A:$A)-3),"")</f>
        <v>301.58849056603776</v>
      </c>
      <c r="AP73" s="151">
        <f>IFERROR(IF(OR(NOT(ISNUMBER('Price History'!W74)),NOT(ISNUMBER('Price History'!W73)),'Price History'!W73=0),"",'Price History'!W74/'Price History'!W73-1),"")</f>
        <v>1.0388580491673238E-2</v>
      </c>
      <c r="AQ73" s="151" t="str">
        <f>IFERROR(IF(OR(NOT(ISNUMBER('Price History'!X74)),NOT(ISNUMBER('Price History'!X73)),'Price History'!X73=0),"",'Price History'!X74/'Price History'!X73-1),"")</f>
        <v/>
      </c>
      <c r="AR73" s="151">
        <f>IFERROR(IF(OR(NOT(ISNUMBER('Price History'!Y74)),NOT(ISNUMBER('Price History'!Y73)),'Price History'!Y73=0),"",'Price History'!Y74/'Price History'!Y73-1),"")</f>
        <v>1.0252365930599527E-2</v>
      </c>
      <c r="AS73" s="151">
        <f>IFERROR(IF(OR(NOT(ISNUMBER('Price History'!Z74)),NOT(ISNUMBER('Price History'!Z73)),'Price History'!Z73=0),"",'Price History'!Z74/'Price History'!Z73-1),"")</f>
        <v>7.6053386278402968E-2</v>
      </c>
      <c r="AT73" s="151">
        <f>IFERROR(IF(OR(NOT(ISNUMBER('Price History'!AA74)),NOT(ISNUMBER('Price History'!AA73)),'Price History'!AA73=0),"",'Price History'!AA74/'Price History'!AA73-1),"")</f>
        <v>0.13926115837315001</v>
      </c>
      <c r="AU73" s="151">
        <f>IFERROR(IF(OR(NOT(ISNUMBER('Price History'!AB74)),NOT(ISNUMBER('Price History'!AB73)),'Price History'!AB73=0),"",'Price History'!AB74/'Price History'!AB73-1),"")</f>
        <v>3.1441894824322469E-2</v>
      </c>
    </row>
    <row r="74" spans="1:47" ht="15" customHeight="1" x14ac:dyDescent="0.2">
      <c r="A74" s="149">
        <f>IF('Price History'!A75="","",'Price History'!A75)</f>
        <v>45688</v>
      </c>
      <c r="B74" s="150">
        <f>IFERROR(IF(OR(NOT(ISNUMBER('Price History'!B75)),NOT(ISNUMBER('Price History'!B74)),'Price History'!B74=0),"",'Price History'!B75/'Price History'!B74-1),"")</f>
        <v>4.7544673618447053E-3</v>
      </c>
      <c r="C74" s="150">
        <f>IFERROR(IF(OR(NOT(ISNUMBER('Price History'!C75)),NOT(ISNUMBER('Price History'!C74)),'Price History'!C74=0),"",'Price History'!C75/'Price History'!C74-1),"")</f>
        <v>-0.10791979561817744</v>
      </c>
      <c r="D74" s="150">
        <f>IFERROR(IF(OR(NOT(ISNUMBER('Price History'!D75)),NOT(ISNUMBER('Price History'!D74)),'Price History'!D74=0),"",'Price History'!D75/'Price History'!D74-1),"")</f>
        <v>9.6418923599084216E-3</v>
      </c>
      <c r="E74" s="150">
        <f>IFERROR(IF(OR(NOT(ISNUMBER('Price History'!E75)),NOT(ISNUMBER('Price History'!E74)),'Price History'!E74=0),"",'Price History'!E75/'Price History'!E74-1),"")</f>
        <v>-9.5737623351853429E-2</v>
      </c>
      <c r="F74" s="150">
        <f>IFERROR(IF(OR(NOT(ISNUMBER('Price History'!F75)),NOT(ISNUMBER('Price History'!F74)),'Price History'!F74=0),"",'Price History'!F75/'Price History'!F74-1),"")</f>
        <v>6.1773178278032637E-2</v>
      </c>
      <c r="G74" s="150">
        <f>IFERROR(IF(OR(NOT(ISNUMBER('Price History'!G75)),NOT(ISNUMBER('Price History'!G74)),'Price History'!G74=0),"",'Price History'!G75/'Price History'!G74-1),"")</f>
        <v>-1.5390846496557087E-2</v>
      </c>
      <c r="H74" s="150">
        <f>IFERROR(IF(OR(NOT(ISNUMBER('Price History'!H75)),NOT(ISNUMBER('Price History'!H74)),'Price History'!H74=0),"",'Price History'!H75/'Price History'!H74-1),"")</f>
        <v>-0.11577001653857388</v>
      </c>
      <c r="I74" s="150">
        <f>IFERROR(IF(OR(NOT(ISNUMBER('Price History'!I75)),NOT(ISNUMBER('Price History'!I74)),'Price History'!I74=0),"",'Price History'!I75/'Price History'!I74-1),"")</f>
        <v>-0.15810193321616872</v>
      </c>
      <c r="J74" s="150">
        <f>IFERROR(IF(OR(NOT(ISNUMBER('Price History'!J75)),NOT(ISNUMBER('Price History'!J74)),'Price History'!J74=0),"",'Price History'!J75/'Price History'!J74-1),"")</f>
        <v>2.6735585063721867E-3</v>
      </c>
      <c r="K74" s="150">
        <f>IFERROR(IF(OR(NOT(ISNUMBER('Price History'!K75)),NOT(ISNUMBER('Price History'!K74)),'Price History'!K74=0),"",'Price History'!K75/'Price History'!K74-1),"")</f>
        <v>4.4441630792605658E-2</v>
      </c>
      <c r="L74" s="150">
        <f>IFERROR(IF(OR(NOT(ISNUMBER('Price History'!L75)),NOT(ISNUMBER('Price History'!L74)),'Price History'!L74=0),"",'Price History'!L75/'Price History'!L74-1),"")</f>
        <v>-5.6578583924132175E-2</v>
      </c>
      <c r="M74" s="150">
        <f>IFERROR(IF(OR(NOT(ISNUMBER('Price History'!M75)),NOT(ISNUMBER('Price History'!M74)),'Price History'!M74=0),"",'Price History'!M75/'Price History'!M74-1),"")</f>
        <v>-0.20026025614683929</v>
      </c>
      <c r="N74" s="150">
        <f>IFERROR(IF(OR(NOT(ISNUMBER('Price History'!N75)),NOT(ISNUMBER('Price History'!N74)),'Price History'!N74=0),"",'Price History'!N75/'Price History'!N74-1),"")</f>
        <v>5.0179700650561765E-2</v>
      </c>
      <c r="O74" s="150">
        <f>IFERROR(IF(OR(NOT(ISNUMBER('Price History'!O75)),NOT(ISNUMBER('Price History'!O74)),'Price History'!O74=0),"",'Price History'!O75/'Price History'!O74-1),"")</f>
        <v>-1.5118790496760237E-2</v>
      </c>
      <c r="P74" s="150">
        <f>IFERROR(IF(OR(NOT(ISNUMBER('Price History'!P75)),NOT(ISNUMBER('Price History'!P74)),'Price History'!P74=0),"",'Price History'!P75/'Price History'!P74-1),"")</f>
        <v>-2.5965850971751969E-3</v>
      </c>
      <c r="Q74" s="150">
        <f>IFERROR(IF(OR(NOT(ISNUMBER('Price History'!Q75)),NOT(ISNUMBER('Price History'!Q74)),'Price History'!Q74=0),"",'Price History'!Q75/'Price History'!Q74-1),"")</f>
        <v>-8.6179380785189608E-3</v>
      </c>
      <c r="R74" s="150">
        <f>IFERROR(IF(OR(NOT(ISNUMBER('Price History'!R75)),NOT(ISNUMBER('Price History'!R74)),'Price History'!R74=0),"",'Price History'!R75/'Price History'!R74-1),"")</f>
        <v>-1.0309278350515538E-2</v>
      </c>
      <c r="S74" s="150">
        <f>IFERROR(IF(OR(NOT(ISNUMBER('Price History'!S75)),NOT(ISNUMBER('Price History'!S74)),'Price History'!S74=0),"",'Price History'!S75/'Price History'!S74-1),"")</f>
        <v>-1.2708896227359268E-2</v>
      </c>
      <c r="T74" s="150">
        <f>IFERROR(IF(OR(NOT(ISNUMBER('Price History'!T75)),NOT(ISNUMBER('Price History'!T74)),'Price History'!T74=0),"",'Price History'!T75/'Price History'!T74-1),"")</f>
        <v>-1.0271041369472211E-2</v>
      </c>
      <c r="U74" s="150">
        <f>IFERROR(IF(OR(NOT(ISNUMBER('Price History'!U75)),NOT(ISNUMBER('Price History'!U74)),'Price History'!U74=0),"",'Price History'!U75/'Price History'!U74-1),"")</f>
        <v>-8.3459787556904308E-3</v>
      </c>
      <c r="V74" s="151">
        <f>IFERROR(IF(OR(NOT(ISNUMBER('Price History'!V75)),NOT(ISNUMBER('Price History'!V74)),'Price History'!V74=0),"",'Price History'!V75/'Price History'!V74-1),"")</f>
        <v>3.5132398514927443E-2</v>
      </c>
      <c r="W74" s="152">
        <f>IFERROR('Price History'!B3+(INDEX('Price History'!B:B,MATCH(9.99E+307,'Returns (Calc)'!$A:$A)+1)-'Price History'!B3)*(ROW()-3)/(MATCH(9.99E+307,'Returns (Calc)'!$A:$A)-3),"")</f>
        <v>400.90245283018868</v>
      </c>
      <c r="X74" s="152">
        <f>IFERROR('Price History'!C3+(INDEX('Price History'!C:C,MATCH(9.99E+307,'Returns (Calc)'!$A:$A)+1)-'Price History'!C3)*(ROW()-3)/(MATCH(9.99E+307,'Returns (Calc)'!$A:$A)-3),"")</f>
        <v>122.34201257861636</v>
      </c>
      <c r="Y74" s="152">
        <f>IFERROR('Price History'!D3+(INDEX('Price History'!D:D,MATCH(9.99E+307,'Returns (Calc)'!$A:$A)+1)-'Price History'!D3)*(ROW()-3)/(MATCH(9.99E+307,'Returns (Calc)'!$A:$A)-3),"")</f>
        <v>1117.1133333333332</v>
      </c>
      <c r="Z74" s="152">
        <f>IFERROR('Price History'!E3+(INDEX('Price History'!E:E,MATCH(9.99E+307,'Returns (Calc)'!$A:$A)+1)-'Price History'!E3)*(ROW()-3)/(MATCH(9.99E+307,'Returns (Calc)'!$A:$A)-3),"")</f>
        <v>206.82603773584907</v>
      </c>
      <c r="AA74" s="152">
        <f>IFERROR('Price History'!F3+(INDEX('Price History'!F:F,MATCH(9.99E+307,'Returns (Calc)'!$A:$A)+1)-'Price History'!F3)*(ROW()-3)/(MATCH(9.99E+307,'Returns (Calc)'!$A:$A)-3),"")</f>
        <v>145.70767295597483</v>
      </c>
      <c r="AB74" s="152">
        <f>IFERROR('Price History'!G3+(INDEX('Price History'!G:G,MATCH(9.99E+307,'Returns (Calc)'!$A:$A)+1)-'Price History'!G3)*(ROW()-3)/(MATCH(9.99E+307,'Returns (Calc)'!$A:$A)-3),"")</f>
        <v>111.87591194968553</v>
      </c>
      <c r="AC74" s="152">
        <f>IFERROR('Price History'!H3+(INDEX('Price History'!H:H,MATCH(9.99E+307,'Returns (Calc)'!$A:$A)+1)-'Price History'!H3)*(ROW()-3)/(MATCH(9.99E+307,'Returns (Calc)'!$A:$A)-3),"")</f>
        <v>497.74012578616356</v>
      </c>
      <c r="AD74" s="152">
        <f>IFERROR('Price History'!I3+(INDEX('Price History'!I:I,MATCH(9.99E+307,'Returns (Calc)'!$A:$A)+1)-'Price History'!I3)*(ROW()-3)/(MATCH(9.99E+307,'Returns (Calc)'!$A:$A)-3),"")</f>
        <v>126.60779874213836</v>
      </c>
      <c r="AE74" s="152">
        <f>IFERROR('Price History'!J3+(INDEX('Price History'!J:J,MATCH(9.99E+307,'Returns (Calc)'!$A:$A)+1)-'Price History'!J3)*(ROW()-3)/(MATCH(9.99E+307,'Returns (Calc)'!$A:$A)-3),"")</f>
        <v>119.72144654088051</v>
      </c>
      <c r="AF74" s="152">
        <f>IFERROR('Price History'!K3+(INDEX('Price History'!K:K,MATCH(9.99E+307,'Returns (Calc)'!$A:$A)+1)-'Price History'!K3)*(ROW()-3)/(MATCH(9.99E+307,'Returns (Calc)'!$A:$A)-3),"")</f>
        <v>101.83389937106918</v>
      </c>
      <c r="AG74" s="152">
        <f>IFERROR('Price History'!L3+(INDEX('Price History'!L:L,MATCH(9.99E+307,'Returns (Calc)'!$A:$A)+1)-'Price History'!L3)*(ROW()-3)/(MATCH(9.99E+307,'Returns (Calc)'!$A:$A)-3),"")</f>
        <v>249.88056603773583</v>
      </c>
      <c r="AH74" s="152">
        <f>IFERROR('Price History'!M3+(INDEX('Price History'!M:M,MATCH(9.99E+307,'Returns (Calc)'!$A:$A)+1)-'Price History'!M3)*(ROW()-3)/(MATCH(9.99E+307,'Returns (Calc)'!$A:$A)-3),"")</f>
        <v>129.45371069182389</v>
      </c>
      <c r="AI74" s="152">
        <f>IFERROR('Price History'!N3+(INDEX('Price History'!N:N,MATCH(9.99E+307,'Returns (Calc)'!$A:$A)+1)-'Price History'!N3)*(ROW()-3)/(MATCH(9.99E+307,'Returns (Calc)'!$A:$A)-3),"")</f>
        <v>420.87345911949683</v>
      </c>
      <c r="AJ74" s="152">
        <f>IFERROR('Price History'!O3+(INDEX('Price History'!O:O,MATCH(9.99E+307,'Returns (Calc)'!$A:$A)+1)-'Price History'!O3)*(ROW()-3)/(MATCH(9.99E+307,'Returns (Calc)'!$A:$A)-3),"")</f>
        <v>95.1051572327044</v>
      </c>
      <c r="AK74" s="152">
        <f>IFERROR('Price History'!Q3+(INDEX('Price History'!Q:Q,MATCH(9.99E+307,'Returns (Calc)'!$A:$A)+1)-'Price History'!Q3)*(ROW()-3)/(MATCH(9.99E+307,'Returns (Calc)'!$A:$A)-3),"")</f>
        <v>31.244465408805031</v>
      </c>
      <c r="AL74" s="152">
        <f>IFERROR('Price History'!R3+(INDEX('Price History'!R:R,MATCH(9.99E+307,'Returns (Calc)'!$A:$A)+1)-'Price History'!R3)*(ROW()-3)/(MATCH(9.99E+307,'Returns (Calc)'!$A:$A)-3),"")</f>
        <v>46.36245283018868</v>
      </c>
      <c r="AM74" s="152">
        <f>IFERROR('Price History'!S3+(INDEX('Price History'!S:S,MATCH(9.99E+307,'Returns (Calc)'!$A:$A)+1)-'Price History'!S3)*(ROW()-3)/(MATCH(9.99E+307,'Returns (Calc)'!$A:$A)-3),"")</f>
        <v>99.394968553459123</v>
      </c>
      <c r="AN74" s="152">
        <f>IFERROR('Price History'!T3+(INDEX('Price History'!T:T,MATCH(9.99E+307,'Returns (Calc)'!$A:$A)+1)-'Price History'!T3)*(ROW()-3)/(MATCH(9.99E+307,'Returns (Calc)'!$A:$A)-3),"")</f>
        <v>37.564528301886796</v>
      </c>
      <c r="AO74" s="153">
        <f>IFERROR('Price History'!V3+(INDEX('Price History'!V:V,MATCH(9.99E+307,'Returns (Calc)'!$A:$A)+1)-'Price History'!V3)*(ROW()-3)/(MATCH(9.99E+307,'Returns (Calc)'!$A:$A)-3),"")</f>
        <v>302.53075471698111</v>
      </c>
      <c r="AP74" s="151">
        <f>IFERROR(IF(OR(NOT(ISNUMBER('Price History'!W75)),NOT(ISNUMBER('Price History'!W74)),'Price History'!W74=0),"",'Price History'!W75/'Price History'!W74-1),"")</f>
        <v>-5.2586139235538676E-3</v>
      </c>
      <c r="AQ74" s="151" t="str">
        <f>IFERROR(IF(OR(NOT(ISNUMBER('Price History'!X75)),NOT(ISNUMBER('Price History'!X74)),'Price History'!X74=0),"",'Price History'!X75/'Price History'!X74-1),"")</f>
        <v/>
      </c>
      <c r="AR74" s="151">
        <f>IFERROR(IF(OR(NOT(ISNUMBER('Price History'!Y75)),NOT(ISNUMBER('Price History'!Y74)),'Price History'!Y74=0),"",'Price History'!Y75/'Price History'!Y74-1),"")</f>
        <v>-2.1467603434816018E-3</v>
      </c>
      <c r="AS74" s="151">
        <f>IFERROR(IF(OR(NOT(ISNUMBER('Price History'!Z75)),NOT(ISNUMBER('Price History'!Z74)),'Price History'!Z74=0),"",'Price History'!Z75/'Price History'!Z74-1),"")</f>
        <v>3.4647122136230779E-2</v>
      </c>
      <c r="AT74" s="151">
        <f>IFERROR(IF(OR(NOT(ISNUMBER('Price History'!AA75)),NOT(ISNUMBER('Price History'!AA74)),'Price History'!AA74=0),"",'Price History'!AA75/'Price History'!AA74-1),"")</f>
        <v>-8.1833060556457671E-4</v>
      </c>
      <c r="AU74" s="151">
        <f>IFERROR(IF(OR(NOT(ISNUMBER('Price History'!AB75)),NOT(ISNUMBER('Price History'!AB74)),'Price History'!AB74=0),"",'Price History'!AB75/'Price History'!AB74-1),"")</f>
        <v>4.4136078782452959E-2</v>
      </c>
    </row>
    <row r="75" spans="1:47" ht="15" customHeight="1" x14ac:dyDescent="0.2">
      <c r="A75" s="149">
        <f>IF('Price History'!A76="","",'Price History'!A76)</f>
        <v>45695</v>
      </c>
      <c r="B75" s="150">
        <f>IFERROR(IF(OR(NOT(ISNUMBER('Price History'!B76)),NOT(ISNUMBER('Price History'!B75)),'Price History'!B75=0),"",'Price History'!B76/'Price History'!B75-1),"")</f>
        <v>-1.0012572865470304E-2</v>
      </c>
      <c r="C75" s="150">
        <f>IFERROR(IF(OR(NOT(ISNUMBER('Price History'!C76)),NOT(ISNUMBER('Price History'!C75)),'Price History'!C75=0),"",'Price History'!C76/'Price History'!C75-1),"")</f>
        <v>2.8117677688102027E-2</v>
      </c>
      <c r="D75" s="150">
        <f>IFERROR(IF(OR(NOT(ISNUMBER('Price History'!D76)),NOT(ISNUMBER('Price History'!D75)),'Price History'!D75=0),"",'Price History'!D76/'Price History'!D75-1),"")</f>
        <v>-1.5696820844938952E-2</v>
      </c>
      <c r="E75" s="150">
        <f>IFERROR(IF(OR(NOT(ISNUMBER('Price History'!E76)),NOT(ISNUMBER('Price History'!E75)),'Price History'!E75=0),"",'Price History'!E76/'Price History'!E75-1),"")</f>
        <v>1.6231830895501842E-2</v>
      </c>
      <c r="F75" s="150">
        <f>IFERROR(IF(OR(NOT(ISNUMBER('Price History'!F76)),NOT(ISNUMBER('Price History'!F75)),'Price History'!F75=0),"",'Price History'!F76/'Price History'!F75-1),"")</f>
        <v>5.9083601286173737E-2</v>
      </c>
      <c r="G75" s="150">
        <f>IFERROR(IF(OR(NOT(ISNUMBER('Price History'!G76)),NOT(ISNUMBER('Price History'!G75)),'Price History'!G75=0),"",'Price History'!G76/'Price History'!G75-1),"")</f>
        <v>1.2751953928424431E-2</v>
      </c>
      <c r="H75" s="150">
        <f>IFERROR(IF(OR(NOT(ISNUMBER('Price History'!H76)),NOT(ISNUMBER('Price History'!H75)),'Price History'!H75=0),"",'Price History'!H76/'Price History'!H75-1),"")</f>
        <v>1.1662449114314022E-2</v>
      </c>
      <c r="I75" s="150">
        <f>IFERROR(IF(OR(NOT(ISNUMBER('Price History'!I76)),NOT(ISNUMBER('Price History'!I75)),'Price History'!I75=0),"",'Price History'!I76/'Price History'!I75-1),"")</f>
        <v>8.1329325317301304E-2</v>
      </c>
      <c r="J75" s="150">
        <f>IFERROR(IF(OR(NOT(ISNUMBER('Price History'!J76)),NOT(ISNUMBER('Price History'!J75)),'Price History'!J75=0),"",'Price History'!J76/'Price History'!J75-1),"")</f>
        <v>-1.5909696915829774E-2</v>
      </c>
      <c r="K75" s="150">
        <f>IFERROR(IF(OR(NOT(ISNUMBER('Price History'!K76)),NOT(ISNUMBER('Price History'!K75)),'Price History'!K75=0),"",'Price History'!K76/'Price History'!K75-1),"")</f>
        <v>0.34379924839374465</v>
      </c>
      <c r="L75" s="150">
        <f>IFERROR(IF(OR(NOT(ISNUMBER('Price History'!L76)),NOT(ISNUMBER('Price History'!L75)),'Price History'!L75=0),"",'Price History'!L76/'Price History'!L75-1),"")</f>
        <v>-1.532230517737776E-2</v>
      </c>
      <c r="M75" s="150">
        <f>IFERROR(IF(OR(NOT(ISNUMBER('Price History'!M76)),NOT(ISNUMBER('Price History'!M75)),'Price History'!M75=0),"",'Price History'!M76/'Price History'!M75-1),"")</f>
        <v>3.7252719020296476E-2</v>
      </c>
      <c r="N75" s="150">
        <f>IFERROR(IF(OR(NOT(ISNUMBER('Price History'!N76)),NOT(ISNUMBER('Price History'!N75)),'Price History'!N75=0),"",'Price History'!N76/'Price History'!N75-1),"")</f>
        <v>1.6548258534049509E-2</v>
      </c>
      <c r="O75" s="150">
        <f>IFERROR(IF(OR(NOT(ISNUMBER('Price History'!O76)),NOT(ISNUMBER('Price History'!O75)),'Price History'!O75=0),"",'Price History'!O76/'Price History'!O75-1),"")</f>
        <v>-1.1591478696741819E-2</v>
      </c>
      <c r="P75" s="150">
        <f>IFERROR(IF(OR(NOT(ISNUMBER('Price History'!P76)),NOT(ISNUMBER('Price History'!P75)),'Price History'!P75=0),"",'Price History'!P76/'Price History'!P75-1),"")</f>
        <v>-4.8122436099715671E-3</v>
      </c>
      <c r="Q75" s="150">
        <f>IFERROR(IF(OR(NOT(ISNUMBER('Price History'!Q76)),NOT(ISNUMBER('Price History'!Q75)),'Price History'!Q75=0),"",'Price History'!Q76/'Price History'!Q75-1),"")</f>
        <v>-6.4391500321958617E-4</v>
      </c>
      <c r="R75" s="150">
        <f>IFERROR(IF(OR(NOT(ISNUMBER('Price History'!R76)),NOT(ISNUMBER('Price History'!R75)),'Price History'!R75=0),"",'Price History'!R76/'Price History'!R75-1),"")</f>
        <v>2.5510204081631294E-3</v>
      </c>
      <c r="S75" s="150">
        <f>IFERROR(IF(OR(NOT(ISNUMBER('Price History'!S76)),NOT(ISNUMBER('Price History'!S75)),'Price History'!S75=0),"",'Price History'!S76/'Price History'!S75-1),"")</f>
        <v>1.9866207176160611E-2</v>
      </c>
      <c r="T75" s="150">
        <f>IFERROR(IF(OR(NOT(ISNUMBER('Price History'!T76)),NOT(ISNUMBER('Price History'!T75)),'Price History'!T75=0),"",'Price History'!T76/'Price History'!T75-1),"")</f>
        <v>-7.4949553185355011E-3</v>
      </c>
      <c r="U75" s="150">
        <f>IFERROR(IF(OR(NOT(ISNUMBER('Price History'!U76)),NOT(ISNUMBER('Price History'!U75)),'Price History'!U75=0),"",'Price History'!U76/'Price History'!U75-1),"")</f>
        <v>-9.9464422341239977E-3</v>
      </c>
      <c r="V75" s="151">
        <f>IFERROR(IF(OR(NOT(ISNUMBER('Price History'!V76)),NOT(ISNUMBER('Price History'!V75)),'Price History'!V75=0),"",'Price History'!V76/'Price History'!V75-1),"")</f>
        <v>1.820014228124256E-2</v>
      </c>
      <c r="W75" s="152">
        <f>IFERROR('Price History'!B3+(INDEX('Price History'!B:B,MATCH(9.99E+307,'Returns (Calc)'!$A:$A)+1)-'Price History'!B3)*(ROW()-3)/(MATCH(9.99E+307,'Returns (Calc)'!$A:$A)-3),"")</f>
        <v>399.09981132075472</v>
      </c>
      <c r="X75" s="152">
        <f>IFERROR('Price History'!C3+(INDEX('Price History'!C:C,MATCH(9.99E+307,'Returns (Calc)'!$A:$A)+1)-'Price History'!C3)*(ROW()-3)/(MATCH(9.99E+307,'Returns (Calc)'!$A:$A)-3),"")</f>
        <v>123.41471698113207</v>
      </c>
      <c r="Y75" s="152">
        <f>IFERROR('Price History'!D3+(INDEX('Price History'!D:D,MATCH(9.99E+307,'Returns (Calc)'!$A:$A)+1)-'Price History'!D3)*(ROW()-3)/(MATCH(9.99E+307,'Returns (Calc)'!$A:$A)-3),"")</f>
        <v>1124.6500000000001</v>
      </c>
      <c r="Z75" s="152">
        <f>IFERROR('Price History'!E3+(INDEX('Price History'!E:E,MATCH(9.99E+307,'Returns (Calc)'!$A:$A)+1)-'Price History'!E3)*(ROW()-3)/(MATCH(9.99E+307,'Returns (Calc)'!$A:$A)-3),"")</f>
        <v>208.58415094339625</v>
      </c>
      <c r="AA75" s="152">
        <f>IFERROR('Price History'!F3+(INDEX('Price History'!F:F,MATCH(9.99E+307,'Returns (Calc)'!$A:$A)+1)-'Price History'!F3)*(ROW()-3)/(MATCH(9.99E+307,'Returns (Calc)'!$A:$A)-3),"")</f>
        <v>147.17735849056604</v>
      </c>
      <c r="AB75" s="152">
        <f>IFERROR('Price History'!G3+(INDEX('Price History'!G:G,MATCH(9.99E+307,'Returns (Calc)'!$A:$A)+1)-'Price History'!G3)*(ROW()-3)/(MATCH(9.99E+307,'Returns (Calc)'!$A:$A)-3),"")</f>
        <v>112.82698113207547</v>
      </c>
      <c r="AC75" s="152">
        <f>IFERROR('Price History'!H3+(INDEX('Price History'!H:H,MATCH(9.99E+307,'Returns (Calc)'!$A:$A)+1)-'Price History'!H3)*(ROW()-3)/(MATCH(9.99E+307,'Returns (Calc)'!$A:$A)-3),"")</f>
        <v>503.77716981132079</v>
      </c>
      <c r="AD75" s="152">
        <f>IFERROR('Price History'!I3+(INDEX('Price History'!I:I,MATCH(9.99E+307,'Returns (Calc)'!$A:$A)+1)-'Price History'!I3)*(ROW()-3)/(MATCH(9.99E+307,'Returns (Calc)'!$A:$A)-3),"")</f>
        <v>127.77452830188679</v>
      </c>
      <c r="AE75" s="152">
        <f>IFERROR('Price History'!J3+(INDEX('Price History'!J:J,MATCH(9.99E+307,'Returns (Calc)'!$A:$A)+1)-'Price History'!J3)*(ROW()-3)/(MATCH(9.99E+307,'Returns (Calc)'!$A:$A)-3),"")</f>
        <v>119.83245283018869</v>
      </c>
      <c r="AF75" s="152">
        <f>IFERROR('Price History'!K3+(INDEX('Price History'!K:K,MATCH(9.99E+307,'Returns (Calc)'!$A:$A)+1)-'Price History'!K3)*(ROW()-3)/(MATCH(9.99E+307,'Returns (Calc)'!$A:$A)-3),"")</f>
        <v>103.0522641509434</v>
      </c>
      <c r="AG75" s="152">
        <f>IFERROR('Price History'!L3+(INDEX('Price History'!L:L,MATCH(9.99E+307,'Returns (Calc)'!$A:$A)+1)-'Price History'!L3)*(ROW()-3)/(MATCH(9.99E+307,'Returns (Calc)'!$A:$A)-3),"")</f>
        <v>252.1922641509434</v>
      </c>
      <c r="AH75" s="152">
        <f>IFERROR('Price History'!M3+(INDEX('Price History'!M:M,MATCH(9.99E+307,'Returns (Calc)'!$A:$A)+1)-'Price History'!M3)*(ROW()-3)/(MATCH(9.99E+307,'Returns (Calc)'!$A:$A)-3),"")</f>
        <v>130.74150943396225</v>
      </c>
      <c r="AI75" s="152">
        <f>IFERROR('Price History'!N3+(INDEX('Price History'!N:N,MATCH(9.99E+307,'Returns (Calc)'!$A:$A)+1)-'Price History'!N3)*(ROW()-3)/(MATCH(9.99E+307,'Returns (Calc)'!$A:$A)-3),"")</f>
        <v>421.88716981132075</v>
      </c>
      <c r="AJ75" s="152">
        <f>IFERROR('Price History'!O3+(INDEX('Price History'!O:O,MATCH(9.99E+307,'Returns (Calc)'!$A:$A)+1)-'Price History'!O3)*(ROW()-3)/(MATCH(9.99E+307,'Returns (Calc)'!$A:$A)-3),"")</f>
        <v>95.383962264150938</v>
      </c>
      <c r="AK75" s="152">
        <f>IFERROR('Price History'!Q3+(INDEX('Price History'!Q:Q,MATCH(9.99E+307,'Returns (Calc)'!$A:$A)+1)-'Price History'!Q3)*(ROW()-3)/(MATCH(9.99E+307,'Returns (Calc)'!$A:$A)-3),"")</f>
        <v>31.684528301886793</v>
      </c>
      <c r="AL75" s="152">
        <f>IFERROR('Price History'!R3+(INDEX('Price History'!R:R,MATCH(9.99E+307,'Returns (Calc)'!$A:$A)+1)-'Price History'!R3)*(ROW()-3)/(MATCH(9.99E+307,'Returns (Calc)'!$A:$A)-3),"")</f>
        <v>46.529811320754717</v>
      </c>
      <c r="AM75" s="152">
        <f>IFERROR('Price History'!S3+(INDEX('Price History'!S:S,MATCH(9.99E+307,'Returns (Calc)'!$A:$A)+1)-'Price History'!S3)*(ROW()-3)/(MATCH(9.99E+307,'Returns (Calc)'!$A:$A)-3),"")</f>
        <v>99.983207547169812</v>
      </c>
      <c r="AN75" s="152">
        <f>IFERROR('Price History'!T3+(INDEX('Price History'!T:T,MATCH(9.99E+307,'Returns (Calc)'!$A:$A)+1)-'Price History'!T3)*(ROW()-3)/(MATCH(9.99E+307,'Returns (Calc)'!$A:$A)-3),"")</f>
        <v>37.738113207547173</v>
      </c>
      <c r="AO75" s="153">
        <f>IFERROR('Price History'!V3+(INDEX('Price History'!V:V,MATCH(9.99E+307,'Returns (Calc)'!$A:$A)+1)-'Price History'!V3)*(ROW()-3)/(MATCH(9.99E+307,'Returns (Calc)'!$A:$A)-3),"")</f>
        <v>303.47301886792451</v>
      </c>
      <c r="AP75" s="151">
        <f>IFERROR(IF(OR(NOT(ISNUMBER('Price History'!W76)),NOT(ISNUMBER('Price History'!W75)),'Price History'!W75=0),"",'Price History'!W76/'Price History'!W75-1),"")</f>
        <v>-3.1560675398445426E-4</v>
      </c>
      <c r="AQ75" s="151" t="str">
        <f>IFERROR(IF(OR(NOT(ISNUMBER('Price History'!X76)),NOT(ISNUMBER('Price History'!X75)),'Price History'!X75=0),"",'Price History'!X76/'Price History'!X75-1),"")</f>
        <v/>
      </c>
      <c r="AR75" s="151">
        <f>IFERROR(IF(OR(NOT(ISNUMBER('Price History'!Y76)),NOT(ISNUMBER('Price History'!Y75)),'Price History'!Y75=0),"",'Price History'!Y76/'Price History'!Y75-1),"")</f>
        <v>2.3469587326421237E-3</v>
      </c>
      <c r="AS75" s="151">
        <f>IFERROR(IF(OR(NOT(ISNUMBER('Price History'!Z76)),NOT(ISNUMBER('Price History'!Z75)),'Price History'!Z75=0),"",'Price History'!Z76/'Price History'!Z75-1),"")</f>
        <v>8.4212612077079196E-3</v>
      </c>
      <c r="AT75" s="151">
        <f>IFERROR(IF(OR(NOT(ISNUMBER('Price History'!AA76)),NOT(ISNUMBER('Price History'!AA75)),'Price History'!AA75=0),"",'Price History'!AA76/'Price History'!AA75-1),"")</f>
        <v>3.798116298116283E-2</v>
      </c>
      <c r="AU75" s="151">
        <f>IFERROR(IF(OR(NOT(ISNUMBER('Price History'!AB76)),NOT(ISNUMBER('Price History'!AB75)),'Price History'!AB75=0),"",'Price History'!AB76/'Price History'!AB75-1),"")</f>
        <v>1.6891022892909113E-2</v>
      </c>
    </row>
    <row r="76" spans="1:47" ht="15" customHeight="1" x14ac:dyDescent="0.2">
      <c r="A76" s="149">
        <f>IF('Price History'!A77="","",'Price History'!A77)</f>
        <v>45702</v>
      </c>
      <c r="B76" s="150">
        <f>IFERROR(IF(OR(NOT(ISNUMBER('Price History'!B77)),NOT(ISNUMBER('Price History'!B76)),'Price History'!B76=0),"",'Price History'!B77/'Price History'!B76-1),"")</f>
        <v>6.2553397834068436E-2</v>
      </c>
      <c r="C76" s="150">
        <f>IFERROR(IF(OR(NOT(ISNUMBER('Price History'!C77)),NOT(ISNUMBER('Price History'!C76)),'Price History'!C76=0),"",'Price History'!C77/'Price History'!C76-1),"")</f>
        <v>-9.7915083987507368E-2</v>
      </c>
      <c r="D76" s="150">
        <f>IFERROR(IF(OR(NOT(ISNUMBER('Price History'!D77)),NOT(ISNUMBER('Price History'!D76)),'Price History'!D76=0),"",'Price History'!D77/'Price History'!D76-1),"")</f>
        <v>3.4947098428983692E-2</v>
      </c>
      <c r="E76" s="150">
        <f>IFERROR(IF(OR(NOT(ISNUMBER('Price History'!E77)),NOT(ISNUMBER('Price History'!E76)),'Price History'!E76=0),"",'Price History'!E77/'Price History'!E76-1),"")</f>
        <v>3.6366917836033075E-2</v>
      </c>
      <c r="F76" s="150">
        <f>IFERROR(IF(OR(NOT(ISNUMBER('Price History'!F77)),NOT(ISNUMBER('Price History'!F76)),'Price History'!F76=0),"",'Price History'!F77/'Price History'!F76-1),"")</f>
        <v>7.1442125237191734E-2</v>
      </c>
      <c r="G76" s="150">
        <f>IFERROR(IF(OR(NOT(ISNUMBER('Price History'!G77)),NOT(ISNUMBER('Price History'!G76)),'Price History'!G76=0),"",'Price History'!G77/'Price History'!G76-1),"")</f>
        <v>4.0617384240455578E-3</v>
      </c>
      <c r="H76" s="150">
        <f>IFERROR(IF(OR(NOT(ISNUMBER('Price History'!H77)),NOT(ISNUMBER('Price History'!H76)),'Price History'!H76=0),"",'Price History'!H77/'Price History'!H76-1),"")</f>
        <v>7.8194671016857065E-2</v>
      </c>
      <c r="I76" s="150">
        <f>IFERROR(IF(OR(NOT(ISNUMBER('Price History'!I77)),NOT(ISNUMBER('Price History'!I76)),'Price History'!I76=0),"",'Price History'!I77/'Price History'!I76-1),"")</f>
        <v>6.9420849420849473E-2</v>
      </c>
      <c r="J76" s="150">
        <f>IFERROR(IF(OR(NOT(ISNUMBER('Price History'!J77)),NOT(ISNUMBER('Price History'!J76)),'Price History'!J76=0),"",'Price History'!J77/'Price History'!J76-1),"")</f>
        <v>2.980491329479773E-2</v>
      </c>
      <c r="K76" s="150">
        <f>IFERROR(IF(OR(NOT(ISNUMBER('Price History'!K77)),NOT(ISNUMBER('Price History'!K76)),'Price History'!K76=0),"",'Price History'!K77/'Price History'!K76-1),"")</f>
        <v>7.4966170500676554E-2</v>
      </c>
      <c r="L76" s="150">
        <f>IFERROR(IF(OR(NOT(ISNUMBER('Price History'!L77)),NOT(ISNUMBER('Price History'!L76)),'Price History'!L76=0),"",'Price History'!L77/'Price History'!L76-1),"")</f>
        <v>-1.0753753902571939E-2</v>
      </c>
      <c r="M76" s="150">
        <f>IFERROR(IF(OR(NOT(ISNUMBER('Price History'!M77)),NOT(ISNUMBER('Price History'!M76)),'Price History'!M76=0),"",'Price History'!M77/'Price History'!M76-1),"")</f>
        <v>-0.10980845442536336</v>
      </c>
      <c r="N76" s="150">
        <f>IFERROR(IF(OR(NOT(ISNUMBER('Price History'!N77)),NOT(ISNUMBER('Price History'!N76)),'Price History'!N76=0),"",'Price History'!N77/'Price History'!N76-1),"")</f>
        <v>-2.1989261058552811E-2</v>
      </c>
      <c r="O76" s="150">
        <f>IFERROR(IF(OR(NOT(ISNUMBER('Price History'!O77)),NOT(ISNUMBER('Price History'!O76)),'Price History'!O76=0),"",'Price History'!O77/'Price History'!O76-1),"")</f>
        <v>3.0639197041730792E-3</v>
      </c>
      <c r="P76" s="150">
        <f>IFERROR(IF(OR(NOT(ISNUMBER('Price History'!P77)),NOT(ISNUMBER('Price History'!P76)),'Price History'!P76=0),"",'Price History'!P77/'Price History'!P76-1),"")</f>
        <v>1.1969877130400208E-2</v>
      </c>
      <c r="Q76" s="150">
        <f>IFERROR(IF(OR(NOT(ISNUMBER('Price History'!Q77)),NOT(ISNUMBER('Price History'!Q76)),'Price History'!Q76=0),"",'Price History'!Q77/'Price History'!Q76-1),"")</f>
        <v>1.0470360824742286E-2</v>
      </c>
      <c r="R76" s="150">
        <f>IFERROR(IF(OR(NOT(ISNUMBER('Price History'!R77)),NOT(ISNUMBER('Price History'!R76)),'Price History'!R76=0),"",'Price History'!R77/'Price History'!R76-1),"")</f>
        <v>1.929601357082289E-2</v>
      </c>
      <c r="S76" s="150">
        <f>IFERROR(IF(OR(NOT(ISNUMBER('Price History'!S77)),NOT(ISNUMBER('Price History'!S76)),'Price History'!S76=0),"",'Price History'!S77/'Price History'!S76-1),"")</f>
        <v>1.0137149672033274E-2</v>
      </c>
      <c r="T76" s="150">
        <f>IFERROR(IF(OR(NOT(ISNUMBER('Price History'!T77)),NOT(ISNUMBER('Price History'!T76)),'Price History'!T76=0),"",'Price History'!T77/'Price History'!T76-1),"")</f>
        <v>1.1617775196050006E-2</v>
      </c>
      <c r="U76" s="150">
        <f>IFERROR(IF(OR(NOT(ISNUMBER('Price History'!U77)),NOT(ISNUMBER('Price History'!U76)),'Price History'!U76=0),"",'Price History'!U77/'Price History'!U76-1),"")</f>
        <v>8.5007727975270342E-3</v>
      </c>
      <c r="V76" s="151">
        <f>IFERROR(IF(OR(NOT(ISNUMBER('Price History'!V77)),NOT(ISNUMBER('Price History'!V76)),'Price History'!V76=0),"",'Price History'!V77/'Price History'!V76-1),"")</f>
        <v>1.8369723435225582E-2</v>
      </c>
      <c r="W76" s="152">
        <f>IFERROR('Price History'!B3+(INDEX('Price History'!B:B,MATCH(9.99E+307,'Returns (Calc)'!$A:$A)+1)-'Price History'!B3)*(ROW()-3)/(MATCH(9.99E+307,'Returns (Calc)'!$A:$A)-3),"")</f>
        <v>397.29716981132071</v>
      </c>
      <c r="X76" s="152">
        <f>IFERROR('Price History'!C3+(INDEX('Price History'!C:C,MATCH(9.99E+307,'Returns (Calc)'!$A:$A)+1)-'Price History'!C3)*(ROW()-3)/(MATCH(9.99E+307,'Returns (Calc)'!$A:$A)-3),"")</f>
        <v>124.48742138364781</v>
      </c>
      <c r="Y76" s="152">
        <f>IFERROR('Price History'!D3+(INDEX('Price History'!D:D,MATCH(9.99E+307,'Returns (Calc)'!$A:$A)+1)-'Price History'!D3)*(ROW()-3)/(MATCH(9.99E+307,'Returns (Calc)'!$A:$A)-3),"")</f>
        <v>1132.1866666666665</v>
      </c>
      <c r="Z76" s="152">
        <f>IFERROR('Price History'!E3+(INDEX('Price History'!E:E,MATCH(9.99E+307,'Returns (Calc)'!$A:$A)+1)-'Price History'!E3)*(ROW()-3)/(MATCH(9.99E+307,'Returns (Calc)'!$A:$A)-3),"")</f>
        <v>210.34226415094341</v>
      </c>
      <c r="AA76" s="152">
        <f>IFERROR('Price History'!F3+(INDEX('Price History'!F:F,MATCH(9.99E+307,'Returns (Calc)'!$A:$A)+1)-'Price History'!F3)*(ROW()-3)/(MATCH(9.99E+307,'Returns (Calc)'!$A:$A)-3),"")</f>
        <v>148.64704402515724</v>
      </c>
      <c r="AB76" s="152">
        <f>IFERROR('Price History'!G3+(INDEX('Price History'!G:G,MATCH(9.99E+307,'Returns (Calc)'!$A:$A)+1)-'Price History'!G3)*(ROW()-3)/(MATCH(9.99E+307,'Returns (Calc)'!$A:$A)-3),"")</f>
        <v>113.77805031446542</v>
      </c>
      <c r="AC76" s="152">
        <f>IFERROR('Price History'!H3+(INDEX('Price History'!H:H,MATCH(9.99E+307,'Returns (Calc)'!$A:$A)+1)-'Price History'!H3)*(ROW()-3)/(MATCH(9.99E+307,'Returns (Calc)'!$A:$A)-3),"")</f>
        <v>509.81421383647802</v>
      </c>
      <c r="AD76" s="152">
        <f>IFERROR('Price History'!I3+(INDEX('Price History'!I:I,MATCH(9.99E+307,'Returns (Calc)'!$A:$A)+1)-'Price History'!I3)*(ROW()-3)/(MATCH(9.99E+307,'Returns (Calc)'!$A:$A)-3),"")</f>
        <v>128.94125786163522</v>
      </c>
      <c r="AE76" s="152">
        <f>IFERROR('Price History'!J3+(INDEX('Price History'!J:J,MATCH(9.99E+307,'Returns (Calc)'!$A:$A)+1)-'Price History'!J3)*(ROW()-3)/(MATCH(9.99E+307,'Returns (Calc)'!$A:$A)-3),"")</f>
        <v>119.94345911949686</v>
      </c>
      <c r="AF76" s="152">
        <f>IFERROR('Price History'!K3+(INDEX('Price History'!K:K,MATCH(9.99E+307,'Returns (Calc)'!$A:$A)+1)-'Price History'!K3)*(ROW()-3)/(MATCH(9.99E+307,'Returns (Calc)'!$A:$A)-3),"")</f>
        <v>104.27062893081761</v>
      </c>
      <c r="AG76" s="152">
        <f>IFERROR('Price History'!L3+(INDEX('Price History'!L:L,MATCH(9.99E+307,'Returns (Calc)'!$A:$A)+1)-'Price History'!L3)*(ROW()-3)/(MATCH(9.99E+307,'Returns (Calc)'!$A:$A)-3),"")</f>
        <v>254.50396226415094</v>
      </c>
      <c r="AH76" s="152">
        <f>IFERROR('Price History'!M3+(INDEX('Price History'!M:M,MATCH(9.99E+307,'Returns (Calc)'!$A:$A)+1)-'Price History'!M3)*(ROW()-3)/(MATCH(9.99E+307,'Returns (Calc)'!$A:$A)-3),"")</f>
        <v>132.02930817610064</v>
      </c>
      <c r="AI76" s="152">
        <f>IFERROR('Price History'!N3+(INDEX('Price History'!N:N,MATCH(9.99E+307,'Returns (Calc)'!$A:$A)+1)-'Price History'!N3)*(ROW()-3)/(MATCH(9.99E+307,'Returns (Calc)'!$A:$A)-3),"")</f>
        <v>422.90088050314466</v>
      </c>
      <c r="AJ76" s="152">
        <f>IFERROR('Price History'!O3+(INDEX('Price History'!O:O,MATCH(9.99E+307,'Returns (Calc)'!$A:$A)+1)-'Price History'!O3)*(ROW()-3)/(MATCH(9.99E+307,'Returns (Calc)'!$A:$A)-3),"")</f>
        <v>95.66276729559749</v>
      </c>
      <c r="AK76" s="152">
        <f>IFERROR('Price History'!Q3+(INDEX('Price History'!Q:Q,MATCH(9.99E+307,'Returns (Calc)'!$A:$A)+1)-'Price History'!Q3)*(ROW()-3)/(MATCH(9.99E+307,'Returns (Calc)'!$A:$A)-3),"")</f>
        <v>32.124591194968552</v>
      </c>
      <c r="AL76" s="152">
        <f>IFERROR('Price History'!R3+(INDEX('Price History'!R:R,MATCH(9.99E+307,'Returns (Calc)'!$A:$A)+1)-'Price History'!R3)*(ROW()-3)/(MATCH(9.99E+307,'Returns (Calc)'!$A:$A)-3),"")</f>
        <v>46.697169811320755</v>
      </c>
      <c r="AM76" s="152">
        <f>IFERROR('Price History'!S3+(INDEX('Price History'!S:S,MATCH(9.99E+307,'Returns (Calc)'!$A:$A)+1)-'Price History'!S3)*(ROW()-3)/(MATCH(9.99E+307,'Returns (Calc)'!$A:$A)-3),"")</f>
        <v>100.57144654088052</v>
      </c>
      <c r="AN76" s="152">
        <f>IFERROR('Price History'!T3+(INDEX('Price History'!T:T,MATCH(9.99E+307,'Returns (Calc)'!$A:$A)+1)-'Price History'!T3)*(ROW()-3)/(MATCH(9.99E+307,'Returns (Calc)'!$A:$A)-3),"")</f>
        <v>37.911698113207549</v>
      </c>
      <c r="AO76" s="153">
        <f>IFERROR('Price History'!V3+(INDEX('Price History'!V:V,MATCH(9.99E+307,'Returns (Calc)'!$A:$A)+1)-'Price History'!V3)*(ROW()-3)/(MATCH(9.99E+307,'Returns (Calc)'!$A:$A)-3),"")</f>
        <v>304.41528301886791</v>
      </c>
      <c r="AP76" s="151">
        <f>IFERROR(IF(OR(NOT(ISNUMBER('Price History'!W77)),NOT(ISNUMBER('Price History'!W76)),'Price History'!W76=0),"",'Price History'!W77/'Price History'!W76-1),"")</f>
        <v>1.0970797158642576E-2</v>
      </c>
      <c r="AQ76" s="151" t="str">
        <f>IFERROR(IF(OR(NOT(ISNUMBER('Price History'!X77)),NOT(ISNUMBER('Price History'!X76)),'Price History'!X76=0),"",'Price History'!X77/'Price History'!X76-1),"")</f>
        <v/>
      </c>
      <c r="AR76" s="151">
        <f>IFERROR(IF(OR(NOT(ISNUMBER('Price History'!Y77)),NOT(ISNUMBER('Price History'!Y76)),'Price History'!Y76=0),"",'Price History'!Y77/'Price History'!Y76-1),"")</f>
        <v>6.6341463414634205E-3</v>
      </c>
      <c r="AS76" s="151">
        <f>IFERROR(IF(OR(NOT(ISNUMBER('Price History'!Z77)),NOT(ISNUMBER('Price History'!Z76)),'Price History'!Z76=0),"",'Price History'!Z77/'Price History'!Z76-1),"")</f>
        <v>1.4540452915459134E-2</v>
      </c>
      <c r="AT76" s="151">
        <f>IFERROR(IF(OR(NOT(ISNUMBER('Price History'!AA77)),NOT(ISNUMBER('Price History'!AA76)),'Price History'!AA76=0),"",'Price History'!AA77/'Price History'!AA76-1),"")</f>
        <v>4.4087188085609963E-2</v>
      </c>
      <c r="AU76" s="151">
        <f>IFERROR(IF(OR(NOT(ISNUMBER('Price History'!AB77)),NOT(ISNUMBER('Price History'!AB76)),'Price History'!AB76=0),"",'Price History'!AB77/'Price History'!AB76-1),"")</f>
        <v>-1.3490725126475533E-2</v>
      </c>
    </row>
    <row r="77" spans="1:47" ht="15" customHeight="1" x14ac:dyDescent="0.2">
      <c r="A77" s="149">
        <f>IF('Price History'!A78="","",'Price History'!A78)</f>
        <v>45709</v>
      </c>
      <c r="B77" s="150">
        <f>IFERROR(IF(OR(NOT(ISNUMBER('Price History'!B78)),NOT(ISNUMBER('Price History'!B77)),'Price History'!B77=0),"",'Price History'!B78/'Price History'!B77-1),"")</f>
        <v>-3.4422809457580028E-2</v>
      </c>
      <c r="C77" s="150">
        <f>IFERROR(IF(OR(NOT(ISNUMBER('Price History'!C78)),NOT(ISNUMBER('Price History'!C77)),'Price History'!C77=0),"",'Price History'!C78/'Price History'!C77-1),"")</f>
        <v>-8.0190886123327476E-2</v>
      </c>
      <c r="D77" s="150">
        <f>IFERROR(IF(OR(NOT(ISNUMBER('Price History'!D78)),NOT(ISNUMBER('Price History'!D77)),'Price History'!D77=0),"",'Price History'!D78/'Price History'!D77-1),"")</f>
        <v>-1.9072248262485991E-2</v>
      </c>
      <c r="E77" s="150">
        <f>IFERROR(IF(OR(NOT(ISNUMBER('Price History'!E78)),NOT(ISNUMBER('Price History'!E77)),'Price History'!E77=0),"",'Price History'!E78/'Price History'!E77-1),"")</f>
        <v>-6.1735382472027589E-2</v>
      </c>
      <c r="F77" s="150">
        <f>IFERROR(IF(OR(NOT(ISNUMBER('Price History'!F78)),NOT(ISNUMBER('Price History'!F77)),'Price History'!F77=0),"",'Price History'!F78/'Price History'!F77-1),"")</f>
        <v>-9.9707783582750453E-2</v>
      </c>
      <c r="G77" s="150">
        <f>IFERROR(IF(OR(NOT(ISNUMBER('Price History'!G78)),NOT(ISNUMBER('Price History'!G77)),'Price History'!G77=0),"",'Price History'!G78/'Price History'!G77-1),"")</f>
        <v>4.7195253505933898E-3</v>
      </c>
      <c r="H77" s="150">
        <f>IFERROR(IF(OR(NOT(ISNUMBER('Price History'!H78)),NOT(ISNUMBER('Price History'!H77)),'Price History'!H77=0),"",'Price History'!H78/'Price History'!H77-1),"")</f>
        <v>-6.8589872907001137E-3</v>
      </c>
      <c r="I77" s="150">
        <f>IFERROR(IF(OR(NOT(ISNUMBER('Price History'!I78)),NOT(ISNUMBER('Price History'!I77)),'Price History'!I77=0),"",'Price History'!I78/'Price History'!I77-1),"")</f>
        <v>-3.184345440103975E-2</v>
      </c>
      <c r="J77" s="150">
        <f>IFERROR(IF(OR(NOT(ISNUMBER('Price History'!J78)),NOT(ISNUMBER('Price History'!J77)),'Price History'!J77=0),"",'Price History'!J78/'Price History'!J77-1),"")</f>
        <v>1.0524469391335334E-3</v>
      </c>
      <c r="K77" s="150">
        <f>IFERROR(IF(OR(NOT(ISNUMBER('Price History'!K78)),NOT(ISNUMBER('Price History'!K77)),'Price History'!K77=0),"",'Price History'!K78/'Price History'!K77-1),"")</f>
        <v>-0.14946290701577714</v>
      </c>
      <c r="L77" s="150">
        <f>IFERROR(IF(OR(NOT(ISNUMBER('Price History'!L78)),NOT(ISNUMBER('Price History'!L77)),'Price History'!L77=0),"",'Price History'!L78/'Price History'!L77-1),"")</f>
        <v>-2.7752730187355912E-2</v>
      </c>
      <c r="M77" s="150">
        <f>IFERROR(IF(OR(NOT(ISNUMBER('Price History'!M78)),NOT(ISNUMBER('Price History'!M77)),'Price History'!M77=0),"",'Price History'!M78/'Price History'!M77-1),"")</f>
        <v>-0.11157484696716735</v>
      </c>
      <c r="N77" s="150">
        <f>IFERROR(IF(OR(NOT(ISNUMBER('Price History'!N78)),NOT(ISNUMBER('Price History'!N77)),'Price History'!N77=0),"",'Price History'!N78/'Price History'!N77-1),"")</f>
        <v>5.4989106753812633E-2</v>
      </c>
      <c r="O77" s="150">
        <f>IFERROR(IF(OR(NOT(ISNUMBER('Price History'!O78)),NOT(ISNUMBER('Price History'!O77)),'Price History'!O77=0),"",'Price History'!O78/'Price History'!O77-1),"")</f>
        <v>-3.6549399620813161E-2</v>
      </c>
      <c r="P77" s="150">
        <f>IFERROR(IF(OR(NOT(ISNUMBER('Price History'!P78)),NOT(ISNUMBER('Price History'!P77)),'Price History'!P77=0),"",'Price History'!P78/'Price History'!P77-1),"")</f>
        <v>7.2849757167476881E-3</v>
      </c>
      <c r="Q77" s="150">
        <f>IFERROR(IF(OR(NOT(ISNUMBER('Price History'!Q78)),NOT(ISNUMBER('Price History'!Q77)),'Price History'!Q77=0),"",'Price History'!Q78/'Price History'!Q77-1),"")</f>
        <v>-8.9271480950102733E-3</v>
      </c>
      <c r="R77" s="150">
        <f>IFERROR(IF(OR(NOT(ISNUMBER('Price History'!R78)),NOT(ISNUMBER('Price History'!R77)),'Price History'!R77=0),"",'Price History'!R78/'Price History'!R77-1),"")</f>
        <v>-1.2065737466195103E-2</v>
      </c>
      <c r="S77" s="150">
        <f>IFERROR(IF(OR(NOT(ISNUMBER('Price History'!S78)),NOT(ISNUMBER('Price History'!S77)),'Price History'!S77=0),"",'Price History'!S78/'Price History'!S77-1),"")</f>
        <v>-3.0598189689098776E-2</v>
      </c>
      <c r="T77" s="150">
        <f>IFERROR(IF(OR(NOT(ISNUMBER('Price History'!T78)),NOT(ISNUMBER('Price History'!T77)),'Price History'!T77=0),"",'Price History'!T78/'Price History'!T77-1),"")</f>
        <v>-3.445305770887086E-3</v>
      </c>
      <c r="U77" s="150">
        <f>IFERROR(IF(OR(NOT(ISNUMBER('Price History'!U78)),NOT(ISNUMBER('Price History'!U77)),'Price History'!U77=0),"",'Price History'!U78/'Price History'!U77-1),"")</f>
        <v>1.4942528735632177E-2</v>
      </c>
      <c r="V77" s="151">
        <f>IFERROR(IF(OR(NOT(ISNUMBER('Price History'!V78)),NOT(ISNUMBER('Price History'!V77)),'Price History'!V77=0),"",'Price History'!V78/'Price History'!V77-1),"")</f>
        <v>-1.4922386438352309E-2</v>
      </c>
      <c r="W77" s="152">
        <f>IFERROR('Price History'!B3+(INDEX('Price History'!B:B,MATCH(9.99E+307,'Returns (Calc)'!$A:$A)+1)-'Price History'!B3)*(ROW()-3)/(MATCH(9.99E+307,'Returns (Calc)'!$A:$A)-3),"")</f>
        <v>395.49452830188676</v>
      </c>
      <c r="X77" s="152">
        <f>IFERROR('Price History'!C3+(INDEX('Price History'!C:C,MATCH(9.99E+307,'Returns (Calc)'!$A:$A)+1)-'Price History'!C3)*(ROW()-3)/(MATCH(9.99E+307,'Returns (Calc)'!$A:$A)-3),"")</f>
        <v>125.56012578616352</v>
      </c>
      <c r="Y77" s="152">
        <f>IFERROR('Price History'!D3+(INDEX('Price History'!D:D,MATCH(9.99E+307,'Returns (Calc)'!$A:$A)+1)-'Price History'!D3)*(ROW()-3)/(MATCH(9.99E+307,'Returns (Calc)'!$A:$A)-3),"")</f>
        <v>1139.7233333333334</v>
      </c>
      <c r="Z77" s="152">
        <f>IFERROR('Price History'!E3+(INDEX('Price History'!E:E,MATCH(9.99E+307,'Returns (Calc)'!$A:$A)+1)-'Price History'!E3)*(ROW()-3)/(MATCH(9.99E+307,'Returns (Calc)'!$A:$A)-3),"")</f>
        <v>212.10037735849059</v>
      </c>
      <c r="AA77" s="152">
        <f>IFERROR('Price History'!F3+(INDEX('Price History'!F:F,MATCH(9.99E+307,'Returns (Calc)'!$A:$A)+1)-'Price History'!F3)*(ROW()-3)/(MATCH(9.99E+307,'Returns (Calc)'!$A:$A)-3),"")</f>
        <v>150.11672955974842</v>
      </c>
      <c r="AB77" s="152">
        <f>IFERROR('Price History'!G3+(INDEX('Price History'!G:G,MATCH(9.99E+307,'Returns (Calc)'!$A:$A)+1)-'Price History'!G3)*(ROW()-3)/(MATCH(9.99E+307,'Returns (Calc)'!$A:$A)-3),"")</f>
        <v>114.72911949685536</v>
      </c>
      <c r="AC77" s="152">
        <f>IFERROR('Price History'!H3+(INDEX('Price History'!H:H,MATCH(9.99E+307,'Returns (Calc)'!$A:$A)+1)-'Price History'!H3)*(ROW()-3)/(MATCH(9.99E+307,'Returns (Calc)'!$A:$A)-3),"")</f>
        <v>515.85125786163519</v>
      </c>
      <c r="AD77" s="152">
        <f>IFERROR('Price History'!I3+(INDEX('Price History'!I:I,MATCH(9.99E+307,'Returns (Calc)'!$A:$A)+1)-'Price History'!I3)*(ROW()-3)/(MATCH(9.99E+307,'Returns (Calc)'!$A:$A)-3),"")</f>
        <v>130.10798742138365</v>
      </c>
      <c r="AE77" s="152">
        <f>IFERROR('Price History'!J3+(INDEX('Price History'!J:J,MATCH(9.99E+307,'Returns (Calc)'!$A:$A)+1)-'Price History'!J3)*(ROW()-3)/(MATCH(9.99E+307,'Returns (Calc)'!$A:$A)-3),"")</f>
        <v>120.05446540880504</v>
      </c>
      <c r="AF77" s="152">
        <f>IFERROR('Price History'!K3+(INDEX('Price History'!K:K,MATCH(9.99E+307,'Returns (Calc)'!$A:$A)+1)-'Price History'!K3)*(ROW()-3)/(MATCH(9.99E+307,'Returns (Calc)'!$A:$A)-3),"")</f>
        <v>105.48899371069183</v>
      </c>
      <c r="AG77" s="152">
        <f>IFERROR('Price History'!L3+(INDEX('Price History'!L:L,MATCH(9.99E+307,'Returns (Calc)'!$A:$A)+1)-'Price History'!L3)*(ROW()-3)/(MATCH(9.99E+307,'Returns (Calc)'!$A:$A)-3),"")</f>
        <v>256.81566037735848</v>
      </c>
      <c r="AH77" s="152">
        <f>IFERROR('Price History'!M3+(INDEX('Price History'!M:M,MATCH(9.99E+307,'Returns (Calc)'!$A:$A)+1)-'Price History'!M3)*(ROW()-3)/(MATCH(9.99E+307,'Returns (Calc)'!$A:$A)-3),"")</f>
        <v>133.31710691823901</v>
      </c>
      <c r="AI77" s="152">
        <f>IFERROR('Price History'!N3+(INDEX('Price History'!N:N,MATCH(9.99E+307,'Returns (Calc)'!$A:$A)+1)-'Price History'!N3)*(ROW()-3)/(MATCH(9.99E+307,'Returns (Calc)'!$A:$A)-3),"")</f>
        <v>423.91459119496852</v>
      </c>
      <c r="AJ77" s="152">
        <f>IFERROR('Price History'!O3+(INDEX('Price History'!O:O,MATCH(9.99E+307,'Returns (Calc)'!$A:$A)+1)-'Price History'!O3)*(ROW()-3)/(MATCH(9.99E+307,'Returns (Calc)'!$A:$A)-3),"")</f>
        <v>95.941572327044028</v>
      </c>
      <c r="AK77" s="152">
        <f>IFERROR('Price History'!Q3+(INDEX('Price History'!Q:Q,MATCH(9.99E+307,'Returns (Calc)'!$A:$A)+1)-'Price History'!Q3)*(ROW()-3)/(MATCH(9.99E+307,'Returns (Calc)'!$A:$A)-3),"")</f>
        <v>32.564654088050311</v>
      </c>
      <c r="AL77" s="152">
        <f>IFERROR('Price History'!R3+(INDEX('Price History'!R:R,MATCH(9.99E+307,'Returns (Calc)'!$A:$A)+1)-'Price History'!R3)*(ROW()-3)/(MATCH(9.99E+307,'Returns (Calc)'!$A:$A)-3),"")</f>
        <v>46.864528301886793</v>
      </c>
      <c r="AM77" s="152">
        <f>IFERROR('Price History'!S3+(INDEX('Price History'!S:S,MATCH(9.99E+307,'Returns (Calc)'!$A:$A)+1)-'Price History'!S3)*(ROW()-3)/(MATCH(9.99E+307,'Returns (Calc)'!$A:$A)-3),"")</f>
        <v>101.1596855345912</v>
      </c>
      <c r="AN77" s="152">
        <f>IFERROR('Price History'!T3+(INDEX('Price History'!T:T,MATCH(9.99E+307,'Returns (Calc)'!$A:$A)+1)-'Price History'!T3)*(ROW()-3)/(MATCH(9.99E+307,'Returns (Calc)'!$A:$A)-3),"")</f>
        <v>38.085283018867926</v>
      </c>
      <c r="AO77" s="153">
        <f>IFERROR('Price History'!V3+(INDEX('Price History'!V:V,MATCH(9.99E+307,'Returns (Calc)'!$A:$A)+1)-'Price History'!V3)*(ROW()-3)/(MATCH(9.99E+307,'Returns (Calc)'!$A:$A)-3),"")</f>
        <v>305.35754716981131</v>
      </c>
      <c r="AP77" s="151">
        <f>IFERROR(IF(OR(NOT(ISNUMBER('Price History'!W78)),NOT(ISNUMBER('Price History'!W77)),'Price History'!W77=0),"",'Price History'!W78/'Price History'!W77-1),"")</f>
        <v>-3.3570145991100864E-3</v>
      </c>
      <c r="AQ77" s="151" t="str">
        <f>IFERROR(IF(OR(NOT(ISNUMBER('Price History'!X78)),NOT(ISNUMBER('Price History'!X77)),'Price History'!X77=0),"",'Price History'!X78/'Price History'!X77-1),"")</f>
        <v/>
      </c>
      <c r="AR77" s="151">
        <f>IFERROR(IF(OR(NOT(ISNUMBER('Price History'!Y78)),NOT(ISNUMBER('Price History'!Y77)),'Price History'!Y77=0),"",'Price History'!Y78/'Price History'!Y77-1),"")</f>
        <v>-7.7534405892631941E-4</v>
      </c>
      <c r="AS77" s="151">
        <f>IFERROR(IF(OR(NOT(ISNUMBER('Price History'!Z78)),NOT(ISNUMBER('Price History'!Z77)),'Price History'!Z77=0),"",'Price History'!Z78/'Price History'!Z77-1),"")</f>
        <v>-4.0526799980632355E-2</v>
      </c>
      <c r="AT77" s="151">
        <f>IFERROR(IF(OR(NOT(ISNUMBER('Price History'!AA78)),NOT(ISNUMBER('Price History'!AA77)),'Price History'!AA77=0),"",'Price History'!AA78/'Price History'!AA77-1),"")</f>
        <v>-5.2333270357075468E-2</v>
      </c>
      <c r="AU77" s="151">
        <f>IFERROR(IF(OR(NOT(ISNUMBER('Price History'!AB78)),NOT(ISNUMBER('Price History'!AB77)),'Price History'!AB77=0),"",'Price History'!AB78/'Price History'!AB77-1),"")</f>
        <v>-3.5085470085470138E-2</v>
      </c>
    </row>
    <row r="78" spans="1:47" ht="15" customHeight="1" x14ac:dyDescent="0.2">
      <c r="A78" s="149">
        <f>IF('Price History'!A79="","",'Price History'!A79)</f>
        <v>45716</v>
      </c>
      <c r="B78" s="150">
        <f>IFERROR(IF(OR(NOT(ISNUMBER('Price History'!B79)),NOT(ISNUMBER('Price History'!B78)),'Price History'!B78=0),"",'Price History'!B79/'Price History'!B78-1),"")</f>
        <v>-1.2963629816348576E-2</v>
      </c>
      <c r="C78" s="150">
        <f>IFERROR(IF(OR(NOT(ISNUMBER('Price History'!C79)),NOT(ISNUMBER('Price History'!C78)),'Price History'!C78=0),"",'Price History'!C79/'Price History'!C78-1),"")</f>
        <v>-5.3407934893184184E-2</v>
      </c>
      <c r="D78" s="150">
        <f>IFERROR(IF(OR(NOT(ISNUMBER('Price History'!D79)),NOT(ISNUMBER('Price History'!D78)),'Price History'!D78=0),"",'Price History'!D79/'Price History'!D78-1),"")</f>
        <v>-3.8158400615147969E-2</v>
      </c>
      <c r="E78" s="150">
        <f>IFERROR(IF(OR(NOT(ISNUMBER('Price History'!E79)),NOT(ISNUMBER('Price History'!E78)),'Price History'!E78=0),"",'Price History'!E79/'Price History'!E78-1),"")</f>
        <v>-8.7930954480070489E-2</v>
      </c>
      <c r="F78" s="150">
        <f>IFERROR(IF(OR(NOT(ISNUMBER('Price History'!F79)),NOT(ISNUMBER('Price History'!F78)),'Price History'!F78=0),"",'Price History'!F79/'Price History'!F78-1),"")</f>
        <v>-4.1801908134159516E-2</v>
      </c>
      <c r="G78" s="150">
        <f>IFERROR(IF(OR(NOT(ISNUMBER('Price History'!G79)),NOT(ISNUMBER('Price History'!G78)),'Price History'!G78=0),"",'Price History'!G79/'Price History'!G78-1),"")</f>
        <v>-5.8113004965776427E-2</v>
      </c>
      <c r="H78" s="150">
        <f>IFERROR(IF(OR(NOT(ISNUMBER('Price History'!H79)),NOT(ISNUMBER('Price History'!H78)),'Price History'!H78=0),"",'Price History'!H79/'Price History'!H78-1),"")</f>
        <v>-5.271176112126752E-2</v>
      </c>
      <c r="I78" s="150">
        <f>IFERROR(IF(OR(NOT(ISNUMBER('Price History'!I79)),NOT(ISNUMBER('Price History'!I78)),'Price History'!I78=0),"",'Price History'!I79/'Price History'!I78-1),"")</f>
        <v>-7.0778639618138461E-2</v>
      </c>
      <c r="J78" s="150">
        <f>IFERROR(IF(OR(NOT(ISNUMBER('Price History'!J79)),NOT(ISNUMBER('Price History'!J78)),'Price History'!J78=0),"",'Price History'!J79/'Price History'!J78-1),"")</f>
        <v>2.4356053968810354E-2</v>
      </c>
      <c r="K78" s="150">
        <f>IFERROR(IF(OR(NOT(ISNUMBER('Price History'!K79)),NOT(ISNUMBER('Price History'!K78)),'Price History'!K78=0),"",'Price History'!K79/'Price History'!K78-1),"")</f>
        <v>-0.16211149481993092</v>
      </c>
      <c r="L78" s="150">
        <f>IFERROR(IF(OR(NOT(ISNUMBER('Price History'!L79)),NOT(ISNUMBER('Price History'!L78)),'Price History'!L78=0),"",'Price History'!L79/'Price History'!L78-1),"")</f>
        <v>-8.9344600164880439E-2</v>
      </c>
      <c r="M78" s="150">
        <f>IFERROR(IF(OR(NOT(ISNUMBER('Price History'!M79)),NOT(ISNUMBER('Price History'!M78)),'Price History'!M78=0),"",'Price History'!M79/'Price History'!M78-1),"")</f>
        <v>-8.5603925253158186E-3</v>
      </c>
      <c r="N78" s="150">
        <f>IFERROR(IF(OR(NOT(ISNUMBER('Price History'!N79)),NOT(ISNUMBER('Price History'!N78)),'Price History'!N78=0),"",'Price History'!N79/'Price History'!N78-1),"")</f>
        <v>-9.1896580208160605E-3</v>
      </c>
      <c r="O78" s="150">
        <f>IFERROR(IF(OR(NOT(ISNUMBER('Price History'!O79)),NOT(ISNUMBER('Price History'!O78)),'Price History'!O78=0),"",'Price History'!O79/'Price History'!O78-1),"")</f>
        <v>-1.1260522575707865E-2</v>
      </c>
      <c r="P78" s="150">
        <f>IFERROR(IF(OR(NOT(ISNUMBER('Price History'!P79)),NOT(ISNUMBER('Price History'!P78)),'Price History'!P78=0),"",'Price History'!P79/'Price History'!P78-1),"")</f>
        <v>1.0265183917878451E-2</v>
      </c>
      <c r="Q78" s="150">
        <f>IFERROR(IF(OR(NOT(ISNUMBER('Price History'!Q79)),NOT(ISNUMBER('Price History'!Q78)),'Price History'!Q78=0),"",'Price History'!Q79/'Price History'!Q78-1),"")</f>
        <v>-6.4339713688273958E-3</v>
      </c>
      <c r="R78" s="150">
        <f>IFERROR(IF(OR(NOT(ISNUMBER('Price History'!R79)),NOT(ISNUMBER('Price History'!R78)),'Price History'!R78=0),"",'Price History'!R79/'Price History'!R78-1),"")</f>
        <v>-2.7584754685196944E-2</v>
      </c>
      <c r="S78" s="150">
        <f>IFERROR(IF(OR(NOT(ISNUMBER('Price History'!S79)),NOT(ISNUMBER('Price History'!S78)),'Price History'!S78=0),"",'Price History'!S79/'Price History'!S78-1),"")</f>
        <v>-1.1164112453060371E-3</v>
      </c>
      <c r="T78" s="150">
        <f>IFERROR(IF(OR(NOT(ISNUMBER('Price History'!T79)),NOT(ISNUMBER('Price History'!T78)),'Price History'!T78=0),"",'Price History'!T79/'Price History'!T78-1),"")</f>
        <v>-4.6096225871508079E-3</v>
      </c>
      <c r="U78" s="150">
        <f>IFERROR(IF(OR(NOT(ISNUMBER('Price History'!U79)),NOT(ISNUMBER('Price History'!U78)),'Price History'!U78=0),"",'Price History'!U79/'Price History'!U78-1),"")</f>
        <v>1.1702529256323313E-2</v>
      </c>
      <c r="V78" s="151">
        <f>IFERROR(IF(OR(NOT(ISNUMBER('Price History'!V79)),NOT(ISNUMBER('Price History'!V78)),'Price History'!V78=0),"",'Price History'!V79/'Price History'!V78-1),"")</f>
        <v>4.0657012681737825E-2</v>
      </c>
      <c r="W78" s="152">
        <f>IFERROR('Price History'!B3+(INDEX('Price History'!B:B,MATCH(9.99E+307,'Returns (Calc)'!$A:$A)+1)-'Price History'!B3)*(ROW()-3)/(MATCH(9.99E+307,'Returns (Calc)'!$A:$A)-3),"")</f>
        <v>393.69188679245281</v>
      </c>
      <c r="X78" s="152">
        <f>IFERROR('Price History'!C3+(INDEX('Price History'!C:C,MATCH(9.99E+307,'Returns (Calc)'!$A:$A)+1)-'Price History'!C3)*(ROW()-3)/(MATCH(9.99E+307,'Returns (Calc)'!$A:$A)-3),"")</f>
        <v>126.63283018867924</v>
      </c>
      <c r="Y78" s="152">
        <f>IFERROR('Price History'!D3+(INDEX('Price History'!D:D,MATCH(9.99E+307,'Returns (Calc)'!$A:$A)+1)-'Price History'!D3)*(ROW()-3)/(MATCH(9.99E+307,'Returns (Calc)'!$A:$A)-3),"")</f>
        <v>1147.26</v>
      </c>
      <c r="Z78" s="152">
        <f>IFERROR('Price History'!E3+(INDEX('Price History'!E:E,MATCH(9.99E+307,'Returns (Calc)'!$A:$A)+1)-'Price History'!E3)*(ROW()-3)/(MATCH(9.99E+307,'Returns (Calc)'!$A:$A)-3),"")</f>
        <v>213.85849056603774</v>
      </c>
      <c r="AA78" s="152">
        <f>IFERROR('Price History'!F3+(INDEX('Price History'!F:F,MATCH(9.99E+307,'Returns (Calc)'!$A:$A)+1)-'Price History'!F3)*(ROW()-3)/(MATCH(9.99E+307,'Returns (Calc)'!$A:$A)-3),"")</f>
        <v>151.58641509433963</v>
      </c>
      <c r="AB78" s="152">
        <f>IFERROR('Price History'!G3+(INDEX('Price History'!G:G,MATCH(9.99E+307,'Returns (Calc)'!$A:$A)+1)-'Price History'!G3)*(ROW()-3)/(MATCH(9.99E+307,'Returns (Calc)'!$A:$A)-3),"")</f>
        <v>115.68018867924528</v>
      </c>
      <c r="AC78" s="152">
        <f>IFERROR('Price History'!H3+(INDEX('Price History'!H:H,MATCH(9.99E+307,'Returns (Calc)'!$A:$A)+1)-'Price History'!H3)*(ROW()-3)/(MATCH(9.99E+307,'Returns (Calc)'!$A:$A)-3),"")</f>
        <v>521.88830188679242</v>
      </c>
      <c r="AD78" s="152">
        <f>IFERROR('Price History'!I3+(INDEX('Price History'!I:I,MATCH(9.99E+307,'Returns (Calc)'!$A:$A)+1)-'Price History'!I3)*(ROW()-3)/(MATCH(9.99E+307,'Returns (Calc)'!$A:$A)-3),"")</f>
        <v>131.27471698113209</v>
      </c>
      <c r="AE78" s="152">
        <f>IFERROR('Price History'!J3+(INDEX('Price History'!J:J,MATCH(9.99E+307,'Returns (Calc)'!$A:$A)+1)-'Price History'!J3)*(ROW()-3)/(MATCH(9.99E+307,'Returns (Calc)'!$A:$A)-3),"")</f>
        <v>120.16547169811321</v>
      </c>
      <c r="AF78" s="152">
        <f>IFERROR('Price History'!K3+(INDEX('Price History'!K:K,MATCH(9.99E+307,'Returns (Calc)'!$A:$A)+1)-'Price History'!K3)*(ROW()-3)/(MATCH(9.99E+307,'Returns (Calc)'!$A:$A)-3),"")</f>
        <v>106.70735849056604</v>
      </c>
      <c r="AG78" s="152">
        <f>IFERROR('Price History'!L3+(INDEX('Price History'!L:L,MATCH(9.99E+307,'Returns (Calc)'!$A:$A)+1)-'Price History'!L3)*(ROW()-3)/(MATCH(9.99E+307,'Returns (Calc)'!$A:$A)-3),"")</f>
        <v>259.12735849056605</v>
      </c>
      <c r="AH78" s="152">
        <f>IFERROR('Price History'!M3+(INDEX('Price History'!M:M,MATCH(9.99E+307,'Returns (Calc)'!$A:$A)+1)-'Price History'!M3)*(ROW()-3)/(MATCH(9.99E+307,'Returns (Calc)'!$A:$A)-3),"")</f>
        <v>134.60490566037737</v>
      </c>
      <c r="AI78" s="152">
        <f>IFERROR('Price History'!N3+(INDEX('Price History'!N:N,MATCH(9.99E+307,'Returns (Calc)'!$A:$A)+1)-'Price History'!N3)*(ROW()-3)/(MATCH(9.99E+307,'Returns (Calc)'!$A:$A)-3),"")</f>
        <v>424.92830188679244</v>
      </c>
      <c r="AJ78" s="152">
        <f>IFERROR('Price History'!O3+(INDEX('Price History'!O:O,MATCH(9.99E+307,'Returns (Calc)'!$A:$A)+1)-'Price History'!O3)*(ROW()-3)/(MATCH(9.99E+307,'Returns (Calc)'!$A:$A)-3),"")</f>
        <v>96.220377358490566</v>
      </c>
      <c r="AK78" s="152">
        <f>IFERROR('Price History'!Q3+(INDEX('Price History'!Q:Q,MATCH(9.99E+307,'Returns (Calc)'!$A:$A)+1)-'Price History'!Q3)*(ROW()-3)/(MATCH(9.99E+307,'Returns (Calc)'!$A:$A)-3),"")</f>
        <v>33.004716981132077</v>
      </c>
      <c r="AL78" s="152">
        <f>IFERROR('Price History'!R3+(INDEX('Price History'!R:R,MATCH(9.99E+307,'Returns (Calc)'!$A:$A)+1)-'Price History'!R3)*(ROW()-3)/(MATCH(9.99E+307,'Returns (Calc)'!$A:$A)-3),"")</f>
        <v>47.031886792452831</v>
      </c>
      <c r="AM78" s="152">
        <f>IFERROR('Price History'!S3+(INDEX('Price History'!S:S,MATCH(9.99E+307,'Returns (Calc)'!$A:$A)+1)-'Price History'!S3)*(ROW()-3)/(MATCH(9.99E+307,'Returns (Calc)'!$A:$A)-3),"")</f>
        <v>101.74792452830189</v>
      </c>
      <c r="AN78" s="152">
        <f>IFERROR('Price History'!T3+(INDEX('Price History'!T:T,MATCH(9.99E+307,'Returns (Calc)'!$A:$A)+1)-'Price History'!T3)*(ROW()-3)/(MATCH(9.99E+307,'Returns (Calc)'!$A:$A)-3),"")</f>
        <v>38.258867924528303</v>
      </c>
      <c r="AO78" s="153">
        <f>IFERROR('Price History'!V3+(INDEX('Price History'!V:V,MATCH(9.99E+307,'Returns (Calc)'!$A:$A)+1)-'Price History'!V3)*(ROW()-3)/(MATCH(9.99E+307,'Returns (Calc)'!$A:$A)-3),"")</f>
        <v>306.29981132075471</v>
      </c>
      <c r="AP78" s="151">
        <f>IFERROR(IF(OR(NOT(ISNUMBER('Price History'!W79)),NOT(ISNUMBER('Price History'!W78)),'Price History'!W78=0),"",'Price History'!W79/'Price History'!W78-1),"")</f>
        <v>5.483315055616611E-3</v>
      </c>
      <c r="AQ78" s="151" t="str">
        <f>IFERROR(IF(OR(NOT(ISNUMBER('Price History'!X79)),NOT(ISNUMBER('Price History'!X78)),'Price History'!X78=0),"",'Price History'!X79/'Price History'!X78-1),"")</f>
        <v/>
      </c>
      <c r="AR78" s="151">
        <f>IFERROR(IF(OR(NOT(ISNUMBER('Price History'!Y79)),NOT(ISNUMBER('Price History'!Y78)),'Price History'!Y78=0),"",'Price History'!Y79/'Price History'!Y78-1),"")</f>
        <v>4.6556741028127568E-3</v>
      </c>
      <c r="AS78" s="151">
        <f>IFERROR(IF(OR(NOT(ISNUMBER('Price History'!Z79)),NOT(ISNUMBER('Price History'!Z78)),'Price History'!Z78=0),"",'Price History'!Z79/'Price History'!Z78-1),"")</f>
        <v>3.5779168348809121E-2</v>
      </c>
      <c r="AT78" s="151">
        <f>IFERROR(IF(OR(NOT(ISNUMBER('Price History'!AA79)),NOT(ISNUMBER('Price History'!AA78)),'Price History'!AA78=0),"",'Price History'!AA79/'Price History'!AA78-1),"")</f>
        <v>-2.2527910685805286E-2</v>
      </c>
      <c r="AU78" s="151">
        <f>IFERROR(IF(OR(NOT(ISNUMBER('Price History'!AB79)),NOT(ISNUMBER('Price History'!AB78)),'Price History'!AB78=0),"",'Price History'!AB79/'Price History'!AB78-1),"")</f>
        <v>-7.3076752734841932E-3</v>
      </c>
    </row>
    <row r="79" spans="1:47" ht="15" customHeight="1" x14ac:dyDescent="0.2">
      <c r="A79" s="149">
        <f>IF('Price History'!A80="","",'Price History'!A80)</f>
        <v>45723</v>
      </c>
      <c r="B79" s="150">
        <f>IFERROR(IF(OR(NOT(ISNUMBER('Price History'!B80)),NOT(ISNUMBER('Price History'!B79)),'Price History'!B79=0),"",'Price History'!B80/'Price History'!B79-1),"")</f>
        <v>2.4717256475738747E-2</v>
      </c>
      <c r="C79" s="150">
        <f>IFERROR(IF(OR(NOT(ISNUMBER('Price History'!C80)),NOT(ISNUMBER('Price History'!C79)),'Price History'!C79=0),"",'Price History'!C80/'Price History'!C79-1),"")</f>
        <v>-0.10413756045137024</v>
      </c>
      <c r="D79" s="150">
        <f>IFERROR(IF(OR(NOT(ISNUMBER('Price History'!D80)),NOT(ISNUMBER('Price History'!D79)),'Price History'!D79=0),"",'Price History'!D80/'Price History'!D79-1),"")</f>
        <v>3.2634298847949328E-2</v>
      </c>
      <c r="E79" s="150">
        <f>IFERROR(IF(OR(NOT(ISNUMBER('Price History'!E80)),NOT(ISNUMBER('Price History'!E79)),'Price History'!E79=0),"",'Price History'!E80/'Price History'!E79-1),"")</f>
        <v>-2.238502238502238E-2</v>
      </c>
      <c r="F79" s="150">
        <f>IFERROR(IF(OR(NOT(ISNUMBER('Price History'!F80)),NOT(ISNUMBER('Price History'!F79)),'Price History'!F79=0),"",'Price History'!F80/'Price History'!F79-1),"")</f>
        <v>-0.14411825087251084</v>
      </c>
      <c r="G79" s="150">
        <f>IFERROR(IF(OR(NOT(ISNUMBER('Price History'!G80)),NOT(ISNUMBER('Price History'!G79)),'Price History'!G79=0),"",'Price History'!G80/'Price History'!G79-1),"")</f>
        <v>3.4197777144484576E-3</v>
      </c>
      <c r="H79" s="150">
        <f>IFERROR(IF(OR(NOT(ISNUMBER('Price History'!H80)),NOT(ISNUMBER('Price History'!H79)),'Price History'!H79=0),"",'Price History'!H80/'Price History'!H79-1),"")</f>
        <v>-7.1834459097245285E-3</v>
      </c>
      <c r="I79" s="150">
        <f>IFERROR(IF(OR(NOT(ISNUMBER('Price History'!I80)),NOT(ISNUMBER('Price History'!I79)),'Price History'!I79=0),"",'Price History'!I80/'Price History'!I79-1),"")</f>
        <v>-9.7840918211734462E-2</v>
      </c>
      <c r="J79" s="150">
        <f>IFERROR(IF(OR(NOT(ISNUMBER('Price History'!J80)),NOT(ISNUMBER('Price History'!J79)),'Price History'!J79=0),"",'Price History'!J80/'Price History'!J79-1),"")</f>
        <v>-3.2329798152582967E-2</v>
      </c>
      <c r="K79" s="150">
        <f>IFERROR(IF(OR(NOT(ISNUMBER('Price History'!K80)),NOT(ISNUMBER('Price History'!K79)),'Price History'!K79=0),"",'Price History'!K80/'Price History'!K79-1),"")</f>
        <v>-1.1775788977863577E-4</v>
      </c>
      <c r="L79" s="150">
        <f>IFERROR(IF(OR(NOT(ISNUMBER('Price History'!L80)),NOT(ISNUMBER('Price History'!L79)),'Price History'!L79=0),"",'Price History'!L80/'Price History'!L79-1),"")</f>
        <v>-1.9010976575761118E-2</v>
      </c>
      <c r="M79" s="150">
        <f>IFERROR(IF(OR(NOT(ISNUMBER('Price History'!M80)),NOT(ISNUMBER('Price History'!M79)),'Price History'!M79=0),"",'Price History'!M80/'Price History'!M79-1),"")</f>
        <v>-0.10645466989575658</v>
      </c>
      <c r="N79" s="150">
        <f>IFERROR(IF(OR(NOT(ISNUMBER('Price History'!N80)),NOT(ISNUMBER('Price History'!N79)),'Price History'!N79=0),"",'Price History'!N80/'Price History'!N79-1),"")</f>
        <v>1.7716084120135811E-2</v>
      </c>
      <c r="O79" s="150">
        <f>IFERROR(IF(OR(NOT(ISNUMBER('Price History'!O80)),NOT(ISNUMBER('Price History'!O79)),'Price History'!O79=0),"",'Price History'!O80/'Price History'!O79-1),"")</f>
        <v>-4.4891640866873139E-2</v>
      </c>
      <c r="P79" s="150">
        <f>IFERROR(IF(OR(NOT(ISNUMBER('Price History'!P80)),NOT(ISNUMBER('Price History'!P79)),'Price History'!P79=0),"",'Price History'!P80/'Price History'!P79-1),"")</f>
        <v>-2.7480563467015551E-2</v>
      </c>
      <c r="Q79" s="150">
        <f>IFERROR(IF(OR(NOT(ISNUMBER('Price History'!Q80)),NOT(ISNUMBER('Price History'!Q79)),'Price History'!Q79=0),"",'Price History'!Q80/'Price History'!Q79-1),"")</f>
        <v>-1.748421563865965E-2</v>
      </c>
      <c r="R79" s="150">
        <f>IFERROR(IF(OR(NOT(ISNUMBER('Price History'!R80)),NOT(ISNUMBER('Price History'!R79)),'Price History'!R79=0),"",'Price History'!R80/'Price History'!R79-1),"")</f>
        <v>-3.1398873971416275E-2</v>
      </c>
      <c r="S79" s="150">
        <f>IFERROR(IF(OR(NOT(ISNUMBER('Price History'!S80)),NOT(ISNUMBER('Price History'!S79)),'Price History'!S79=0),"",'Price History'!S80/'Price History'!S79-1),"")</f>
        <v>-5.2631578947368474E-2</v>
      </c>
      <c r="T79" s="150">
        <f>IFERROR(IF(OR(NOT(ISNUMBER('Price History'!T80)),NOT(ISNUMBER('Price History'!T79)),'Price History'!T79=0),"",'Price History'!T80/'Price History'!T79-1),"")</f>
        <v>-1.4471780028943559E-2</v>
      </c>
      <c r="U79" s="150">
        <f>IFERROR(IF(OR(NOT(ISNUMBER('Price History'!U80)),NOT(ISNUMBER('Price History'!U79)),'Price History'!U79=0),"",'Price History'!U80/'Price History'!U79-1),"")</f>
        <v>-2.6119402985074203E-3</v>
      </c>
      <c r="V79" s="151">
        <f>IFERROR(IF(OR(NOT(ISNUMBER('Price History'!V80)),NOT(ISNUMBER('Price History'!V79)),'Price History'!V79=0),"",'Price History'!V80/'Price History'!V79-1),"")</f>
        <v>-4.7936419408811992E-2</v>
      </c>
      <c r="W79" s="152">
        <f>IFERROR('Price History'!B3+(INDEX('Price History'!B:B,MATCH(9.99E+307,'Returns (Calc)'!$A:$A)+1)-'Price History'!B3)*(ROW()-3)/(MATCH(9.99E+307,'Returns (Calc)'!$A:$A)-3),"")</f>
        <v>391.88924528301885</v>
      </c>
      <c r="X79" s="152">
        <f>IFERROR('Price History'!C3+(INDEX('Price History'!C:C,MATCH(9.99E+307,'Returns (Calc)'!$A:$A)+1)-'Price History'!C3)*(ROW()-3)/(MATCH(9.99E+307,'Returns (Calc)'!$A:$A)-3),"")</f>
        <v>127.70553459119498</v>
      </c>
      <c r="Y79" s="152">
        <f>IFERROR('Price History'!D3+(INDEX('Price History'!D:D,MATCH(9.99E+307,'Returns (Calc)'!$A:$A)+1)-'Price History'!D3)*(ROW()-3)/(MATCH(9.99E+307,'Returns (Calc)'!$A:$A)-3),"")</f>
        <v>1154.7966666666666</v>
      </c>
      <c r="Z79" s="152">
        <f>IFERROR('Price History'!E3+(INDEX('Price History'!E:E,MATCH(9.99E+307,'Returns (Calc)'!$A:$A)+1)-'Price History'!E3)*(ROW()-3)/(MATCH(9.99E+307,'Returns (Calc)'!$A:$A)-3),"")</f>
        <v>215.6166037735849</v>
      </c>
      <c r="AA79" s="152">
        <f>IFERROR('Price History'!F3+(INDEX('Price History'!F:F,MATCH(9.99E+307,'Returns (Calc)'!$A:$A)+1)-'Price History'!F3)*(ROW()-3)/(MATCH(9.99E+307,'Returns (Calc)'!$A:$A)-3),"")</f>
        <v>153.05610062893084</v>
      </c>
      <c r="AB79" s="152">
        <f>IFERROR('Price History'!G3+(INDEX('Price History'!G:G,MATCH(9.99E+307,'Returns (Calc)'!$A:$A)+1)-'Price History'!G3)*(ROW()-3)/(MATCH(9.99E+307,'Returns (Calc)'!$A:$A)-3),"")</f>
        <v>116.63125786163522</v>
      </c>
      <c r="AC79" s="152">
        <f>IFERROR('Price History'!H3+(INDEX('Price History'!H:H,MATCH(9.99E+307,'Returns (Calc)'!$A:$A)+1)-'Price History'!H3)*(ROW()-3)/(MATCH(9.99E+307,'Returns (Calc)'!$A:$A)-3),"")</f>
        <v>527.92534591194965</v>
      </c>
      <c r="AD79" s="152">
        <f>IFERROR('Price History'!I3+(INDEX('Price History'!I:I,MATCH(9.99E+307,'Returns (Calc)'!$A:$A)+1)-'Price History'!I3)*(ROW()-3)/(MATCH(9.99E+307,'Returns (Calc)'!$A:$A)-3),"")</f>
        <v>132.44144654088049</v>
      </c>
      <c r="AE79" s="152">
        <f>IFERROR('Price History'!J3+(INDEX('Price History'!J:J,MATCH(9.99E+307,'Returns (Calc)'!$A:$A)+1)-'Price History'!J3)*(ROW()-3)/(MATCH(9.99E+307,'Returns (Calc)'!$A:$A)-3),"")</f>
        <v>120.27647798742139</v>
      </c>
      <c r="AF79" s="152">
        <f>IFERROR('Price History'!K3+(INDEX('Price History'!K:K,MATCH(9.99E+307,'Returns (Calc)'!$A:$A)+1)-'Price History'!K3)*(ROW()-3)/(MATCH(9.99E+307,'Returns (Calc)'!$A:$A)-3),"")</f>
        <v>107.92572327044024</v>
      </c>
      <c r="AG79" s="152">
        <f>IFERROR('Price History'!L3+(INDEX('Price History'!L:L,MATCH(9.99E+307,'Returns (Calc)'!$A:$A)+1)-'Price History'!L3)*(ROW()-3)/(MATCH(9.99E+307,'Returns (Calc)'!$A:$A)-3),"")</f>
        <v>261.43905660377357</v>
      </c>
      <c r="AH79" s="152">
        <f>IFERROR('Price History'!M3+(INDEX('Price History'!M:M,MATCH(9.99E+307,'Returns (Calc)'!$A:$A)+1)-'Price History'!M3)*(ROW()-3)/(MATCH(9.99E+307,'Returns (Calc)'!$A:$A)-3),"")</f>
        <v>135.8927044025157</v>
      </c>
      <c r="AI79" s="152">
        <f>IFERROR('Price History'!N3+(INDEX('Price History'!N:N,MATCH(9.99E+307,'Returns (Calc)'!$A:$A)+1)-'Price History'!N3)*(ROW()-3)/(MATCH(9.99E+307,'Returns (Calc)'!$A:$A)-3),"")</f>
        <v>425.9420125786163</v>
      </c>
      <c r="AJ79" s="152">
        <f>IFERROR('Price History'!O3+(INDEX('Price History'!O:O,MATCH(9.99E+307,'Returns (Calc)'!$A:$A)+1)-'Price History'!O3)*(ROW()-3)/(MATCH(9.99E+307,'Returns (Calc)'!$A:$A)-3),"")</f>
        <v>96.499182389937104</v>
      </c>
      <c r="AK79" s="152">
        <f>IFERROR('Price History'!Q3+(INDEX('Price History'!Q:Q,MATCH(9.99E+307,'Returns (Calc)'!$A:$A)+1)-'Price History'!Q3)*(ROW()-3)/(MATCH(9.99E+307,'Returns (Calc)'!$A:$A)-3),"")</f>
        <v>33.444779874213836</v>
      </c>
      <c r="AL79" s="152">
        <f>IFERROR('Price History'!R3+(INDEX('Price History'!R:R,MATCH(9.99E+307,'Returns (Calc)'!$A:$A)+1)-'Price History'!R3)*(ROW()-3)/(MATCH(9.99E+307,'Returns (Calc)'!$A:$A)-3),"")</f>
        <v>47.199245283018868</v>
      </c>
      <c r="AM79" s="152">
        <f>IFERROR('Price History'!S3+(INDEX('Price History'!S:S,MATCH(9.99E+307,'Returns (Calc)'!$A:$A)+1)-'Price History'!S3)*(ROW()-3)/(MATCH(9.99E+307,'Returns (Calc)'!$A:$A)-3),"")</f>
        <v>102.33616352201258</v>
      </c>
      <c r="AN79" s="152">
        <f>IFERROR('Price History'!T3+(INDEX('Price History'!T:T,MATCH(9.99E+307,'Returns (Calc)'!$A:$A)+1)-'Price History'!T3)*(ROW()-3)/(MATCH(9.99E+307,'Returns (Calc)'!$A:$A)-3),"")</f>
        <v>38.43245283018868</v>
      </c>
      <c r="AO79" s="153">
        <f>IFERROR('Price History'!V3+(INDEX('Price History'!V:V,MATCH(9.99E+307,'Returns (Calc)'!$A:$A)+1)-'Price History'!V3)*(ROW()-3)/(MATCH(9.99E+307,'Returns (Calc)'!$A:$A)-3),"")</f>
        <v>307.24207547169812</v>
      </c>
      <c r="AP79" s="151">
        <f>IFERROR(IF(OR(NOT(ISNUMBER('Price History'!W80)),NOT(ISNUMBER('Price History'!W79)),'Price History'!W79=0),"",'Price History'!W80/'Price History'!W79-1),"")</f>
        <v>-2.103459021502041E-2</v>
      </c>
      <c r="AQ79" s="151" t="str">
        <f>IFERROR(IF(OR(NOT(ISNUMBER('Price History'!X80)),NOT(ISNUMBER('Price History'!X79)),'Price History'!X79=0),"",'Price History'!X80/'Price History'!X79-1),"")</f>
        <v/>
      </c>
      <c r="AR79" s="151">
        <f>IFERROR(IF(OR(NOT(ISNUMBER('Price History'!Y80)),NOT(ISNUMBER('Price History'!Y79)),'Price History'!Y79=0),"",'Price History'!Y80/'Price History'!Y79-1),"")</f>
        <v>-1.4867735083992972E-2</v>
      </c>
      <c r="AS79" s="151">
        <f>IFERROR(IF(OR(NOT(ISNUMBER('Price History'!Z80)),NOT(ISNUMBER('Price History'!Z79)),'Price History'!Z79=0),"",'Price History'!Z80/'Price History'!Z79-1),"")</f>
        <v>-6.3434835566382519E-2</v>
      </c>
      <c r="AT79" s="151">
        <f>IFERROR(IF(OR(NOT(ISNUMBER('Price History'!AA80)),NOT(ISNUMBER('Price History'!AA79)),'Price History'!AA79=0),"",'Price History'!AA80/'Price History'!AA79-1),"")</f>
        <v>-9.1270650622068183E-2</v>
      </c>
      <c r="AU79" s="151">
        <f>IFERROR(IF(OR(NOT(ISNUMBER('Price History'!AB80)),NOT(ISNUMBER('Price History'!AB79)),'Price History'!AB79=0),"",'Price History'!AB80/'Price History'!AB79-1),"")</f>
        <v>0.10109752833050778</v>
      </c>
    </row>
    <row r="80" spans="1:47" ht="15" customHeight="1" x14ac:dyDescent="0.2">
      <c r="A80" s="149">
        <f>IF('Price History'!A81="","",'Price History'!A81)</f>
        <v>45730</v>
      </c>
      <c r="B80" s="150">
        <f>IFERROR(IF(OR(NOT(ISNUMBER('Price History'!B81)),NOT(ISNUMBER('Price History'!B80)),'Price History'!B80=0),"",'Price History'!B81/'Price History'!B80-1),"")</f>
        <v>-0.12162883845126826</v>
      </c>
      <c r="C80" s="150">
        <f>IFERROR(IF(OR(NOT(ISNUMBER('Price History'!C81)),NOT(ISNUMBER('Price History'!C80)),'Price History'!C80=0),"",'Price History'!C81/'Price History'!C80-1),"")</f>
        <v>1.7994241842611558E-3</v>
      </c>
      <c r="D80" s="150">
        <f>IFERROR(IF(OR(NOT(ISNUMBER('Price History'!D81)),NOT(ISNUMBER('Price History'!D80)),'Price History'!D80=0),"",'Price History'!D81/'Price History'!D80-1),"")</f>
        <v>-2.4884219257620743E-2</v>
      </c>
      <c r="E80" s="150">
        <f>IFERROR(IF(OR(NOT(ISNUMBER('Price History'!E81)),NOT(ISNUMBER('Price History'!E80)),'Price History'!E80=0),"",'Price History'!E81/'Price History'!E80-1),"")</f>
        <v>2.9662781015820094E-3</v>
      </c>
      <c r="F80" s="150">
        <f>IFERROR(IF(OR(NOT(ISNUMBER('Price History'!F81)),NOT(ISNUMBER('Price History'!F80)),'Price History'!F80=0),"",'Price History'!F81/'Price History'!F80-1),"")</f>
        <v>6.0566082993523729E-2</v>
      </c>
      <c r="G80" s="150">
        <f>IFERROR(IF(OR(NOT(ISNUMBER('Price History'!G81)),NOT(ISNUMBER('Price History'!G80)),'Price History'!G80=0),"",'Price History'!G81/'Price History'!G80-1),"")</f>
        <v>2.414086907128743E-3</v>
      </c>
      <c r="H80" s="150">
        <f>IFERROR(IF(OR(NOT(ISNUMBER('Price History'!H81)),NOT(ISNUMBER('Price History'!H80)),'Price History'!H80=0),"",'Price History'!H81/'Price History'!H80-1),"")</f>
        <v>8.4233261339093035E-2</v>
      </c>
      <c r="I80" s="150">
        <f>IFERROR(IF(OR(NOT(ISNUMBER('Price History'!I81)),NOT(ISNUMBER('Price History'!I80)),'Price History'!I80=0),"",'Price History'!I81/'Price History'!I80-1),"")</f>
        <v>7.9715302491103035E-2</v>
      </c>
      <c r="J80" s="150">
        <f>IFERROR(IF(OR(NOT(ISNUMBER('Price History'!J81)),NOT(ISNUMBER('Price History'!J80)),'Price History'!J80=0),"",'Price History'!J81/'Price History'!J80-1),"")</f>
        <v>-6.6908255258971261E-2</v>
      </c>
      <c r="K80" s="150">
        <f>IFERROR(IF(OR(NOT(ISNUMBER('Price History'!K81)),NOT(ISNUMBER('Price History'!K80)),'Price History'!K80=0),"",'Price History'!K81/'Price History'!K80-1),"")</f>
        <v>1.5663643858202736E-2</v>
      </c>
      <c r="L80" s="150">
        <f>IFERROR(IF(OR(NOT(ISNUMBER('Price History'!L81)),NOT(ISNUMBER('Price History'!L80)),'Price History'!L80=0),"",'Price History'!L81/'Price History'!L80-1),"")</f>
        <v>-1.6956973122620789E-2</v>
      </c>
      <c r="M80" s="150">
        <f>IFERROR(IF(OR(NOT(ISNUMBER('Price History'!M81)),NOT(ISNUMBER('Price History'!M80)),'Price History'!M80=0),"",'Price History'!M81/'Price History'!M80-1),"")</f>
        <v>2.839971718123957E-2</v>
      </c>
      <c r="N80" s="150">
        <f>IFERROR(IF(OR(NOT(ISNUMBER('Price History'!N81)),NOT(ISNUMBER('Price History'!N80)),'Price History'!N80=0),"",'Price History'!N81/'Price History'!N80-1),"")</f>
        <v>3.3750435192201333E-2</v>
      </c>
      <c r="O80" s="150">
        <f>IFERROR(IF(OR(NOT(ISNUMBER('Price History'!O81)),NOT(ISNUMBER('Price History'!O80)),'Price History'!O80=0),"",'Price History'!O81/'Price History'!O80-1),"")</f>
        <v>-1.8754341282704257E-2</v>
      </c>
      <c r="P80" s="150">
        <f>IFERROR(IF(OR(NOT(ISNUMBER('Price History'!P81)),NOT(ISNUMBER('Price History'!P80)),'Price History'!P80=0),"",'Price History'!P81/'Price History'!P80-1),"")</f>
        <v>-8.390058572107062E-3</v>
      </c>
      <c r="Q80" s="150">
        <f>IFERROR(IF(OR(NOT(ISNUMBER('Price History'!Q81)),NOT(ISNUMBER('Price History'!Q80)),'Price History'!Q80=0),"",'Price History'!Q81/'Price History'!Q80-1),"")</f>
        <v>-1.4170374031965749E-2</v>
      </c>
      <c r="R80" s="150">
        <f>IFERROR(IF(OR(NOT(ISNUMBER('Price History'!R81)),NOT(ISNUMBER('Price History'!R80)),'Price History'!R80=0),"",'Price History'!R81/'Price History'!R80-1),"")</f>
        <v>-2.123854236530287E-2</v>
      </c>
      <c r="S80" s="150">
        <f>IFERROR(IF(OR(NOT(ISNUMBER('Price History'!S81)),NOT(ISNUMBER('Price History'!S80)),'Price History'!S80=0),"",'Price History'!S81/'Price History'!S80-1),"")</f>
        <v>-7.1857571857572022E-3</v>
      </c>
      <c r="T80" s="150">
        <f>IFERROR(IF(OR(NOT(ISNUMBER('Price History'!T81)),NOT(ISNUMBER('Price History'!T80)),'Price History'!T80=0),"",'Price History'!T81/'Price History'!T80-1),"")</f>
        <v>-1.8795888399412597E-2</v>
      </c>
      <c r="U80" s="150">
        <f>IFERROR(IF(OR(NOT(ISNUMBER('Price History'!U81)),NOT(ISNUMBER('Price History'!U80)),'Price History'!U80=0),"",'Price History'!U81/'Price History'!U80-1),"")</f>
        <v>-2.8806584362139898E-2</v>
      </c>
      <c r="V80" s="151">
        <f>IFERROR(IF(OR(NOT(ISNUMBER('Price History'!V81)),NOT(ISNUMBER('Price History'!V80)),'Price History'!V80=0),"",'Price History'!V81/'Price History'!V80-1),"")</f>
        <v>-3.916112591898302E-2</v>
      </c>
      <c r="W80" s="152">
        <f>IFERROR('Price History'!B3+(INDEX('Price History'!B:B,MATCH(9.99E+307,'Returns (Calc)'!$A:$A)+1)-'Price History'!B3)*(ROW()-3)/(MATCH(9.99E+307,'Returns (Calc)'!$A:$A)-3),"")</f>
        <v>390.0866037735849</v>
      </c>
      <c r="X80" s="152">
        <f>IFERROR('Price History'!C3+(INDEX('Price History'!C:C,MATCH(9.99E+307,'Returns (Calc)'!$A:$A)+1)-'Price History'!C3)*(ROW()-3)/(MATCH(9.99E+307,'Returns (Calc)'!$A:$A)-3),"")</f>
        <v>128.77823899371069</v>
      </c>
      <c r="Y80" s="152">
        <f>IFERROR('Price History'!D3+(INDEX('Price History'!D:D,MATCH(9.99E+307,'Returns (Calc)'!$A:$A)+1)-'Price History'!D3)*(ROW()-3)/(MATCH(9.99E+307,'Returns (Calc)'!$A:$A)-3),"")</f>
        <v>1162.3333333333333</v>
      </c>
      <c r="Z80" s="152">
        <f>IFERROR('Price History'!E3+(INDEX('Price History'!E:E,MATCH(9.99E+307,'Returns (Calc)'!$A:$A)+1)-'Price History'!E3)*(ROW()-3)/(MATCH(9.99E+307,'Returns (Calc)'!$A:$A)-3),"")</f>
        <v>217.37471698113208</v>
      </c>
      <c r="AA80" s="152">
        <f>IFERROR('Price History'!F3+(INDEX('Price History'!F:F,MATCH(9.99E+307,'Returns (Calc)'!$A:$A)+1)-'Price History'!F3)*(ROW()-3)/(MATCH(9.99E+307,'Returns (Calc)'!$A:$A)-3),"")</f>
        <v>154.52578616352201</v>
      </c>
      <c r="AB80" s="152">
        <f>IFERROR('Price History'!G3+(INDEX('Price History'!G:G,MATCH(9.99E+307,'Returns (Calc)'!$A:$A)+1)-'Price History'!G3)*(ROW()-3)/(MATCH(9.99E+307,'Returns (Calc)'!$A:$A)-3),"")</f>
        <v>117.58232704402516</v>
      </c>
      <c r="AC80" s="152">
        <f>IFERROR('Price History'!H3+(INDEX('Price History'!H:H,MATCH(9.99E+307,'Returns (Calc)'!$A:$A)+1)-'Price History'!H3)*(ROW()-3)/(MATCH(9.99E+307,'Returns (Calc)'!$A:$A)-3),"")</f>
        <v>533.96238993710688</v>
      </c>
      <c r="AD80" s="152">
        <f>IFERROR('Price History'!I3+(INDEX('Price History'!I:I,MATCH(9.99E+307,'Returns (Calc)'!$A:$A)+1)-'Price History'!I3)*(ROW()-3)/(MATCH(9.99E+307,'Returns (Calc)'!$A:$A)-3),"")</f>
        <v>133.60817610062892</v>
      </c>
      <c r="AE80" s="152">
        <f>IFERROR('Price History'!J3+(INDEX('Price History'!J:J,MATCH(9.99E+307,'Returns (Calc)'!$A:$A)+1)-'Price History'!J3)*(ROW()-3)/(MATCH(9.99E+307,'Returns (Calc)'!$A:$A)-3),"")</f>
        <v>120.38748427672957</v>
      </c>
      <c r="AF80" s="152">
        <f>IFERROR('Price History'!K3+(INDEX('Price History'!K:K,MATCH(9.99E+307,'Returns (Calc)'!$A:$A)+1)-'Price History'!K3)*(ROW()-3)/(MATCH(9.99E+307,'Returns (Calc)'!$A:$A)-3),"")</f>
        <v>109.14408805031447</v>
      </c>
      <c r="AG80" s="152">
        <f>IFERROR('Price History'!L3+(INDEX('Price History'!L:L,MATCH(9.99E+307,'Returns (Calc)'!$A:$A)+1)-'Price History'!L3)*(ROW()-3)/(MATCH(9.99E+307,'Returns (Calc)'!$A:$A)-3),"")</f>
        <v>263.75075471698113</v>
      </c>
      <c r="AH80" s="152">
        <f>IFERROR('Price History'!M3+(INDEX('Price History'!M:M,MATCH(9.99E+307,'Returns (Calc)'!$A:$A)+1)-'Price History'!M3)*(ROW()-3)/(MATCH(9.99E+307,'Returns (Calc)'!$A:$A)-3),"")</f>
        <v>137.1805031446541</v>
      </c>
      <c r="AI80" s="152">
        <f>IFERROR('Price History'!N3+(INDEX('Price History'!N:N,MATCH(9.99E+307,'Returns (Calc)'!$A:$A)+1)-'Price History'!N3)*(ROW()-3)/(MATCH(9.99E+307,'Returns (Calc)'!$A:$A)-3),"")</f>
        <v>426.95572327044022</v>
      </c>
      <c r="AJ80" s="152">
        <f>IFERROR('Price History'!O3+(INDEX('Price History'!O:O,MATCH(9.99E+307,'Returns (Calc)'!$A:$A)+1)-'Price History'!O3)*(ROW()-3)/(MATCH(9.99E+307,'Returns (Calc)'!$A:$A)-3),"")</f>
        <v>96.777987421383642</v>
      </c>
      <c r="AK80" s="152">
        <f>IFERROR('Price History'!Q3+(INDEX('Price History'!Q:Q,MATCH(9.99E+307,'Returns (Calc)'!$A:$A)+1)-'Price History'!Q3)*(ROW()-3)/(MATCH(9.99E+307,'Returns (Calc)'!$A:$A)-3),"")</f>
        <v>33.884842767295595</v>
      </c>
      <c r="AL80" s="152">
        <f>IFERROR('Price History'!R3+(INDEX('Price History'!R:R,MATCH(9.99E+307,'Returns (Calc)'!$A:$A)+1)-'Price History'!R3)*(ROW()-3)/(MATCH(9.99E+307,'Returns (Calc)'!$A:$A)-3),"")</f>
        <v>47.366603773584906</v>
      </c>
      <c r="AM80" s="152">
        <f>IFERROR('Price History'!S3+(INDEX('Price History'!S:S,MATCH(9.99E+307,'Returns (Calc)'!$A:$A)+1)-'Price History'!S3)*(ROW()-3)/(MATCH(9.99E+307,'Returns (Calc)'!$A:$A)-3),"")</f>
        <v>102.92440251572327</v>
      </c>
      <c r="AN80" s="152">
        <f>IFERROR('Price History'!T3+(INDEX('Price History'!T:T,MATCH(9.99E+307,'Returns (Calc)'!$A:$A)+1)-'Price History'!T3)*(ROW()-3)/(MATCH(9.99E+307,'Returns (Calc)'!$A:$A)-3),"")</f>
        <v>38.606037735849057</v>
      </c>
      <c r="AO80" s="153">
        <f>IFERROR('Price History'!V3+(INDEX('Price History'!V:V,MATCH(9.99E+307,'Returns (Calc)'!$A:$A)+1)-'Price History'!V3)*(ROW()-3)/(MATCH(9.99E+307,'Returns (Calc)'!$A:$A)-3),"")</f>
        <v>308.18433962264152</v>
      </c>
      <c r="AP80" s="151">
        <f>IFERROR(IF(OR(NOT(ISNUMBER('Price History'!W81)),NOT(ISNUMBER('Price History'!W80)),'Price History'!W80=0),"",'Price History'!W81/'Price History'!W80-1),"")</f>
        <v>-2.2441508833359824E-2</v>
      </c>
      <c r="AQ80" s="151" t="str">
        <f>IFERROR(IF(OR(NOT(ISNUMBER('Price History'!X81)),NOT(ISNUMBER('Price History'!X80)),'Price History'!X80=0),"",'Price History'!X81/'Price History'!X80-1),"")</f>
        <v/>
      </c>
      <c r="AR80" s="151">
        <f>IFERROR(IF(OR(NOT(ISNUMBER('Price History'!Y81)),NOT(ISNUMBER('Price History'!Y80)),'Price History'!Y80=0),"",'Price History'!Y81/'Price History'!Y80-1),"")</f>
        <v>-2.1364170913367397E-2</v>
      </c>
      <c r="AS80" s="151">
        <f>IFERROR(IF(OR(NOT(ISNUMBER('Price History'!Z81)),NOT(ISNUMBER('Price History'!Z80)),'Price History'!Z80=0),"",'Price History'!Z81/'Price History'!Z80-1),"")</f>
        <v>1.8727565936638602E-2</v>
      </c>
      <c r="AT80" s="151">
        <f>IFERROR(IF(OR(NOT(ISNUMBER('Price History'!AA81)),NOT(ISNUMBER('Price History'!AA80)),'Price History'!AA80=0),"",'Price History'!AA81/'Price History'!AA80-1),"")</f>
        <v>3.0187408820558925E-2</v>
      </c>
      <c r="AU80" s="151">
        <f>IFERROR(IF(OR(NOT(ISNUMBER('Price History'!AB81)),NOT(ISNUMBER('Price History'!AB80)),'Price History'!AB80=0),"",'Price History'!AB81/'Price History'!AB80-1),"")</f>
        <v>-5.162074554294982E-2</v>
      </c>
    </row>
    <row r="81" spans="1:47" ht="15" customHeight="1" x14ac:dyDescent="0.2">
      <c r="A81" s="149">
        <f>IF('Price History'!A82="","",'Price History'!A82)</f>
        <v>45737</v>
      </c>
      <c r="B81" s="150">
        <f>IFERROR(IF(OR(NOT(ISNUMBER('Price History'!B82)),NOT(ISNUMBER('Price History'!B81)),'Price History'!B81=0),"",'Price History'!B82/'Price History'!B81-1),"")</f>
        <v>-1.8949181739879473E-2</v>
      </c>
      <c r="C81" s="150">
        <f>IFERROR(IF(OR(NOT(ISNUMBER('Price History'!C82)),NOT(ISNUMBER('Price History'!C81)),'Price History'!C81=0),"",'Price History'!C82/'Price History'!C81-1),"")</f>
        <v>-4.5503532511077527E-3</v>
      </c>
      <c r="D81" s="150">
        <f>IFERROR(IF(OR(NOT(ISNUMBER('Price History'!D82)),NOT(ISNUMBER('Price History'!D81)),'Price History'!D81=0),"",'Price History'!D82/'Price History'!D81-1),"")</f>
        <v>3.1048415680157149E-3</v>
      </c>
      <c r="E81" s="150">
        <f>IFERROR(IF(OR(NOT(ISNUMBER('Price History'!E82)),NOT(ISNUMBER('Price History'!E81)),'Price History'!E81=0),"",'Price History'!E82/'Price History'!E81-1),"")</f>
        <v>-1.6914854978467231E-2</v>
      </c>
      <c r="F81" s="150">
        <f>IFERROR(IF(OR(NOT(ISNUMBER('Price History'!F82)),NOT(ISNUMBER('Price History'!F81)),'Price History'!F81=0),"",'Price History'!F82/'Price History'!F81-1),"")</f>
        <v>2.4086848354630819E-2</v>
      </c>
      <c r="G81" s="150">
        <f>IFERROR(IF(OR(NOT(ISNUMBER('Price History'!G82)),NOT(ISNUMBER('Price History'!G81)),'Price History'!G81=0),"",'Price History'!G82/'Price History'!G81-1),"")</f>
        <v>-9.0664400056665873E-3</v>
      </c>
      <c r="H81" s="150">
        <f>IFERROR(IF(OR(NOT(ISNUMBER('Price History'!H82)),NOT(ISNUMBER('Price History'!H81)),'Price History'!H81=0),"",'Price History'!H82/'Price History'!H81-1),"")</f>
        <v>-6.015936254980081E-2</v>
      </c>
      <c r="I81" s="150">
        <f>IFERROR(IF(OR(NOT(ISNUMBER('Price History'!I82)),NOT(ISNUMBER('Price History'!I81)),'Price History'!I81=0),"",'Price History'!I82/'Price History'!I81-1),"")</f>
        <v>-3.2630191166776457E-2</v>
      </c>
      <c r="J81" s="150">
        <f>IFERROR(IF(OR(NOT(ISNUMBER('Price History'!J82)),NOT(ISNUMBER('Price History'!J81)),'Price History'!J81=0),"",'Price History'!J82/'Price History'!J81-1),"")</f>
        <v>-2.2354835654068372E-2</v>
      </c>
      <c r="K81" s="150">
        <f>IFERROR(IF(OR(NOT(ISNUMBER('Price History'!K82)),NOT(ISNUMBER('Price History'!K81)),'Price History'!K81=0),"",'Price History'!K82/'Price History'!K81-1),"")</f>
        <v>5.4730983302411884E-2</v>
      </c>
      <c r="L81" s="150">
        <f>IFERROR(IF(OR(NOT(ISNUMBER('Price History'!L82)),NOT(ISNUMBER('Price History'!L81)),'Price History'!L81=0),"",'Price History'!L82/'Price History'!L81-1),"")</f>
        <v>1.9068293827740002E-2</v>
      </c>
      <c r="M81" s="150">
        <f>IFERROR(IF(OR(NOT(ISNUMBER('Price History'!M82)),NOT(ISNUMBER('Price History'!M81)),'Price History'!M81=0),"",'Price History'!M82/'Price History'!M81-1),"")</f>
        <v>1.3865016615102643E-2</v>
      </c>
      <c r="N81" s="150">
        <f>IFERROR(IF(OR(NOT(ISNUMBER('Price History'!N82)),NOT(ISNUMBER('Price History'!N81)),'Price History'!N81=0),"",'Price History'!N82/'Price History'!N81-1),"")</f>
        <v>-3.1103274758801369E-3</v>
      </c>
      <c r="O81" s="150">
        <f>IFERROR(IF(OR(NOT(ISNUMBER('Price History'!O82)),NOT(ISNUMBER('Price History'!O81)),'Price History'!O81=0),"",'Price History'!O82/'Price History'!O81-1),"")</f>
        <v>9.6743747050493933E-3</v>
      </c>
      <c r="P81" s="150">
        <f>IFERROR(IF(OR(NOT(ISNUMBER('Price History'!P82)),NOT(ISNUMBER('Price History'!P81)),'Price History'!P81=0),"",'Price History'!P82/'Price History'!P81-1),"")</f>
        <v>4.7892720306512704E-3</v>
      </c>
      <c r="Q81" s="150">
        <f>IFERROR(IF(OR(NOT(ISNUMBER('Price History'!Q82)),NOT(ISNUMBER('Price History'!Q81)),'Price History'!Q81=0),"",'Price History'!Q82/'Price History'!Q81-1),"")</f>
        <v>-2.0056827678421874E-3</v>
      </c>
      <c r="R81" s="150">
        <f>IFERROR(IF(OR(NOT(ISNUMBER('Price History'!R82)),NOT(ISNUMBER('Price History'!R81)),'Price History'!R81=0),"",'Price History'!R82/'Price History'!R81-1),"")</f>
        <v>3.6546368204659618E-3</v>
      </c>
      <c r="S81" s="150">
        <f>IFERROR(IF(OR(NOT(ISNUMBER('Price History'!S82)),NOT(ISNUMBER('Price History'!S81)),'Price History'!S81=0),"",'Price History'!S82/'Price History'!S81-1),"")</f>
        <v>3.7809225451010953E-3</v>
      </c>
      <c r="T81" s="150">
        <f>IFERROR(IF(OR(NOT(ISNUMBER('Price History'!T82)),NOT(ISNUMBER('Price History'!T81)),'Price History'!T81=0),"",'Price History'!T82/'Price History'!T81-1),"")</f>
        <v>1.7060760251421669E-2</v>
      </c>
      <c r="U81" s="150">
        <f>IFERROR(IF(OR(NOT(ISNUMBER('Price History'!U82)),NOT(ISNUMBER('Price History'!U81)),'Price History'!U81=0),"",'Price History'!U82/'Price History'!U81-1),"")</f>
        <v>4.237288135593209E-3</v>
      </c>
      <c r="V81" s="151">
        <f>IFERROR(IF(OR(NOT(ISNUMBER('Price History'!V82)),NOT(ISNUMBER('Price History'!V81)),'Price History'!V81=0),"",'Price History'!V82/'Price History'!V81-1),"")</f>
        <v>1.1644921351054771E-2</v>
      </c>
      <c r="W81" s="152">
        <f>IFERROR('Price History'!B3+(INDEX('Price History'!B:B,MATCH(9.99E+307,'Returns (Calc)'!$A:$A)+1)-'Price History'!B3)*(ROW()-3)/(MATCH(9.99E+307,'Returns (Calc)'!$A:$A)-3),"")</f>
        <v>388.28396226415089</v>
      </c>
      <c r="X81" s="152">
        <f>IFERROR('Price History'!C3+(INDEX('Price History'!C:C,MATCH(9.99E+307,'Returns (Calc)'!$A:$A)+1)-'Price History'!C3)*(ROW()-3)/(MATCH(9.99E+307,'Returns (Calc)'!$A:$A)-3),"")</f>
        <v>129.85094339622643</v>
      </c>
      <c r="Y81" s="152">
        <f>IFERROR('Price History'!D3+(INDEX('Price History'!D:D,MATCH(9.99E+307,'Returns (Calc)'!$A:$A)+1)-'Price History'!D3)*(ROW()-3)/(MATCH(9.99E+307,'Returns (Calc)'!$A:$A)-3),"")</f>
        <v>1169.8699999999999</v>
      </c>
      <c r="Z81" s="152">
        <f>IFERROR('Price History'!E3+(INDEX('Price History'!E:E,MATCH(9.99E+307,'Returns (Calc)'!$A:$A)+1)-'Price History'!E3)*(ROW()-3)/(MATCH(9.99E+307,'Returns (Calc)'!$A:$A)-3),"")</f>
        <v>219.13283018867926</v>
      </c>
      <c r="AA81" s="152">
        <f>IFERROR('Price History'!F3+(INDEX('Price History'!F:F,MATCH(9.99E+307,'Returns (Calc)'!$A:$A)+1)-'Price History'!F3)*(ROW()-3)/(MATCH(9.99E+307,'Returns (Calc)'!$A:$A)-3),"")</f>
        <v>155.99547169811319</v>
      </c>
      <c r="AB81" s="152">
        <f>IFERROR('Price History'!G3+(INDEX('Price History'!G:G,MATCH(9.99E+307,'Returns (Calc)'!$A:$A)+1)-'Price History'!G3)*(ROW()-3)/(MATCH(9.99E+307,'Returns (Calc)'!$A:$A)-3),"")</f>
        <v>118.53339622641511</v>
      </c>
      <c r="AC81" s="152">
        <f>IFERROR('Price History'!H3+(INDEX('Price History'!H:H,MATCH(9.99E+307,'Returns (Calc)'!$A:$A)+1)-'Price History'!H3)*(ROW()-3)/(MATCH(9.99E+307,'Returns (Calc)'!$A:$A)-3),"")</f>
        <v>539.99943396226411</v>
      </c>
      <c r="AD81" s="152">
        <f>IFERROR('Price History'!I3+(INDEX('Price History'!I:I,MATCH(9.99E+307,'Returns (Calc)'!$A:$A)+1)-'Price History'!I3)*(ROW()-3)/(MATCH(9.99E+307,'Returns (Calc)'!$A:$A)-3),"")</f>
        <v>134.77490566037736</v>
      </c>
      <c r="AE81" s="152">
        <f>IFERROR('Price History'!J3+(INDEX('Price History'!J:J,MATCH(9.99E+307,'Returns (Calc)'!$A:$A)+1)-'Price History'!J3)*(ROW()-3)/(MATCH(9.99E+307,'Returns (Calc)'!$A:$A)-3),"")</f>
        <v>120.49849056603774</v>
      </c>
      <c r="AF81" s="152">
        <f>IFERROR('Price History'!K3+(INDEX('Price History'!K:K,MATCH(9.99E+307,'Returns (Calc)'!$A:$A)+1)-'Price History'!K3)*(ROW()-3)/(MATCH(9.99E+307,'Returns (Calc)'!$A:$A)-3),"")</f>
        <v>110.36245283018867</v>
      </c>
      <c r="AG81" s="152">
        <f>IFERROR('Price History'!L3+(INDEX('Price History'!L:L,MATCH(9.99E+307,'Returns (Calc)'!$A:$A)+1)-'Price History'!L3)*(ROW()-3)/(MATCH(9.99E+307,'Returns (Calc)'!$A:$A)-3),"")</f>
        <v>266.0624528301887</v>
      </c>
      <c r="AH81" s="152">
        <f>IFERROR('Price History'!M3+(INDEX('Price History'!M:M,MATCH(9.99E+307,'Returns (Calc)'!$A:$A)+1)-'Price History'!M3)*(ROW()-3)/(MATCH(9.99E+307,'Returns (Calc)'!$A:$A)-3),"")</f>
        <v>138.46830188679246</v>
      </c>
      <c r="AI81" s="152">
        <f>IFERROR('Price History'!N3+(INDEX('Price History'!N:N,MATCH(9.99E+307,'Returns (Calc)'!$A:$A)+1)-'Price History'!N3)*(ROW()-3)/(MATCH(9.99E+307,'Returns (Calc)'!$A:$A)-3),"")</f>
        <v>427.96943396226413</v>
      </c>
      <c r="AJ81" s="152">
        <f>IFERROR('Price History'!O3+(INDEX('Price History'!O:O,MATCH(9.99E+307,'Returns (Calc)'!$A:$A)+1)-'Price History'!O3)*(ROW()-3)/(MATCH(9.99E+307,'Returns (Calc)'!$A:$A)-3),"")</f>
        <v>97.056792452830194</v>
      </c>
      <c r="AK81" s="152">
        <f>IFERROR('Price History'!Q3+(INDEX('Price History'!Q:Q,MATCH(9.99E+307,'Returns (Calc)'!$A:$A)+1)-'Price History'!Q3)*(ROW()-3)/(MATCH(9.99E+307,'Returns (Calc)'!$A:$A)-3),"")</f>
        <v>34.324905660377361</v>
      </c>
      <c r="AL81" s="152">
        <f>IFERROR('Price History'!R3+(INDEX('Price History'!R:R,MATCH(9.99E+307,'Returns (Calc)'!$A:$A)+1)-'Price History'!R3)*(ROW()-3)/(MATCH(9.99E+307,'Returns (Calc)'!$A:$A)-3),"")</f>
        <v>47.533962264150944</v>
      </c>
      <c r="AM81" s="152">
        <f>IFERROR('Price History'!S3+(INDEX('Price History'!S:S,MATCH(9.99E+307,'Returns (Calc)'!$A:$A)+1)-'Price History'!S3)*(ROW()-3)/(MATCH(9.99E+307,'Returns (Calc)'!$A:$A)-3),"")</f>
        <v>103.51264150943396</v>
      </c>
      <c r="AN81" s="152">
        <f>IFERROR('Price History'!T3+(INDEX('Price History'!T:T,MATCH(9.99E+307,'Returns (Calc)'!$A:$A)+1)-'Price History'!T3)*(ROW()-3)/(MATCH(9.99E+307,'Returns (Calc)'!$A:$A)-3),"")</f>
        <v>38.779622641509434</v>
      </c>
      <c r="AO81" s="153">
        <f>IFERROR('Price History'!V3+(INDEX('Price History'!V:V,MATCH(9.99E+307,'Returns (Calc)'!$A:$A)+1)-'Price History'!V3)*(ROW()-3)/(MATCH(9.99E+307,'Returns (Calc)'!$A:$A)-3),"")</f>
        <v>309.12660377358486</v>
      </c>
      <c r="AP81" s="151">
        <f>IFERROR(IF(OR(NOT(ISNUMBER('Price History'!W82)),NOT(ISNUMBER('Price History'!W81)),'Price History'!W81=0),"",'Price History'!W82/'Price History'!W81-1),"")</f>
        <v>7.4894171279713539E-3</v>
      </c>
      <c r="AQ81" s="151" t="str">
        <f>IFERROR(IF(OR(NOT(ISNUMBER('Price History'!X82)),NOT(ISNUMBER('Price History'!X81)),'Price History'!X81=0),"",'Price History'!X82/'Price History'!X81-1),"")</f>
        <v/>
      </c>
      <c r="AR81" s="151">
        <f>IFERROR(IF(OR(NOT(ISNUMBER('Price History'!Y82)),NOT(ISNUMBER('Price History'!Y81)),'Price History'!Y81=0),"",'Price History'!Y82/'Price History'!Y81-1),"")</f>
        <v>2.8039254956939708E-3</v>
      </c>
      <c r="AS81" s="151">
        <f>IFERROR(IF(OR(NOT(ISNUMBER('Price History'!Z82)),NOT(ISNUMBER('Price History'!Z81)),'Price History'!Z81=0),"",'Price History'!Z82/'Price History'!Z81-1),"")</f>
        <v>3.5592095184598938E-2</v>
      </c>
      <c r="AT81" s="151">
        <f>IFERROR(IF(OR(NOT(ISNUMBER('Price History'!AA82)),NOT(ISNUMBER('Price History'!AA81)),'Price History'!AA81=0),"",'Price History'!AA82/'Price History'!AA81-1),"")</f>
        <v>4.6078431372549078E-2</v>
      </c>
      <c r="AU81" s="151">
        <f>IFERROR(IF(OR(NOT(ISNUMBER('Price History'!AB82)),NOT(ISNUMBER('Price History'!AB81)),'Price History'!AB81=0),"",'Price History'!AB82/'Price History'!AB81-1),"")</f>
        <v>1.1578227804836416E-2</v>
      </c>
    </row>
    <row r="82" spans="1:47" ht="15" customHeight="1" x14ac:dyDescent="0.2">
      <c r="A82" s="149">
        <f>IF('Price History'!A83="","",'Price History'!A83)</f>
        <v>45744</v>
      </c>
      <c r="B82" s="150">
        <f>IFERROR(IF(OR(NOT(ISNUMBER('Price History'!B83)),NOT(ISNUMBER('Price History'!B82)),'Price History'!B82=0),"",'Price History'!B83/'Price History'!B82-1),"")</f>
        <v>-4.0024789547075112E-3</v>
      </c>
      <c r="C82" s="150">
        <f>IFERROR(IF(OR(NOT(ISNUMBER('Price History'!C83)),NOT(ISNUMBER('Price History'!C82)),'Price History'!C82=0),"",'Price History'!C83/'Price History'!C82-1),"")</f>
        <v>-6.2432334897149055E-2</v>
      </c>
      <c r="D82" s="150">
        <f>IFERROR(IF(OR(NOT(ISNUMBER('Price History'!D83)),NOT(ISNUMBER('Price History'!D82)),'Price History'!D82=0),"",'Price History'!D83/'Price History'!D82-1),"")</f>
        <v>-5.8130989060689142E-2</v>
      </c>
      <c r="E82" s="150">
        <f>IFERROR(IF(OR(NOT(ISNUMBER('Price History'!E83)),NOT(ISNUMBER('Price History'!E82)),'Price History'!E82=0),"",'Price History'!E83/'Price History'!E82-1),"")</f>
        <v>-0.1175911753839658</v>
      </c>
      <c r="F82" s="150">
        <f>IFERROR(IF(OR(NOT(ISNUMBER('Price History'!F83)),NOT(ISNUMBER('Price History'!F82)),'Price History'!F82=0),"",'Price History'!F83/'Price History'!F82-1),"")</f>
        <v>-1.4134275618374548E-2</v>
      </c>
      <c r="G82" s="150">
        <f>IFERROR(IF(OR(NOT(ISNUMBER('Price History'!G83)),NOT(ISNUMBER('Price History'!G82)),'Price History'!G82=0),"",'Price History'!G83/'Price History'!G82-1),"")</f>
        <v>-4.6604717655468253E-2</v>
      </c>
      <c r="H82" s="150">
        <f>IFERROR(IF(OR(NOT(ISNUMBER('Price History'!H83)),NOT(ISNUMBER('Price History'!H82)),'Price History'!H82=0),"",'Price History'!H83/'Price History'!H82-1),"")</f>
        <v>-6.6341670199236979E-2</v>
      </c>
      <c r="I82" s="150">
        <f>IFERROR(IF(OR(NOT(ISNUMBER('Price History'!I83)),NOT(ISNUMBER('Price History'!I82)),'Price History'!I82=0),"",'Price History'!I83/'Price History'!I82-1),"")</f>
        <v>-6.8228279386712165E-2</v>
      </c>
      <c r="J82" s="150">
        <f>IFERROR(IF(OR(NOT(ISNUMBER('Price History'!J83)),NOT(ISNUMBER('Price History'!J82)),'Price History'!J82=0),"",'Price History'!J83/'Price History'!J82-1),"")</f>
        <v>1.8699738397442101E-2</v>
      </c>
      <c r="K82" s="150">
        <f>IFERROR(IF(OR(NOT(ISNUMBER('Price History'!K83)),NOT(ISNUMBER('Price History'!K82)),'Price History'!K82=0),"",'Price History'!K83/'Price History'!K82-1),"")</f>
        <v>-5.6178540017590151E-2</v>
      </c>
      <c r="L82" s="150">
        <f>IFERROR(IF(OR(NOT(ISNUMBER('Price History'!L83)),NOT(ISNUMBER('Price History'!L82)),'Price History'!L82=0),"",'Price History'!L83/'Price History'!L82-1),"")</f>
        <v>-6.4943289769128887E-2</v>
      </c>
      <c r="M82" s="150">
        <f>IFERROR(IF(OR(NOT(ISNUMBER('Price History'!M83)),NOT(ISNUMBER('Price History'!M82)),'Price History'!M82=0),"",'Price History'!M83/'Price History'!M82-1),"")</f>
        <v>-0.16229656419529837</v>
      </c>
      <c r="N82" s="150">
        <f>IFERROR(IF(OR(NOT(ISNUMBER('Price History'!N83)),NOT(ISNUMBER('Price History'!N82)),'Price History'!N82=0),"",'Price History'!N83/'Price History'!N82-1),"")</f>
        <v>-2.0886327503974567E-2</v>
      </c>
      <c r="O82" s="150">
        <f>IFERROR(IF(OR(NOT(ISNUMBER('Price History'!O83)),NOT(ISNUMBER('Price History'!O82)),'Price History'!O82=0),"",'Price History'!O83/'Price History'!O82-1),"")</f>
        <v>-4.6739892498246505E-3</v>
      </c>
      <c r="P82" s="150">
        <f>IFERROR(IF(OR(NOT(ISNUMBER('Price History'!P83)),NOT(ISNUMBER('Price History'!P82)),'Price History'!P82=0),"",'Price History'!P83/'Price History'!P82-1),"")</f>
        <v>-2.3832221163011535E-4</v>
      </c>
      <c r="Q82" s="150">
        <f>IFERROR(IF(OR(NOT(ISNUMBER('Price History'!Q83)),NOT(ISNUMBER('Price History'!Q82)),'Price History'!Q82=0),"",'Price History'!Q83/'Price History'!Q82-1),"")</f>
        <v>-1.1555853290906026E-2</v>
      </c>
      <c r="R82" s="150">
        <f>IFERROR(IF(OR(NOT(ISNUMBER('Price History'!R83)),NOT(ISNUMBER('Price History'!R82)),'Price History'!R82=0),"",'Price History'!R83/'Price History'!R82-1),"")</f>
        <v>-1.8889394629039602E-2</v>
      </c>
      <c r="S82" s="150">
        <f>IFERROR(IF(OR(NOT(ISNUMBER('Price History'!S83)),NOT(ISNUMBER('Price History'!S82)),'Price History'!S82=0),"",'Price History'!S83/'Price History'!S82-1),"")</f>
        <v>-1.9694360740421857E-2</v>
      </c>
      <c r="T82" s="150">
        <f>IFERROR(IF(OR(NOT(ISNUMBER('Price History'!T83)),NOT(ISNUMBER('Price History'!T82)),'Price History'!T82=0),"",'Price History'!T83/'Price History'!T82-1),"")</f>
        <v>-1.6480282519128808E-2</v>
      </c>
      <c r="U82" s="150">
        <f>IFERROR(IF(OR(NOT(ISNUMBER('Price History'!U83)),NOT(ISNUMBER('Price History'!U82)),'Price History'!U82=0),"",'Price History'!U83/'Price History'!U82-1),"")</f>
        <v>2.6850786344456701E-3</v>
      </c>
      <c r="V82" s="151">
        <f>IFERROR(IF(OR(NOT(ISNUMBER('Price History'!V83)),NOT(ISNUMBER('Price History'!V82)),'Price History'!V82=0),"",'Price History'!V83/'Price History'!V82-1),"")</f>
        <v>2.1424697161453565E-2</v>
      </c>
      <c r="W82" s="152">
        <f>IFERROR('Price History'!B3+(INDEX('Price History'!B:B,MATCH(9.99E+307,'Returns (Calc)'!$A:$A)+1)-'Price History'!B3)*(ROW()-3)/(MATCH(9.99E+307,'Returns (Calc)'!$A:$A)-3),"")</f>
        <v>386.48132075471699</v>
      </c>
      <c r="X82" s="152">
        <f>IFERROR('Price History'!C3+(INDEX('Price History'!C:C,MATCH(9.99E+307,'Returns (Calc)'!$A:$A)+1)-'Price History'!C3)*(ROW()-3)/(MATCH(9.99E+307,'Returns (Calc)'!$A:$A)-3),"")</f>
        <v>130.92364779874214</v>
      </c>
      <c r="Y82" s="152">
        <f>IFERROR('Price History'!D3+(INDEX('Price History'!D:D,MATCH(9.99E+307,'Returns (Calc)'!$A:$A)+1)-'Price History'!D3)*(ROW()-3)/(MATCH(9.99E+307,'Returns (Calc)'!$A:$A)-3),"")</f>
        <v>1177.4066666666668</v>
      </c>
      <c r="Z82" s="152">
        <f>IFERROR('Price History'!E3+(INDEX('Price History'!E:E,MATCH(9.99E+307,'Returns (Calc)'!$A:$A)+1)-'Price History'!E3)*(ROW()-3)/(MATCH(9.99E+307,'Returns (Calc)'!$A:$A)-3),"")</f>
        <v>220.89094339622642</v>
      </c>
      <c r="AA82" s="152">
        <f>IFERROR('Price History'!F3+(INDEX('Price History'!F:F,MATCH(9.99E+307,'Returns (Calc)'!$A:$A)+1)-'Price History'!F3)*(ROW()-3)/(MATCH(9.99E+307,'Returns (Calc)'!$A:$A)-3),"")</f>
        <v>157.46515723270443</v>
      </c>
      <c r="AB82" s="152">
        <f>IFERROR('Price History'!G3+(INDEX('Price History'!G:G,MATCH(9.99E+307,'Returns (Calc)'!$A:$A)+1)-'Price History'!G3)*(ROW()-3)/(MATCH(9.99E+307,'Returns (Calc)'!$A:$A)-3),"")</f>
        <v>119.48446540880502</v>
      </c>
      <c r="AC82" s="152">
        <f>IFERROR('Price History'!H3+(INDEX('Price History'!H:H,MATCH(9.99E+307,'Returns (Calc)'!$A:$A)+1)-'Price History'!H3)*(ROW()-3)/(MATCH(9.99E+307,'Returns (Calc)'!$A:$A)-3),"")</f>
        <v>546.03647798742134</v>
      </c>
      <c r="AD82" s="152">
        <f>IFERROR('Price History'!I3+(INDEX('Price History'!I:I,MATCH(9.99E+307,'Returns (Calc)'!$A:$A)+1)-'Price History'!I3)*(ROW()-3)/(MATCH(9.99E+307,'Returns (Calc)'!$A:$A)-3),"")</f>
        <v>135.94163522012579</v>
      </c>
      <c r="AE82" s="152">
        <f>IFERROR('Price History'!J3+(INDEX('Price History'!J:J,MATCH(9.99E+307,'Returns (Calc)'!$A:$A)+1)-'Price History'!J3)*(ROW()-3)/(MATCH(9.99E+307,'Returns (Calc)'!$A:$A)-3),"")</f>
        <v>120.60949685534592</v>
      </c>
      <c r="AF82" s="152">
        <f>IFERROR('Price History'!K3+(INDEX('Price History'!K:K,MATCH(9.99E+307,'Returns (Calc)'!$A:$A)+1)-'Price History'!K3)*(ROW()-3)/(MATCH(9.99E+307,'Returns (Calc)'!$A:$A)-3),"")</f>
        <v>111.58081761006288</v>
      </c>
      <c r="AG82" s="152">
        <f>IFERROR('Price History'!L3+(INDEX('Price History'!L:L,MATCH(9.99E+307,'Returns (Calc)'!$A:$A)+1)-'Price History'!L3)*(ROW()-3)/(MATCH(9.99E+307,'Returns (Calc)'!$A:$A)-3),"")</f>
        <v>268.37415094339622</v>
      </c>
      <c r="AH82" s="152">
        <f>IFERROR('Price History'!M3+(INDEX('Price History'!M:M,MATCH(9.99E+307,'Returns (Calc)'!$A:$A)+1)-'Price History'!M3)*(ROW()-3)/(MATCH(9.99E+307,'Returns (Calc)'!$A:$A)-3),"")</f>
        <v>139.75610062893082</v>
      </c>
      <c r="AI82" s="152">
        <f>IFERROR('Price History'!N3+(INDEX('Price History'!N:N,MATCH(9.99E+307,'Returns (Calc)'!$A:$A)+1)-'Price History'!N3)*(ROW()-3)/(MATCH(9.99E+307,'Returns (Calc)'!$A:$A)-3),"")</f>
        <v>428.98314465408805</v>
      </c>
      <c r="AJ82" s="152">
        <f>IFERROR('Price History'!O3+(INDEX('Price History'!O:O,MATCH(9.99E+307,'Returns (Calc)'!$A:$A)+1)-'Price History'!O3)*(ROW()-3)/(MATCH(9.99E+307,'Returns (Calc)'!$A:$A)-3),"")</f>
        <v>97.335597484276732</v>
      </c>
      <c r="AK82" s="152">
        <f>IFERROR('Price History'!Q3+(INDEX('Price History'!Q:Q,MATCH(9.99E+307,'Returns (Calc)'!$A:$A)+1)-'Price History'!Q3)*(ROW()-3)/(MATCH(9.99E+307,'Returns (Calc)'!$A:$A)-3),"")</f>
        <v>34.76496855345912</v>
      </c>
      <c r="AL82" s="152">
        <f>IFERROR('Price History'!R3+(INDEX('Price History'!R:R,MATCH(9.99E+307,'Returns (Calc)'!$A:$A)+1)-'Price History'!R3)*(ROW()-3)/(MATCH(9.99E+307,'Returns (Calc)'!$A:$A)-3),"")</f>
        <v>47.701320754716981</v>
      </c>
      <c r="AM82" s="152">
        <f>IFERROR('Price History'!S3+(INDEX('Price History'!S:S,MATCH(9.99E+307,'Returns (Calc)'!$A:$A)+1)-'Price History'!S3)*(ROW()-3)/(MATCH(9.99E+307,'Returns (Calc)'!$A:$A)-3),"")</f>
        <v>104.10088050314465</v>
      </c>
      <c r="AN82" s="152">
        <f>IFERROR('Price History'!T3+(INDEX('Price History'!T:T,MATCH(9.99E+307,'Returns (Calc)'!$A:$A)+1)-'Price History'!T3)*(ROW()-3)/(MATCH(9.99E+307,'Returns (Calc)'!$A:$A)-3),"")</f>
        <v>38.953207547169811</v>
      </c>
      <c r="AO82" s="153">
        <f>IFERROR('Price History'!V3+(INDEX('Price History'!V:V,MATCH(9.99E+307,'Returns (Calc)'!$A:$A)+1)-'Price History'!V3)*(ROW()-3)/(MATCH(9.99E+307,'Returns (Calc)'!$A:$A)-3),"")</f>
        <v>310.06886792452826</v>
      </c>
      <c r="AP82" s="151">
        <f>IFERROR(IF(OR(NOT(ISNUMBER('Price History'!W83)),NOT(ISNUMBER('Price History'!W82)),'Price History'!W82=0),"",'Price History'!W83/'Price History'!W82-1),"")</f>
        <v>-6.6257272139625956E-3</v>
      </c>
      <c r="AQ82" s="151" t="str">
        <f>IFERROR(IF(OR(NOT(ISNUMBER('Price History'!X83)),NOT(ISNUMBER('Price History'!X82)),'Price History'!X82=0),"",'Price History'!X83/'Price History'!X82-1),"")</f>
        <v/>
      </c>
      <c r="AR82" s="151">
        <f>IFERROR(IF(OR(NOT(ISNUMBER('Price History'!Y83)),NOT(ISNUMBER('Price History'!Y82)),'Price History'!Y82=0),"",'Price History'!Y83/'Price History'!Y82-1),"")</f>
        <v>-7.5893748751748591E-3</v>
      </c>
      <c r="AS82" s="151">
        <f>IFERROR(IF(OR(NOT(ISNUMBER('Price History'!Z83)),NOT(ISNUMBER('Price History'!Z82)),'Price History'!Z82=0),"",'Price History'!Z83/'Price History'!Z82-1),"")</f>
        <v>-2.0808678500986222E-2</v>
      </c>
      <c r="AT82" s="151">
        <f>IFERROR(IF(OR(NOT(ISNUMBER('Price History'!AA83)),NOT(ISNUMBER('Price History'!AA82)),'Price History'!AA82=0),"",'Price History'!AA83/'Price History'!AA82-1),"")</f>
        <v>-2.7491408934707917E-2</v>
      </c>
      <c r="AU82" s="151">
        <f>IFERROR(IF(OR(NOT(ISNUMBER('Price History'!AB83)),NOT(ISNUMBER('Price History'!AB82)),'Price History'!AB82=0),"",'Price History'!AB83/'Price History'!AB82-1),"")</f>
        <v>-1.0812180597204013E-2</v>
      </c>
    </row>
    <row r="83" spans="1:47" ht="15" customHeight="1" x14ac:dyDescent="0.2">
      <c r="A83" s="149">
        <f>IF('Price History'!A84="","",'Price History'!A84)</f>
        <v>45751</v>
      </c>
      <c r="B83" s="150">
        <f>IFERROR(IF(OR(NOT(ISNUMBER('Price History'!B84)),NOT(ISNUMBER('Price History'!B83)),'Price History'!B83=0),"",'Price History'!B84/'Price History'!B83-1),"")</f>
        <v>-9.4993648077571158E-2</v>
      </c>
      <c r="C83" s="150">
        <f>IFERROR(IF(OR(NOT(ISNUMBER('Price History'!C84)),NOT(ISNUMBER('Price History'!C83)),'Price History'!C83=0),"",'Price History'!C84/'Price History'!C83-1),"")</f>
        <v>-0.17410828842699499</v>
      </c>
      <c r="D83" s="150">
        <f>IFERROR(IF(OR(NOT(ISNUMBER('Price History'!D84)),NOT(ISNUMBER('Price History'!D83)),'Price History'!D83=0),"",'Price History'!D84/'Price History'!D83-1),"")</f>
        <v>-0.10233940066925762</v>
      </c>
      <c r="E83" s="150">
        <f>IFERROR(IF(OR(NOT(ISNUMBER('Price History'!E84)),NOT(ISNUMBER('Price History'!E83)),'Price History'!E83=0),"",'Price History'!E84/'Price History'!E83-1),"")</f>
        <v>-0.13499611220766783</v>
      </c>
      <c r="F83" s="150">
        <f>IFERROR(IF(OR(NOT(ISNUMBER('Price History'!F84)),NOT(ISNUMBER('Price History'!F83)),'Price History'!F83=0),"",'Price History'!F84/'Price History'!F83-1),"")</f>
        <v>-9.9350358422939156E-2</v>
      </c>
      <c r="G83" s="150">
        <f>IFERROR(IF(OR(NOT(ISNUMBER('Price History'!G84)),NOT(ISNUMBER('Price History'!G83)),'Price History'!G83=0),"",'Price History'!G84/'Price History'!G83-1),"")</f>
        <v>-0.14409956515219668</v>
      </c>
      <c r="H83" s="150">
        <f>IFERROR(IF(OR(NOT(ISNUMBER('Price History'!H84)),NOT(ISNUMBER('Price History'!H83)),'Price History'!H83=0),"",'Price History'!H84/'Price History'!H83-1),"")</f>
        <v>-0.26719636776390454</v>
      </c>
      <c r="I83" s="150">
        <f>IFERROR(IF(OR(NOT(ISNUMBER('Price History'!I84)),NOT(ISNUMBER('Price History'!I83)),'Price History'!I83=0),"",'Price History'!I84/'Price History'!I83-1),"")</f>
        <v>-0.14004936465856122</v>
      </c>
      <c r="J83" s="150">
        <f>IFERROR(IF(OR(NOT(ISNUMBER('Price History'!J84)),NOT(ISNUMBER('Price History'!J83)),'Price History'!J83=0),"",'Price History'!J84/'Price History'!J83-1),"")</f>
        <v>-0.11061441887007795</v>
      </c>
      <c r="K83" s="150">
        <f>IFERROR(IF(OR(NOT(ISNUMBER('Price History'!K84)),NOT(ISNUMBER('Price History'!K83)),'Price History'!K83=0),"",'Price History'!K84/'Price History'!K83-1),"")</f>
        <v>-0.13791496796738489</v>
      </c>
      <c r="L83" s="150">
        <f>IFERROR(IF(OR(NOT(ISNUMBER('Price History'!L84)),NOT(ISNUMBER('Price History'!L83)),'Price History'!L83=0),"",'Price History'!L84/'Price History'!L83-1),"")</f>
        <v>-0.11163105720091127</v>
      </c>
      <c r="M83" s="150">
        <f>IFERROR(IF(OR(NOT(ISNUMBER('Price History'!M84)),NOT(ISNUMBER('Price History'!M83)),'Price History'!M83=0),"",'Price History'!M84/'Price History'!M83-1),"")</f>
        <v>-0.19981111710739341</v>
      </c>
      <c r="N83" s="150">
        <f>IFERROR(IF(OR(NOT(ISNUMBER('Price History'!N84)),NOT(ISNUMBER('Price History'!N83)),'Price History'!N83=0),"",'Price History'!N84/'Price History'!N83-1),"")</f>
        <v>-3.6676206133674283E-2</v>
      </c>
      <c r="O83" s="150">
        <f>IFERROR(IF(OR(NOT(ISNUMBER('Price History'!O84)),NOT(ISNUMBER('Price History'!O83)),'Price History'!O83=0),"",'Price History'!O84/'Price History'!O83-1),"")</f>
        <v>-0.10471941770368631</v>
      </c>
      <c r="P83" s="150">
        <f>IFERROR(IF(OR(NOT(ISNUMBER('Price History'!P84)),NOT(ISNUMBER('Price History'!P83)),'Price History'!P83=0),"",'Price History'!P84/'Price History'!P83-1),"")</f>
        <v>-8.0333730631704459E-2</v>
      </c>
      <c r="Q83" s="150">
        <f>IFERROR(IF(OR(NOT(ISNUMBER('Price History'!Q84)),NOT(ISNUMBER('Price History'!Q83)),'Price History'!Q83=0),"",'Price History'!Q84/'Price History'!Q83-1),"")</f>
        <v>-3.8800406641816387E-2</v>
      </c>
      <c r="R83" s="150">
        <f>IFERROR(IF(OR(NOT(ISNUMBER('Price History'!R84)),NOT(ISNUMBER('Price History'!R83)),'Price History'!R83=0),"",'Price History'!R84/'Price History'!R83-1),"")</f>
        <v>-9.0930178612850909E-2</v>
      </c>
      <c r="S83" s="150">
        <f>IFERROR(IF(OR(NOT(ISNUMBER('Price History'!S84)),NOT(ISNUMBER('Price History'!S83)),'Price History'!S83=0),"",'Price History'!S84/'Price History'!S83-1),"")</f>
        <v>-0.10703699637720931</v>
      </c>
      <c r="T83" s="150">
        <f>IFERROR(IF(OR(NOT(ISNUMBER('Price History'!T84)),NOT(ISNUMBER('Price History'!T83)),'Price History'!T83=0),"",'Price History'!T84/'Price History'!T83-1),"")</f>
        <v>-9.245960502693007E-2</v>
      </c>
      <c r="U83" s="150">
        <f>IFERROR(IF(OR(NOT(ISNUMBER('Price History'!U84)),NOT(ISNUMBER('Price History'!U83)),'Price History'!U83=0),"",'Price History'!U84/'Price History'!U83-1),"")</f>
        <v>-8.339709257842387E-2</v>
      </c>
      <c r="V83" s="151">
        <f>IFERROR(IF(OR(NOT(ISNUMBER('Price History'!V84)),NOT(ISNUMBER('Price History'!V83)),'Price History'!V83=0),"",'Price History'!V84/'Price History'!V83-1),"")</f>
        <v>-8.6674336961973131E-2</v>
      </c>
      <c r="W83" s="152">
        <f>IFERROR('Price History'!B3+(INDEX('Price History'!B:B,MATCH(9.99E+307,'Returns (Calc)'!$A:$A)+1)-'Price History'!B3)*(ROW()-3)/(MATCH(9.99E+307,'Returns (Calc)'!$A:$A)-3),"")</f>
        <v>384.67867924528298</v>
      </c>
      <c r="X83" s="152">
        <f>IFERROR('Price History'!C3+(INDEX('Price History'!C:C,MATCH(9.99E+307,'Returns (Calc)'!$A:$A)+1)-'Price History'!C3)*(ROW()-3)/(MATCH(9.99E+307,'Returns (Calc)'!$A:$A)-3),"")</f>
        <v>131.99635220125785</v>
      </c>
      <c r="Y83" s="152">
        <f>IFERROR('Price History'!D3+(INDEX('Price History'!D:D,MATCH(9.99E+307,'Returns (Calc)'!$A:$A)+1)-'Price History'!D3)*(ROW()-3)/(MATCH(9.99E+307,'Returns (Calc)'!$A:$A)-3),"")</f>
        <v>1184.9433333333332</v>
      </c>
      <c r="Z83" s="152">
        <f>IFERROR('Price History'!E3+(INDEX('Price History'!E:E,MATCH(9.99E+307,'Returns (Calc)'!$A:$A)+1)-'Price History'!E3)*(ROW()-3)/(MATCH(9.99E+307,'Returns (Calc)'!$A:$A)-3),"")</f>
        <v>222.6490566037736</v>
      </c>
      <c r="AA83" s="152">
        <f>IFERROR('Price History'!F3+(INDEX('Price History'!F:F,MATCH(9.99E+307,'Returns (Calc)'!$A:$A)+1)-'Price History'!F3)*(ROW()-3)/(MATCH(9.99E+307,'Returns (Calc)'!$A:$A)-3),"")</f>
        <v>158.93484276729561</v>
      </c>
      <c r="AB83" s="152">
        <f>IFERROR('Price History'!G3+(INDEX('Price History'!G:G,MATCH(9.99E+307,'Returns (Calc)'!$A:$A)+1)-'Price History'!G3)*(ROW()-3)/(MATCH(9.99E+307,'Returns (Calc)'!$A:$A)-3),"")</f>
        <v>120.43553459119497</v>
      </c>
      <c r="AC83" s="152">
        <f>IFERROR('Price History'!H3+(INDEX('Price History'!H:H,MATCH(9.99E+307,'Returns (Calc)'!$A:$A)+1)-'Price History'!H3)*(ROW()-3)/(MATCH(9.99E+307,'Returns (Calc)'!$A:$A)-3),"")</f>
        <v>552.07352201257856</v>
      </c>
      <c r="AD83" s="152">
        <f>IFERROR('Price History'!I3+(INDEX('Price History'!I:I,MATCH(9.99E+307,'Returns (Calc)'!$A:$A)+1)-'Price History'!I3)*(ROW()-3)/(MATCH(9.99E+307,'Returns (Calc)'!$A:$A)-3),"")</f>
        <v>137.10836477987422</v>
      </c>
      <c r="AE83" s="152">
        <f>IFERROR('Price History'!J3+(INDEX('Price History'!J:J,MATCH(9.99E+307,'Returns (Calc)'!$A:$A)+1)-'Price History'!J3)*(ROW()-3)/(MATCH(9.99E+307,'Returns (Calc)'!$A:$A)-3),"")</f>
        <v>120.72050314465409</v>
      </c>
      <c r="AF83" s="152">
        <f>IFERROR('Price History'!K3+(INDEX('Price History'!K:K,MATCH(9.99E+307,'Returns (Calc)'!$A:$A)+1)-'Price History'!K3)*(ROW()-3)/(MATCH(9.99E+307,'Returns (Calc)'!$A:$A)-3),"")</f>
        <v>112.7991823899371</v>
      </c>
      <c r="AG83" s="152">
        <f>IFERROR('Price History'!L3+(INDEX('Price History'!L:L,MATCH(9.99E+307,'Returns (Calc)'!$A:$A)+1)-'Price History'!L3)*(ROW()-3)/(MATCH(9.99E+307,'Returns (Calc)'!$A:$A)-3),"")</f>
        <v>270.68584905660373</v>
      </c>
      <c r="AH83" s="152">
        <f>IFERROR('Price History'!M3+(INDEX('Price History'!M:M,MATCH(9.99E+307,'Returns (Calc)'!$A:$A)+1)-'Price History'!M3)*(ROW()-3)/(MATCH(9.99E+307,'Returns (Calc)'!$A:$A)-3),"")</f>
        <v>141.04389937106919</v>
      </c>
      <c r="AI83" s="152">
        <f>IFERROR('Price History'!N3+(INDEX('Price History'!N:N,MATCH(9.99E+307,'Returns (Calc)'!$A:$A)+1)-'Price History'!N3)*(ROW()-3)/(MATCH(9.99E+307,'Returns (Calc)'!$A:$A)-3),"")</f>
        <v>429.99685534591197</v>
      </c>
      <c r="AJ83" s="152">
        <f>IFERROR('Price History'!O3+(INDEX('Price History'!O:O,MATCH(9.99E+307,'Returns (Calc)'!$A:$A)+1)-'Price History'!O3)*(ROW()-3)/(MATCH(9.99E+307,'Returns (Calc)'!$A:$A)-3),"")</f>
        <v>97.61440251572327</v>
      </c>
      <c r="AK83" s="152">
        <f>IFERROR('Price History'!Q3+(INDEX('Price History'!Q:Q,MATCH(9.99E+307,'Returns (Calc)'!$A:$A)+1)-'Price History'!Q3)*(ROW()-3)/(MATCH(9.99E+307,'Returns (Calc)'!$A:$A)-3),"")</f>
        <v>35.205031446540886</v>
      </c>
      <c r="AL83" s="152">
        <f>IFERROR('Price History'!R3+(INDEX('Price History'!R:R,MATCH(9.99E+307,'Returns (Calc)'!$A:$A)+1)-'Price History'!R3)*(ROW()-3)/(MATCH(9.99E+307,'Returns (Calc)'!$A:$A)-3),"")</f>
        <v>47.868679245283019</v>
      </c>
      <c r="AM83" s="152">
        <f>IFERROR('Price History'!S3+(INDEX('Price History'!S:S,MATCH(9.99E+307,'Returns (Calc)'!$A:$A)+1)-'Price History'!S3)*(ROW()-3)/(MATCH(9.99E+307,'Returns (Calc)'!$A:$A)-3),"")</f>
        <v>104.68911949685534</v>
      </c>
      <c r="AN83" s="152">
        <f>IFERROR('Price History'!T3+(INDEX('Price History'!T:T,MATCH(9.99E+307,'Returns (Calc)'!$A:$A)+1)-'Price History'!T3)*(ROW()-3)/(MATCH(9.99E+307,'Returns (Calc)'!$A:$A)-3),"")</f>
        <v>39.126792452830188</v>
      </c>
      <c r="AO83" s="153">
        <f>IFERROR('Price History'!V3+(INDEX('Price History'!V:V,MATCH(9.99E+307,'Returns (Calc)'!$A:$A)+1)-'Price History'!V3)*(ROW()-3)/(MATCH(9.99E+307,'Returns (Calc)'!$A:$A)-3),"")</f>
        <v>311.01113207547166</v>
      </c>
      <c r="AP83" s="151">
        <f>IFERROR(IF(OR(NOT(ISNUMBER('Price History'!W84)),NOT(ISNUMBER('Price History'!W83)),'Price History'!W83=0),"",'Price History'!W84/'Price History'!W83-1),"")</f>
        <v>-8.247925817471935E-2</v>
      </c>
      <c r="AQ83" s="151" t="str">
        <f>IFERROR(IF(OR(NOT(ISNUMBER('Price History'!X84)),NOT(ISNUMBER('Price History'!X83)),'Price History'!X83=0),"",'Price History'!X84/'Price History'!X83-1),"")</f>
        <v/>
      </c>
      <c r="AR83" s="151">
        <f>IFERROR(IF(OR(NOT(ISNUMBER('Price History'!Y84)),NOT(ISNUMBER('Price History'!Y83)),'Price History'!Y83=0),"",'Price History'!Y84/'Price History'!Y83-1),"")</f>
        <v>-7.3455423626484162E-2</v>
      </c>
      <c r="AS83" s="151">
        <f>IFERROR(IF(OR(NOT(ISNUMBER('Price History'!Z84)),NOT(ISNUMBER('Price History'!Z83)),'Price History'!Z83=0),"",'Price History'!Z84/'Price History'!Z83-1),"")</f>
        <v>-0.16542451404975334</v>
      </c>
      <c r="AT83" s="151">
        <f>IFERROR(IF(OR(NOT(ISNUMBER('Price History'!AA84)),NOT(ISNUMBER('Price History'!AA83)),'Price History'!AA83=0),"",'Price History'!AA84/'Price History'!AA83-1),"")</f>
        <v>-8.3520719563122348E-2</v>
      </c>
      <c r="AU83" s="151">
        <f>IFERROR(IF(OR(NOT(ISNUMBER('Price History'!AB84)),NOT(ISNUMBER('Price History'!AB83)),'Price History'!AB83=0),"",'Price History'!AB84/'Price History'!AB83-1),"")</f>
        <v>-8.7656376755902876E-2</v>
      </c>
    </row>
    <row r="84" spans="1:47" ht="15" customHeight="1" x14ac:dyDescent="0.2">
      <c r="A84" s="149">
        <f>IF('Price History'!A85="","",'Price History'!A85)</f>
        <v>45758</v>
      </c>
      <c r="B84" s="150">
        <f>IFERROR(IF(OR(NOT(ISNUMBER('Price History'!B85)),NOT(ISNUMBER('Price History'!B84)),'Price History'!B84=0),"",'Price History'!B85/'Price History'!B84-1),"")</f>
        <v>9.7401667287364546E-3</v>
      </c>
      <c r="C84" s="150">
        <f>IFERROR(IF(OR(NOT(ISNUMBER('Price History'!C85)),NOT(ISNUMBER('Price History'!C84)),'Price History'!C84=0),"",'Price History'!C85/'Price History'!C84-1),"")</f>
        <v>0.12894205375174761</v>
      </c>
      <c r="D84" s="150">
        <f>IFERROR(IF(OR(NOT(ISNUMBER('Price History'!D85)),NOT(ISNUMBER('Price History'!D84)),'Price History'!D84=0),"",'Price History'!D85/'Price History'!D84-1),"")</f>
        <v>0.10447836044198522</v>
      </c>
      <c r="E84" s="150">
        <f>IFERROR(IF(OR(NOT(ISNUMBER('Price History'!E85)),NOT(ISNUMBER('Price History'!E84)),'Price History'!E84=0),"",'Price History'!E85/'Price History'!E84-1),"")</f>
        <v>0.24367307426358731</v>
      </c>
      <c r="F84" s="150">
        <f>IFERROR(IF(OR(NOT(ISNUMBER('Price History'!F85)),NOT(ISNUMBER('Price History'!F84)),'Price History'!F84=0),"",'Price History'!F85/'Price History'!F84-1),"")</f>
        <v>0.17485387389628149</v>
      </c>
      <c r="G84" s="150">
        <f>IFERROR(IF(OR(NOT(ISNUMBER('Price History'!G85)),NOT(ISNUMBER('Price History'!G84)),'Price History'!G84=0),"",'Price History'!G85/'Price History'!G84-1),"")</f>
        <v>0.16257883672039242</v>
      </c>
      <c r="H84" s="150">
        <f>IFERROR(IF(OR(NOT(ISNUMBER('Price History'!H85)),NOT(ISNUMBER('Price History'!H84)),'Price History'!H84=0),"",'Price History'!H85/'Price History'!H84-1),"")</f>
        <v>7.4504337050805391E-2</v>
      </c>
      <c r="I84" s="150">
        <f>IFERROR(IF(OR(NOT(ISNUMBER('Price History'!I85)),NOT(ISNUMBER('Price History'!I84)),'Price History'!I84=0),"",'Price History'!I85/'Price History'!I84-1),"")</f>
        <v>0.17625172743701523</v>
      </c>
      <c r="J84" s="150">
        <f>IFERROR(IF(OR(NOT(ISNUMBER('Price History'!J85)),NOT(ISNUMBER('Price History'!J84)),'Price History'!J84=0),"",'Price History'!J85/'Price History'!J84-1),"")</f>
        <v>-2.0425622928029186E-2</v>
      </c>
      <c r="K84" s="150">
        <f>IFERROR(IF(OR(NOT(ISNUMBER('Price History'!K85)),NOT(ISNUMBER('Price History'!K84)),'Price History'!K84=0),"",'Price History'!K85/'Price History'!K84-1),"")</f>
        <v>0.19645993784623683</v>
      </c>
      <c r="L84" s="150">
        <f>IFERROR(IF(OR(NOT(ISNUMBER('Price History'!L85)),NOT(ISNUMBER('Price History'!L84)),'Price History'!L84=0),"",'Price History'!L85/'Price History'!L84-1),"")</f>
        <v>7.0002772387025125E-2</v>
      </c>
      <c r="M84" s="150">
        <f>IFERROR(IF(OR(NOT(ISNUMBER('Price History'!M85)),NOT(ISNUMBER('Price History'!M84)),'Price History'!M84=0),"",'Price History'!M85/'Price History'!M84-1),"")</f>
        <v>0.1716405327937951</v>
      </c>
      <c r="N84" s="150">
        <f>IFERROR(IF(OR(NOT(ISNUMBER('Price History'!N85)),NOT(ISNUMBER('Price History'!N84)),'Price History'!N84=0),"",'Price History'!N85/'Price History'!N84-1),"")</f>
        <v>2.022670768193513E-2</v>
      </c>
      <c r="O84" s="150">
        <f>IFERROR(IF(OR(NOT(ISNUMBER('Price History'!O85)),NOT(ISNUMBER('Price History'!O84)),'Price History'!O84=0),"",'Price History'!O85/'Price History'!O84-1),"")</f>
        <v>1.2588512981903888E-2</v>
      </c>
      <c r="P84" s="150">
        <f>IFERROR(IF(OR(NOT(ISNUMBER('Price History'!P85)),NOT(ISNUMBER('Price History'!P84)),'Price History'!P84=0),"",'Price History'!P85/'Price History'!P84-1),"")</f>
        <v>1.6070502851218249E-2</v>
      </c>
      <c r="Q84" s="150">
        <f>IFERROR(IF(OR(NOT(ISNUMBER('Price History'!Q85)),NOT(ISNUMBER('Price History'!Q84)),'Price History'!Q84=0),"",'Price History'!Q85/'Price History'!Q84-1),"")</f>
        <v>1.8861272695223086E-2</v>
      </c>
      <c r="R84" s="150">
        <f>IFERROR(IF(OR(NOT(ISNUMBER('Price History'!R85)),NOT(ISNUMBER('Price History'!R84)),'Price History'!R84=0),"",'Price History'!R85/'Price History'!R84-1),"")</f>
        <v>6.3026282214850626E-2</v>
      </c>
      <c r="S84" s="150">
        <f>IFERROR(IF(OR(NOT(ISNUMBER('Price History'!S85)),NOT(ISNUMBER('Price History'!S84)),'Price History'!S84=0),"",'Price History'!S85/'Price History'!S84-1),"")</f>
        <v>9.1099090238504932E-2</v>
      </c>
      <c r="T84" s="150">
        <f>IFERROR(IF(OR(NOT(ISNUMBER('Price History'!T85)),NOT(ISNUMBER('Price History'!T84)),'Price History'!T84=0),"",'Price History'!T85/'Price History'!T84-1),"")</f>
        <v>2.1101219914276381E-2</v>
      </c>
      <c r="U84" s="150">
        <f>IFERROR(IF(OR(NOT(ISNUMBER('Price History'!U85)),NOT(ISNUMBER('Price History'!U84)),'Price History'!U84=0),"",'Price History'!U85/'Price History'!U84-1),"")</f>
        <v>8.3472454090149917E-4</v>
      </c>
      <c r="V84" s="151">
        <f>IFERROR(IF(OR(NOT(ISNUMBER('Price History'!V85)),NOT(ISNUMBER('Price History'!V84)),'Price History'!V84=0),"",'Price History'!V85/'Price History'!V84-1),"")</f>
        <v>6.4730772957782845E-2</v>
      </c>
      <c r="W84" s="152">
        <f>IFERROR('Price History'!B3+(INDEX('Price History'!B:B,MATCH(9.99E+307,'Returns (Calc)'!$A:$A)+1)-'Price History'!B3)*(ROW()-3)/(MATCH(9.99E+307,'Returns (Calc)'!$A:$A)-3),"")</f>
        <v>382.87603773584902</v>
      </c>
      <c r="X84" s="152">
        <f>IFERROR('Price History'!C3+(INDEX('Price History'!C:C,MATCH(9.99E+307,'Returns (Calc)'!$A:$A)+1)-'Price History'!C3)*(ROW()-3)/(MATCH(9.99E+307,'Returns (Calc)'!$A:$A)-3),"")</f>
        <v>133.06905660377359</v>
      </c>
      <c r="Y84" s="152">
        <f>IFERROR('Price History'!D3+(INDEX('Price History'!D:D,MATCH(9.99E+307,'Returns (Calc)'!$A:$A)+1)-'Price History'!D3)*(ROW()-3)/(MATCH(9.99E+307,'Returns (Calc)'!$A:$A)-3),"")</f>
        <v>1192.48</v>
      </c>
      <c r="Z84" s="152">
        <f>IFERROR('Price History'!E3+(INDEX('Price History'!E:E,MATCH(9.99E+307,'Returns (Calc)'!$A:$A)+1)-'Price History'!E3)*(ROW()-3)/(MATCH(9.99E+307,'Returns (Calc)'!$A:$A)-3),"")</f>
        <v>224.40716981132076</v>
      </c>
      <c r="AA84" s="152">
        <f>IFERROR('Price History'!F3+(INDEX('Price History'!F:F,MATCH(9.99E+307,'Returns (Calc)'!$A:$A)+1)-'Price History'!F3)*(ROW()-3)/(MATCH(9.99E+307,'Returns (Calc)'!$A:$A)-3),"")</f>
        <v>160.40452830188678</v>
      </c>
      <c r="AB84" s="152">
        <f>IFERROR('Price History'!G3+(INDEX('Price History'!G:G,MATCH(9.99E+307,'Returns (Calc)'!$A:$A)+1)-'Price History'!G3)*(ROW()-3)/(MATCH(9.99E+307,'Returns (Calc)'!$A:$A)-3),"")</f>
        <v>121.38660377358491</v>
      </c>
      <c r="AC84" s="152">
        <f>IFERROR('Price History'!H3+(INDEX('Price History'!H:H,MATCH(9.99E+307,'Returns (Calc)'!$A:$A)+1)-'Price History'!H3)*(ROW()-3)/(MATCH(9.99E+307,'Returns (Calc)'!$A:$A)-3),"")</f>
        <v>558.11056603773579</v>
      </c>
      <c r="AD84" s="152">
        <f>IFERROR('Price History'!I3+(INDEX('Price History'!I:I,MATCH(9.99E+307,'Returns (Calc)'!$A:$A)+1)-'Price History'!I3)*(ROW()-3)/(MATCH(9.99E+307,'Returns (Calc)'!$A:$A)-3),"")</f>
        <v>138.27509433962265</v>
      </c>
      <c r="AE84" s="152">
        <f>IFERROR('Price History'!J3+(INDEX('Price History'!J:J,MATCH(9.99E+307,'Returns (Calc)'!$A:$A)+1)-'Price History'!J3)*(ROW()-3)/(MATCH(9.99E+307,'Returns (Calc)'!$A:$A)-3),"")</f>
        <v>120.83150943396227</v>
      </c>
      <c r="AF84" s="152">
        <f>IFERROR('Price History'!K3+(INDEX('Price History'!K:K,MATCH(9.99E+307,'Returns (Calc)'!$A:$A)+1)-'Price History'!K3)*(ROW()-3)/(MATCH(9.99E+307,'Returns (Calc)'!$A:$A)-3),"")</f>
        <v>114.01754716981132</v>
      </c>
      <c r="AG84" s="152">
        <f>IFERROR('Price History'!L3+(INDEX('Price History'!L:L,MATCH(9.99E+307,'Returns (Calc)'!$A:$A)+1)-'Price History'!L3)*(ROW()-3)/(MATCH(9.99E+307,'Returns (Calc)'!$A:$A)-3),"")</f>
        <v>272.99754716981136</v>
      </c>
      <c r="AH84" s="152">
        <f>IFERROR('Price History'!M3+(INDEX('Price History'!M:M,MATCH(9.99E+307,'Returns (Calc)'!$A:$A)+1)-'Price History'!M3)*(ROW()-3)/(MATCH(9.99E+307,'Returns (Calc)'!$A:$A)-3),"")</f>
        <v>142.33169811320752</v>
      </c>
      <c r="AI84" s="152">
        <f>IFERROR('Price History'!N3+(INDEX('Price History'!N:N,MATCH(9.99E+307,'Returns (Calc)'!$A:$A)+1)-'Price History'!N3)*(ROW()-3)/(MATCH(9.99E+307,'Returns (Calc)'!$A:$A)-3),"")</f>
        <v>431.01056603773583</v>
      </c>
      <c r="AJ84" s="152">
        <f>IFERROR('Price History'!O3+(INDEX('Price History'!O:O,MATCH(9.99E+307,'Returns (Calc)'!$A:$A)+1)-'Price History'!O3)*(ROW()-3)/(MATCH(9.99E+307,'Returns (Calc)'!$A:$A)-3),"")</f>
        <v>97.893207547169808</v>
      </c>
      <c r="AK84" s="152">
        <f>IFERROR('Price History'!Q3+(INDEX('Price History'!Q:Q,MATCH(9.99E+307,'Returns (Calc)'!$A:$A)+1)-'Price History'!Q3)*(ROW()-3)/(MATCH(9.99E+307,'Returns (Calc)'!$A:$A)-3),"")</f>
        <v>35.645094339622638</v>
      </c>
      <c r="AL84" s="152">
        <f>IFERROR('Price History'!R3+(INDEX('Price History'!R:R,MATCH(9.99E+307,'Returns (Calc)'!$A:$A)+1)-'Price History'!R3)*(ROW()-3)/(MATCH(9.99E+307,'Returns (Calc)'!$A:$A)-3),"")</f>
        <v>48.036037735849057</v>
      </c>
      <c r="AM84" s="152">
        <f>IFERROR('Price History'!S3+(INDEX('Price History'!S:S,MATCH(9.99E+307,'Returns (Calc)'!$A:$A)+1)-'Price History'!S3)*(ROW()-3)/(MATCH(9.99E+307,'Returns (Calc)'!$A:$A)-3),"")</f>
        <v>105.27735849056604</v>
      </c>
      <c r="AN84" s="152">
        <f>IFERROR('Price History'!T3+(INDEX('Price History'!T:T,MATCH(9.99E+307,'Returns (Calc)'!$A:$A)+1)-'Price History'!T3)*(ROW()-3)/(MATCH(9.99E+307,'Returns (Calc)'!$A:$A)-3),"")</f>
        <v>39.300377358490564</v>
      </c>
      <c r="AO84" s="153">
        <f>IFERROR('Price History'!V3+(INDEX('Price History'!V:V,MATCH(9.99E+307,'Returns (Calc)'!$A:$A)+1)-'Price History'!V3)*(ROW()-3)/(MATCH(9.99E+307,'Returns (Calc)'!$A:$A)-3),"")</f>
        <v>311.95339622641507</v>
      </c>
      <c r="AP84" s="151">
        <f>IFERROR(IF(OR(NOT(ISNUMBER('Price History'!W85)),NOT(ISNUMBER('Price History'!W84)),'Price History'!W84=0),"",'Price History'!W85/'Price History'!W84-1),"")</f>
        <v>3.4131205673759046E-2</v>
      </c>
      <c r="AQ84" s="151" t="str">
        <f>IFERROR(IF(OR(NOT(ISNUMBER('Price History'!X85)),NOT(ISNUMBER('Price History'!X84)),'Price History'!X84=0),"",'Price History'!X85/'Price History'!X84-1),"")</f>
        <v/>
      </c>
      <c r="AR84" s="151">
        <f>IFERROR(IF(OR(NOT(ISNUMBER('Price History'!Y85)),NOT(ISNUMBER('Price History'!Y84)),'Price History'!Y84=0),"",'Price History'!Y85/'Price History'!Y84-1),"")</f>
        <v>3.5186794092093798E-2</v>
      </c>
      <c r="AS84" s="151">
        <f>IFERROR(IF(OR(NOT(ISNUMBER('Price History'!Z85)),NOT(ISNUMBER('Price History'!Z84)),'Price History'!Z84=0),"",'Price History'!Z85/'Price History'!Z84-1),"")</f>
        <v>8.9060520123091846E-2</v>
      </c>
      <c r="AT84" s="151">
        <f>IFERROR(IF(OR(NOT(ISNUMBER('Price History'!AA85)),NOT(ISNUMBER('Price History'!AA84)),'Price History'!AA84=0),"",'Price History'!AA85/'Price History'!AA84-1),"")</f>
        <v>7.2905713284262097E-2</v>
      </c>
      <c r="AU84" s="151">
        <f>IFERROR(IF(OR(NOT(ISNUMBER('Price History'!AB85)),NOT(ISNUMBER('Price History'!AB84)),'Price History'!AB84=0),"",'Price History'!AB85/'Price History'!AB84-1),"")</f>
        <v>2.0217147135904057E-2</v>
      </c>
    </row>
    <row r="85" spans="1:47" ht="15" customHeight="1" x14ac:dyDescent="0.2">
      <c r="A85" s="149">
        <f>IF('Price History'!A86="","",'Price History'!A86)</f>
        <v>45765</v>
      </c>
      <c r="B85" s="150">
        <f>IFERROR(IF(OR(NOT(ISNUMBER('Price History'!B86)),NOT(ISNUMBER('Price History'!B85)),'Price History'!B85=0),"",'Price History'!B86/'Price History'!B85-1),"")</f>
        <v>-1.0412233665276549E-2</v>
      </c>
      <c r="C85" s="150">
        <f>IFERROR(IF(OR(NOT(ISNUMBER('Price History'!C86)),NOT(ISNUMBER('Price History'!C85)),'Price History'!C85=0),"",'Price History'!C86/'Price History'!C85-1),"")</f>
        <v>-2.0228429888537236E-2</v>
      </c>
      <c r="D85" s="150">
        <f>IFERROR(IF(OR(NOT(ISNUMBER('Price History'!D86)),NOT(ISNUMBER('Price History'!D85)),'Price History'!D85=0),"",'Price History'!D86/'Price History'!D85-1),"")</f>
        <v>-4.2847845499538462E-2</v>
      </c>
      <c r="E85" s="150">
        <f>IFERROR(IF(OR(NOT(ISNUMBER('Price History'!E86)),NOT(ISNUMBER('Price History'!E85)),'Price History'!E85=0),"",'Price History'!E86/'Price History'!E85-1),"")</f>
        <v>-6.0157900589347335E-2</v>
      </c>
      <c r="F85" s="150">
        <f>IFERROR(IF(OR(NOT(ISNUMBER('Price History'!F86)),NOT(ISNUMBER('Price History'!F85)),'Price History'!F85=0),"",'Price History'!F86/'Price History'!F85-1),"")</f>
        <v>-6.033661479834751E-3</v>
      </c>
      <c r="G85" s="150">
        <f>IFERROR(IF(OR(NOT(ISNUMBER('Price History'!G86)),NOT(ISNUMBER('Price History'!G85)),'Price History'!G85=0),"",'Price History'!G86/'Price History'!G85-1),"")</f>
        <v>-5.3496081977094545E-2</v>
      </c>
      <c r="H85" s="150">
        <f>IFERROR(IF(OR(NOT(ISNUMBER('Price History'!H86)),NOT(ISNUMBER('Price History'!H85)),'Price History'!H85=0),"",'Price History'!H86/'Price History'!H85-1),"")</f>
        <v>-1.0667435490846366E-2</v>
      </c>
      <c r="I85" s="150">
        <f>IFERROR(IF(OR(NOT(ISNUMBER('Price History'!I86)),NOT(ISNUMBER('Price History'!I85)),'Price History'!I85=0),"",'Price History'!I86/'Price History'!I85-1),"")</f>
        <v>-8.513330320831447E-2</v>
      </c>
      <c r="J85" s="150">
        <f>IFERROR(IF(OR(NOT(ISNUMBER('Price History'!J86)),NOT(ISNUMBER('Price History'!J85)),'Price History'!J85=0),"",'Price History'!J86/'Price History'!J85-1),"")</f>
        <v>6.1026200873362413E-2</v>
      </c>
      <c r="K85" s="150">
        <f>IFERROR(IF(OR(NOT(ISNUMBER('Price History'!K86)),NOT(ISNUMBER('Price History'!K85)),'Price History'!K85=0),"",'Price History'!K86/'Price History'!K85-1),"")</f>
        <v>5.9062676453980778E-2</v>
      </c>
      <c r="L85" s="150">
        <f>IFERROR(IF(OR(NOT(ISNUMBER('Price History'!L86)),NOT(ISNUMBER('Price History'!L85)),'Price History'!L85=0),"",'Price History'!L86/'Price History'!L85-1),"")</f>
        <v>-3.4006995724834788E-2</v>
      </c>
      <c r="M85" s="150">
        <f>IFERROR(IF(OR(NOT(ISNUMBER('Price History'!M86)),NOT(ISNUMBER('Price History'!M85)),'Price History'!M85=0),"",'Price History'!M86/'Price History'!M85-1),"")</f>
        <v>5.180601525399342E-2</v>
      </c>
      <c r="N85" s="150">
        <f>IFERROR(IF(OR(NOT(ISNUMBER('Price History'!N86)),NOT(ISNUMBER('Price History'!N85)),'Price History'!N85=0),"",'Price History'!N86/'Price History'!N85-1),"")</f>
        <v>1.0078063690058148E-2</v>
      </c>
      <c r="O85" s="150">
        <f>IFERROR(IF(OR(NOT(ISNUMBER('Price History'!O86)),NOT(ISNUMBER('Price History'!O85)),'Price History'!O85=0),"",'Price History'!O86/'Price History'!O85-1),"")</f>
        <v>1.8648018648018683E-2</v>
      </c>
      <c r="P85" s="150">
        <f>IFERROR(IF(OR(NOT(ISNUMBER('Price History'!P86)),NOT(ISNUMBER('Price History'!P85)),'Price History'!P85=0),"",'Price History'!P86/'Price History'!P85-1),"")</f>
        <v>1.4710884353741571E-2</v>
      </c>
      <c r="Q85" s="150">
        <f>IFERROR(IF(OR(NOT(ISNUMBER('Price History'!Q86)),NOT(ISNUMBER('Price History'!Q85)),'Price History'!Q85=0),"",'Price History'!Q86/'Price History'!Q85-1),"")</f>
        <v>-6.0553633217992342E-3</v>
      </c>
      <c r="R85" s="150">
        <f>IFERROR(IF(OR(NOT(ISNUMBER('Price History'!R86)),NOT(ISNUMBER('Price History'!R85)),'Price History'!R85=0),"",'Price History'!R86/'Price History'!R85-1),"")</f>
        <v>-1.6082573211713691E-2</v>
      </c>
      <c r="S85" s="150">
        <f>IFERROR(IF(OR(NOT(ISNUMBER('Price History'!S86)),NOT(ISNUMBER('Price History'!S85)),'Price History'!S85=0),"",'Price History'!S86/'Price History'!S85-1),"")</f>
        <v>-1.7352112676056408E-2</v>
      </c>
      <c r="T85" s="150">
        <f>IFERROR(IF(OR(NOT(ISNUMBER('Price History'!T86)),NOT(ISNUMBER('Price History'!T85)),'Price History'!T85=0),"",'Price History'!T86/'Price History'!T85-1),"")</f>
        <v>6.780755569906427E-3</v>
      </c>
      <c r="U85" s="150">
        <f>IFERROR(IF(OR(NOT(ISNUMBER('Price History'!U86)),NOT(ISNUMBER('Price History'!U85)),'Price History'!U85=0),"",'Price History'!U86/'Price History'!U85-1),"")</f>
        <v>4.5871559633028358E-3</v>
      </c>
      <c r="V85" s="151">
        <f>IFERROR(IF(OR(NOT(ISNUMBER('Price History'!V86)),NOT(ISNUMBER('Price History'!V85)),'Price History'!V85=0),"",'Price History'!V86/'Price History'!V85-1),"")</f>
        <v>-1.1376391711919398E-2</v>
      </c>
      <c r="W85" s="152">
        <f>IFERROR('Price History'!B3+(INDEX('Price History'!B:B,MATCH(9.99E+307,'Returns (Calc)'!$A:$A)+1)-'Price History'!B3)*(ROW()-3)/(MATCH(9.99E+307,'Returns (Calc)'!$A:$A)-3),"")</f>
        <v>381.07339622641507</v>
      </c>
      <c r="X85" s="152">
        <f>IFERROR('Price History'!C3+(INDEX('Price History'!C:C,MATCH(9.99E+307,'Returns (Calc)'!$A:$A)+1)-'Price History'!C3)*(ROW()-3)/(MATCH(9.99E+307,'Returns (Calc)'!$A:$A)-3),"")</f>
        <v>134.1417610062893</v>
      </c>
      <c r="Y85" s="152">
        <f>IFERROR('Price History'!D3+(INDEX('Price History'!D:D,MATCH(9.99E+307,'Returns (Calc)'!$A:$A)+1)-'Price History'!D3)*(ROW()-3)/(MATCH(9.99E+307,'Returns (Calc)'!$A:$A)-3),"")</f>
        <v>1200.0166666666667</v>
      </c>
      <c r="Z85" s="152">
        <f>IFERROR('Price History'!E3+(INDEX('Price History'!E:E,MATCH(9.99E+307,'Returns (Calc)'!$A:$A)+1)-'Price History'!E3)*(ROW()-3)/(MATCH(9.99E+307,'Returns (Calc)'!$A:$A)-3),"")</f>
        <v>226.16528301886794</v>
      </c>
      <c r="AA85" s="152">
        <f>IFERROR('Price History'!F3+(INDEX('Price History'!F:F,MATCH(9.99E+307,'Returns (Calc)'!$A:$A)+1)-'Price History'!F3)*(ROW()-3)/(MATCH(9.99E+307,'Returns (Calc)'!$A:$A)-3),"")</f>
        <v>161.87421383647802</v>
      </c>
      <c r="AB85" s="152">
        <f>IFERROR('Price History'!G3+(INDEX('Price History'!G:G,MATCH(9.99E+307,'Returns (Calc)'!$A:$A)+1)-'Price History'!G3)*(ROW()-3)/(MATCH(9.99E+307,'Returns (Calc)'!$A:$A)-3),"")</f>
        <v>122.33767295597482</v>
      </c>
      <c r="AC85" s="152">
        <f>IFERROR('Price History'!H3+(INDEX('Price History'!H:H,MATCH(9.99E+307,'Returns (Calc)'!$A:$A)+1)-'Price History'!H3)*(ROW()-3)/(MATCH(9.99E+307,'Returns (Calc)'!$A:$A)-3),"")</f>
        <v>564.14761006289302</v>
      </c>
      <c r="AD85" s="152">
        <f>IFERROR('Price History'!I3+(INDEX('Price History'!I:I,MATCH(9.99E+307,'Returns (Calc)'!$A:$A)+1)-'Price History'!I3)*(ROW()-3)/(MATCH(9.99E+307,'Returns (Calc)'!$A:$A)-3),"")</f>
        <v>139.44182389937106</v>
      </c>
      <c r="AE85" s="152">
        <f>IFERROR('Price History'!J3+(INDEX('Price History'!J:J,MATCH(9.99E+307,'Returns (Calc)'!$A:$A)+1)-'Price History'!J3)*(ROW()-3)/(MATCH(9.99E+307,'Returns (Calc)'!$A:$A)-3),"")</f>
        <v>120.94251572327045</v>
      </c>
      <c r="AF85" s="152">
        <f>IFERROR('Price History'!K3+(INDEX('Price History'!K:K,MATCH(9.99E+307,'Returns (Calc)'!$A:$A)+1)-'Price History'!K3)*(ROW()-3)/(MATCH(9.99E+307,'Returns (Calc)'!$A:$A)-3),"")</f>
        <v>115.23591194968553</v>
      </c>
      <c r="AG85" s="152">
        <f>IFERROR('Price History'!L3+(INDEX('Price History'!L:L,MATCH(9.99E+307,'Returns (Calc)'!$A:$A)+1)-'Price History'!L3)*(ROW()-3)/(MATCH(9.99E+307,'Returns (Calc)'!$A:$A)-3),"")</f>
        <v>275.30924528301887</v>
      </c>
      <c r="AH85" s="152">
        <f>IFERROR('Price History'!M3+(INDEX('Price History'!M:M,MATCH(9.99E+307,'Returns (Calc)'!$A:$A)+1)-'Price History'!M3)*(ROW()-3)/(MATCH(9.99E+307,'Returns (Calc)'!$A:$A)-3),"")</f>
        <v>143.61949685534591</v>
      </c>
      <c r="AI85" s="152">
        <f>IFERROR('Price History'!N3+(INDEX('Price History'!N:N,MATCH(9.99E+307,'Returns (Calc)'!$A:$A)+1)-'Price History'!N3)*(ROW()-3)/(MATCH(9.99E+307,'Returns (Calc)'!$A:$A)-3),"")</f>
        <v>432.02427672955974</v>
      </c>
      <c r="AJ85" s="152">
        <f>IFERROR('Price History'!O3+(INDEX('Price History'!O:O,MATCH(9.99E+307,'Returns (Calc)'!$A:$A)+1)-'Price History'!O3)*(ROW()-3)/(MATCH(9.99E+307,'Returns (Calc)'!$A:$A)-3),"")</f>
        <v>98.172012578616346</v>
      </c>
      <c r="AK85" s="152">
        <f>IFERROR('Price History'!Q3+(INDEX('Price History'!Q:Q,MATCH(9.99E+307,'Returns (Calc)'!$A:$A)+1)-'Price History'!Q3)*(ROW()-3)/(MATCH(9.99E+307,'Returns (Calc)'!$A:$A)-3),"")</f>
        <v>36.085157232704404</v>
      </c>
      <c r="AL85" s="152">
        <f>IFERROR('Price History'!R3+(INDEX('Price History'!R:R,MATCH(9.99E+307,'Returns (Calc)'!$A:$A)+1)-'Price History'!R3)*(ROW()-3)/(MATCH(9.99E+307,'Returns (Calc)'!$A:$A)-3),"")</f>
        <v>48.203396226415094</v>
      </c>
      <c r="AM85" s="152">
        <f>IFERROR('Price History'!S3+(INDEX('Price History'!S:S,MATCH(9.99E+307,'Returns (Calc)'!$A:$A)+1)-'Price History'!S3)*(ROW()-3)/(MATCH(9.99E+307,'Returns (Calc)'!$A:$A)-3),"")</f>
        <v>105.86559748427673</v>
      </c>
      <c r="AN85" s="152">
        <f>IFERROR('Price History'!T3+(INDEX('Price History'!T:T,MATCH(9.99E+307,'Returns (Calc)'!$A:$A)+1)-'Price History'!T3)*(ROW()-3)/(MATCH(9.99E+307,'Returns (Calc)'!$A:$A)-3),"")</f>
        <v>39.473962264150941</v>
      </c>
      <c r="AO85" s="153">
        <f>IFERROR('Price History'!V3+(INDEX('Price History'!V:V,MATCH(9.99E+307,'Returns (Calc)'!$A:$A)+1)-'Price History'!V3)*(ROW()-3)/(MATCH(9.99E+307,'Returns (Calc)'!$A:$A)-3),"")</f>
        <v>312.89566037735847</v>
      </c>
      <c r="AP85" s="151">
        <f>IFERROR(IF(OR(NOT(ISNUMBER('Price History'!W86)),NOT(ISNUMBER('Price History'!W85)),'Price History'!W85=0),"",'Price History'!W86/'Price History'!W85-1),"")</f>
        <v>-1.5430775825118204E-3</v>
      </c>
      <c r="AQ85" s="151" t="str">
        <f>IFERROR(IF(OR(NOT(ISNUMBER('Price History'!X86)),NOT(ISNUMBER('Price History'!X85)),'Price History'!X85=0),"",'Price History'!X86/'Price History'!X85-1),"")</f>
        <v/>
      </c>
      <c r="AR85" s="151">
        <f>IFERROR(IF(OR(NOT(ISNUMBER('Price History'!Y86)),NOT(ISNUMBER('Price History'!Y85)),'Price History'!Y85=0),"",'Price History'!Y86/'Price History'!Y85-1),"")</f>
        <v>-3.9865715484682651E-3</v>
      </c>
      <c r="AS85" s="151">
        <f>IFERROR(IF(OR(NOT(ISNUMBER('Price History'!Z86)),NOT(ISNUMBER('Price History'!Z85)),'Price History'!Z85=0),"",'Price History'!Z86/'Price History'!Z85-1),"")</f>
        <v>6.648567787690407E-4</v>
      </c>
      <c r="AT85" s="151">
        <f>IFERROR(IF(OR(NOT(ISNUMBER('Price History'!AA86)),NOT(ISNUMBER('Price History'!AA85)),'Price History'!AA85=0),"",'Price History'!AA86/'Price History'!AA85-1),"")</f>
        <v>5.9566590438854483E-2</v>
      </c>
      <c r="AU85" s="151">
        <f>IFERROR(IF(OR(NOT(ISNUMBER('Price History'!AB86)),NOT(ISNUMBER('Price History'!AB85)),'Price History'!AB85=0),"",'Price History'!AB86/'Price History'!AB85-1),"")</f>
        <v>-9.4036697247706913E-3</v>
      </c>
    </row>
    <row r="86" spans="1:47" ht="15" customHeight="1" x14ac:dyDescent="0.2">
      <c r="A86" s="149">
        <f>IF('Price History'!A87="","",'Price History'!A87)</f>
        <v>45772</v>
      </c>
      <c r="B86" s="150">
        <f>IFERROR(IF(OR(NOT(ISNUMBER('Price History'!B87)),NOT(ISNUMBER('Price History'!B86)),'Price History'!B86=0),"",'Price History'!B87/'Price History'!B86-1),"")</f>
        <v>5.4243119266055073E-2</v>
      </c>
      <c r="C86" s="150">
        <f>IFERROR(IF(OR(NOT(ISNUMBER('Price History'!C87)),NOT(ISNUMBER('Price History'!C86)),'Price History'!C86=0),"",'Price History'!C87/'Price History'!C86-1),"")</f>
        <v>9.4241573033707837E-2</v>
      </c>
      <c r="D86" s="150">
        <f>IFERROR(IF(OR(NOT(ISNUMBER('Price History'!D87)),NOT(ISNUMBER('Price History'!D86)),'Price History'!D86=0),"",'Price History'!D87/'Price History'!D86-1),"")</f>
        <v>5.7969639468690604E-2</v>
      </c>
      <c r="E86" s="150">
        <f>IFERROR(IF(OR(NOT(ISNUMBER('Price History'!E87)),NOT(ISNUMBER('Price History'!E86)),'Price History'!E86=0),"",'Price History'!E87/'Price History'!E86-1),"")</f>
        <v>0.12470421202082349</v>
      </c>
      <c r="F86" s="150">
        <f>IFERROR(IF(OR(NOT(ISNUMBER('Price History'!F87)),NOT(ISNUMBER('Price History'!F86)),'Price History'!F86=0),"",'Price History'!F87/'Price History'!F86-1),"")</f>
        <v>0.13120340788072404</v>
      </c>
      <c r="G86" s="150">
        <f>IFERROR(IF(OR(NOT(ISNUMBER('Price History'!G87)),NOT(ISNUMBER('Price History'!G86)),'Price History'!G86=0),"",'Price History'!G87/'Price History'!G86-1),"")</f>
        <v>9.4889348829804154E-2</v>
      </c>
      <c r="H86" s="150">
        <f>IFERROR(IF(OR(NOT(ISNUMBER('Price History'!H87)),NOT(ISNUMBER('Price History'!H86)),'Price History'!H86=0),"",'Price History'!H87/'Price History'!H86-1),"")</f>
        <v>0.15955121666909511</v>
      </c>
      <c r="I86" s="150">
        <f>IFERROR(IF(OR(NOT(ISNUMBER('Price History'!I87)),NOT(ISNUMBER('Price History'!I86)),'Price History'!I86=0),"",'Price History'!I87/'Price History'!I86-1),"")</f>
        <v>9.3845697915637682E-2</v>
      </c>
      <c r="J86" s="150">
        <f>IFERROR(IF(OR(NOT(ISNUMBER('Price History'!J87)),NOT(ISNUMBER('Price History'!J86)),'Price History'!J86=0),"",'Price History'!J87/'Price History'!J86-1),"")</f>
        <v>1.3375861714166604E-3</v>
      </c>
      <c r="K86" s="150">
        <f>IFERROR(IF(OR(NOT(ISNUMBER('Price History'!K87)),NOT(ISNUMBER('Price History'!K86)),'Price History'!K86=0),"",'Price History'!K87/'Price History'!K86-1),"")</f>
        <v>0.20260183407976107</v>
      </c>
      <c r="L86" s="150">
        <f>IFERROR(IF(OR(NOT(ISNUMBER('Price History'!L87)),NOT(ISNUMBER('Price History'!L86)),'Price History'!L86=0),"",'Price History'!L87/'Price History'!L86-1),"")</f>
        <v>8.8043988466438572E-2</v>
      </c>
      <c r="M86" s="150">
        <f>IFERROR(IF(OR(NOT(ISNUMBER('Price History'!M87)),NOT(ISNUMBER('Price History'!M86)),'Price History'!M86=0),"",'Price History'!M87/'Price History'!M86-1),"")</f>
        <v>0.18757695991243661</v>
      </c>
      <c r="N86" s="150">
        <f>IFERROR(IF(OR(NOT(ISNUMBER('Price History'!N87)),NOT(ISNUMBER('Price History'!N86)),'Price History'!N86=0),"",'Price History'!N87/'Price History'!N86-1),"")</f>
        <v>9.6912696790021347E-3</v>
      </c>
      <c r="O86" s="150">
        <f>IFERROR(IF(OR(NOT(ISNUMBER('Price History'!O87)),NOT(ISNUMBER('Price History'!O86)),'Price History'!O86=0),"",'Price History'!O87/'Price History'!O86-1),"")</f>
        <v>2.8095601322146058E-2</v>
      </c>
      <c r="P86" s="150">
        <f>IFERROR(IF(OR(NOT(ISNUMBER('Price History'!P87)),NOT(ISNUMBER('Price History'!P86)),'Price History'!P86=0),"",'Price History'!P87/'Price History'!P86-1),"")</f>
        <v>1.4330009218134654E-2</v>
      </c>
      <c r="Q86" s="150">
        <f>IFERROR(IF(OR(NOT(ISNUMBER('Price History'!Q87)),NOT(ISNUMBER('Price History'!Q86)),'Price History'!Q86=0),"",'Price History'!Q87/'Price History'!Q86-1),"")</f>
        <v>1.7754569190600478E-2</v>
      </c>
      <c r="R86" s="150">
        <f>IFERROR(IF(OR(NOT(ISNUMBER('Price History'!R87)),NOT(ISNUMBER('Price History'!R86)),'Price History'!R86=0),"",'Price History'!R87/'Price History'!R86-1),"")</f>
        <v>4.8060502561600327E-2</v>
      </c>
      <c r="S86" s="150">
        <f>IFERROR(IF(OR(NOT(ISNUMBER('Price History'!S87)),NOT(ISNUMBER('Price History'!S86)),'Price History'!S86=0),"",'Price History'!S87/'Price History'!S86-1),"")</f>
        <v>6.5244811374842504E-2</v>
      </c>
      <c r="T86" s="150">
        <f>IFERROR(IF(OR(NOT(ISNUMBER('Price History'!T87)),NOT(ISNUMBER('Price History'!T86)),'Price History'!T86=0),"",'Price History'!T87/'Price History'!T86-1),"")</f>
        <v>3.303399615137903E-2</v>
      </c>
      <c r="U86" s="150">
        <f>IFERROR(IF(OR(NOT(ISNUMBER('Price History'!U87)),NOT(ISNUMBER('Price History'!U86)),'Price History'!U86=0),"",'Price History'!U87/'Price History'!U86-1),"")</f>
        <v>9.9626400996264408E-3</v>
      </c>
      <c r="V86" s="151">
        <f>IFERROR(IF(OR(NOT(ISNUMBER('Price History'!V87)),NOT(ISNUMBER('Price History'!V86)),'Price History'!V86=0),"",'Price History'!V87/'Price History'!V86-1),"")</f>
        <v>1.6877378176015645E-2</v>
      </c>
      <c r="W86" s="152">
        <f>IFERROR('Price History'!B3+(INDEX('Price History'!B:B,MATCH(9.99E+307,'Returns (Calc)'!$A:$A)+1)-'Price History'!B3)*(ROW()-3)/(MATCH(9.99E+307,'Returns (Calc)'!$A:$A)-3),"")</f>
        <v>379.27075471698112</v>
      </c>
      <c r="X86" s="152">
        <f>IFERROR('Price History'!C3+(INDEX('Price History'!C:C,MATCH(9.99E+307,'Returns (Calc)'!$A:$A)+1)-'Price History'!C3)*(ROW()-3)/(MATCH(9.99E+307,'Returns (Calc)'!$A:$A)-3),"")</f>
        <v>135.21446540880504</v>
      </c>
      <c r="Y86" s="152">
        <f>IFERROR('Price History'!D3+(INDEX('Price History'!D:D,MATCH(9.99E+307,'Returns (Calc)'!$A:$A)+1)-'Price History'!D3)*(ROW()-3)/(MATCH(9.99E+307,'Returns (Calc)'!$A:$A)-3),"")</f>
        <v>1207.5533333333333</v>
      </c>
      <c r="Z86" s="152">
        <f>IFERROR('Price History'!E3+(INDEX('Price History'!E:E,MATCH(9.99E+307,'Returns (Calc)'!$A:$A)+1)-'Price History'!E3)*(ROW()-3)/(MATCH(9.99E+307,'Returns (Calc)'!$A:$A)-3),"")</f>
        <v>227.92339622641512</v>
      </c>
      <c r="AA86" s="152">
        <f>IFERROR('Price History'!F3+(INDEX('Price History'!F:F,MATCH(9.99E+307,'Returns (Calc)'!$A:$A)+1)-'Price History'!F3)*(ROW()-3)/(MATCH(9.99E+307,'Returns (Calc)'!$A:$A)-3),"")</f>
        <v>163.3438993710692</v>
      </c>
      <c r="AB86" s="152">
        <f>IFERROR('Price History'!G3+(INDEX('Price History'!G:G,MATCH(9.99E+307,'Returns (Calc)'!$A:$A)+1)-'Price History'!G3)*(ROW()-3)/(MATCH(9.99E+307,'Returns (Calc)'!$A:$A)-3),"")</f>
        <v>123.2887421383648</v>
      </c>
      <c r="AC86" s="152">
        <f>IFERROR('Price History'!H3+(INDEX('Price History'!H:H,MATCH(9.99E+307,'Returns (Calc)'!$A:$A)+1)-'Price History'!H3)*(ROW()-3)/(MATCH(9.99E+307,'Returns (Calc)'!$A:$A)-3),"")</f>
        <v>570.18465408805025</v>
      </c>
      <c r="AD86" s="152">
        <f>IFERROR('Price History'!I3+(INDEX('Price History'!I:I,MATCH(9.99E+307,'Returns (Calc)'!$A:$A)+1)-'Price History'!I3)*(ROW()-3)/(MATCH(9.99E+307,'Returns (Calc)'!$A:$A)-3),"")</f>
        <v>140.60855345911949</v>
      </c>
      <c r="AE86" s="152">
        <f>IFERROR('Price History'!J3+(INDEX('Price History'!J:J,MATCH(9.99E+307,'Returns (Calc)'!$A:$A)+1)-'Price History'!J3)*(ROW()-3)/(MATCH(9.99E+307,'Returns (Calc)'!$A:$A)-3),"")</f>
        <v>121.05352201257863</v>
      </c>
      <c r="AF86" s="152">
        <f>IFERROR('Price History'!K3+(INDEX('Price History'!K:K,MATCH(9.99E+307,'Returns (Calc)'!$A:$A)+1)-'Price History'!K3)*(ROW()-3)/(MATCH(9.99E+307,'Returns (Calc)'!$A:$A)-3),"")</f>
        <v>116.45427672955975</v>
      </c>
      <c r="AG86" s="152">
        <f>IFERROR('Price History'!L3+(INDEX('Price History'!L:L,MATCH(9.99E+307,'Returns (Calc)'!$A:$A)+1)-'Price History'!L3)*(ROW()-3)/(MATCH(9.99E+307,'Returns (Calc)'!$A:$A)-3),"")</f>
        <v>277.62094339622638</v>
      </c>
      <c r="AH86" s="152">
        <f>IFERROR('Price History'!M3+(INDEX('Price History'!M:M,MATCH(9.99E+307,'Returns (Calc)'!$A:$A)+1)-'Price History'!M3)*(ROW()-3)/(MATCH(9.99E+307,'Returns (Calc)'!$A:$A)-3),"")</f>
        <v>144.90729559748428</v>
      </c>
      <c r="AI86" s="152">
        <f>IFERROR('Price History'!N3+(INDEX('Price History'!N:N,MATCH(9.99E+307,'Returns (Calc)'!$A:$A)+1)-'Price History'!N3)*(ROW()-3)/(MATCH(9.99E+307,'Returns (Calc)'!$A:$A)-3),"")</f>
        <v>433.0379874213836</v>
      </c>
      <c r="AJ86" s="152">
        <f>IFERROR('Price History'!O3+(INDEX('Price History'!O:O,MATCH(9.99E+307,'Returns (Calc)'!$A:$A)+1)-'Price History'!O3)*(ROW()-3)/(MATCH(9.99E+307,'Returns (Calc)'!$A:$A)-3),"")</f>
        <v>98.450817610062899</v>
      </c>
      <c r="AK86" s="152">
        <f>IFERROR('Price History'!Q3+(INDEX('Price History'!Q:Q,MATCH(9.99E+307,'Returns (Calc)'!$A:$A)+1)-'Price History'!Q3)*(ROW()-3)/(MATCH(9.99E+307,'Returns (Calc)'!$A:$A)-3),"")</f>
        <v>36.525220125786163</v>
      </c>
      <c r="AL86" s="152">
        <f>IFERROR('Price History'!R3+(INDEX('Price History'!R:R,MATCH(9.99E+307,'Returns (Calc)'!$A:$A)+1)-'Price History'!R3)*(ROW()-3)/(MATCH(9.99E+307,'Returns (Calc)'!$A:$A)-3),"")</f>
        <v>48.370754716981132</v>
      </c>
      <c r="AM86" s="152">
        <f>IFERROR('Price History'!S3+(INDEX('Price History'!S:S,MATCH(9.99E+307,'Returns (Calc)'!$A:$A)+1)-'Price History'!S3)*(ROW()-3)/(MATCH(9.99E+307,'Returns (Calc)'!$A:$A)-3),"")</f>
        <v>106.45383647798742</v>
      </c>
      <c r="AN86" s="152">
        <f>IFERROR('Price History'!T3+(INDEX('Price History'!T:T,MATCH(9.99E+307,'Returns (Calc)'!$A:$A)+1)-'Price History'!T3)*(ROW()-3)/(MATCH(9.99E+307,'Returns (Calc)'!$A:$A)-3),"")</f>
        <v>39.647547169811325</v>
      </c>
      <c r="AO86" s="153">
        <f>IFERROR('Price History'!V3+(INDEX('Price History'!V:V,MATCH(9.99E+307,'Returns (Calc)'!$A:$A)+1)-'Price History'!V3)*(ROW()-3)/(MATCH(9.99E+307,'Returns (Calc)'!$A:$A)-3),"")</f>
        <v>313.83792452830187</v>
      </c>
      <c r="AP86" s="151">
        <f>IFERROR(IF(OR(NOT(ISNUMBER('Price History'!W87)),NOT(ISNUMBER('Price History'!W86)),'Price History'!W86=0),"",'Price History'!W87/'Price History'!W86-1),"")</f>
        <v>2.0434446638619264E-2</v>
      </c>
      <c r="AQ86" s="151" t="str">
        <f>IFERROR(IF(OR(NOT(ISNUMBER('Price History'!X87)),NOT(ISNUMBER('Price History'!X86)),'Price History'!X86=0),"",'Price History'!X87/'Price History'!X86-1),"")</f>
        <v/>
      </c>
      <c r="AR86" s="151">
        <f>IFERROR(IF(OR(NOT(ISNUMBER('Price History'!Y87)),NOT(ISNUMBER('Price History'!Y86)),'Price History'!Y86=0),"",'Price History'!Y87/'Price History'!Y86-1),"")</f>
        <v>2.2540551927533237E-2</v>
      </c>
      <c r="AS86" s="151">
        <f>IFERROR(IF(OR(NOT(ISNUMBER('Price History'!Z87)),NOT(ISNUMBER('Price History'!Z86)),'Price History'!Z86=0),"",'Price History'!Z87/'Price History'!Z86-1),"")</f>
        <v>9.1523171474447551E-2</v>
      </c>
      <c r="AT86" s="151">
        <f>IFERROR(IF(OR(NOT(ISNUMBER('Price History'!AA87)),NOT(ISNUMBER('Price History'!AA86)),'Price History'!AA86=0),"",'Price History'!AA87/'Price History'!AA86-1),"")</f>
        <v>0.13206577595066804</v>
      </c>
      <c r="AU86" s="151">
        <f>IFERROR(IF(OR(NOT(ISNUMBER('Price History'!AB87)),NOT(ISNUMBER('Price History'!AB86)),'Price History'!AB86=0),"",'Price History'!AB87/'Price History'!AB86-1),"")</f>
        <v>5.3669830979393485E-2</v>
      </c>
    </row>
    <row r="87" spans="1:47" ht="15" customHeight="1" x14ac:dyDescent="0.2">
      <c r="A87" s="149">
        <f>IF('Price History'!A88="","",'Price History'!A88)</f>
        <v>45779</v>
      </c>
      <c r="B87" s="150">
        <f>IFERROR(IF(OR(NOT(ISNUMBER('Price History'!B88)),NOT(ISNUMBER('Price History'!B87)),'Price History'!B87=0),"",'Price History'!B88/'Price History'!B87-1),"")</f>
        <v>3.5760905036440693E-2</v>
      </c>
      <c r="C87" s="150">
        <f>IFERROR(IF(OR(NOT(ISNUMBER('Price History'!C88)),NOT(ISNUMBER('Price History'!C87)),'Price History'!C87=0),"",'Price History'!C88/'Price History'!C87-1),"")</f>
        <v>0.16827108201771268</v>
      </c>
      <c r="D87" s="150">
        <f>IFERROR(IF(OR(NOT(ISNUMBER('Price History'!D88)),NOT(ISNUMBER('Price History'!D87)),'Price History'!D87=0),"",'Price History'!D88/'Price History'!D87-1),"")</f>
        <v>2.2449406630197677E-2</v>
      </c>
      <c r="E87" s="150">
        <f>IFERROR(IF(OR(NOT(ISNUMBER('Price History'!E88)),NOT(ISNUMBER('Price History'!E87)),'Price History'!E87=0),"",'Price History'!E88/'Price History'!E87-1),"")</f>
        <v>5.8910162002945521E-2</v>
      </c>
      <c r="F87" s="150">
        <f>IFERROR(IF(OR(NOT(ISNUMBER('Price History'!F88)),NOT(ISNUMBER('Price History'!F87)),'Price History'!F87=0),"",'Price History'!F88/'Price History'!F87-1),"")</f>
        <v>3.6904537751835775E-2</v>
      </c>
      <c r="G87" s="150">
        <f>IFERROR(IF(OR(NOT(ISNUMBER('Price History'!G88)),NOT(ISNUMBER('Price History'!G87)),'Price History'!G87=0),"",'Price History'!G88/'Price History'!G87-1),"")</f>
        <v>5.0894285298823672E-3</v>
      </c>
      <c r="H87" s="150">
        <f>IFERROR(IF(OR(NOT(ISNUMBER('Price History'!H88)),NOT(ISNUMBER('Price History'!H87)),'Price History'!H87=0),"",'Price History'!H88/'Price History'!H87-1),"")</f>
        <v>1.1686353355114365E-2</v>
      </c>
      <c r="I87" s="150">
        <f>IFERROR(IF(OR(NOT(ISNUMBER('Price History'!I88)),NOT(ISNUMBER('Price History'!I87)),'Price History'!I87=0),"",'Price History'!I88/'Price History'!I87-1),"")</f>
        <v>3.1427797344892872E-2</v>
      </c>
      <c r="J87" s="150">
        <f>IFERROR(IF(OR(NOT(ISNUMBER('Price History'!J88)),NOT(ISNUMBER('Price History'!J87)),'Price History'!J87=0),"",'Price History'!J88/'Price History'!J87-1),"")</f>
        <v>3.1031648170982473E-2</v>
      </c>
      <c r="K87" s="150">
        <f>IFERROR(IF(OR(NOT(ISNUMBER('Price History'!K88)),NOT(ISNUMBER('Price History'!K87)),'Price History'!K87=0),"",'Price History'!K88/'Price History'!K87-1),"")</f>
        <v>0.10196843411952483</v>
      </c>
      <c r="L87" s="150">
        <f>IFERROR(IF(OR(NOT(ISNUMBER('Price History'!L88)),NOT(ISNUMBER('Price History'!L87)),'Price History'!L87=0),"",'Price History'!L88/'Price History'!L87-1),"")</f>
        <v>8.5911500061629509E-2</v>
      </c>
      <c r="M87" s="150">
        <f>IFERROR(IF(OR(NOT(ISNUMBER('Price History'!M88)),NOT(ISNUMBER('Price History'!M87)),'Price History'!M87=0),"",'Price History'!M88/'Price History'!M87-1),"")</f>
        <v>9.2626728110599243E-2</v>
      </c>
      <c r="N87" s="150">
        <f>IFERROR(IF(OR(NOT(ISNUMBER('Price History'!N88)),NOT(ISNUMBER('Price History'!N87)),'Price History'!N87=0),"",'Price History'!N88/'Price History'!N87-1),"")</f>
        <v>1.4802365138506302E-2</v>
      </c>
      <c r="O87" s="150">
        <f>IFERROR(IF(OR(NOT(ISNUMBER('Price History'!O88)),NOT(ISNUMBER('Price History'!O87)),'Price History'!O87=0),"",'Price History'!O88/'Price History'!O87-1),"")</f>
        <v>3.3881538271299583E-2</v>
      </c>
      <c r="P87" s="150">
        <f>IFERROR(IF(OR(NOT(ISNUMBER('Price History'!P88)),NOT(ISNUMBER('Price History'!P87)),'Price History'!P87=0),"",'Price History'!P88/'Price History'!P87-1),"")</f>
        <v>1.6606080634500975E-2</v>
      </c>
      <c r="Q87" s="150">
        <f>IFERROR(IF(OR(NOT(ISNUMBER('Price History'!Q88)),NOT(ISNUMBER('Price History'!Q87)),'Price History'!Q87=0),"",'Price History'!Q88/'Price History'!Q87-1),"")</f>
        <v>1.641867624422777E-2</v>
      </c>
      <c r="R87" s="150">
        <f>IFERROR(IF(OR(NOT(ISNUMBER('Price History'!R88)),NOT(ISNUMBER('Price History'!R87)),'Price History'!R87=0),"",'Price History'!R88/'Price History'!R87-1),"")</f>
        <v>1.9785847299813808E-2</v>
      </c>
      <c r="S87" s="150">
        <f>IFERROR(IF(OR(NOT(ISNUMBER('Price History'!S88)),NOT(ISNUMBER('Price History'!S87)),'Price History'!S87=0),"",'Price History'!S88/'Price History'!S87-1),"")</f>
        <v>4.0258342303552075E-2</v>
      </c>
      <c r="T87" s="150">
        <f>IFERROR(IF(OR(NOT(ISNUMBER('Price History'!T88)),NOT(ISNUMBER('Price History'!T87)),'Price History'!T87=0),"",'Price History'!T88/'Price History'!T87-1),"")</f>
        <v>1.9248680533995532E-2</v>
      </c>
      <c r="U87" s="150">
        <f>IFERROR(IF(OR(NOT(ISNUMBER('Price History'!U88)),NOT(ISNUMBER('Price History'!U87)),'Price History'!U87=0),"",'Price History'!U88/'Price History'!U87-1),"")</f>
        <v>1.5207562679819153E-2</v>
      </c>
      <c r="V87" s="151">
        <f>IFERROR(IF(OR(NOT(ISNUMBER('Price History'!V88)),NOT(ISNUMBER('Price History'!V87)),'Price History'!V87=0),"",'Price History'!V88/'Price History'!V87-1),"")</f>
        <v>3.708733176413781E-2</v>
      </c>
      <c r="W87" s="152">
        <f>IFERROR('Price History'!B3+(INDEX('Price History'!B:B,MATCH(9.99E+307,'Returns (Calc)'!$A:$A)+1)-'Price History'!B3)*(ROW()-3)/(MATCH(9.99E+307,'Returns (Calc)'!$A:$A)-3),"")</f>
        <v>377.46811320754716</v>
      </c>
      <c r="X87" s="152">
        <f>IFERROR('Price History'!C3+(INDEX('Price History'!C:C,MATCH(9.99E+307,'Returns (Calc)'!$A:$A)+1)-'Price History'!C3)*(ROW()-3)/(MATCH(9.99E+307,'Returns (Calc)'!$A:$A)-3),"")</f>
        <v>136.28716981132075</v>
      </c>
      <c r="Y87" s="152">
        <f>IFERROR('Price History'!D3+(INDEX('Price History'!D:D,MATCH(9.99E+307,'Returns (Calc)'!$A:$A)+1)-'Price History'!D3)*(ROW()-3)/(MATCH(9.99E+307,'Returns (Calc)'!$A:$A)-3),"")</f>
        <v>1215.0900000000001</v>
      </c>
      <c r="Z87" s="152">
        <f>IFERROR('Price History'!E3+(INDEX('Price History'!E:E,MATCH(9.99E+307,'Returns (Calc)'!$A:$A)+1)-'Price History'!E3)*(ROW()-3)/(MATCH(9.99E+307,'Returns (Calc)'!$A:$A)-3),"")</f>
        <v>229.68150943396228</v>
      </c>
      <c r="AA87" s="152">
        <f>IFERROR('Price History'!F3+(INDEX('Price History'!F:F,MATCH(9.99E+307,'Returns (Calc)'!$A:$A)+1)-'Price History'!F3)*(ROW()-3)/(MATCH(9.99E+307,'Returns (Calc)'!$A:$A)-3),"")</f>
        <v>164.81358490566038</v>
      </c>
      <c r="AB87" s="152">
        <f>IFERROR('Price History'!G3+(INDEX('Price History'!G:G,MATCH(9.99E+307,'Returns (Calc)'!$A:$A)+1)-'Price History'!G3)*(ROW()-3)/(MATCH(9.99E+307,'Returns (Calc)'!$A:$A)-3),"")</f>
        <v>124.23981132075471</v>
      </c>
      <c r="AC87" s="152">
        <f>IFERROR('Price History'!H3+(INDEX('Price History'!H:H,MATCH(9.99E+307,'Returns (Calc)'!$A:$A)+1)-'Price History'!H3)*(ROW()-3)/(MATCH(9.99E+307,'Returns (Calc)'!$A:$A)-3),"")</f>
        <v>576.22169811320748</v>
      </c>
      <c r="AD87" s="152">
        <f>IFERROR('Price History'!I3+(INDEX('Price History'!I:I,MATCH(9.99E+307,'Returns (Calc)'!$A:$A)+1)-'Price History'!I3)*(ROW()-3)/(MATCH(9.99E+307,'Returns (Calc)'!$A:$A)-3),"")</f>
        <v>141.77528301886792</v>
      </c>
      <c r="AE87" s="152">
        <f>IFERROR('Price History'!J3+(INDEX('Price History'!J:J,MATCH(9.99E+307,'Returns (Calc)'!$A:$A)+1)-'Price History'!J3)*(ROW()-3)/(MATCH(9.99E+307,'Returns (Calc)'!$A:$A)-3),"")</f>
        <v>121.1645283018868</v>
      </c>
      <c r="AF87" s="152">
        <f>IFERROR('Price History'!K3+(INDEX('Price History'!K:K,MATCH(9.99E+307,'Returns (Calc)'!$A:$A)+1)-'Price History'!K3)*(ROW()-3)/(MATCH(9.99E+307,'Returns (Calc)'!$A:$A)-3),"")</f>
        <v>117.67264150943396</v>
      </c>
      <c r="AG87" s="152">
        <f>IFERROR('Price History'!L3+(INDEX('Price History'!L:L,MATCH(9.99E+307,'Returns (Calc)'!$A:$A)+1)-'Price History'!L3)*(ROW()-3)/(MATCH(9.99E+307,'Returns (Calc)'!$A:$A)-3),"")</f>
        <v>279.93264150943401</v>
      </c>
      <c r="AH87" s="152">
        <f>IFERROR('Price History'!M3+(INDEX('Price History'!M:M,MATCH(9.99E+307,'Returns (Calc)'!$A:$A)+1)-'Price History'!M3)*(ROW()-3)/(MATCH(9.99E+307,'Returns (Calc)'!$A:$A)-3),"")</f>
        <v>146.19509433962264</v>
      </c>
      <c r="AI87" s="152">
        <f>IFERROR('Price History'!N3+(INDEX('Price History'!N:N,MATCH(9.99E+307,'Returns (Calc)'!$A:$A)+1)-'Price History'!N3)*(ROW()-3)/(MATCH(9.99E+307,'Returns (Calc)'!$A:$A)-3),"")</f>
        <v>434.05169811320752</v>
      </c>
      <c r="AJ87" s="152">
        <f>IFERROR('Price History'!O3+(INDEX('Price History'!O:O,MATCH(9.99E+307,'Returns (Calc)'!$A:$A)+1)-'Price History'!O3)*(ROW()-3)/(MATCH(9.99E+307,'Returns (Calc)'!$A:$A)-3),"")</f>
        <v>98.729622641509437</v>
      </c>
      <c r="AK87" s="152">
        <f>IFERROR('Price History'!Q3+(INDEX('Price History'!Q:Q,MATCH(9.99E+307,'Returns (Calc)'!$A:$A)+1)-'Price History'!Q3)*(ROW()-3)/(MATCH(9.99E+307,'Returns (Calc)'!$A:$A)-3),"")</f>
        <v>36.965283018867922</v>
      </c>
      <c r="AL87" s="152">
        <f>IFERROR('Price History'!R3+(INDEX('Price History'!R:R,MATCH(9.99E+307,'Returns (Calc)'!$A:$A)+1)-'Price History'!R3)*(ROW()-3)/(MATCH(9.99E+307,'Returns (Calc)'!$A:$A)-3),"")</f>
        <v>48.53811320754717</v>
      </c>
      <c r="AM87" s="152">
        <f>IFERROR('Price History'!S3+(INDEX('Price History'!S:S,MATCH(9.99E+307,'Returns (Calc)'!$A:$A)+1)-'Price History'!S3)*(ROW()-3)/(MATCH(9.99E+307,'Returns (Calc)'!$A:$A)-3),"")</f>
        <v>107.04207547169813</v>
      </c>
      <c r="AN87" s="152">
        <f>IFERROR('Price History'!T3+(INDEX('Price History'!T:T,MATCH(9.99E+307,'Returns (Calc)'!$A:$A)+1)-'Price History'!T3)*(ROW()-3)/(MATCH(9.99E+307,'Returns (Calc)'!$A:$A)-3),"")</f>
        <v>39.821132075471702</v>
      </c>
      <c r="AO87" s="153">
        <f>IFERROR('Price History'!V3+(INDEX('Price History'!V:V,MATCH(9.99E+307,'Returns (Calc)'!$A:$A)+1)-'Price History'!V3)*(ROW()-3)/(MATCH(9.99E+307,'Returns (Calc)'!$A:$A)-3),"")</f>
        <v>314.78018867924527</v>
      </c>
      <c r="AP87" s="151">
        <f>IFERROR(IF(OR(NOT(ISNUMBER('Price History'!W88)),NOT(ISNUMBER('Price History'!W87)),'Price History'!W87=0),"",'Price History'!W88/'Price History'!W87-1),"")</f>
        <v>2.1034917963819844E-2</v>
      </c>
      <c r="AQ87" s="151" t="str">
        <f>IFERROR(IF(OR(NOT(ISNUMBER('Price History'!X88)),NOT(ISNUMBER('Price History'!X87)),'Price History'!X87=0),"",'Price History'!X88/'Price History'!X87-1),"")</f>
        <v/>
      </c>
      <c r="AR87" s="151">
        <f>IFERROR(IF(OR(NOT(ISNUMBER('Price History'!Y88)),NOT(ISNUMBER('Price History'!Y87)),'Price History'!Y87=0),"",'Price History'!Y88/'Price History'!Y87-1),"")</f>
        <v>2.1425628347754522E-2</v>
      </c>
      <c r="AS87" s="151">
        <f>IFERROR(IF(OR(NOT(ISNUMBER('Price History'!Z88)),NOT(ISNUMBER('Price History'!Z87)),'Price History'!Z87=0),"",'Price History'!Z88/'Price History'!Z87-1),"")</f>
        <v>4.6718068377802568E-2</v>
      </c>
      <c r="AT87" s="151">
        <f>IFERROR(IF(OR(NOT(ISNUMBER('Price History'!AA88)),NOT(ISNUMBER('Price History'!AA87)),'Price History'!AA87=0),"",'Price History'!AA88/'Price History'!AA87-1),"")</f>
        <v>4.9931911030413056E-2</v>
      </c>
      <c r="AU87" s="151">
        <f>IFERROR(IF(OR(NOT(ISNUMBER('Price History'!AB88)),NOT(ISNUMBER('Price History'!AB87)),'Price History'!AB87=0),"",'Price History'!AB88/'Price History'!AB87-1),"")</f>
        <v>3.933374351762331E-2</v>
      </c>
    </row>
    <row r="88" spans="1:47" ht="15" customHeight="1" x14ac:dyDescent="0.2">
      <c r="A88" s="149">
        <f>IF('Price History'!A89="","",'Price History'!A89)</f>
        <v>45786</v>
      </c>
      <c r="B88" s="150">
        <f>IFERROR(IF(OR(NOT(ISNUMBER('Price History'!B89)),NOT(ISNUMBER('Price History'!B88)),'Price History'!B88=0),"",'Price History'!B89/'Price History'!B88-1),"")</f>
        <v>6.3276183474676451E-3</v>
      </c>
      <c r="C88" s="150">
        <f>IFERROR(IF(OR(NOT(ISNUMBER('Price History'!C89)),NOT(ISNUMBER('Price History'!C88)),'Price History'!C88=0),"",'Price History'!C89/'Price History'!C88-1),"")</f>
        <v>-4.9439683586025018E-2</v>
      </c>
      <c r="D88" s="150">
        <f>IFERROR(IF(OR(NOT(ISNUMBER('Price History'!D89)),NOT(ISNUMBER('Price History'!D88)),'Price History'!D88=0),"",'Price History'!D89/'Price History'!D88-1),"")</f>
        <v>2.2994386621447704E-2</v>
      </c>
      <c r="E88" s="150">
        <f>IFERROR(IF(OR(NOT(ISNUMBER('Price History'!E89)),NOT(ISNUMBER('Price History'!E88)),'Price History'!E88=0),"",'Price History'!E89/'Price History'!E88-1),"")</f>
        <v>2.2402145837472798E-2</v>
      </c>
      <c r="F88" s="150">
        <f>IFERROR(IF(OR(NOT(ISNUMBER('Price History'!F89)),NOT(ISNUMBER('Price History'!F88)),'Price History'!F88=0),"",'Price History'!F89/'Price History'!F88-1),"")</f>
        <v>-6.8095151625204298E-2</v>
      </c>
      <c r="G88" s="150">
        <f>IFERROR(IF(OR(NOT(ISNUMBER('Price History'!G89)),NOT(ISNUMBER('Price History'!G88)),'Price History'!G88=0),"",'Price History'!G89/'Price History'!G88-1),"")</f>
        <v>4.4849537037037202E-3</v>
      </c>
      <c r="H88" s="150">
        <f>IFERROR(IF(OR(NOT(ISNUMBER('Price History'!H89)),NOT(ISNUMBER('Price History'!H88)),'Price History'!H88=0),"",'Price History'!H89/'Price History'!H88-1),"")</f>
        <v>6.3718792696559445E-2</v>
      </c>
      <c r="I88" s="150">
        <f>IFERROR(IF(OR(NOT(ISNUMBER('Price History'!I89)),NOT(ISNUMBER('Price History'!I88)),'Price History'!I88=0),"",'Price History'!I89/'Price History'!I88-1),"")</f>
        <v>1.8824971543647706E-2</v>
      </c>
      <c r="J88" s="150">
        <f>IFERROR(IF(OR(NOT(ISNUMBER('Price History'!J89)),NOT(ISNUMBER('Price History'!J88)),'Price History'!J88=0),"",'Price History'!J89/'Price History'!J88-1),"")</f>
        <v>1.4251544747857281E-2</v>
      </c>
      <c r="K88" s="150">
        <f>IFERROR(IF(OR(NOT(ISNUMBER('Price History'!K89)),NOT(ISNUMBER('Price History'!K88)),'Price History'!K88=0),"",'Price History'!K89/'Price History'!K88-1),"")</f>
        <v>-5.6163501770196356E-2</v>
      </c>
      <c r="L88" s="150">
        <f>IFERROR(IF(OR(NOT(ISNUMBER('Price History'!L89)),NOT(ISNUMBER('Price History'!L88)),'Price History'!L88=0),"",'Price History'!L89/'Price History'!L88-1),"")</f>
        <v>-1.538024971623142E-2</v>
      </c>
      <c r="M88" s="150">
        <f>IFERROR(IF(OR(NOT(ISNUMBER('Price History'!M89)),NOT(ISNUMBER('Price History'!M88)),'Price History'!M88=0),"",'Price History'!M89/'Price History'!M88-1),"")</f>
        <v>-9.9114297764656412E-3</v>
      </c>
      <c r="N88" s="150">
        <f>IFERROR(IF(OR(NOT(ISNUMBER('Price History'!N89)),NOT(ISNUMBER('Price History'!N88)),'Price History'!N88=0),"",'Price History'!N89/'Price History'!N88-1),"")</f>
        <v>-0.15197046792377522</v>
      </c>
      <c r="O88" s="150">
        <f>IFERROR(IF(OR(NOT(ISNUMBER('Price History'!O89)),NOT(ISNUMBER('Price History'!O88)),'Price History'!O88=0),"",'Price History'!O89/'Price History'!O88-1),"")</f>
        <v>1.1601483076187025E-2</v>
      </c>
      <c r="P88" s="150">
        <f>IFERROR(IF(OR(NOT(ISNUMBER('Price History'!P89)),NOT(ISNUMBER('Price History'!P88)),'Price History'!P88=0),"",'Price History'!P89/'Price History'!P88-1),"")</f>
        <v>-1.2190166598943231E-3</v>
      </c>
      <c r="Q88" s="150">
        <f>IFERROR(IF(OR(NOT(ISNUMBER('Price History'!Q89)),NOT(ISNUMBER('Price History'!Q88)),'Price History'!Q88=0),"",'Price History'!Q89/'Price History'!Q88-1),"")</f>
        <v>-2.5239777889953796E-3</v>
      </c>
      <c r="R88" s="150">
        <f>IFERROR(IF(OR(NOT(ISNUMBER('Price History'!R89)),NOT(ISNUMBER('Price History'!R88)),'Price History'!R88=0),"",'Price History'!R89/'Price History'!R88-1),"")</f>
        <v>2.7391006619492675E-3</v>
      </c>
      <c r="S88" s="150">
        <f>IFERROR(IF(OR(NOT(ISNUMBER('Price History'!S89)),NOT(ISNUMBER('Price History'!S88)),'Price History'!S88=0),"",'Price History'!S89/'Price History'!S88-1),"")</f>
        <v>6.9329470198675747E-3</v>
      </c>
      <c r="T88" s="150">
        <f>IFERROR(IF(OR(NOT(ISNUMBER('Price History'!T89)),NOT(ISNUMBER('Price History'!T88)),'Price History'!T88=0),"",'Price History'!T89/'Price History'!T88-1),"")</f>
        <v>-1.5229972586048302E-3</v>
      </c>
      <c r="U88" s="150">
        <f>IFERROR(IF(OR(NOT(ISNUMBER('Price History'!U89)),NOT(ISNUMBER('Price History'!U88)),'Price History'!U88=0),"",'Price History'!U89/'Price History'!U88-1),"")</f>
        <v>-1.2955465587044523E-2</v>
      </c>
      <c r="V88" s="151">
        <f>IFERROR(IF(OR(NOT(ISNUMBER('Price History'!V89)),NOT(ISNUMBER('Price History'!V88)),'Price History'!V88=0),"",'Price History'!V89/'Price History'!V88-1),"")</f>
        <v>1.4199668286437594E-2</v>
      </c>
      <c r="W88" s="152">
        <f>IFERROR('Price History'!B3+(INDEX('Price History'!B:B,MATCH(9.99E+307,'Returns (Calc)'!$A:$A)+1)-'Price History'!B3)*(ROW()-3)/(MATCH(9.99E+307,'Returns (Calc)'!$A:$A)-3),"")</f>
        <v>375.66547169811315</v>
      </c>
      <c r="X88" s="152">
        <f>IFERROR('Price History'!C3+(INDEX('Price History'!C:C,MATCH(9.99E+307,'Returns (Calc)'!$A:$A)+1)-'Price History'!C3)*(ROW()-3)/(MATCH(9.99E+307,'Returns (Calc)'!$A:$A)-3),"")</f>
        <v>137.35987421383649</v>
      </c>
      <c r="Y88" s="152">
        <f>IFERROR('Price History'!D3+(INDEX('Price History'!D:D,MATCH(9.99E+307,'Returns (Calc)'!$A:$A)+1)-'Price History'!D3)*(ROW()-3)/(MATCH(9.99E+307,'Returns (Calc)'!$A:$A)-3),"")</f>
        <v>1222.6266666666666</v>
      </c>
      <c r="Z88" s="152">
        <f>IFERROR('Price History'!E3+(INDEX('Price History'!E:E,MATCH(9.99E+307,'Returns (Calc)'!$A:$A)+1)-'Price History'!E3)*(ROW()-3)/(MATCH(9.99E+307,'Returns (Calc)'!$A:$A)-3),"")</f>
        <v>231.43962264150943</v>
      </c>
      <c r="AA88" s="152">
        <f>IFERROR('Price History'!F3+(INDEX('Price History'!F:F,MATCH(9.99E+307,'Returns (Calc)'!$A:$A)+1)-'Price History'!F3)*(ROW()-3)/(MATCH(9.99E+307,'Returns (Calc)'!$A:$A)-3),"")</f>
        <v>166.28327044025156</v>
      </c>
      <c r="AB88" s="152">
        <f>IFERROR('Price History'!G3+(INDEX('Price History'!G:G,MATCH(9.99E+307,'Returns (Calc)'!$A:$A)+1)-'Price History'!G3)*(ROW()-3)/(MATCH(9.99E+307,'Returns (Calc)'!$A:$A)-3),"")</f>
        <v>125.19088050314465</v>
      </c>
      <c r="AC88" s="152">
        <f>IFERROR('Price History'!H3+(INDEX('Price History'!H:H,MATCH(9.99E+307,'Returns (Calc)'!$A:$A)+1)-'Price History'!H3)*(ROW()-3)/(MATCH(9.99E+307,'Returns (Calc)'!$A:$A)-3),"")</f>
        <v>582.25874213836471</v>
      </c>
      <c r="AD88" s="152">
        <f>IFERROR('Price History'!I3+(INDEX('Price History'!I:I,MATCH(9.99E+307,'Returns (Calc)'!$A:$A)+1)-'Price History'!I3)*(ROW()-3)/(MATCH(9.99E+307,'Returns (Calc)'!$A:$A)-3),"")</f>
        <v>142.94201257861636</v>
      </c>
      <c r="AE88" s="152">
        <f>IFERROR('Price History'!J3+(INDEX('Price History'!J:J,MATCH(9.99E+307,'Returns (Calc)'!$A:$A)+1)-'Price History'!J3)*(ROW()-3)/(MATCH(9.99E+307,'Returns (Calc)'!$A:$A)-3),"")</f>
        <v>121.27553459119497</v>
      </c>
      <c r="AF88" s="152">
        <f>IFERROR('Price History'!K3+(INDEX('Price History'!K:K,MATCH(9.99E+307,'Returns (Calc)'!$A:$A)+1)-'Price History'!K3)*(ROW()-3)/(MATCH(9.99E+307,'Returns (Calc)'!$A:$A)-3),"")</f>
        <v>118.89100628930818</v>
      </c>
      <c r="AG88" s="152">
        <f>IFERROR('Price History'!L3+(INDEX('Price History'!L:L,MATCH(9.99E+307,'Returns (Calc)'!$A:$A)+1)-'Price History'!L3)*(ROW()-3)/(MATCH(9.99E+307,'Returns (Calc)'!$A:$A)-3),"")</f>
        <v>282.24433962264152</v>
      </c>
      <c r="AH88" s="152">
        <f>IFERROR('Price History'!M3+(INDEX('Price History'!M:M,MATCH(9.99E+307,'Returns (Calc)'!$A:$A)+1)-'Price History'!M3)*(ROW()-3)/(MATCH(9.99E+307,'Returns (Calc)'!$A:$A)-3),"")</f>
        <v>147.48289308176101</v>
      </c>
      <c r="AI88" s="152">
        <f>IFERROR('Price History'!N3+(INDEX('Price History'!N:N,MATCH(9.99E+307,'Returns (Calc)'!$A:$A)+1)-'Price History'!N3)*(ROW()-3)/(MATCH(9.99E+307,'Returns (Calc)'!$A:$A)-3),"")</f>
        <v>435.06540880503144</v>
      </c>
      <c r="AJ88" s="152">
        <f>IFERROR('Price History'!O3+(INDEX('Price History'!O:O,MATCH(9.99E+307,'Returns (Calc)'!$A:$A)+1)-'Price History'!O3)*(ROW()-3)/(MATCH(9.99E+307,'Returns (Calc)'!$A:$A)-3),"")</f>
        <v>99.008427672955975</v>
      </c>
      <c r="AK88" s="152">
        <f>IFERROR('Price History'!Q3+(INDEX('Price History'!Q:Q,MATCH(9.99E+307,'Returns (Calc)'!$A:$A)+1)-'Price History'!Q3)*(ROW()-3)/(MATCH(9.99E+307,'Returns (Calc)'!$A:$A)-3),"")</f>
        <v>37.405345911949688</v>
      </c>
      <c r="AL88" s="152">
        <f>IFERROR('Price History'!R3+(INDEX('Price History'!R:R,MATCH(9.99E+307,'Returns (Calc)'!$A:$A)+1)-'Price History'!R3)*(ROW()-3)/(MATCH(9.99E+307,'Returns (Calc)'!$A:$A)-3),"")</f>
        <v>48.705471698113207</v>
      </c>
      <c r="AM88" s="152">
        <f>IFERROR('Price History'!S3+(INDEX('Price History'!S:S,MATCH(9.99E+307,'Returns (Calc)'!$A:$A)+1)-'Price History'!S3)*(ROW()-3)/(MATCH(9.99E+307,'Returns (Calc)'!$A:$A)-3),"")</f>
        <v>107.63031446540882</v>
      </c>
      <c r="AN88" s="152">
        <f>IFERROR('Price History'!T3+(INDEX('Price History'!T:T,MATCH(9.99E+307,'Returns (Calc)'!$A:$A)+1)-'Price History'!T3)*(ROW()-3)/(MATCH(9.99E+307,'Returns (Calc)'!$A:$A)-3),"")</f>
        <v>39.994716981132079</v>
      </c>
      <c r="AO88" s="153">
        <f>IFERROR('Price History'!V3+(INDEX('Price History'!V:V,MATCH(9.99E+307,'Returns (Calc)'!$A:$A)+1)-'Price History'!V3)*(ROW()-3)/(MATCH(9.99E+307,'Returns (Calc)'!$A:$A)-3),"")</f>
        <v>315.72245283018867</v>
      </c>
      <c r="AP88" s="151">
        <f>IFERROR(IF(OR(NOT(ISNUMBER('Price History'!W89)),NOT(ISNUMBER('Price History'!W88)),'Price History'!W88=0),"",'Price History'!W89/'Price History'!W88-1),"")</f>
        <v>-1.2360939431396156E-3</v>
      </c>
      <c r="AQ88" s="151" t="str">
        <f>IFERROR(IF(OR(NOT(ISNUMBER('Price History'!X89)),NOT(ISNUMBER('Price History'!X88)),'Price History'!X88=0),"",'Price History'!X89/'Price History'!X88-1),"")</f>
        <v/>
      </c>
      <c r="AR88" s="151">
        <f>IFERROR(IF(OR(NOT(ISNUMBER('Price History'!Y89)),NOT(ISNUMBER('Price History'!Y88)),'Price History'!Y88=0),"",'Price History'!Y89/'Price History'!Y88-1),"")</f>
        <v>-2.0169423154492438E-4</v>
      </c>
      <c r="AS88" s="151">
        <f>IFERROR(IF(OR(NOT(ISNUMBER('Price History'!Z89)),NOT(ISNUMBER('Price History'!Z88)),'Price History'!Z88=0),"",'Price History'!Z89/'Price History'!Z88-1),"")</f>
        <v>3.4940634843712237E-2</v>
      </c>
      <c r="AT88" s="151">
        <f>IFERROR(IF(OR(NOT(ISNUMBER('Price History'!AA89)),NOT(ISNUMBER('Price History'!AA88)),'Price History'!AA88=0),"",'Price History'!AA89/'Price History'!AA88-1),"")</f>
        <v>-1.4094249891915323E-2</v>
      </c>
      <c r="AU88" s="151">
        <f>IFERROR(IF(OR(NOT(ISNUMBER('Price History'!AB89)),NOT(ISNUMBER('Price History'!AB88)),'Price History'!AB88=0),"",'Price History'!AB89/'Price History'!AB88-1),"")</f>
        <v>2.3679648188084101E-3</v>
      </c>
    </row>
    <row r="89" spans="1:47" ht="15" customHeight="1" x14ac:dyDescent="0.2">
      <c r="A89" s="149">
        <f>IF('Price History'!A90="","",'Price History'!A90)</f>
        <v>45793</v>
      </c>
      <c r="B89" s="150">
        <f>IFERROR(IF(OR(NOT(ISNUMBER('Price History'!B90)),NOT(ISNUMBER('Price History'!B89)),'Price History'!B89=0),"",'Price History'!B90/'Price History'!B89-1),"")</f>
        <v>8.8316635357962969E-2</v>
      </c>
      <c r="C89" s="150">
        <f>IFERROR(IF(OR(NOT(ISNUMBER('Price History'!C90)),NOT(ISNUMBER('Price History'!C89)),'Price History'!C89=0),"",'Price History'!C90/'Price History'!C89-1),"")</f>
        <v>0.11442441054091557</v>
      </c>
      <c r="D89" s="150">
        <f>IFERROR(IF(OR(NOT(ISNUMBER('Price History'!D90)),NOT(ISNUMBER('Price History'!D89)),'Price History'!D89=0),"",'Price History'!D90/'Price History'!D89-1),"")</f>
        <v>5.9316100084308765E-2</v>
      </c>
      <c r="E89" s="150">
        <f>IFERROR(IF(OR(NOT(ISNUMBER('Price History'!E90)),NOT(ISNUMBER('Price History'!E89)),'Price History'!E89=0),"",'Price History'!E90/'Price History'!E89-1),"")</f>
        <v>9.7993489773113618E-2</v>
      </c>
      <c r="F89" s="150">
        <f>IFERROR(IF(OR(NOT(ISNUMBER('Price History'!F90)),NOT(ISNUMBER('Price History'!F89)),'Price History'!F89=0),"",'Price History'!F90/'Price History'!F89-1),"")</f>
        <v>6.9953234606391135E-2</v>
      </c>
      <c r="G89" s="150">
        <f>IFERROR(IF(OR(NOT(ISNUMBER('Price History'!G90)),NOT(ISNUMBER('Price History'!G89)),'Price History'!G89=0),"",'Price History'!G90/'Price History'!G89-1),"")</f>
        <v>0.12818666282586766</v>
      </c>
      <c r="H89" s="150">
        <f>IFERROR(IF(OR(NOT(ISNUMBER('Price History'!H90)),NOT(ISNUMBER('Price History'!H89)),'Price History'!H89=0),"",'Price History'!H90/'Price History'!H89-1),"")</f>
        <v>0.14140588510042029</v>
      </c>
      <c r="I89" s="150">
        <f>IFERROR(IF(OR(NOT(ISNUMBER('Price History'!I90)),NOT(ISNUMBER('Price History'!I89)),'Price History'!I89=0),"",'Price History'!I90/'Price History'!I89-1),"")</f>
        <v>0.16070814712959791</v>
      </c>
      <c r="J89" s="150">
        <f>IFERROR(IF(OR(NOT(ISNUMBER('Price History'!J90)),NOT(ISNUMBER('Price History'!J89)),'Price History'!J89=0),"",'Price History'!J90/'Price History'!J89-1),"")</f>
        <v>3.3998231305885973E-2</v>
      </c>
      <c r="K89" s="150">
        <f>IFERROR(IF(OR(NOT(ISNUMBER('Price History'!K90)),NOT(ISNUMBER('Price History'!K89)),'Price History'!K89=0),"",'Price History'!K90/'Price History'!K89-1),"")</f>
        <v>0.10417732310315442</v>
      </c>
      <c r="L89" s="150">
        <f>IFERROR(IF(OR(NOT(ISNUMBER('Price History'!L90)),NOT(ISNUMBER('Price History'!L89)),'Price History'!L89=0),"",'Price History'!L90/'Price History'!L89-1),"")</f>
        <v>0.10023632486022249</v>
      </c>
      <c r="M89" s="150">
        <f>IFERROR(IF(OR(NOT(ISNUMBER('Price History'!M90)),NOT(ISNUMBER('Price History'!M89)),'Price History'!M89=0),"",'Price History'!M90/'Price History'!M89-1),"")</f>
        <v>0.12736954206602769</v>
      </c>
      <c r="N89" s="150">
        <f>IFERROR(IF(OR(NOT(ISNUMBER('Price History'!N90)),NOT(ISNUMBER('Price History'!N89)),'Price History'!N89=0),"",'Price History'!N90/'Price History'!N89-1),"")</f>
        <v>3.2141932751358793E-2</v>
      </c>
      <c r="O89" s="150">
        <f>IFERROR(IF(OR(NOT(ISNUMBER('Price History'!O90)),NOT(ISNUMBER('Price History'!O89)),'Price History'!O89=0),"",'Price History'!O90/'Price History'!O89-1),"")</f>
        <v>4.8947741782927379E-2</v>
      </c>
      <c r="P89" s="150">
        <f>IFERROR(IF(OR(NOT(ISNUMBER('Price History'!P90)),NOT(ISNUMBER('Price History'!P89)),'Price History'!P89=0),"",'Price History'!P90/'Price History'!P89-1),"")</f>
        <v>3.2058584214808672E-2</v>
      </c>
      <c r="Q89" s="150">
        <f>IFERROR(IF(OR(NOT(ISNUMBER('Price History'!Q90)),NOT(ISNUMBER('Price History'!Q89)),'Price History'!Q89=0),"",'Price History'!Q90/'Price History'!Q89-1),"")</f>
        <v>2.9352226720647856E-2</v>
      </c>
      <c r="R89" s="150">
        <f>IFERROR(IF(OR(NOT(ISNUMBER('Price History'!R90)),NOT(ISNUMBER('Price History'!R89)),'Price History'!R89=0),"",'Price History'!R90/'Price History'!R89-1),"")</f>
        <v>1.7300250398361028E-2</v>
      </c>
      <c r="S89" s="150">
        <f>IFERROR(IF(OR(NOT(ISNUMBER('Price History'!S90)),NOT(ISNUMBER('Price History'!S89)),'Price History'!S89=0),"",'Price History'!S90/'Price History'!S89-1),"")</f>
        <v>6.8235535916144396E-2</v>
      </c>
      <c r="T89" s="150">
        <f>IFERROR(IF(OR(NOT(ISNUMBER('Price History'!T90)),NOT(ISNUMBER('Price History'!T89)),'Price History'!T89=0),"",'Price History'!T90/'Price History'!T89-1),"")</f>
        <v>4.3014032946918856E-2</v>
      </c>
      <c r="U89" s="150">
        <f>IFERROR(IF(OR(NOT(ISNUMBER('Price History'!U90)),NOT(ISNUMBER('Price History'!U89)),'Price History'!U89=0),"",'Price History'!U90/'Price History'!U89-1),"")</f>
        <v>3.4044298605414358E-2</v>
      </c>
      <c r="V89" s="151">
        <f>IFERROR(IF(OR(NOT(ISNUMBER('Price History'!V90)),NOT(ISNUMBER('Price History'!V89)),'Price History'!V89=0),"",'Price History'!V90/'Price History'!V89-1),"")</f>
        <v>3.7412135991966577E-2</v>
      </c>
      <c r="W89" s="152">
        <f>IFERROR('Price History'!B3+(INDEX('Price History'!B:B,MATCH(9.99E+307,'Returns (Calc)'!$A:$A)+1)-'Price History'!B3)*(ROW()-3)/(MATCH(9.99E+307,'Returns (Calc)'!$A:$A)-3),"")</f>
        <v>373.86283018867925</v>
      </c>
      <c r="X89" s="152">
        <f>IFERROR('Price History'!C3+(INDEX('Price History'!C:C,MATCH(9.99E+307,'Returns (Calc)'!$A:$A)+1)-'Price History'!C3)*(ROW()-3)/(MATCH(9.99E+307,'Returns (Calc)'!$A:$A)-3),"")</f>
        <v>138.4325786163522</v>
      </c>
      <c r="Y89" s="152">
        <f>IFERROR('Price History'!D3+(INDEX('Price History'!D:D,MATCH(9.99E+307,'Returns (Calc)'!$A:$A)+1)-'Price History'!D3)*(ROW()-3)/(MATCH(9.99E+307,'Returns (Calc)'!$A:$A)-3),"")</f>
        <v>1230.1633333333334</v>
      </c>
      <c r="Z89" s="152">
        <f>IFERROR('Price History'!E3+(INDEX('Price History'!E:E,MATCH(9.99E+307,'Returns (Calc)'!$A:$A)+1)-'Price History'!E3)*(ROW()-3)/(MATCH(9.99E+307,'Returns (Calc)'!$A:$A)-3),"")</f>
        <v>233.19773584905661</v>
      </c>
      <c r="AA89" s="152">
        <f>IFERROR('Price History'!F3+(INDEX('Price History'!F:F,MATCH(9.99E+307,'Returns (Calc)'!$A:$A)+1)-'Price History'!F3)*(ROW()-3)/(MATCH(9.99E+307,'Returns (Calc)'!$A:$A)-3),"")</f>
        <v>167.75295597484276</v>
      </c>
      <c r="AB89" s="152">
        <f>IFERROR('Price History'!G3+(INDEX('Price History'!G:G,MATCH(9.99E+307,'Returns (Calc)'!$A:$A)+1)-'Price History'!G3)*(ROW()-3)/(MATCH(9.99E+307,'Returns (Calc)'!$A:$A)-3),"")</f>
        <v>126.1419496855346</v>
      </c>
      <c r="AC89" s="152">
        <f>IFERROR('Price History'!H3+(INDEX('Price History'!H:H,MATCH(9.99E+307,'Returns (Calc)'!$A:$A)+1)-'Price History'!H3)*(ROW()-3)/(MATCH(9.99E+307,'Returns (Calc)'!$A:$A)-3),"")</f>
        <v>588.29578616352194</v>
      </c>
      <c r="AD89" s="152">
        <f>IFERROR('Price History'!I3+(INDEX('Price History'!I:I,MATCH(9.99E+307,'Returns (Calc)'!$A:$A)+1)-'Price History'!I3)*(ROW()-3)/(MATCH(9.99E+307,'Returns (Calc)'!$A:$A)-3),"")</f>
        <v>144.10874213836479</v>
      </c>
      <c r="AE89" s="152">
        <f>IFERROR('Price History'!J3+(INDEX('Price History'!J:J,MATCH(9.99E+307,'Returns (Calc)'!$A:$A)+1)-'Price History'!J3)*(ROW()-3)/(MATCH(9.99E+307,'Returns (Calc)'!$A:$A)-3),"")</f>
        <v>121.38654088050315</v>
      </c>
      <c r="AF89" s="152">
        <f>IFERROR('Price History'!K3+(INDEX('Price History'!K:K,MATCH(9.99E+307,'Returns (Calc)'!$A:$A)+1)-'Price History'!K3)*(ROW()-3)/(MATCH(9.99E+307,'Returns (Calc)'!$A:$A)-3),"")</f>
        <v>120.10937106918237</v>
      </c>
      <c r="AG89" s="152">
        <f>IFERROR('Price History'!L3+(INDEX('Price History'!L:L,MATCH(9.99E+307,'Returns (Calc)'!$A:$A)+1)-'Price History'!L3)*(ROW()-3)/(MATCH(9.99E+307,'Returns (Calc)'!$A:$A)-3),"")</f>
        <v>284.55603773584903</v>
      </c>
      <c r="AH89" s="152">
        <f>IFERROR('Price History'!M3+(INDEX('Price History'!M:M,MATCH(9.99E+307,'Returns (Calc)'!$A:$A)+1)-'Price History'!M3)*(ROW()-3)/(MATCH(9.99E+307,'Returns (Calc)'!$A:$A)-3),"")</f>
        <v>148.77069182389937</v>
      </c>
      <c r="AI89" s="152">
        <f>IFERROR('Price History'!N3+(INDEX('Price History'!N:N,MATCH(9.99E+307,'Returns (Calc)'!$A:$A)+1)-'Price History'!N3)*(ROW()-3)/(MATCH(9.99E+307,'Returns (Calc)'!$A:$A)-3),"")</f>
        <v>436.07911949685536</v>
      </c>
      <c r="AJ89" s="152">
        <f>IFERROR('Price History'!O3+(INDEX('Price History'!O:O,MATCH(9.99E+307,'Returns (Calc)'!$A:$A)+1)-'Price History'!O3)*(ROW()-3)/(MATCH(9.99E+307,'Returns (Calc)'!$A:$A)-3),"")</f>
        <v>99.287232704402513</v>
      </c>
      <c r="AK89" s="152">
        <f>IFERROR('Price History'!Q3+(INDEX('Price History'!Q:Q,MATCH(9.99E+307,'Returns (Calc)'!$A:$A)+1)-'Price History'!Q3)*(ROW()-3)/(MATCH(9.99E+307,'Returns (Calc)'!$A:$A)-3),"")</f>
        <v>37.845408805031447</v>
      </c>
      <c r="AL89" s="152">
        <f>IFERROR('Price History'!R3+(INDEX('Price History'!R:R,MATCH(9.99E+307,'Returns (Calc)'!$A:$A)+1)-'Price History'!R3)*(ROW()-3)/(MATCH(9.99E+307,'Returns (Calc)'!$A:$A)-3),"")</f>
        <v>48.872830188679245</v>
      </c>
      <c r="AM89" s="152">
        <f>IFERROR('Price History'!S3+(INDEX('Price History'!S:S,MATCH(9.99E+307,'Returns (Calc)'!$A:$A)+1)-'Price History'!S3)*(ROW()-3)/(MATCH(9.99E+307,'Returns (Calc)'!$A:$A)-3),"")</f>
        <v>108.21855345911951</v>
      </c>
      <c r="AN89" s="152">
        <f>IFERROR('Price History'!T3+(INDEX('Price History'!T:T,MATCH(9.99E+307,'Returns (Calc)'!$A:$A)+1)-'Price History'!T3)*(ROW()-3)/(MATCH(9.99E+307,'Returns (Calc)'!$A:$A)-3),"")</f>
        <v>40.168301886792456</v>
      </c>
      <c r="AO89" s="153">
        <f>IFERROR('Price History'!V3+(INDEX('Price History'!V:V,MATCH(9.99E+307,'Returns (Calc)'!$A:$A)+1)-'Price History'!V3)*(ROW()-3)/(MATCH(9.99E+307,'Returns (Calc)'!$A:$A)-3),"")</f>
        <v>316.66471698113207</v>
      </c>
      <c r="AP89" s="151">
        <f>IFERROR(IF(OR(NOT(ISNUMBER('Price History'!W90)),NOT(ISNUMBER('Price History'!W89)),'Price History'!W89=0),"",'Price History'!W90/'Price History'!W89-1),"")</f>
        <v>3.3498349834983454E-2</v>
      </c>
      <c r="AQ89" s="151" t="str">
        <f>IFERROR(IF(OR(NOT(ISNUMBER('Price History'!X90)),NOT(ISNUMBER('Price History'!X89)),'Price History'!X89=0),"",'Price History'!X90/'Price History'!X89-1),"")</f>
        <v/>
      </c>
      <c r="AR89" s="151">
        <f>IFERROR(IF(OR(NOT(ISNUMBER('Price History'!Y90)),NOT(ISNUMBER('Price History'!Y89)),'Price History'!Y89=0),"",'Price History'!Y90/'Price History'!Y89-1),"")</f>
        <v>1.0691950776679393E-2</v>
      </c>
      <c r="AS89" s="151">
        <f>IFERROR(IF(OR(NOT(ISNUMBER('Price History'!Z90)),NOT(ISNUMBER('Price History'!Z89)),'Price History'!Z89=0),"",'Price History'!Z90/'Price History'!Z89-1),"")</f>
        <v>7.82449896984454E-2</v>
      </c>
      <c r="AT89" s="151">
        <f>IFERROR(IF(OR(NOT(ISNUMBER('Price History'!AA90)),NOT(ISNUMBER('Price History'!AA89)),'Price History'!AA89=0),"",'Price History'!AA90/'Price History'!AA89-1),"")</f>
        <v>4.4992106647956609E-2</v>
      </c>
      <c r="AU89" s="151">
        <f>IFERROR(IF(OR(NOT(ISNUMBER('Price History'!AB90)),NOT(ISNUMBER('Price History'!AB89)),'Price History'!AB89=0),"",'Price History'!AB90/'Price History'!AB89-1),"")</f>
        <v>2.4172115587428822E-2</v>
      </c>
    </row>
    <row r="90" spans="1:47" ht="15" customHeight="1" x14ac:dyDescent="0.2">
      <c r="A90" s="149">
        <f>IF('Price History'!A91="","",'Price History'!A91)</f>
        <v>45800</v>
      </c>
      <c r="B90" s="150">
        <f>IFERROR(IF(OR(NOT(ISNUMBER('Price History'!B91)),NOT(ISNUMBER('Price History'!B90)),'Price History'!B90=0),"",'Price History'!B91/'Price History'!B90-1),"")</f>
        <v>-2.2630834512022635E-2</v>
      </c>
      <c r="C90" s="150">
        <f>IFERROR(IF(OR(NOT(ISNUMBER('Price History'!C91)),NOT(ISNUMBER('Price History'!C90)),'Price History'!C90=0),"",'Price History'!C91/'Price History'!C90-1),"")</f>
        <v>-5.4138145612943389E-2</v>
      </c>
      <c r="D90" s="150">
        <f>IFERROR(IF(OR(NOT(ISNUMBER('Price History'!D91)),NOT(ISNUMBER('Price History'!D90)),'Price History'!D90=0),"",'Price History'!D91/'Price History'!D90-1),"")</f>
        <v>-2.0854691631144506E-2</v>
      </c>
      <c r="E90" s="150">
        <f>IFERROR(IF(OR(NOT(ISNUMBER('Price History'!E91)),NOT(ISNUMBER('Price History'!E90)),'Price History'!E90=0),"",'Price History'!E91/'Price History'!E90-1),"")</f>
        <v>4.8672566371688042E-4</v>
      </c>
      <c r="F90" s="150">
        <f>IFERROR(IF(OR(NOT(ISNUMBER('Price History'!F91)),NOT(ISNUMBER('Price History'!F90)),'Price History'!F90=0),"",'Price History'!F91/'Price History'!F90-1),"")</f>
        <v>3.7151702786377916E-2</v>
      </c>
      <c r="G90" s="150">
        <f>IFERROR(IF(OR(NOT(ISNUMBER('Price History'!G91)),NOT(ISNUMBER('Price History'!G90)),'Price History'!G90=0),"",'Price History'!G91/'Price History'!G90-1),"")</f>
        <v>-4.0597472232860921E-2</v>
      </c>
      <c r="H90" s="150">
        <f>IFERROR(IF(OR(NOT(ISNUMBER('Price History'!H91)),NOT(ISNUMBER('Price History'!H90)),'Price History'!H90=0),"",'Price History'!H91/'Price History'!H90-1),"")</f>
        <v>-4.7263427109974443E-2</v>
      </c>
      <c r="I90" s="150">
        <f>IFERROR(IF(OR(NOT(ISNUMBER('Price History'!I91)),NOT(ISNUMBER('Price History'!I90)),'Price History'!I90=0),"",'Price History'!I91/'Price History'!I90-1),"")</f>
        <v>-3.0356878424403932E-2</v>
      </c>
      <c r="J90" s="150">
        <f>IFERROR(IF(OR(NOT(ISNUMBER('Price History'!J91)),NOT(ISNUMBER('Price History'!J90)),'Price History'!J90=0),"",'Price History'!J91/'Price History'!J90-1),"")</f>
        <v>-5.8823529411764719E-2</v>
      </c>
      <c r="K90" s="150">
        <f>IFERROR(IF(OR(NOT(ISNUMBER('Price History'!K91)),NOT(ISNUMBER('Price History'!K90)),'Price History'!K90=0),"",'Price History'!K91/'Price History'!K90-1),"")</f>
        <v>-4.7946263125386079E-2</v>
      </c>
      <c r="L90" s="150">
        <f>IFERROR(IF(OR(NOT(ISNUMBER('Price History'!L91)),NOT(ISNUMBER('Price History'!L90)),'Price History'!L90=0),"",'Price History'!L91/'Price History'!L90-1),"")</f>
        <v>-1.1525565800502902E-2</v>
      </c>
      <c r="M90" s="150">
        <f>IFERROR(IF(OR(NOT(ISNUMBER('Price History'!M91)),NOT(ISNUMBER('Price History'!M90)),'Price History'!M90=0),"",'Price History'!M91/'Price History'!M90-1),"")</f>
        <v>-1.7948233515964529E-2</v>
      </c>
      <c r="N90" s="150">
        <f>IFERROR(IF(OR(NOT(ISNUMBER('Price History'!N91)),NOT(ISNUMBER('Price History'!N90)),'Price History'!N90=0),"",'Price History'!N91/'Price History'!N90-1),"")</f>
        <v>-6.041262965918115E-3</v>
      </c>
      <c r="O90" s="150">
        <f>IFERROR(IF(OR(NOT(ISNUMBER('Price History'!O91)),NOT(ISNUMBER('Price History'!O90)),'Price History'!O90=0),"",'Price History'!O91/'Price History'!O90-1),"")</f>
        <v>-4.0013525698827768E-2</v>
      </c>
      <c r="P90" s="150">
        <f>IFERROR(IF(OR(NOT(ISNUMBER('Price History'!P91)),NOT(ISNUMBER('Price History'!P90)),'Price History'!P90=0),"",'Price History'!P91/'Price History'!P90-1),"")</f>
        <v>-2.5859350362661626E-2</v>
      </c>
      <c r="Q90" s="150">
        <f>IFERROR(IF(OR(NOT(ISNUMBER('Price History'!Q91)),NOT(ISNUMBER('Price History'!Q90)),'Price History'!Q90=0),"",'Price History'!Q91/'Price History'!Q90-1),"")</f>
        <v>-1.6551950180268893E-2</v>
      </c>
      <c r="R90" s="150">
        <f>IFERROR(IF(OR(NOT(ISNUMBER('Price History'!R91)),NOT(ISNUMBER('Price History'!R90)),'Price History'!R90=0),"",'Price History'!R91/'Price History'!R90-1),"")</f>
        <v>-9.1743119266054496E-3</v>
      </c>
      <c r="S90" s="150">
        <f>IFERROR(IF(OR(NOT(ISNUMBER('Price History'!S91)),NOT(ISNUMBER('Price History'!S90)),'Price History'!S90=0),"",'Price History'!S91/'Price History'!S90-1),"")</f>
        <v>-2.2318422318422404E-2</v>
      </c>
      <c r="T90" s="150">
        <f>IFERROR(IF(OR(NOT(ISNUMBER('Price History'!T91)),NOT(ISNUMBER('Price History'!T90)),'Price History'!T90=0),"",'Price History'!T91/'Price History'!T90-1),"")</f>
        <v>-3.4805498683825653E-2</v>
      </c>
      <c r="U90" s="150">
        <f>IFERROR(IF(OR(NOT(ISNUMBER('Price History'!U91)),NOT(ISNUMBER('Price History'!U90)),'Price History'!U90=0),"",'Price History'!U91/'Price History'!U90-1),"")</f>
        <v>-2.6973423244744166E-2</v>
      </c>
      <c r="V90" s="151">
        <f>IFERROR(IF(OR(NOT(ISNUMBER('Price History'!V91)),NOT(ISNUMBER('Price History'!V90)),'Price History'!V90=0),"",'Price History'!V91/'Price History'!V90-1),"")</f>
        <v>-3.1721009983683102E-2</v>
      </c>
      <c r="W90" s="152">
        <f>IFERROR('Price History'!B3+(INDEX('Price History'!B:B,MATCH(9.99E+307,'Returns (Calc)'!$A:$A)+1)-'Price History'!B3)*(ROW()-3)/(MATCH(9.99E+307,'Returns (Calc)'!$A:$A)-3),"")</f>
        <v>372.06018867924524</v>
      </c>
      <c r="X90" s="152">
        <f>IFERROR('Price History'!C3+(INDEX('Price History'!C:C,MATCH(9.99E+307,'Returns (Calc)'!$A:$A)+1)-'Price History'!C3)*(ROW()-3)/(MATCH(9.99E+307,'Returns (Calc)'!$A:$A)-3),"")</f>
        <v>139.50528301886791</v>
      </c>
      <c r="Y90" s="152">
        <f>IFERROR('Price History'!D3+(INDEX('Price History'!D:D,MATCH(9.99E+307,'Returns (Calc)'!$A:$A)+1)-'Price History'!D3)*(ROW()-3)/(MATCH(9.99E+307,'Returns (Calc)'!$A:$A)-3),"")</f>
        <v>1237.6999999999998</v>
      </c>
      <c r="Z90" s="152">
        <f>IFERROR('Price History'!E3+(INDEX('Price History'!E:E,MATCH(9.99E+307,'Returns (Calc)'!$A:$A)+1)-'Price History'!E3)*(ROW()-3)/(MATCH(9.99E+307,'Returns (Calc)'!$A:$A)-3),"")</f>
        <v>234.9558490566038</v>
      </c>
      <c r="AA90" s="152">
        <f>IFERROR('Price History'!F3+(INDEX('Price History'!F:F,MATCH(9.99E+307,'Returns (Calc)'!$A:$A)+1)-'Price History'!F3)*(ROW()-3)/(MATCH(9.99E+307,'Returns (Calc)'!$A:$A)-3),"")</f>
        <v>169.22264150943397</v>
      </c>
      <c r="AB90" s="152">
        <f>IFERROR('Price History'!G3+(INDEX('Price History'!G:G,MATCH(9.99E+307,'Returns (Calc)'!$A:$A)+1)-'Price History'!G3)*(ROW()-3)/(MATCH(9.99E+307,'Returns (Calc)'!$A:$A)-3),"")</f>
        <v>127.09301886792451</v>
      </c>
      <c r="AC90" s="152">
        <f>IFERROR('Price History'!H3+(INDEX('Price History'!H:H,MATCH(9.99E+307,'Returns (Calc)'!$A:$A)+1)-'Price History'!H3)*(ROW()-3)/(MATCH(9.99E+307,'Returns (Calc)'!$A:$A)-3),"")</f>
        <v>594.33283018867917</v>
      </c>
      <c r="AD90" s="152">
        <f>IFERROR('Price History'!I3+(INDEX('Price History'!I:I,MATCH(9.99E+307,'Returns (Calc)'!$A:$A)+1)-'Price History'!I3)*(ROW()-3)/(MATCH(9.99E+307,'Returns (Calc)'!$A:$A)-3),"")</f>
        <v>145.27547169811319</v>
      </c>
      <c r="AE90" s="152">
        <f>IFERROR('Price History'!J3+(INDEX('Price History'!J:J,MATCH(9.99E+307,'Returns (Calc)'!$A:$A)+1)-'Price History'!J3)*(ROW()-3)/(MATCH(9.99E+307,'Returns (Calc)'!$A:$A)-3),"")</f>
        <v>121.49754716981133</v>
      </c>
      <c r="AF90" s="152">
        <f>IFERROR('Price History'!K3+(INDEX('Price History'!K:K,MATCH(9.99E+307,'Returns (Calc)'!$A:$A)+1)-'Price History'!K3)*(ROW()-3)/(MATCH(9.99E+307,'Returns (Calc)'!$A:$A)-3),"")</f>
        <v>121.32773584905659</v>
      </c>
      <c r="AG90" s="152">
        <f>IFERROR('Price History'!L3+(INDEX('Price History'!L:L,MATCH(9.99E+307,'Returns (Calc)'!$A:$A)+1)-'Price History'!L3)*(ROW()-3)/(MATCH(9.99E+307,'Returns (Calc)'!$A:$A)-3),"")</f>
        <v>286.8677358490566</v>
      </c>
      <c r="AH90" s="152">
        <f>IFERROR('Price History'!M3+(INDEX('Price History'!M:M,MATCH(9.99E+307,'Returns (Calc)'!$A:$A)+1)-'Price History'!M3)*(ROW()-3)/(MATCH(9.99E+307,'Returns (Calc)'!$A:$A)-3),"")</f>
        <v>150.05849056603773</v>
      </c>
      <c r="AI90" s="152">
        <f>IFERROR('Price History'!N3+(INDEX('Price History'!N:N,MATCH(9.99E+307,'Returns (Calc)'!$A:$A)+1)-'Price History'!N3)*(ROW()-3)/(MATCH(9.99E+307,'Returns (Calc)'!$A:$A)-3),"")</f>
        <v>437.09283018867922</v>
      </c>
      <c r="AJ90" s="152">
        <f>IFERROR('Price History'!O3+(INDEX('Price History'!O:O,MATCH(9.99E+307,'Returns (Calc)'!$A:$A)+1)-'Price History'!O3)*(ROW()-3)/(MATCH(9.99E+307,'Returns (Calc)'!$A:$A)-3),"")</f>
        <v>99.566037735849051</v>
      </c>
      <c r="AK90" s="152">
        <f>IFERROR('Price History'!Q3+(INDEX('Price History'!Q:Q,MATCH(9.99E+307,'Returns (Calc)'!$A:$A)+1)-'Price History'!Q3)*(ROW()-3)/(MATCH(9.99E+307,'Returns (Calc)'!$A:$A)-3),"")</f>
        <v>38.285471698113213</v>
      </c>
      <c r="AL90" s="152">
        <f>IFERROR('Price History'!R3+(INDEX('Price History'!R:R,MATCH(9.99E+307,'Returns (Calc)'!$A:$A)+1)-'Price History'!R3)*(ROW()-3)/(MATCH(9.99E+307,'Returns (Calc)'!$A:$A)-3),"")</f>
        <v>49.040188679245283</v>
      </c>
      <c r="AM90" s="152">
        <f>IFERROR('Price History'!S3+(INDEX('Price History'!S:S,MATCH(9.99E+307,'Returns (Calc)'!$A:$A)+1)-'Price History'!S3)*(ROW()-3)/(MATCH(9.99E+307,'Returns (Calc)'!$A:$A)-3),"")</f>
        <v>108.80679245283019</v>
      </c>
      <c r="AN90" s="152">
        <f>IFERROR('Price History'!T3+(INDEX('Price History'!T:T,MATCH(9.99E+307,'Returns (Calc)'!$A:$A)+1)-'Price History'!T3)*(ROW()-3)/(MATCH(9.99E+307,'Returns (Calc)'!$A:$A)-3),"")</f>
        <v>40.341886792452833</v>
      </c>
      <c r="AO90" s="153">
        <f>IFERROR('Price History'!V3+(INDEX('Price History'!V:V,MATCH(9.99E+307,'Returns (Calc)'!$A:$A)+1)-'Price History'!V3)*(ROW()-3)/(MATCH(9.99E+307,'Returns (Calc)'!$A:$A)-3),"")</f>
        <v>317.60698113207548</v>
      </c>
      <c r="AP90" s="151">
        <f>IFERROR(IF(OR(NOT(ISNUMBER('Price History'!W91)),NOT(ISNUMBER('Price History'!W90)),'Price History'!W90=0),"",'Price History'!W91/'Price History'!W90-1),"")</f>
        <v>-2.2034168928628528E-2</v>
      </c>
      <c r="AQ90" s="151" t="str">
        <f>IFERROR(IF(OR(NOT(ISNUMBER('Price History'!X91)),NOT(ISNUMBER('Price History'!X90)),'Price History'!X90=0),"",'Price History'!X91/'Price History'!X90-1),"")</f>
        <v/>
      </c>
      <c r="AR90" s="151">
        <f>IFERROR(IF(OR(NOT(ISNUMBER('Price History'!Y91)),NOT(ISNUMBER('Price History'!Y90)),'Price History'!Y90=0),"",'Price History'!Y91/'Price History'!Y90-1),"")</f>
        <v>-1.2774451097804396E-2</v>
      </c>
      <c r="AS90" s="151">
        <f>IFERROR(IF(OR(NOT(ISNUMBER('Price History'!Z91)),NOT(ISNUMBER('Price History'!Z90)),'Price History'!Z90=0),"",'Price History'!Z91/'Price History'!Z90-1),"")</f>
        <v>4.3861553828115074E-3</v>
      </c>
      <c r="AT90" s="151">
        <f>IFERROR(IF(OR(NOT(ISNUMBER('Price History'!AA91)),NOT(ISNUMBER('Price History'!AA90)),'Price History'!AA90=0),"",'Price History'!AA91/'Price History'!AA90-1),"")</f>
        <v>-5.1195971464540468E-3</v>
      </c>
      <c r="AU90" s="151">
        <f>IFERROR(IF(OR(NOT(ISNUMBER('Price History'!AB91)),NOT(ISNUMBER('Price History'!AB90)),'Price History'!AB90=0),"",'Price History'!AB91/'Price History'!AB90-1),"")</f>
        <v>-4.0283384133783628E-2</v>
      </c>
    </row>
    <row r="91" spans="1:47" ht="15" customHeight="1" x14ac:dyDescent="0.2">
      <c r="A91" s="149">
        <f>IF('Price History'!A92="","",'Price History'!A92)</f>
        <v>45807</v>
      </c>
      <c r="B91" s="150">
        <f>IFERROR(IF(OR(NOT(ISNUMBER('Price History'!B92)),NOT(ISNUMBER('Price History'!B91)),'Price History'!B91=0),"",'Price History'!B92/'Price History'!B91-1),"")</f>
        <v>1.8151046137997007E-2</v>
      </c>
      <c r="C91" s="150">
        <f>IFERROR(IF(OR(NOT(ISNUMBER('Price History'!C92)),NOT(ISNUMBER('Price History'!C91)),'Price History'!C91=0),"",'Price History'!C92/'Price History'!C91-1),"")</f>
        <v>-5.0000000000000044E-2</v>
      </c>
      <c r="D91" s="150">
        <f>IFERROR(IF(OR(NOT(ISNUMBER('Price History'!D92)),NOT(ISNUMBER('Price History'!D91)),'Price History'!D91=0),"",'Price History'!D92/'Price History'!D91-1),"")</f>
        <v>5.8413468161904181E-3</v>
      </c>
      <c r="E91" s="150">
        <f>IFERROR(IF(OR(NOT(ISNUMBER('Price History'!E92)),NOT(ISNUMBER('Price History'!E91)),'Price History'!E91=0),"",'Price History'!E92/'Price History'!E91-1),"")</f>
        <v>5.8378665251426209E-2</v>
      </c>
      <c r="F91" s="150">
        <f>IFERROR(IF(OR(NOT(ISNUMBER('Price History'!F92)),NOT(ISNUMBER('Price History'!F91)),'Price History'!F91=0),"",'Price History'!F92/'Price History'!F91-1),"")</f>
        <v>3.4591747146619722E-2</v>
      </c>
      <c r="G91" s="150">
        <f>IFERROR(IF(OR(NOT(ISNUMBER('Price History'!G92)),NOT(ISNUMBER('Price History'!G91)),'Price History'!G91=0),"",'Price History'!G92/'Price History'!G91-1),"")</f>
        <v>-3.9920159680639777E-4</v>
      </c>
      <c r="H91" s="150">
        <f>IFERROR(IF(OR(NOT(ISNUMBER('Price History'!H92)),NOT(ISNUMBER('Price History'!H91)),'Price History'!H91=0),"",'Price History'!H92/'Price History'!H91-1),"")</f>
        <v>1.1704069580156906E-2</v>
      </c>
      <c r="I91" s="150">
        <f>IFERROR(IF(OR(NOT(ISNUMBER('Price History'!I92)),NOT(ISNUMBER('Price History'!I91)),'Price History'!I91=0),"",'Price History'!I92/'Price History'!I91-1),"")</f>
        <v>2.9245571166768292E-2</v>
      </c>
      <c r="J91" s="150">
        <f>IFERROR(IF(OR(NOT(ISNUMBER('Price History'!J92)),NOT(ISNUMBER('Price History'!J91)),'Price History'!J91=0),"",'Price History'!J92/'Price History'!J91-1),"")</f>
        <v>4.3820678513731615E-2</v>
      </c>
      <c r="K91" s="150">
        <f>IFERROR(IF(OR(NOT(ISNUMBER('Price History'!K92)),NOT(ISNUMBER('Price History'!K91)),'Price History'!K91=0),"",'Price History'!K92/'Price History'!K91-1),"")</f>
        <v>6.8688670829616383E-2</v>
      </c>
      <c r="L91" s="150">
        <f>IFERROR(IF(OR(NOT(ISNUMBER('Price History'!L92)),NOT(ISNUMBER('Price History'!L91)),'Price History'!L91=0),"",'Price History'!L92/'Price History'!L91-1),"")</f>
        <v>6.9959720161119066E-3</v>
      </c>
      <c r="M91" s="150">
        <f>IFERROR(IF(OR(NOT(ISNUMBER('Price History'!M92)),NOT(ISNUMBER('Price History'!M91)),'Price History'!M91=0),"",'Price History'!M92/'Price History'!M91-1),"")</f>
        <v>3.6456329357445139E-2</v>
      </c>
      <c r="N91" s="150">
        <f>IFERROR(IF(OR(NOT(ISNUMBER('Price History'!N92)),NOT(ISNUMBER('Price History'!N91)),'Price History'!N91=0),"",'Price History'!N92/'Price History'!N91-1),"")</f>
        <v>1.3876146788990962E-2</v>
      </c>
      <c r="O91" s="150">
        <f>IFERROR(IF(OR(NOT(ISNUMBER('Price History'!O92)),NOT(ISNUMBER('Price History'!O91)),'Price History'!O91=0),"",'Price History'!O92/'Price History'!O91-1),"")</f>
        <v>1.1741223435481896E-2</v>
      </c>
      <c r="P91" s="150">
        <f>IFERROR(IF(OR(NOT(ISNUMBER('Price History'!P92)),NOT(ISNUMBER('Price History'!P91)),'Price History'!P91=0),"",'Price History'!P92/'Price History'!P91-1),"")</f>
        <v>6.4745872450631126E-3</v>
      </c>
      <c r="Q91" s="150">
        <f>IFERROR(IF(OR(NOT(ISNUMBER('Price History'!Q92)),NOT(ISNUMBER('Price History'!Q91)),'Price History'!Q91=0),"",'Price History'!Q92/'Price History'!Q91-1),"")</f>
        <v>1.0831528078653507E-2</v>
      </c>
      <c r="R91" s="150">
        <f>IFERROR(IF(OR(NOT(ISNUMBER('Price History'!R92)),NOT(ISNUMBER('Price History'!R91)),'Price History'!R91=0),"",'Price History'!R92/'Price History'!R91-1),"")</f>
        <v>1.129177958446248E-2</v>
      </c>
      <c r="S91" s="150">
        <f>IFERROR(IF(OR(NOT(ISNUMBER('Price History'!S92)),NOT(ISNUMBER('Price History'!S91)),'Price History'!S91=0),"",'Price History'!S92/'Price History'!S91-1),"")</f>
        <v>2.4303847289186331E-2</v>
      </c>
      <c r="T91" s="150">
        <f>IFERROR(IF(OR(NOT(ISNUMBER('Price History'!T92)),NOT(ISNUMBER('Price History'!T91)),'Price History'!T91=0),"",'Price History'!T92/'Price History'!T91-1),"")</f>
        <v>7.8787878787878185E-3</v>
      </c>
      <c r="U91" s="150">
        <f>IFERROR(IF(OR(NOT(ISNUMBER('Price History'!U92)),NOT(ISNUMBER('Price History'!U91)),'Price History'!U91=0),"",'Price History'!U92/'Price History'!U91-1),"")</f>
        <v>1.1006930289441552E-2</v>
      </c>
      <c r="V91" s="151">
        <f>IFERROR(IF(OR(NOT(ISNUMBER('Price History'!V92)),NOT(ISNUMBER('Price History'!V91)),'Price History'!V91=0),"",'Price History'!V92/'Price History'!V91-1),"")</f>
        <v>3.2960127956129348E-2</v>
      </c>
      <c r="W91" s="152">
        <f>IFERROR('Price History'!B3+(INDEX('Price History'!B:B,MATCH(9.99E+307,'Returns (Calc)'!$A:$A)+1)-'Price History'!B3)*(ROW()-3)/(MATCH(9.99E+307,'Returns (Calc)'!$A:$A)-3),"")</f>
        <v>370.25754716981129</v>
      </c>
      <c r="X91" s="152">
        <f>IFERROR('Price History'!C3+(INDEX('Price History'!C:C,MATCH(9.99E+307,'Returns (Calc)'!$A:$A)+1)-'Price History'!C3)*(ROW()-3)/(MATCH(9.99E+307,'Returns (Calc)'!$A:$A)-3),"")</f>
        <v>140.57798742138365</v>
      </c>
      <c r="Y91" s="152">
        <f>IFERROR('Price History'!D3+(INDEX('Price History'!D:D,MATCH(9.99E+307,'Returns (Calc)'!$A:$A)+1)-'Price History'!D3)*(ROW()-3)/(MATCH(9.99E+307,'Returns (Calc)'!$A:$A)-3),"")</f>
        <v>1245.2366666666667</v>
      </c>
      <c r="Z91" s="152">
        <f>IFERROR('Price History'!E3+(INDEX('Price History'!E:E,MATCH(9.99E+307,'Returns (Calc)'!$A:$A)+1)-'Price History'!E3)*(ROW()-3)/(MATCH(9.99E+307,'Returns (Calc)'!$A:$A)-3),"")</f>
        <v>236.71396226415095</v>
      </c>
      <c r="AA91" s="152">
        <f>IFERROR('Price History'!F3+(INDEX('Price History'!F:F,MATCH(9.99E+307,'Returns (Calc)'!$A:$A)+1)-'Price History'!F3)*(ROW()-3)/(MATCH(9.99E+307,'Returns (Calc)'!$A:$A)-3),"")</f>
        <v>170.69232704402515</v>
      </c>
      <c r="AB91" s="152">
        <f>IFERROR('Price History'!G3+(INDEX('Price History'!G:G,MATCH(9.99E+307,'Returns (Calc)'!$A:$A)+1)-'Price History'!G3)*(ROW()-3)/(MATCH(9.99E+307,'Returns (Calc)'!$A:$A)-3),"")</f>
        <v>128.04408805031446</v>
      </c>
      <c r="AC91" s="152">
        <f>IFERROR('Price History'!H3+(INDEX('Price History'!H:H,MATCH(9.99E+307,'Returns (Calc)'!$A:$A)+1)-'Price History'!H3)*(ROW()-3)/(MATCH(9.99E+307,'Returns (Calc)'!$A:$A)-3),"")</f>
        <v>600.3698742138364</v>
      </c>
      <c r="AD91" s="152">
        <f>IFERROR('Price History'!I3+(INDEX('Price History'!I:I,MATCH(9.99E+307,'Returns (Calc)'!$A:$A)+1)-'Price History'!I3)*(ROW()-3)/(MATCH(9.99E+307,'Returns (Calc)'!$A:$A)-3),"")</f>
        <v>146.44220125786163</v>
      </c>
      <c r="AE91" s="152">
        <f>IFERROR('Price History'!J3+(INDEX('Price History'!J:J,MATCH(9.99E+307,'Returns (Calc)'!$A:$A)+1)-'Price History'!J3)*(ROW()-3)/(MATCH(9.99E+307,'Returns (Calc)'!$A:$A)-3),"")</f>
        <v>121.60855345911951</v>
      </c>
      <c r="AF91" s="152">
        <f>IFERROR('Price History'!K3+(INDEX('Price History'!K:K,MATCH(9.99E+307,'Returns (Calc)'!$A:$A)+1)-'Price History'!K3)*(ROW()-3)/(MATCH(9.99E+307,'Returns (Calc)'!$A:$A)-3),"")</f>
        <v>122.54610062893082</v>
      </c>
      <c r="AG91" s="152">
        <f>IFERROR('Price History'!L3+(INDEX('Price History'!L:L,MATCH(9.99E+307,'Returns (Calc)'!$A:$A)+1)-'Price History'!L3)*(ROW()-3)/(MATCH(9.99E+307,'Returns (Calc)'!$A:$A)-3),"")</f>
        <v>289.17943396226417</v>
      </c>
      <c r="AH91" s="152">
        <f>IFERROR('Price History'!M3+(INDEX('Price History'!M:M,MATCH(9.99E+307,'Returns (Calc)'!$A:$A)+1)-'Price History'!M3)*(ROW()-3)/(MATCH(9.99E+307,'Returns (Calc)'!$A:$A)-3),"")</f>
        <v>151.3462893081761</v>
      </c>
      <c r="AI91" s="152">
        <f>IFERROR('Price History'!N3+(INDEX('Price History'!N:N,MATCH(9.99E+307,'Returns (Calc)'!$A:$A)+1)-'Price History'!N3)*(ROW()-3)/(MATCH(9.99E+307,'Returns (Calc)'!$A:$A)-3),"")</f>
        <v>438.10654088050313</v>
      </c>
      <c r="AJ91" s="152">
        <f>IFERROR('Price History'!O3+(INDEX('Price History'!O:O,MATCH(9.99E+307,'Returns (Calc)'!$A:$A)+1)-'Price History'!O3)*(ROW()-3)/(MATCH(9.99E+307,'Returns (Calc)'!$A:$A)-3),"")</f>
        <v>99.844842767295603</v>
      </c>
      <c r="AK91" s="152">
        <f>IFERROR('Price History'!Q3+(INDEX('Price History'!Q:Q,MATCH(9.99E+307,'Returns (Calc)'!$A:$A)+1)-'Price History'!Q3)*(ROW()-3)/(MATCH(9.99E+307,'Returns (Calc)'!$A:$A)-3),"")</f>
        <v>38.725534591194965</v>
      </c>
      <c r="AL91" s="152">
        <f>IFERROR('Price History'!R3+(INDEX('Price History'!R:R,MATCH(9.99E+307,'Returns (Calc)'!$A:$A)+1)-'Price History'!R3)*(ROW()-3)/(MATCH(9.99E+307,'Returns (Calc)'!$A:$A)-3),"")</f>
        <v>49.20754716981132</v>
      </c>
      <c r="AM91" s="152">
        <f>IFERROR('Price History'!S3+(INDEX('Price History'!S:S,MATCH(9.99E+307,'Returns (Calc)'!$A:$A)+1)-'Price History'!S3)*(ROW()-3)/(MATCH(9.99E+307,'Returns (Calc)'!$A:$A)-3),"")</f>
        <v>109.39503144654088</v>
      </c>
      <c r="AN91" s="152">
        <f>IFERROR('Price History'!T3+(INDEX('Price History'!T:T,MATCH(9.99E+307,'Returns (Calc)'!$A:$A)+1)-'Price History'!T3)*(ROW()-3)/(MATCH(9.99E+307,'Returns (Calc)'!$A:$A)-3),"")</f>
        <v>40.51547169811321</v>
      </c>
      <c r="AO91" s="153">
        <f>IFERROR('Price History'!V3+(INDEX('Price History'!V:V,MATCH(9.99E+307,'Returns (Calc)'!$A:$A)+1)-'Price History'!V3)*(ROW()-3)/(MATCH(9.99E+307,'Returns (Calc)'!$A:$A)-3),"")</f>
        <v>318.54924528301888</v>
      </c>
      <c r="AP91" s="151">
        <f>IFERROR(IF(OR(NOT(ISNUMBER('Price History'!W92)),NOT(ISNUMBER('Price History'!W91)),'Price History'!W91=0),"",'Price History'!W92/'Price History'!W91-1),"")</f>
        <v>1.518367346938776E-2</v>
      </c>
      <c r="AQ91" s="151" t="str">
        <f>IFERROR(IF(OR(NOT(ISNUMBER('Price History'!X92)),NOT(ISNUMBER('Price History'!X91)),'Price History'!X91=0),"",'Price History'!X92/'Price History'!X91-1),"")</f>
        <v/>
      </c>
      <c r="AR91" s="151">
        <f>IFERROR(IF(OR(NOT(ISNUMBER('Price History'!Y92)),NOT(ISNUMBER('Price History'!Y91)),'Price History'!Y91=0),"",'Price History'!Y92/'Price History'!Y91-1),"")</f>
        <v>1.0109179134654367E-2</v>
      </c>
      <c r="AS91" s="151">
        <f>IFERROR(IF(OR(NOT(ISNUMBER('Price History'!Z92)),NOT(ISNUMBER('Price History'!Z91)),'Price History'!Z91=0),"",'Price History'!Z92/'Price History'!Z91-1),"")</f>
        <v>5.6338637149775161E-2</v>
      </c>
      <c r="AT91" s="151">
        <f>IFERROR(IF(OR(NOT(ISNUMBER('Price History'!AA92)),NOT(ISNUMBER('Price History'!AA91)),'Price History'!AA91=0),"",'Price History'!AA92/'Price History'!AA91-1),"")</f>
        <v>1.8390416736966397E-2</v>
      </c>
      <c r="AU91" s="151">
        <f>IFERROR(IF(OR(NOT(ISNUMBER('Price History'!AB92)),NOT(ISNUMBER('Price History'!AB91)),'Price History'!AB91=0),"",'Price History'!AB92/'Price History'!AB91-1),"")</f>
        <v>0.20042918454935621</v>
      </c>
    </row>
    <row r="92" spans="1:47" ht="15" customHeight="1" x14ac:dyDescent="0.2">
      <c r="A92" s="149">
        <f>IF('Price History'!A93="","",'Price History'!A93)</f>
        <v>45814</v>
      </c>
      <c r="B92" s="150">
        <f>IFERROR(IF(OR(NOT(ISNUMBER('Price History'!B93)),NOT(ISNUMBER('Price History'!B92)),'Price History'!B92=0),"",'Price History'!B93/'Price History'!B92-1),"")</f>
        <v>4.4086824544076197E-3</v>
      </c>
      <c r="C92" s="150">
        <f>IFERROR(IF(OR(NOT(ISNUMBER('Price History'!C93)),NOT(ISNUMBER('Price History'!C92)),'Price History'!C92=0),"",'Price History'!C93/'Price History'!C92-1),"")</f>
        <v>0.12246075715604809</v>
      </c>
      <c r="D92" s="150">
        <f>IFERROR(IF(OR(NOT(ISNUMBER('Price History'!D93)),NOT(ISNUMBER('Price History'!D92)),'Price History'!D92=0),"",'Price History'!D93/'Price History'!D92-1),"")</f>
        <v>2.205177372962619E-2</v>
      </c>
      <c r="E92" s="150">
        <f>IFERROR(IF(OR(NOT(ISNUMBER('Price History'!E93)),NOT(ISNUMBER('Price History'!E92)),'Price History'!E92=0),"",'Price History'!E93/'Price History'!E92-1),"")</f>
        <v>2.0057665789143808E-2</v>
      </c>
      <c r="F92" s="150">
        <f>IFERROR(IF(OR(NOT(ISNUMBER('Price History'!F93)),NOT(ISNUMBER('Price History'!F92)),'Price History'!F92=0),"",'Price History'!F93/'Price History'!F92-1),"")</f>
        <v>-6.2797012898846427E-3</v>
      </c>
      <c r="G92" s="150">
        <f>IFERROR(IF(OR(NOT(ISNUMBER('Price History'!G93)),NOT(ISNUMBER('Price History'!G92)),'Price History'!G92=0),"",'Price History'!G93/'Price History'!G92-1),"")</f>
        <v>6.7492012779552635E-2</v>
      </c>
      <c r="H92" s="150">
        <f>IFERROR(IF(OR(NOT(ISNUMBER('Price History'!H93)),NOT(ISNUMBER('Price History'!H92)),'Price History'!H92=0),"",'Price History'!H93/'Price History'!H92-1),"")</f>
        <v>0.14922521757588636</v>
      </c>
      <c r="I92" s="150">
        <f>IFERROR(IF(OR(NOT(ISNUMBER('Price History'!I93)),NOT(ISNUMBER('Price History'!I92)),'Price History'!I92=0),"",'Price History'!I93/'Price History'!I92-1),"")</f>
        <v>4.874248831515704E-2</v>
      </c>
      <c r="J92" s="150">
        <f>IFERROR(IF(OR(NOT(ISNUMBER('Price History'!J93)),NOT(ISNUMBER('Price History'!J92)),'Price History'!J92=0),"",'Price History'!J93/'Price History'!J92-1),"")</f>
        <v>1.7411491584446992E-3</v>
      </c>
      <c r="K92" s="150">
        <f>IFERROR(IF(OR(NOT(ISNUMBER('Price History'!K93)),NOT(ISNUMBER('Price History'!K92)),'Price History'!K92=0),"",'Price History'!K93/'Price History'!K92-1),"")</f>
        <v>-3.0808923964182777E-2</v>
      </c>
      <c r="L92" s="150">
        <f>IFERROR(IF(OR(NOT(ISNUMBER('Price History'!L93)),NOT(ISNUMBER('Price History'!L92)),'Price History'!L92=0),"",'Price History'!L93/'Price History'!L92-1),"")</f>
        <v>6.1368421052631517E-2</v>
      </c>
      <c r="M92" s="150">
        <f>IFERROR(IF(OR(NOT(ISNUMBER('Price History'!M93)),NOT(ISNUMBER('Price History'!M92)),'Price History'!M92=0),"",'Price History'!M93/'Price History'!M92-1),"")</f>
        <v>6.8863109048723947E-2</v>
      </c>
      <c r="N92" s="150">
        <f>IFERROR(IF(OR(NOT(ISNUMBER('Price History'!N93)),NOT(ISNUMBER('Price History'!N92)),'Price History'!N92=0),"",'Price History'!N93/'Price History'!N92-1),"")</f>
        <v>1.9115484673679406E-2</v>
      </c>
      <c r="O92" s="150">
        <f>IFERROR(IF(OR(NOT(ISNUMBER('Price History'!O93)),NOT(ISNUMBER('Price History'!O92)),'Price History'!O92=0),"",'Price History'!O93/'Price History'!O92-1),"")</f>
        <v>1.8451897412092411E-2</v>
      </c>
      <c r="P92" s="150">
        <f>IFERROR(IF(OR(NOT(ISNUMBER('Price History'!P93)),NOT(ISNUMBER('Price History'!P92)),'Price History'!P92=0),"",'Price History'!P93/'Price History'!P92-1),"")</f>
        <v>3.6989385654551121E-3</v>
      </c>
      <c r="Q92" s="150">
        <f>IFERROR(IF(OR(NOT(ISNUMBER('Price History'!Q93)),NOT(ISNUMBER('Price History'!Q92)),'Price History'!Q92=0),"",'Price History'!Q93/'Price History'!Q92-1),"")</f>
        <v>9.7263435542367382E-3</v>
      </c>
      <c r="R92" s="150">
        <f>IFERROR(IF(OR(NOT(ISNUMBER('Price History'!R93)),NOT(ISNUMBER('Price History'!R92)),'Price History'!R92=0),"",'Price History'!R93/'Price History'!R92-1),"")</f>
        <v>1.3175524787851556E-2</v>
      </c>
      <c r="S92" s="150">
        <f>IFERROR(IF(OR(NOT(ISNUMBER('Price History'!S93)),NOT(ISNUMBER('Price History'!S92)),'Price History'!S92=0),"",'Price History'!S93/'Price History'!S92-1),"")</f>
        <v>1.4889529298751203E-2</v>
      </c>
      <c r="T92" s="150">
        <f>IFERROR(IF(OR(NOT(ISNUMBER('Price History'!T93)),NOT(ISNUMBER('Price History'!T92)),'Price History'!T92=0),"",'Price History'!T93/'Price History'!T92-1),"")</f>
        <v>2.3451593505712687E-2</v>
      </c>
      <c r="U92" s="150">
        <f>IFERROR(IF(OR(NOT(ISNUMBER('Price History'!U93)),NOT(ISNUMBER('Price History'!U92)),'Price History'!U92=0),"",'Price History'!U93/'Price History'!U92-1),"")</f>
        <v>1.4112903225806273E-2</v>
      </c>
      <c r="V92" s="151">
        <f>IFERROR(IF(OR(NOT(ISNUMBER('Price History'!V93)),NOT(ISNUMBER('Price History'!V92)),'Price History'!V92=0),"",'Price History'!V93/'Price History'!V92-1),"")</f>
        <v>1.3769839075374657E-2</v>
      </c>
      <c r="W92" s="152">
        <f>IFERROR('Price History'!B3+(INDEX('Price History'!B:B,MATCH(9.99E+307,'Returns (Calc)'!$A:$A)+1)-'Price History'!B3)*(ROW()-3)/(MATCH(9.99E+307,'Returns (Calc)'!$A:$A)-3),"")</f>
        <v>368.45490566037734</v>
      </c>
      <c r="X92" s="152">
        <f>IFERROR('Price History'!C3+(INDEX('Price History'!C:C,MATCH(9.99E+307,'Returns (Calc)'!$A:$A)+1)-'Price History'!C3)*(ROW()-3)/(MATCH(9.99E+307,'Returns (Calc)'!$A:$A)-3),"")</f>
        <v>141.65069182389936</v>
      </c>
      <c r="Y92" s="152">
        <f>IFERROR('Price History'!D3+(INDEX('Price History'!D:D,MATCH(9.99E+307,'Returns (Calc)'!$A:$A)+1)-'Price History'!D3)*(ROW()-3)/(MATCH(9.99E+307,'Returns (Calc)'!$A:$A)-3),"")</f>
        <v>1252.7733333333333</v>
      </c>
      <c r="Z92" s="152">
        <f>IFERROR('Price History'!E3+(INDEX('Price History'!E:E,MATCH(9.99E+307,'Returns (Calc)'!$A:$A)+1)-'Price History'!E3)*(ROW()-3)/(MATCH(9.99E+307,'Returns (Calc)'!$A:$A)-3),"")</f>
        <v>238.47207547169813</v>
      </c>
      <c r="AA92" s="152">
        <f>IFERROR('Price History'!F3+(INDEX('Price History'!F:F,MATCH(9.99E+307,'Returns (Calc)'!$A:$A)+1)-'Price History'!F3)*(ROW()-3)/(MATCH(9.99E+307,'Returns (Calc)'!$A:$A)-3),"")</f>
        <v>172.16201257861633</v>
      </c>
      <c r="AB92" s="152">
        <f>IFERROR('Price History'!G3+(INDEX('Price History'!G:G,MATCH(9.99E+307,'Returns (Calc)'!$A:$A)+1)-'Price History'!G3)*(ROW()-3)/(MATCH(9.99E+307,'Returns (Calc)'!$A:$A)-3),"")</f>
        <v>128.9951572327044</v>
      </c>
      <c r="AC92" s="152">
        <f>IFERROR('Price History'!H3+(INDEX('Price History'!H:H,MATCH(9.99E+307,'Returns (Calc)'!$A:$A)+1)-'Price History'!H3)*(ROW()-3)/(MATCH(9.99E+307,'Returns (Calc)'!$A:$A)-3),"")</f>
        <v>606.40691823899363</v>
      </c>
      <c r="AD92" s="152">
        <f>IFERROR('Price History'!I3+(INDEX('Price History'!I:I,MATCH(9.99E+307,'Returns (Calc)'!$A:$A)+1)-'Price History'!I3)*(ROW()-3)/(MATCH(9.99E+307,'Returns (Calc)'!$A:$A)-3),"")</f>
        <v>147.60893081761006</v>
      </c>
      <c r="AE92" s="152">
        <f>IFERROR('Price History'!J3+(INDEX('Price History'!J:J,MATCH(9.99E+307,'Returns (Calc)'!$A:$A)+1)-'Price History'!J3)*(ROW()-3)/(MATCH(9.99E+307,'Returns (Calc)'!$A:$A)-3),"")</f>
        <v>121.71955974842768</v>
      </c>
      <c r="AF92" s="152">
        <f>IFERROR('Price History'!K3+(INDEX('Price History'!K:K,MATCH(9.99E+307,'Returns (Calc)'!$A:$A)+1)-'Price History'!K3)*(ROW()-3)/(MATCH(9.99E+307,'Returns (Calc)'!$A:$A)-3),"")</f>
        <v>123.76446540880502</v>
      </c>
      <c r="AG92" s="152">
        <f>IFERROR('Price History'!L3+(INDEX('Price History'!L:L,MATCH(9.99E+307,'Returns (Calc)'!$A:$A)+1)-'Price History'!L3)*(ROW()-3)/(MATCH(9.99E+307,'Returns (Calc)'!$A:$A)-3),"")</f>
        <v>291.49113207547168</v>
      </c>
      <c r="AH92" s="152">
        <f>IFERROR('Price History'!M3+(INDEX('Price History'!M:M,MATCH(9.99E+307,'Returns (Calc)'!$A:$A)+1)-'Price History'!M3)*(ROW()-3)/(MATCH(9.99E+307,'Returns (Calc)'!$A:$A)-3),"")</f>
        <v>152.63408805031446</v>
      </c>
      <c r="AI92" s="152">
        <f>IFERROR('Price History'!N3+(INDEX('Price History'!N:N,MATCH(9.99E+307,'Returns (Calc)'!$A:$A)+1)-'Price History'!N3)*(ROW()-3)/(MATCH(9.99E+307,'Returns (Calc)'!$A:$A)-3),"")</f>
        <v>439.12025157232699</v>
      </c>
      <c r="AJ92" s="152">
        <f>IFERROR('Price History'!O3+(INDEX('Price History'!O:O,MATCH(9.99E+307,'Returns (Calc)'!$A:$A)+1)-'Price History'!O3)*(ROW()-3)/(MATCH(9.99E+307,'Returns (Calc)'!$A:$A)-3),"")</f>
        <v>100.12364779874214</v>
      </c>
      <c r="AK92" s="152">
        <f>IFERROR('Price History'!Q3+(INDEX('Price History'!Q:Q,MATCH(9.99E+307,'Returns (Calc)'!$A:$A)+1)-'Price History'!Q3)*(ROW()-3)/(MATCH(9.99E+307,'Returns (Calc)'!$A:$A)-3),"")</f>
        <v>39.165597484276731</v>
      </c>
      <c r="AL92" s="152">
        <f>IFERROR('Price History'!R3+(INDEX('Price History'!R:R,MATCH(9.99E+307,'Returns (Calc)'!$A:$A)+1)-'Price History'!R3)*(ROW()-3)/(MATCH(9.99E+307,'Returns (Calc)'!$A:$A)-3),"")</f>
        <v>49.374905660377358</v>
      </c>
      <c r="AM92" s="152">
        <f>IFERROR('Price History'!S3+(INDEX('Price History'!S:S,MATCH(9.99E+307,'Returns (Calc)'!$A:$A)+1)-'Price History'!S3)*(ROW()-3)/(MATCH(9.99E+307,'Returns (Calc)'!$A:$A)-3),"")</f>
        <v>109.98327044025157</v>
      </c>
      <c r="AN92" s="152">
        <f>IFERROR('Price History'!T3+(INDEX('Price History'!T:T,MATCH(9.99E+307,'Returns (Calc)'!$A:$A)+1)-'Price History'!T3)*(ROW()-3)/(MATCH(9.99E+307,'Returns (Calc)'!$A:$A)-3),"")</f>
        <v>40.689056603773587</v>
      </c>
      <c r="AO92" s="153">
        <f>IFERROR('Price History'!V3+(INDEX('Price History'!V:V,MATCH(9.99E+307,'Returns (Calc)'!$A:$A)+1)-'Price History'!V3)*(ROW()-3)/(MATCH(9.99E+307,'Returns (Calc)'!$A:$A)-3),"")</f>
        <v>319.49150943396228</v>
      </c>
      <c r="AP92" s="151">
        <f>IFERROR(IF(OR(NOT(ISNUMBER('Price History'!W93)),NOT(ISNUMBER('Price History'!W92)),'Price History'!W92=0),"",'Price History'!W93/'Price History'!W92-1),"")</f>
        <v>1.1016403988420853E-2</v>
      </c>
      <c r="AQ92" s="151" t="str">
        <f>IFERROR(IF(OR(NOT(ISNUMBER('Price History'!X93)),NOT(ISNUMBER('Price History'!X92)),'Price History'!X92=0),"",'Price History'!X93/'Price History'!X92-1),"")</f>
        <v/>
      </c>
      <c r="AR92" s="151">
        <f>IFERROR(IF(OR(NOT(ISNUMBER('Price History'!Y93)),NOT(ISNUMBER('Price History'!Y92)),'Price History'!Y92=0),"",'Price History'!Y93/'Price History'!Y92-1),"")</f>
        <v>8.8070456365092475E-3</v>
      </c>
      <c r="AS92" s="151">
        <f>IFERROR(IF(OR(NOT(ISNUMBER('Price History'!Z93)),NOT(ISNUMBER('Price History'!Z92)),'Price History'!Z92=0),"",'Price History'!Z93/'Price History'!Z92-1),"")</f>
        <v>3.9539928779010358E-2</v>
      </c>
      <c r="AT92" s="151">
        <f>IFERROR(IF(OR(NOT(ISNUMBER('Price History'!AA93)),NOT(ISNUMBER('Price History'!AA92)),'Price History'!AA92=0),"",'Price History'!AA93/'Price History'!AA92-1),"")</f>
        <v>2.8412856196156522E-2</v>
      </c>
      <c r="AU92" s="151">
        <f>IFERROR(IF(OR(NOT(ISNUMBER('Price History'!AB93)),NOT(ISNUMBER('Price History'!AB92)),'Price History'!AB92=0),"",'Price History'!AB93/'Price History'!AB92-1),"")</f>
        <v>2.0235967107615327E-2</v>
      </c>
    </row>
    <row r="93" spans="1:47" ht="15" customHeight="1" x14ac:dyDescent="0.2">
      <c r="A93" s="149">
        <f>IF('Price History'!A94="","",'Price History'!A94)</f>
        <v>45821</v>
      </c>
      <c r="B93" s="150">
        <f>IFERROR(IF(OR(NOT(ISNUMBER('Price History'!B94)),NOT(ISNUMBER('Price History'!B93)),'Price History'!B93=0),"",'Price History'!B94/'Price History'!B93-1),"")</f>
        <v>-6.0539192171159995E-2</v>
      </c>
      <c r="C93" s="150">
        <f>IFERROR(IF(OR(NOT(ISNUMBER('Price History'!C94)),NOT(ISNUMBER('Price History'!C93)),'Price History'!C93=0),"",'Price History'!C94/'Price History'!C93-1),"")</f>
        <v>-5.0385604113110549E-2</v>
      </c>
      <c r="D93" s="150">
        <f>IFERROR(IF(OR(NOT(ISNUMBER('Price History'!D94)),NOT(ISNUMBER('Price History'!D93)),'Price History'!D93=0),"",'Price History'!D94/'Price History'!D93-1),"")</f>
        <v>1.060037523452162E-2</v>
      </c>
      <c r="E93" s="150">
        <f>IFERROR(IF(OR(NOT(ISNUMBER('Price History'!E94)),NOT(ISNUMBER('Price History'!E93)),'Price History'!E93=0),"",'Price History'!E94/'Price History'!E93-1),"")</f>
        <v>7.1688992667240381E-3</v>
      </c>
      <c r="F93" s="150">
        <f>IFERROR(IF(OR(NOT(ISNUMBER('Price History'!F94)),NOT(ISNUMBER('Price History'!F93)),'Price History'!F93=0),"",'Price History'!F94/'Price History'!F93-1),"")</f>
        <v>2.6046114432109357E-2</v>
      </c>
      <c r="G93" s="150">
        <f>IFERROR(IF(OR(NOT(ISNUMBER('Price History'!G94)),NOT(ISNUMBER('Price History'!G93)),'Price History'!G93=0),"",'Price History'!G94/'Price History'!G93-1),"")</f>
        <v>7.3824666417259044E-2</v>
      </c>
      <c r="H93" s="150">
        <f>IFERROR(IF(OR(NOT(ISNUMBER('Price History'!H94)),NOT(ISNUMBER('Price History'!H93)),'Price History'!H93=0),"",'Price History'!H94/'Price History'!H93-1),"")</f>
        <v>6.4924270410048113E-2</v>
      </c>
      <c r="I93" s="150">
        <f>IFERROR(IF(OR(NOT(ISNUMBER('Price History'!I94)),NOT(ISNUMBER('Price History'!I93)),'Price History'!I93=0),"",'Price History'!I94/'Price History'!I93-1),"")</f>
        <v>1.8392756083758233E-3</v>
      </c>
      <c r="J93" s="150">
        <f>IFERROR(IF(OR(NOT(ISNUMBER('Price History'!J94)),NOT(ISNUMBER('Price History'!J93)),'Price History'!J93=0),"",'Price History'!J94/'Price History'!J93-1),"")</f>
        <v>-1.3904982618771711E-2</v>
      </c>
      <c r="K93" s="150">
        <f>IFERROR(IF(OR(NOT(ISNUMBER('Price History'!K94)),NOT(ISNUMBER('Price History'!K93)),'Price History'!K93=0),"",'Price History'!K94/'Price History'!K93-1),"")</f>
        <v>7.5790792358283898E-2</v>
      </c>
      <c r="L93" s="150">
        <f>IFERROR(IF(OR(NOT(ISNUMBER('Price History'!L94)),NOT(ISNUMBER('Price History'!L93)),'Price History'!L93=0),"",'Price History'!L94/'Price History'!L93-1),"")</f>
        <v>3.2579589407914389E-2</v>
      </c>
      <c r="M93" s="150">
        <f>IFERROR(IF(OR(NOT(ISNUMBER('Price History'!M94)),NOT(ISNUMBER('Price History'!M93)),'Price History'!M93=0),"",'Price History'!M94/'Price History'!M93-1),"")</f>
        <v>-3.8117565338195769E-2</v>
      </c>
      <c r="N93" s="150">
        <f>IFERROR(IF(OR(NOT(ISNUMBER('Price History'!N94)),NOT(ISNUMBER('Price History'!N93)),'Price History'!N93=0),"",'Price History'!N94/'Price History'!N93-1),"")</f>
        <v>1.0987791342952358E-2</v>
      </c>
      <c r="O93" s="150">
        <f>IFERROR(IF(OR(NOT(ISNUMBER('Price History'!O94)),NOT(ISNUMBER('Price History'!O93)),'Price History'!O93=0),"",'Price History'!O94/'Price History'!O93-1),"")</f>
        <v>-6.0391978122151802E-3</v>
      </c>
      <c r="P93" s="150">
        <f>IFERROR(IF(OR(NOT(ISNUMBER('Price History'!P94)),NOT(ISNUMBER('Price History'!P93)),'Price History'!P93=0),"",'Price History'!P94/'Price History'!P93-1),"")</f>
        <v>-3.5250761095978467E-3</v>
      </c>
      <c r="Q93" s="150">
        <f>IFERROR(IF(OR(NOT(ISNUMBER('Price History'!Q94)),NOT(ISNUMBER('Price History'!Q93)),'Price History'!Q93=0),"",'Price History'!Q94/'Price History'!Q93-1),"")</f>
        <v>-1.6326530612242873E-4</v>
      </c>
      <c r="R93" s="150">
        <f>IFERROR(IF(OR(NOT(ISNUMBER('Price History'!R94)),NOT(ISNUMBER('Price History'!R93)),'Price History'!R93=0),"",'Price History'!R94/'Price History'!R93-1),"")</f>
        <v>-1.9836896627726253E-3</v>
      </c>
      <c r="S93" s="150">
        <f>IFERROR(IF(OR(NOT(ISNUMBER('Price History'!S94)),NOT(ISNUMBER('Price History'!S93)),'Price History'!S93=0),"",'Price History'!S94/'Price History'!S93-1),"")</f>
        <v>-7.0989115002366709E-3</v>
      </c>
      <c r="T93" s="150">
        <f>IFERROR(IF(OR(NOT(ISNUMBER('Price History'!T94)),NOT(ISNUMBER('Price History'!T93)),'Price History'!T93=0),"",'Price History'!T94/'Price History'!T93-1),"")</f>
        <v>1.3219741480611225E-2</v>
      </c>
      <c r="U93" s="150">
        <f>IFERROR(IF(OR(NOT(ISNUMBER('Price History'!U94)),NOT(ISNUMBER('Price History'!U93)),'Price History'!U93=0),"",'Price History'!U94/'Price History'!U93-1),"")</f>
        <v>1.3518886679920517E-2</v>
      </c>
      <c r="V93" s="151">
        <f>IFERROR(IF(OR(NOT(ISNUMBER('Price History'!V94)),NOT(ISNUMBER('Price History'!V93)),'Price History'!V93=0),"",'Price History'!V94/'Price History'!V93-1),"")</f>
        <v>-4.691250272747105E-2</v>
      </c>
      <c r="W93" s="152">
        <f>IFERROR('Price History'!B3+(INDEX('Price History'!B:B,MATCH(9.99E+307,'Returns (Calc)'!$A:$A)+1)-'Price History'!B3)*(ROW()-3)/(MATCH(9.99E+307,'Returns (Calc)'!$A:$A)-3),"")</f>
        <v>366.65226415094338</v>
      </c>
      <c r="X93" s="152">
        <f>IFERROR('Price History'!C3+(INDEX('Price History'!C:C,MATCH(9.99E+307,'Returns (Calc)'!$A:$A)+1)-'Price History'!C3)*(ROW()-3)/(MATCH(9.99E+307,'Returns (Calc)'!$A:$A)-3),"")</f>
        <v>142.7233962264151</v>
      </c>
      <c r="Y93" s="152">
        <f>IFERROR('Price History'!D3+(INDEX('Price History'!D:D,MATCH(9.99E+307,'Returns (Calc)'!$A:$A)+1)-'Price History'!D3)*(ROW()-3)/(MATCH(9.99E+307,'Returns (Calc)'!$A:$A)-3),"")</f>
        <v>1260.31</v>
      </c>
      <c r="Z93" s="152">
        <f>IFERROR('Price History'!E3+(INDEX('Price History'!E:E,MATCH(9.99E+307,'Returns (Calc)'!$A:$A)+1)-'Price History'!E3)*(ROW()-3)/(MATCH(9.99E+307,'Returns (Calc)'!$A:$A)-3),"")</f>
        <v>240.23018867924529</v>
      </c>
      <c r="AA93" s="152">
        <f>IFERROR('Price History'!F3+(INDEX('Price History'!F:F,MATCH(9.99E+307,'Returns (Calc)'!$A:$A)+1)-'Price History'!F3)*(ROW()-3)/(MATCH(9.99E+307,'Returns (Calc)'!$A:$A)-3),"")</f>
        <v>173.63169811320756</v>
      </c>
      <c r="AB93" s="152">
        <f>IFERROR('Price History'!G3+(INDEX('Price History'!G:G,MATCH(9.99E+307,'Returns (Calc)'!$A:$A)+1)-'Price History'!G3)*(ROW()-3)/(MATCH(9.99E+307,'Returns (Calc)'!$A:$A)-3),"")</f>
        <v>129.94622641509434</v>
      </c>
      <c r="AC93" s="152">
        <f>IFERROR('Price History'!H3+(INDEX('Price History'!H:H,MATCH(9.99E+307,'Returns (Calc)'!$A:$A)+1)-'Price History'!H3)*(ROW()-3)/(MATCH(9.99E+307,'Returns (Calc)'!$A:$A)-3),"")</f>
        <v>612.44396226415097</v>
      </c>
      <c r="AD93" s="152">
        <f>IFERROR('Price History'!I3+(INDEX('Price History'!I:I,MATCH(9.99E+307,'Returns (Calc)'!$A:$A)+1)-'Price History'!I3)*(ROW()-3)/(MATCH(9.99E+307,'Returns (Calc)'!$A:$A)-3),"")</f>
        <v>148.77566037735849</v>
      </c>
      <c r="AE93" s="152">
        <f>IFERROR('Price History'!J3+(INDEX('Price History'!J:J,MATCH(9.99E+307,'Returns (Calc)'!$A:$A)+1)-'Price History'!J3)*(ROW()-3)/(MATCH(9.99E+307,'Returns (Calc)'!$A:$A)-3),"")</f>
        <v>121.83056603773585</v>
      </c>
      <c r="AF93" s="152">
        <f>IFERROR('Price History'!K3+(INDEX('Price History'!K:K,MATCH(9.99E+307,'Returns (Calc)'!$A:$A)+1)-'Price History'!K3)*(ROW()-3)/(MATCH(9.99E+307,'Returns (Calc)'!$A:$A)-3),"")</f>
        <v>124.98283018867924</v>
      </c>
      <c r="AG93" s="152">
        <f>IFERROR('Price History'!L3+(INDEX('Price History'!L:L,MATCH(9.99E+307,'Returns (Calc)'!$A:$A)+1)-'Price History'!L3)*(ROW()-3)/(MATCH(9.99E+307,'Returns (Calc)'!$A:$A)-3),"")</f>
        <v>293.80283018867925</v>
      </c>
      <c r="AH93" s="152">
        <f>IFERROR('Price History'!M3+(INDEX('Price History'!M:M,MATCH(9.99E+307,'Returns (Calc)'!$A:$A)+1)-'Price History'!M3)*(ROW()-3)/(MATCH(9.99E+307,'Returns (Calc)'!$A:$A)-3),"")</f>
        <v>153.92188679245282</v>
      </c>
      <c r="AI93" s="152">
        <f>IFERROR('Price History'!N3+(INDEX('Price History'!N:N,MATCH(9.99E+307,'Returns (Calc)'!$A:$A)+1)-'Price History'!N3)*(ROW()-3)/(MATCH(9.99E+307,'Returns (Calc)'!$A:$A)-3),"")</f>
        <v>440.13396226415091</v>
      </c>
      <c r="AJ93" s="152">
        <f>IFERROR('Price History'!O3+(INDEX('Price History'!O:O,MATCH(9.99E+307,'Returns (Calc)'!$A:$A)+1)-'Price History'!O3)*(ROW()-3)/(MATCH(9.99E+307,'Returns (Calc)'!$A:$A)-3),"")</f>
        <v>100.40245283018868</v>
      </c>
      <c r="AK93" s="152">
        <f>IFERROR('Price History'!Q3+(INDEX('Price History'!Q:Q,MATCH(9.99E+307,'Returns (Calc)'!$A:$A)+1)-'Price History'!Q3)*(ROW()-3)/(MATCH(9.99E+307,'Returns (Calc)'!$A:$A)-3),"")</f>
        <v>39.60566037735849</v>
      </c>
      <c r="AL93" s="152">
        <f>IFERROR('Price History'!R3+(INDEX('Price History'!R:R,MATCH(9.99E+307,'Returns (Calc)'!$A:$A)+1)-'Price History'!R3)*(ROW()-3)/(MATCH(9.99E+307,'Returns (Calc)'!$A:$A)-3),"")</f>
        <v>49.542264150943396</v>
      </c>
      <c r="AM93" s="152">
        <f>IFERROR('Price History'!S3+(INDEX('Price History'!S:S,MATCH(9.99E+307,'Returns (Calc)'!$A:$A)+1)-'Price History'!S3)*(ROW()-3)/(MATCH(9.99E+307,'Returns (Calc)'!$A:$A)-3),"")</f>
        <v>110.57150943396226</v>
      </c>
      <c r="AN93" s="152">
        <f>IFERROR('Price History'!T3+(INDEX('Price History'!T:T,MATCH(9.99E+307,'Returns (Calc)'!$A:$A)+1)-'Price History'!T3)*(ROW()-3)/(MATCH(9.99E+307,'Returns (Calc)'!$A:$A)-3),"")</f>
        <v>40.862641509433963</v>
      </c>
      <c r="AO93" s="153">
        <f>IFERROR('Price History'!V3+(INDEX('Price History'!V:V,MATCH(9.99E+307,'Returns (Calc)'!$A:$A)+1)-'Price History'!V3)*(ROW()-3)/(MATCH(9.99E+307,'Returns (Calc)'!$A:$A)-3),"")</f>
        <v>320.43377358490568</v>
      </c>
      <c r="AP93" s="151">
        <f>IFERROR(IF(OR(NOT(ISNUMBER('Price History'!W94)),NOT(ISNUMBER('Price History'!W93)),'Price History'!W93=0),"",'Price History'!W94/'Price History'!W93-1),"")</f>
        <v>7.158196134573469E-4</v>
      </c>
      <c r="AQ93" s="151" t="str">
        <f>IFERROR(IF(OR(NOT(ISNUMBER('Price History'!X94)),NOT(ISNUMBER('Price History'!X93)),'Price History'!X93=0),"",'Price History'!X94/'Price History'!X93-1),"")</f>
        <v/>
      </c>
      <c r="AR93" s="151">
        <f>IFERROR(IF(OR(NOT(ISNUMBER('Price History'!Y94)),NOT(ISNUMBER('Price History'!Y93)),'Price History'!Y93=0),"",'Price History'!Y94/'Price History'!Y93-1),"")</f>
        <v>0</v>
      </c>
      <c r="AS93" s="151">
        <f>IFERROR(IF(OR(NOT(ISNUMBER('Price History'!Z94)),NOT(ISNUMBER('Price History'!Z93)),'Price History'!Z93=0),"",'Price History'!Z94/'Price History'!Z93-1),"")</f>
        <v>-7.4457613103909859E-2</v>
      </c>
      <c r="AT93" s="151">
        <f>IFERROR(IF(OR(NOT(ISNUMBER('Price History'!AA94)),NOT(ISNUMBER('Price History'!AA93)),'Price History'!AA93=0),"",'Price History'!AA94/'Price History'!AA93-1),"")</f>
        <v>-2.3681031010874043E-2</v>
      </c>
      <c r="AU93" s="151">
        <f>IFERROR(IF(OR(NOT(ISNUMBER('Price History'!AB94)),NOT(ISNUMBER('Price History'!AB93)),'Price History'!AB93=0),"",'Price History'!AB94/'Price History'!AB93-1),"")</f>
        <v>-9.8472105410709609E-3</v>
      </c>
    </row>
    <row r="94" spans="1:47" ht="15" customHeight="1" x14ac:dyDescent="0.2">
      <c r="A94" s="149">
        <f>IF('Price History'!A95="","",'Price History'!A95)</f>
        <v>45828</v>
      </c>
      <c r="B94" s="150">
        <f>IFERROR(IF(OR(NOT(ISNUMBER('Price History'!B95)),NOT(ISNUMBER('Price History'!B94)),'Price History'!B94=0),"",'Price History'!B95/'Price History'!B94-1),"")</f>
        <v>-3.7683823529411686E-2</v>
      </c>
      <c r="C94" s="150">
        <f>IFERROR(IF(OR(NOT(ISNUMBER('Price History'!C95)),NOT(ISNUMBER('Price History'!C94)),'Price History'!C94=0),"",'Price History'!C95/'Price History'!C94-1),"")</f>
        <v>-6.6053059014618221E-2</v>
      </c>
      <c r="D94" s="150">
        <f>IFERROR(IF(OR(NOT(ISNUMBER('Price History'!D95)),NOT(ISNUMBER('Price History'!D94)),'Price History'!D94=0),"",'Price History'!D95/'Price History'!D94-1),"")</f>
        <v>-5.8744745461538628E-3</v>
      </c>
      <c r="E94" s="150">
        <f>IFERROR(IF(OR(NOT(ISNUMBER('Price History'!E95)),NOT(ISNUMBER('Price History'!E94)),'Price History'!E94=0),"",'Price History'!E95/'Price History'!E94-1),"")</f>
        <v>7.5652810542583548E-3</v>
      </c>
      <c r="F94" s="150">
        <f>IFERROR(IF(OR(NOT(ISNUMBER('Price History'!F95)),NOT(ISNUMBER('Price History'!F94)),'Price History'!F94=0),"",'Price History'!F95/'Price History'!F94-1),"")</f>
        <v>-8.9887640449439754E-3</v>
      </c>
      <c r="G94" s="150">
        <f>IFERROR(IF(OR(NOT(ISNUMBER('Price History'!G95)),NOT(ISNUMBER('Price History'!G94)),'Price History'!G94=0),"",'Price History'!G95/'Price History'!G94-1),"")</f>
        <v>-2.0322842875391989E-2</v>
      </c>
      <c r="H94" s="150">
        <f>IFERROR(IF(OR(NOT(ISNUMBER('Price History'!H95)),NOT(ISNUMBER('Price History'!H94)),'Price History'!H94=0),"",'Price History'!H95/'Price History'!H94-1),"")</f>
        <v>6.9204752406556214E-2</v>
      </c>
      <c r="I94" s="150">
        <f>IFERROR(IF(OR(NOT(ISNUMBER('Price History'!I95)),NOT(ISNUMBER('Price History'!I94)),'Price History'!I94=0),"",'Price History'!I95/'Price History'!I94-1),"")</f>
        <v>1.3274961163677323E-2</v>
      </c>
      <c r="J94" s="150">
        <f>IFERROR(IF(OR(NOT(ISNUMBER('Price History'!J95)),NOT(ISNUMBER('Price History'!J94)),'Price History'!J94=0),"",'Price History'!J95/'Price History'!J94-1),"")</f>
        <v>-5.3858206032120215E-3</v>
      </c>
      <c r="K94" s="150">
        <f>IFERROR(IF(OR(NOT(ISNUMBER('Price History'!K95)),NOT(ISNUMBER('Price History'!K94)),'Price History'!K94=0),"",'Price History'!K95/'Price History'!K94-1),"")</f>
        <v>-7.2780203784561515E-4</v>
      </c>
      <c r="L94" s="150">
        <f>IFERROR(IF(OR(NOT(ISNUMBER('Price History'!L95)),NOT(ISNUMBER('Price History'!L94)),'Price History'!L94=0),"",'Price History'!L95/'Price History'!L94-1),"")</f>
        <v>-7.5397397108966091E-3</v>
      </c>
      <c r="M94" s="150">
        <f>IFERROR(IF(OR(NOT(ISNUMBER('Price History'!M95)),NOT(ISNUMBER('Price History'!M94)),'Price History'!M94=0),"",'Price History'!M95/'Price History'!M94-1),"")</f>
        <v>6.8604441234879854E-2</v>
      </c>
      <c r="N94" s="150">
        <f>IFERROR(IF(OR(NOT(ISNUMBER('Price History'!N95)),NOT(ISNUMBER('Price History'!N94)),'Price History'!N94=0),"",'Price History'!N95/'Price History'!N94-1),"")</f>
        <v>-3.2012295531891555E-2</v>
      </c>
      <c r="O94" s="150">
        <f>IFERROR(IF(OR(NOT(ISNUMBER('Price History'!O95)),NOT(ISNUMBER('Price History'!O94)),'Price History'!O94=0),"",'Price History'!O95/'Price History'!O94-1),"")</f>
        <v>1.7195918835262169E-3</v>
      </c>
      <c r="P94" s="150">
        <f>IFERROR(IF(OR(NOT(ISNUMBER('Price History'!P95)),NOT(ISNUMBER('Price History'!P94)),'Price History'!P94=0),"",'Price History'!P95/'Price History'!P94-1),"")</f>
        <v>2.9747547837273292E-3</v>
      </c>
      <c r="Q94" s="150">
        <f>IFERROR(IF(OR(NOT(ISNUMBER('Price History'!Q95)),NOT(ISNUMBER('Price History'!Q94)),'Price History'!Q94=0),"",'Price History'!Q95/'Price History'!Q94-1),"")</f>
        <v>8.1645983017630819E-4</v>
      </c>
      <c r="R94" s="150">
        <f>IFERROR(IF(OR(NOT(ISNUMBER('Price History'!R95)),NOT(ISNUMBER('Price History'!R94)),'Price History'!R94=0),"",'Price History'!R95/'Price History'!R94-1),"")</f>
        <v>3.0918727915194566E-3</v>
      </c>
      <c r="S94" s="150">
        <f>IFERROR(IF(OR(NOT(ISNUMBER('Price History'!S95)),NOT(ISNUMBER('Price History'!S94)),'Price History'!S94=0),"",'Price History'!S95/'Price History'!S94-1),"")</f>
        <v>7.0543374642515477E-3</v>
      </c>
      <c r="T94" s="150">
        <f>IFERROR(IF(OR(NOT(ISNUMBER('Price History'!T95)),NOT(ISNUMBER('Price History'!T94)),'Price History'!T94=0),"",'Price History'!T95/'Price History'!T94-1),"")</f>
        <v>-1.1597564511451885E-3</v>
      </c>
      <c r="U94" s="150">
        <f>IFERROR(IF(OR(NOT(ISNUMBER('Price History'!U95)),NOT(ISNUMBER('Price History'!U94)),'Price History'!U94=0),"",'Price History'!U95/'Price History'!U94-1),"")</f>
        <v>-7.4539034915652724E-3</v>
      </c>
      <c r="V94" s="151">
        <f>IFERROR(IF(OR(NOT(ISNUMBER('Price History'!V95)),NOT(ISNUMBER('Price History'!V94)),'Price History'!V94=0),"",'Price History'!V95/'Price History'!V94-1),"")</f>
        <v>-4.0493360805860745E-2</v>
      </c>
      <c r="W94" s="152">
        <f>IFERROR('Price History'!B3+(INDEX('Price History'!B:B,MATCH(9.99E+307,'Returns (Calc)'!$A:$A)+1)-'Price History'!B3)*(ROW()-3)/(MATCH(9.99E+307,'Returns (Calc)'!$A:$A)-3),"")</f>
        <v>364.84962264150943</v>
      </c>
      <c r="X94" s="152">
        <f>IFERROR('Price History'!C3+(INDEX('Price History'!C:C,MATCH(9.99E+307,'Returns (Calc)'!$A:$A)+1)-'Price History'!C3)*(ROW()-3)/(MATCH(9.99E+307,'Returns (Calc)'!$A:$A)-3),"")</f>
        <v>143.79610062893082</v>
      </c>
      <c r="Y94" s="152">
        <f>IFERROR('Price History'!D3+(INDEX('Price History'!D:D,MATCH(9.99E+307,'Returns (Calc)'!$A:$A)+1)-'Price History'!D3)*(ROW()-3)/(MATCH(9.99E+307,'Returns (Calc)'!$A:$A)-3),"")</f>
        <v>1267.8466666666668</v>
      </c>
      <c r="Z94" s="152">
        <f>IFERROR('Price History'!E3+(INDEX('Price History'!E:E,MATCH(9.99E+307,'Returns (Calc)'!$A:$A)+1)-'Price History'!E3)*(ROW()-3)/(MATCH(9.99E+307,'Returns (Calc)'!$A:$A)-3),"")</f>
        <v>241.98830188679247</v>
      </c>
      <c r="AA94" s="152">
        <f>IFERROR('Price History'!F3+(INDEX('Price History'!F:F,MATCH(9.99E+307,'Returns (Calc)'!$A:$A)+1)-'Price History'!F3)*(ROW()-3)/(MATCH(9.99E+307,'Returns (Calc)'!$A:$A)-3),"")</f>
        <v>175.10138364779874</v>
      </c>
      <c r="AB94" s="152">
        <f>IFERROR('Price History'!G3+(INDEX('Price History'!G:G,MATCH(9.99E+307,'Returns (Calc)'!$A:$A)+1)-'Price History'!G3)*(ROW()-3)/(MATCH(9.99E+307,'Returns (Calc)'!$A:$A)-3),"")</f>
        <v>130.89729559748429</v>
      </c>
      <c r="AC94" s="152">
        <f>IFERROR('Price History'!H3+(INDEX('Price History'!H:H,MATCH(9.99E+307,'Returns (Calc)'!$A:$A)+1)-'Price History'!H3)*(ROW()-3)/(MATCH(9.99E+307,'Returns (Calc)'!$A:$A)-3),"")</f>
        <v>618.4810062893082</v>
      </c>
      <c r="AD94" s="152">
        <f>IFERROR('Price History'!I3+(INDEX('Price History'!I:I,MATCH(9.99E+307,'Returns (Calc)'!$A:$A)+1)-'Price History'!I3)*(ROW()-3)/(MATCH(9.99E+307,'Returns (Calc)'!$A:$A)-3),"")</f>
        <v>149.94238993710692</v>
      </c>
      <c r="AE94" s="152">
        <f>IFERROR('Price History'!J3+(INDEX('Price History'!J:J,MATCH(9.99E+307,'Returns (Calc)'!$A:$A)+1)-'Price History'!J3)*(ROW()-3)/(MATCH(9.99E+307,'Returns (Calc)'!$A:$A)-3),"")</f>
        <v>121.94157232704403</v>
      </c>
      <c r="AF94" s="152">
        <f>IFERROR('Price History'!K3+(INDEX('Price History'!K:K,MATCH(9.99E+307,'Returns (Calc)'!$A:$A)+1)-'Price History'!K3)*(ROW()-3)/(MATCH(9.99E+307,'Returns (Calc)'!$A:$A)-3),"")</f>
        <v>126.20119496855347</v>
      </c>
      <c r="AG94" s="152">
        <f>IFERROR('Price History'!L3+(INDEX('Price History'!L:L,MATCH(9.99E+307,'Returns (Calc)'!$A:$A)+1)-'Price History'!L3)*(ROW()-3)/(MATCH(9.99E+307,'Returns (Calc)'!$A:$A)-3),"")</f>
        <v>296.11452830188682</v>
      </c>
      <c r="AH94" s="152">
        <f>IFERROR('Price History'!M3+(INDEX('Price History'!M:M,MATCH(9.99E+307,'Returns (Calc)'!$A:$A)+1)-'Price History'!M3)*(ROW()-3)/(MATCH(9.99E+307,'Returns (Calc)'!$A:$A)-3),"")</f>
        <v>155.20968553459119</v>
      </c>
      <c r="AI94" s="152">
        <f>IFERROR('Price History'!N3+(INDEX('Price History'!N:N,MATCH(9.99E+307,'Returns (Calc)'!$A:$A)+1)-'Price History'!N3)*(ROW()-3)/(MATCH(9.99E+307,'Returns (Calc)'!$A:$A)-3),"")</f>
        <v>441.14767295597483</v>
      </c>
      <c r="AJ94" s="152">
        <f>IFERROR('Price History'!O3+(INDEX('Price History'!O:O,MATCH(9.99E+307,'Returns (Calc)'!$A:$A)+1)-'Price History'!O3)*(ROW()-3)/(MATCH(9.99E+307,'Returns (Calc)'!$A:$A)-3),"")</f>
        <v>100.68125786163522</v>
      </c>
      <c r="AK94" s="152">
        <f>IFERROR('Price History'!Q3+(INDEX('Price History'!Q:Q,MATCH(9.99E+307,'Returns (Calc)'!$A:$A)+1)-'Price History'!Q3)*(ROW()-3)/(MATCH(9.99E+307,'Returns (Calc)'!$A:$A)-3),"")</f>
        <v>40.045723270440249</v>
      </c>
      <c r="AL94" s="152">
        <f>IFERROR('Price History'!R3+(INDEX('Price History'!R:R,MATCH(9.99E+307,'Returns (Calc)'!$A:$A)+1)-'Price History'!R3)*(ROW()-3)/(MATCH(9.99E+307,'Returns (Calc)'!$A:$A)-3),"")</f>
        <v>49.709622641509434</v>
      </c>
      <c r="AM94" s="152">
        <f>IFERROR('Price History'!S3+(INDEX('Price History'!S:S,MATCH(9.99E+307,'Returns (Calc)'!$A:$A)+1)-'Price History'!S3)*(ROW()-3)/(MATCH(9.99E+307,'Returns (Calc)'!$A:$A)-3),"")</f>
        <v>111.15974842767295</v>
      </c>
      <c r="AN94" s="152">
        <f>IFERROR('Price History'!T3+(INDEX('Price History'!T:T,MATCH(9.99E+307,'Returns (Calc)'!$A:$A)+1)-'Price History'!T3)*(ROW()-3)/(MATCH(9.99E+307,'Returns (Calc)'!$A:$A)-3),"")</f>
        <v>41.03622641509434</v>
      </c>
      <c r="AO94" s="153">
        <f>IFERROR('Price History'!V3+(INDEX('Price History'!V:V,MATCH(9.99E+307,'Returns (Calc)'!$A:$A)+1)-'Price History'!V3)*(ROW()-3)/(MATCH(9.99E+307,'Returns (Calc)'!$A:$A)-3),"")</f>
        <v>321.37603773584902</v>
      </c>
      <c r="AP94" s="151">
        <f>IFERROR(IF(OR(NOT(ISNUMBER('Price History'!W95)),NOT(ISNUMBER('Price History'!W94)),'Price History'!W94=0),"",'Price History'!W95/'Price History'!W94-1),"")</f>
        <v>-3.9739310125574967E-4</v>
      </c>
      <c r="AQ94" s="151" t="str">
        <f>IFERROR(IF(OR(NOT(ISNUMBER('Price History'!X95)),NOT(ISNUMBER('Price History'!X94)),'Price History'!X94=0),"",'Price History'!X95/'Price History'!X94-1),"")</f>
        <v/>
      </c>
      <c r="AR94" s="151">
        <f>IFERROR(IF(OR(NOT(ISNUMBER('Price History'!Y95)),NOT(ISNUMBER('Price History'!Y94)),'Price History'!Y94=0),"",'Price History'!Y95/'Price History'!Y94-1),"")</f>
        <v>-5.1587301587301404E-3</v>
      </c>
      <c r="AS94" s="151">
        <f>IFERROR(IF(OR(NOT(ISNUMBER('Price History'!Z95)),NOT(ISNUMBER('Price History'!Z94)),'Price History'!Z94=0),"",'Price History'!Z95/'Price History'!Z94-1),"")</f>
        <v>1.1699140644941819E-2</v>
      </c>
      <c r="AT94" s="151">
        <f>IFERROR(IF(OR(NOT(ISNUMBER('Price History'!AA95)),NOT(ISNUMBER('Price History'!AA94)),'Price History'!AA94=0),"",'Price History'!AA95/'Price History'!AA94-1),"")</f>
        <v>1.5922778648626457E-2</v>
      </c>
      <c r="AU94" s="151">
        <f>IFERROR(IF(OR(NOT(ISNUMBER('Price History'!AB95)),NOT(ISNUMBER('Price History'!AB94)),'Price History'!AB94=0),"",'Price History'!AB95/'Price History'!AB94-1),"")</f>
        <v>-8.7418156078571396E-3</v>
      </c>
    </row>
    <row r="95" spans="1:47" ht="15" customHeight="1" x14ac:dyDescent="0.2">
      <c r="A95" s="149">
        <f>IF('Price History'!A96="","",'Price History'!A96)</f>
        <v>45835</v>
      </c>
      <c r="B95" s="150">
        <f>IFERROR(IF(OR(NOT(ISNUMBER('Price History'!B96)),NOT(ISNUMBER('Price History'!B95)),'Price History'!B95=0),"",'Price History'!B96/'Price History'!B95-1),"")</f>
        <v>2.3638968481375366E-2</v>
      </c>
      <c r="C95" s="150">
        <f>IFERROR(IF(OR(NOT(ISNUMBER('Price History'!C96)),NOT(ISNUMBER('Price History'!C95)),'Price History'!C95=0),"",'Price History'!C96/'Price History'!C95-1),"")</f>
        <v>0.15234782608695663</v>
      </c>
      <c r="D95" s="150">
        <f>IFERROR(IF(OR(NOT(ISNUMBER('Price History'!D96)),NOT(ISNUMBER('Price History'!D95)),'Price History'!D95=0),"",'Price History'!D96/'Price History'!D95-1),"")</f>
        <v>5.2102230284921669E-2</v>
      </c>
      <c r="E95" s="150">
        <f>IFERROR(IF(OR(NOT(ISNUMBER('Price History'!E96)),NOT(ISNUMBER('Price History'!E95)),'Price History'!E95=0),"",'Price History'!E96/'Price History'!E95-1),"")</f>
        <v>7.7426126271596951E-2</v>
      </c>
      <c r="F95" s="150">
        <f>IFERROR(IF(OR(NOT(ISNUMBER('Price History'!F96)),NOT(ISNUMBER('Price History'!F95)),'Price History'!F95=0),"",'Price History'!F96/'Price History'!F95-1),"")</f>
        <v>4.837490551776269E-2</v>
      </c>
      <c r="G95" s="150">
        <f>IFERROR(IF(OR(NOT(ISNUMBER('Price History'!G96)),NOT(ISNUMBER('Price History'!G95)),'Price History'!G95=0),"",'Price History'!G96/'Price History'!G95-1),"")</f>
        <v>4.6941678520625807E-2</v>
      </c>
      <c r="H95" s="150">
        <f>IFERROR(IF(OR(NOT(ISNUMBER('Price History'!H96)),NOT(ISNUMBER('Price History'!H95)),'Price History'!H95=0),"",'Price History'!H96/'Price History'!H95-1),"")</f>
        <v>9.3276015897476583E-3</v>
      </c>
      <c r="I95" s="150">
        <f>IFERROR(IF(OR(NOT(ISNUMBER('Price History'!I96)),NOT(ISNUMBER('Price History'!I95)),'Price History'!I95=0),"",'Price History'!I96/'Price History'!I95-1),"")</f>
        <v>9.6585365853658622E-2</v>
      </c>
      <c r="J95" s="150">
        <f>IFERROR(IF(OR(NOT(ISNUMBER('Price History'!J96)),NOT(ISNUMBER('Price History'!J95)),'Price History'!J95=0),"",'Price History'!J96/'Price History'!J95-1),"")</f>
        <v>-6.8917987594752095E-4</v>
      </c>
      <c r="K95" s="150">
        <f>IFERROR(IF(OR(NOT(ISNUMBER('Price History'!K96)),NOT(ISNUMBER('Price History'!K95)),'Price History'!K95=0),"",'Price History'!K96/'Price History'!K95-1),"")</f>
        <v>-4.7778587035688269E-2</v>
      </c>
      <c r="L95" s="150">
        <f>IFERROR(IF(OR(NOT(ISNUMBER('Price History'!L96)),NOT(ISNUMBER('Price History'!L95)),'Price History'!L95=0),"",'Price History'!L96/'Price History'!L95-1),"")</f>
        <v>9.0970676473434597E-2</v>
      </c>
      <c r="M95" s="150">
        <f>IFERROR(IF(OR(NOT(ISNUMBER('Price History'!M96)),NOT(ISNUMBER('Price History'!M95)),'Price History'!M95=0),"",'Price History'!M96/'Price History'!M95-1),"")</f>
        <v>7.2731880385200176E-2</v>
      </c>
      <c r="N95" s="150">
        <f>IFERROR(IF(OR(NOT(ISNUMBER('Price History'!N96)),NOT(ISNUMBER('Price History'!N95)),'Price History'!N95=0),"",'Price History'!N96/'Price History'!N95-1),"")</f>
        <v>9.7534420577494174E-4</v>
      </c>
      <c r="O95" s="150">
        <f>IFERROR(IF(OR(NOT(ISNUMBER('Price History'!O96)),NOT(ISNUMBER('Price History'!O95)),'Price History'!O95=0),"",'Price History'!O96/'Price History'!O95-1),"")</f>
        <v>2.5520714122224897E-2</v>
      </c>
      <c r="P95" s="150">
        <f>IFERROR(IF(OR(NOT(ISNUMBER('Price History'!P96)),NOT(ISNUMBER('Price History'!P95)),'Price History'!P95=0),"",'Price History'!P96/'Price History'!P95-1),"")</f>
        <v>1.3787575150300491E-2</v>
      </c>
      <c r="Q95" s="150">
        <f>IFERROR(IF(OR(NOT(ISNUMBER('Price History'!Q96)),NOT(ISNUMBER('Price History'!Q95)),'Price History'!Q95=0),"",'Price History'!Q96/'Price History'!Q95-1),"")</f>
        <v>1.2400065263501459E-2</v>
      </c>
      <c r="R95" s="150">
        <f>IFERROR(IF(OR(NOT(ISNUMBER('Price History'!R96)),NOT(ISNUMBER('Price History'!R95)),'Price History'!R95=0),"",'Price History'!R96/'Price History'!R95-1),"")</f>
        <v>2.8841919859092791E-2</v>
      </c>
      <c r="S95" s="150">
        <f>IFERROR(IF(OR(NOT(ISNUMBER('Price History'!S96)),NOT(ISNUMBER('Price History'!S95)),'Price History'!S95=0),"",'Price History'!S96/'Price History'!S95-1),"")</f>
        <v>4.8182506626277988E-2</v>
      </c>
      <c r="T95" s="150">
        <f>IFERROR(IF(OR(NOT(ISNUMBER('Price History'!T96)),NOT(ISNUMBER('Price History'!T95)),'Price History'!T95=0),"",'Price History'!T96/'Price History'!T95-1),"")</f>
        <v>8.7082728592162706E-3</v>
      </c>
      <c r="U95" s="150">
        <f>IFERROR(IF(OR(NOT(ISNUMBER('Price History'!U96)),NOT(ISNUMBER('Price History'!U95)),'Price History'!U95=0),"",'Price History'!U96/'Price History'!U95-1),"")</f>
        <v>-1.9762845849802257E-3</v>
      </c>
      <c r="V95" s="151">
        <f>IFERROR(IF(OR(NOT(ISNUMBER('Price History'!V96)),NOT(ISNUMBER('Price History'!V95)),'Price History'!V95=0),"",'Price History'!V96/'Price History'!V95-1),"")</f>
        <v>2.9675803036177673E-2</v>
      </c>
      <c r="W95" s="152">
        <f>IFERROR('Price History'!B3+(INDEX('Price History'!B:B,MATCH(9.99E+307,'Returns (Calc)'!$A:$A)+1)-'Price History'!B3)*(ROW()-3)/(MATCH(9.99E+307,'Returns (Calc)'!$A:$A)-3),"")</f>
        <v>363.04698113207542</v>
      </c>
      <c r="X95" s="152">
        <f>IFERROR('Price History'!C3+(INDEX('Price History'!C:C,MATCH(9.99E+307,'Returns (Calc)'!$A:$A)+1)-'Price History'!C3)*(ROW()-3)/(MATCH(9.99E+307,'Returns (Calc)'!$A:$A)-3),"")</f>
        <v>144.86880503144656</v>
      </c>
      <c r="Y95" s="152">
        <f>IFERROR('Price History'!D3+(INDEX('Price History'!D:D,MATCH(9.99E+307,'Returns (Calc)'!$A:$A)+1)-'Price History'!D3)*(ROW()-3)/(MATCH(9.99E+307,'Returns (Calc)'!$A:$A)-3),"")</f>
        <v>1275.3833333333332</v>
      </c>
      <c r="Z95" s="152">
        <f>IFERROR('Price History'!E3+(INDEX('Price History'!E:E,MATCH(9.99E+307,'Returns (Calc)'!$A:$A)+1)-'Price History'!E3)*(ROW()-3)/(MATCH(9.99E+307,'Returns (Calc)'!$A:$A)-3),"")</f>
        <v>243.74641509433962</v>
      </c>
      <c r="AA95" s="152">
        <f>IFERROR('Price History'!F3+(INDEX('Price History'!F:F,MATCH(9.99E+307,'Returns (Calc)'!$A:$A)+1)-'Price History'!F3)*(ROW()-3)/(MATCH(9.99E+307,'Returns (Calc)'!$A:$A)-3),"")</f>
        <v>176.57106918238992</v>
      </c>
      <c r="AB95" s="152">
        <f>IFERROR('Price History'!G3+(INDEX('Price History'!G:G,MATCH(9.99E+307,'Returns (Calc)'!$A:$A)+1)-'Price History'!G3)*(ROW()-3)/(MATCH(9.99E+307,'Returns (Calc)'!$A:$A)-3),"")</f>
        <v>131.8483647798742</v>
      </c>
      <c r="AC95" s="152">
        <f>IFERROR('Price History'!H3+(INDEX('Price History'!H:H,MATCH(9.99E+307,'Returns (Calc)'!$A:$A)+1)-'Price History'!H3)*(ROW()-3)/(MATCH(9.99E+307,'Returns (Calc)'!$A:$A)-3),"")</f>
        <v>624.51805031446543</v>
      </c>
      <c r="AD95" s="152">
        <f>IFERROR('Price History'!I3+(INDEX('Price History'!I:I,MATCH(9.99E+307,'Returns (Calc)'!$A:$A)+1)-'Price History'!I3)*(ROW()-3)/(MATCH(9.99E+307,'Returns (Calc)'!$A:$A)-3),"")</f>
        <v>151.10911949685533</v>
      </c>
      <c r="AE95" s="152">
        <f>IFERROR('Price History'!J3+(INDEX('Price History'!J:J,MATCH(9.99E+307,'Returns (Calc)'!$A:$A)+1)-'Price History'!J3)*(ROW()-3)/(MATCH(9.99E+307,'Returns (Calc)'!$A:$A)-3),"")</f>
        <v>122.05257861635221</v>
      </c>
      <c r="AF95" s="152">
        <f>IFERROR('Price History'!K3+(INDEX('Price History'!K:K,MATCH(9.99E+307,'Returns (Calc)'!$A:$A)+1)-'Price History'!K3)*(ROW()-3)/(MATCH(9.99E+307,'Returns (Calc)'!$A:$A)-3),"")</f>
        <v>127.41955974842769</v>
      </c>
      <c r="AG95" s="152">
        <f>IFERROR('Price History'!L3+(INDEX('Price History'!L:L,MATCH(9.99E+307,'Returns (Calc)'!$A:$A)+1)-'Price History'!L3)*(ROW()-3)/(MATCH(9.99E+307,'Returns (Calc)'!$A:$A)-3),"")</f>
        <v>298.42622641509433</v>
      </c>
      <c r="AH95" s="152">
        <f>IFERROR('Price History'!M3+(INDEX('Price History'!M:M,MATCH(9.99E+307,'Returns (Calc)'!$A:$A)+1)-'Price History'!M3)*(ROW()-3)/(MATCH(9.99E+307,'Returns (Calc)'!$A:$A)-3),"")</f>
        <v>156.49748427672955</v>
      </c>
      <c r="AI95" s="152">
        <f>IFERROR('Price History'!N3+(INDEX('Price History'!N:N,MATCH(9.99E+307,'Returns (Calc)'!$A:$A)+1)-'Price History'!N3)*(ROW()-3)/(MATCH(9.99E+307,'Returns (Calc)'!$A:$A)-3),"")</f>
        <v>442.16138364779874</v>
      </c>
      <c r="AJ95" s="152">
        <f>IFERROR('Price History'!O3+(INDEX('Price History'!O:O,MATCH(9.99E+307,'Returns (Calc)'!$A:$A)+1)-'Price History'!O3)*(ROW()-3)/(MATCH(9.99E+307,'Returns (Calc)'!$A:$A)-3),"")</f>
        <v>100.96006289308175</v>
      </c>
      <c r="AK95" s="152">
        <f>IFERROR('Price History'!Q3+(INDEX('Price History'!Q:Q,MATCH(9.99E+307,'Returns (Calc)'!$A:$A)+1)-'Price History'!Q3)*(ROW()-3)/(MATCH(9.99E+307,'Returns (Calc)'!$A:$A)-3),"")</f>
        <v>40.485786163522015</v>
      </c>
      <c r="AL95" s="152">
        <f>IFERROR('Price History'!R3+(INDEX('Price History'!R:R,MATCH(9.99E+307,'Returns (Calc)'!$A:$A)+1)-'Price History'!R3)*(ROW()-3)/(MATCH(9.99E+307,'Returns (Calc)'!$A:$A)-3),"")</f>
        <v>49.876981132075471</v>
      </c>
      <c r="AM95" s="152">
        <f>IFERROR('Price History'!S3+(INDEX('Price History'!S:S,MATCH(9.99E+307,'Returns (Calc)'!$A:$A)+1)-'Price History'!S3)*(ROW()-3)/(MATCH(9.99E+307,'Returns (Calc)'!$A:$A)-3),"")</f>
        <v>111.74798742138366</v>
      </c>
      <c r="AN95" s="152">
        <f>IFERROR('Price History'!T3+(INDEX('Price History'!T:T,MATCH(9.99E+307,'Returns (Calc)'!$A:$A)+1)-'Price History'!T3)*(ROW()-3)/(MATCH(9.99E+307,'Returns (Calc)'!$A:$A)-3),"")</f>
        <v>41.209811320754717</v>
      </c>
      <c r="AO95" s="153">
        <f>IFERROR('Price History'!V3+(INDEX('Price History'!V:V,MATCH(9.99E+307,'Returns (Calc)'!$A:$A)+1)-'Price History'!V3)*(ROW()-3)/(MATCH(9.99E+307,'Returns (Calc)'!$A:$A)-3),"")</f>
        <v>322.31830188679243</v>
      </c>
      <c r="AP95" s="151">
        <f>IFERROR(IF(OR(NOT(ISNUMBER('Price History'!W96)),NOT(ISNUMBER('Price History'!W95)),'Price History'!W95=0),"",'Price History'!W96/'Price History'!W95-1),"")</f>
        <v>2.2342370994672844E-2</v>
      </c>
      <c r="AQ95" s="151" t="str">
        <f>IFERROR(IF(OR(NOT(ISNUMBER('Price History'!X96)),NOT(ISNUMBER('Price History'!X95)),'Price History'!X95=0),"",'Price History'!X96/'Price History'!X95-1),"")</f>
        <v/>
      </c>
      <c r="AR95" s="151">
        <f>IFERROR(IF(OR(NOT(ISNUMBER('Price History'!Y96)),NOT(ISNUMBER('Price History'!Y95)),'Price History'!Y95=0),"",'Price History'!Y96/'Price History'!Y95-1),"")</f>
        <v>1.6354208216992516E-2</v>
      </c>
      <c r="AS95" s="151">
        <f>IFERROR(IF(OR(NOT(ISNUMBER('Price History'!Z96)),NOT(ISNUMBER('Price History'!Z95)),'Price History'!Z95=0),"",'Price History'!Z96/'Price History'!Z95-1),"")</f>
        <v>6.3243766031706006E-2</v>
      </c>
      <c r="AT95" s="151">
        <f>IFERROR(IF(OR(NOT(ISNUMBER('Price History'!AA96)),NOT(ISNUMBER('Price History'!AA95)),'Price History'!AA95=0),"",'Price History'!AA96/'Price History'!AA95-1),"")</f>
        <v>7.4468085106383031E-2</v>
      </c>
      <c r="AU95" s="151">
        <f>IFERROR(IF(OR(NOT(ISNUMBER('Price History'!AB96)),NOT(ISNUMBER('Price History'!AB95)),'Price History'!AB95=0),"",'Price History'!AB96/'Price History'!AB95-1),"")</f>
        <v>1.188946015424186E-2</v>
      </c>
    </row>
    <row r="96" spans="1:47" ht="15" customHeight="1" x14ac:dyDescent="0.2">
      <c r="A96" s="149">
        <f>IF('Price History'!A97="","",'Price History'!A97)</f>
        <v>45842</v>
      </c>
      <c r="B96" s="150">
        <f>IFERROR(IF(OR(NOT(ISNUMBER('Price History'!B97)),NOT(ISNUMBER('Price History'!B96)),'Price History'!B96=0),"",'Price History'!B97/'Price History'!B96-1),"")</f>
        <v>-1.6898634113469591E-2</v>
      </c>
      <c r="C96" s="150">
        <f>IFERROR(IF(OR(NOT(ISNUMBER('Price History'!C97)),NOT(ISNUMBER('Price History'!C96)),'Price History'!C96=0),"",'Price History'!C97/'Price History'!C96-1),"")</f>
        <v>3.1492101821108731E-2</v>
      </c>
      <c r="D96" s="150">
        <f>IFERROR(IF(OR(NOT(ISNUMBER('Price History'!D97)),NOT(ISNUMBER('Price History'!D96)),'Price History'!D96=0),"",'Price History'!D97/'Price History'!D96-1),"")</f>
        <v>-1.8256966807820296E-3</v>
      </c>
      <c r="E96" s="150">
        <f>IFERROR(IF(OR(NOT(ISNUMBER('Price History'!E97)),NOT(ISNUMBER('Price History'!E96)),'Price History'!E96=0),"",'Price History'!E97/'Price History'!E96-1),"")</f>
        <v>2.165605095541423E-2</v>
      </c>
      <c r="F96" s="150">
        <f>IFERROR(IF(OR(NOT(ISNUMBER('Price History'!F97)),NOT(ISNUMBER('Price History'!F96)),'Price History'!F96=0),"",'Price History'!F97/'Price History'!F96-1),"")</f>
        <v>2.9560201874549552E-2</v>
      </c>
      <c r="G96" s="150">
        <f>IFERROR(IF(OR(NOT(ISNUMBER('Price History'!G97)),NOT(ISNUMBER('Price History'!G96)),'Price History'!G96=0),"",'Price History'!G97/'Price History'!G96-1),"")</f>
        <v>3.8949275362319069E-2</v>
      </c>
      <c r="H96" s="150">
        <f>IFERROR(IF(OR(NOT(ISNUMBER('Price History'!H97)),NOT(ISNUMBER('Price History'!H96)),'Price History'!H96=0),"",'Price History'!H97/'Price History'!H96-1),"")</f>
        <v>-1.9768563162970043E-2</v>
      </c>
      <c r="I96" s="150">
        <f>IFERROR(IF(OR(NOT(ISNUMBER('Price History'!I97)),NOT(ISNUMBER('Price History'!I96)),'Price History'!I96=0),"",'Price History'!I97/'Price History'!I96-1),"")</f>
        <v>1.0104219623792376E-2</v>
      </c>
      <c r="J96" s="150">
        <f>IFERROR(IF(OR(NOT(ISNUMBER('Price History'!J97)),NOT(ISNUMBER('Price History'!J96)),'Price History'!J96=0),"",'Price History'!J97/'Price History'!J96-1),"")</f>
        <v>2.2758620689655285E-2</v>
      </c>
      <c r="K96" s="150">
        <f>IFERROR(IF(OR(NOT(ISNUMBER('Price History'!K97)),NOT(ISNUMBER('Price History'!K96)),'Price History'!K96=0),"",'Price History'!K97/'Price History'!K96-1),"")</f>
        <v>2.7688542144714834E-2</v>
      </c>
      <c r="L96" s="150">
        <f>IFERROR(IF(OR(NOT(ISNUMBER('Price History'!L97)),NOT(ISNUMBER('Price History'!L96)),'Price History'!L96=0),"",'Price History'!L97/'Price History'!L96-1),"")</f>
        <v>2.7277565865341913E-2</v>
      </c>
      <c r="M96" s="150">
        <f>IFERROR(IF(OR(NOT(ISNUMBER('Price History'!M97)),NOT(ISNUMBER('Price History'!M96)),'Price History'!M96=0),"",'Price History'!M97/'Price History'!M96-1),"")</f>
        <v>5.3547523427042165E-3</v>
      </c>
      <c r="N96" s="150">
        <f>IFERROR(IF(OR(NOT(ISNUMBER('Price History'!N97)),NOT(ISNUMBER('Price History'!N96)),'Price History'!N96=0),"",'Price History'!N97/'Price History'!N96-1),"")</f>
        <v>4.15137094946747E-2</v>
      </c>
      <c r="O96" s="150">
        <f>IFERROR(IF(OR(NOT(ISNUMBER('Price History'!O97)),NOT(ISNUMBER('Price History'!O96)),'Price History'!O96=0),"",'Price History'!O97/'Price History'!O96-1),"")</f>
        <v>4.1624818658631879E-2</v>
      </c>
      <c r="P96" s="150">
        <f>IFERROR(IF(OR(NOT(ISNUMBER('Price History'!P97)),NOT(ISNUMBER('Price History'!P96)),'Price History'!P96=0),"",'Price History'!P97/'Price History'!P96-1),"")</f>
        <v>3.4158298410690291E-2</v>
      </c>
      <c r="Q96" s="150">
        <f>IFERROR(IF(OR(NOT(ISNUMBER('Price History'!Q97)),NOT(ISNUMBER('Price History'!Q96)),'Price History'!Q96=0),"",'Price History'!Q97/'Price History'!Q96-1),"")</f>
        <v>6.6075745366640515E-3</v>
      </c>
      <c r="R96" s="150">
        <f>IFERROR(IF(OR(NOT(ISNUMBER('Price History'!R97)),NOT(ISNUMBER('Price History'!R96)),'Price History'!R96=0),"",'Price History'!R97/'Price History'!R96-1),"")</f>
        <v>7.0618446394179468E-3</v>
      </c>
      <c r="S96" s="150">
        <f>IFERROR(IF(OR(NOT(ISNUMBER('Price History'!S97)),NOT(ISNUMBER('Price History'!S96)),'Price History'!S96=0),"",'Price History'!S97/'Price History'!S96-1),"")</f>
        <v>5.960444324031311E-3</v>
      </c>
      <c r="T96" s="150">
        <f>IFERROR(IF(OR(NOT(ISNUMBER('Price History'!T97)),NOT(ISNUMBER('Price History'!T96)),'Price History'!T96=0),"",'Price History'!T97/'Price History'!T96-1),"")</f>
        <v>1.2374100719424463E-2</v>
      </c>
      <c r="U96" s="150">
        <f>IFERROR(IF(OR(NOT(ISNUMBER('Price History'!U97)),NOT(ISNUMBER('Price History'!U96)),'Price History'!U96=0),"",'Price History'!U97/'Price History'!U96-1),"")</f>
        <v>3.6435643564356468E-2</v>
      </c>
      <c r="V96" s="151">
        <f>IFERROR(IF(OR(NOT(ISNUMBER('Price History'!V97)),NOT(ISNUMBER('Price History'!V96)),'Price History'!V96=0),"",'Price History'!V97/'Price History'!V96-1),"")</f>
        <v>2.9399837793998351E-2</v>
      </c>
      <c r="W96" s="152">
        <f>IFERROR('Price History'!B3+(INDEX('Price History'!B:B,MATCH(9.99E+307,'Returns (Calc)'!$A:$A)+1)-'Price History'!B3)*(ROW()-3)/(MATCH(9.99E+307,'Returns (Calc)'!$A:$A)-3),"")</f>
        <v>361.24433962264152</v>
      </c>
      <c r="X96" s="152">
        <f>IFERROR('Price History'!C3+(INDEX('Price History'!C:C,MATCH(9.99E+307,'Returns (Calc)'!$A:$A)+1)-'Price History'!C3)*(ROW()-3)/(MATCH(9.99E+307,'Returns (Calc)'!$A:$A)-3),"")</f>
        <v>145.94150943396227</v>
      </c>
      <c r="Y96" s="152">
        <f>IFERROR('Price History'!D3+(INDEX('Price History'!D:D,MATCH(9.99E+307,'Returns (Calc)'!$A:$A)+1)-'Price History'!D3)*(ROW()-3)/(MATCH(9.99E+307,'Returns (Calc)'!$A:$A)-3),"")</f>
        <v>1282.92</v>
      </c>
      <c r="Z96" s="152">
        <f>IFERROR('Price History'!E3+(INDEX('Price History'!E:E,MATCH(9.99E+307,'Returns (Calc)'!$A:$A)+1)-'Price History'!E3)*(ROW()-3)/(MATCH(9.99E+307,'Returns (Calc)'!$A:$A)-3),"")</f>
        <v>245.50452830188681</v>
      </c>
      <c r="AA96" s="152">
        <f>IFERROR('Price History'!F3+(INDEX('Price History'!F:F,MATCH(9.99E+307,'Returns (Calc)'!$A:$A)+1)-'Price History'!F3)*(ROW()-3)/(MATCH(9.99E+307,'Returns (Calc)'!$A:$A)-3),"")</f>
        <v>178.04075471698116</v>
      </c>
      <c r="AB96" s="152">
        <f>IFERROR('Price History'!G3+(INDEX('Price History'!G:G,MATCH(9.99E+307,'Returns (Calc)'!$A:$A)+1)-'Price History'!G3)*(ROW()-3)/(MATCH(9.99E+307,'Returns (Calc)'!$A:$A)-3),"")</f>
        <v>132.79943396226415</v>
      </c>
      <c r="AC96" s="152">
        <f>IFERROR('Price History'!H3+(INDEX('Price History'!H:H,MATCH(9.99E+307,'Returns (Calc)'!$A:$A)+1)-'Price History'!H3)*(ROW()-3)/(MATCH(9.99E+307,'Returns (Calc)'!$A:$A)-3),"")</f>
        <v>630.55509433962266</v>
      </c>
      <c r="AD96" s="152">
        <f>IFERROR('Price History'!I3+(INDEX('Price History'!I:I,MATCH(9.99E+307,'Returns (Calc)'!$A:$A)+1)-'Price History'!I3)*(ROW()-3)/(MATCH(9.99E+307,'Returns (Calc)'!$A:$A)-3),"")</f>
        <v>152.27584905660379</v>
      </c>
      <c r="AE96" s="152">
        <f>IFERROR('Price History'!J3+(INDEX('Price History'!J:J,MATCH(9.99E+307,'Returns (Calc)'!$A:$A)+1)-'Price History'!J3)*(ROW()-3)/(MATCH(9.99E+307,'Returns (Calc)'!$A:$A)-3),"")</f>
        <v>122.16358490566039</v>
      </c>
      <c r="AF96" s="152">
        <f>IFERROR('Price History'!K3+(INDEX('Price History'!K:K,MATCH(9.99E+307,'Returns (Calc)'!$A:$A)+1)-'Price History'!K3)*(ROW()-3)/(MATCH(9.99E+307,'Returns (Calc)'!$A:$A)-3),"")</f>
        <v>128.63792452830188</v>
      </c>
      <c r="AG96" s="152">
        <f>IFERROR('Price History'!L3+(INDEX('Price History'!L:L,MATCH(9.99E+307,'Returns (Calc)'!$A:$A)+1)-'Price History'!L3)*(ROW()-3)/(MATCH(9.99E+307,'Returns (Calc)'!$A:$A)-3),"")</f>
        <v>300.7379245283019</v>
      </c>
      <c r="AH96" s="152">
        <f>IFERROR('Price History'!M3+(INDEX('Price History'!M:M,MATCH(9.99E+307,'Returns (Calc)'!$A:$A)+1)-'Price History'!M3)*(ROW()-3)/(MATCH(9.99E+307,'Returns (Calc)'!$A:$A)-3),"")</f>
        <v>157.78528301886794</v>
      </c>
      <c r="AI96" s="152">
        <f>IFERROR('Price History'!N3+(INDEX('Price History'!N:N,MATCH(9.99E+307,'Returns (Calc)'!$A:$A)+1)-'Price History'!N3)*(ROW()-3)/(MATCH(9.99E+307,'Returns (Calc)'!$A:$A)-3),"")</f>
        <v>443.1750943396226</v>
      </c>
      <c r="AJ96" s="152">
        <f>IFERROR('Price History'!O3+(INDEX('Price History'!O:O,MATCH(9.99E+307,'Returns (Calc)'!$A:$A)+1)-'Price History'!O3)*(ROW()-3)/(MATCH(9.99E+307,'Returns (Calc)'!$A:$A)-3),"")</f>
        <v>101.23886792452831</v>
      </c>
      <c r="AK96" s="152">
        <f>IFERROR('Price History'!Q3+(INDEX('Price History'!Q:Q,MATCH(9.99E+307,'Returns (Calc)'!$A:$A)+1)-'Price History'!Q3)*(ROW()-3)/(MATCH(9.99E+307,'Returns (Calc)'!$A:$A)-3),"")</f>
        <v>40.925849056603774</v>
      </c>
      <c r="AL96" s="152">
        <f>IFERROR('Price History'!R3+(INDEX('Price History'!R:R,MATCH(9.99E+307,'Returns (Calc)'!$A:$A)+1)-'Price History'!R3)*(ROW()-3)/(MATCH(9.99E+307,'Returns (Calc)'!$A:$A)-3),"")</f>
        <v>50.044339622641509</v>
      </c>
      <c r="AM96" s="152">
        <f>IFERROR('Price History'!S3+(INDEX('Price History'!S:S,MATCH(9.99E+307,'Returns (Calc)'!$A:$A)+1)-'Price History'!S3)*(ROW()-3)/(MATCH(9.99E+307,'Returns (Calc)'!$A:$A)-3),"")</f>
        <v>112.33622641509434</v>
      </c>
      <c r="AN96" s="152">
        <f>IFERROR('Price History'!T3+(INDEX('Price History'!T:T,MATCH(9.99E+307,'Returns (Calc)'!$A:$A)+1)-'Price History'!T3)*(ROW()-3)/(MATCH(9.99E+307,'Returns (Calc)'!$A:$A)-3),"")</f>
        <v>41.383396226415101</v>
      </c>
      <c r="AO96" s="153">
        <f>IFERROR('Price History'!V3+(INDEX('Price History'!V:V,MATCH(9.99E+307,'Returns (Calc)'!$A:$A)+1)-'Price History'!V3)*(ROW()-3)/(MATCH(9.99E+307,'Returns (Calc)'!$A:$A)-3),"")</f>
        <v>323.26056603773583</v>
      </c>
      <c r="AP96" s="151">
        <f>IFERROR(IF(OR(NOT(ISNUMBER('Price History'!W97)),NOT(ISNUMBER('Price History'!W96)),'Price History'!W96=0),"",'Price History'!W97/'Price History'!W96-1),"")</f>
        <v>2.4887229740239381E-2</v>
      </c>
      <c r="AQ96" s="151" t="str">
        <f>IFERROR(IF(OR(NOT(ISNUMBER('Price History'!X97)),NOT(ISNUMBER('Price History'!X96)),'Price History'!X96=0),"",'Price History'!X97/'Price History'!X96-1),"")</f>
        <v/>
      </c>
      <c r="AR96" s="151">
        <f>IFERROR(IF(OR(NOT(ISNUMBER('Price History'!Y97)),NOT(ISNUMBER('Price History'!Y96)),'Price History'!Y96=0),"",'Price History'!Y97/'Price History'!Y96-1),"")</f>
        <v>1.2362637362637319E-2</v>
      </c>
      <c r="AS96" s="151">
        <f>IFERROR(IF(OR(NOT(ISNUMBER('Price History'!Z97)),NOT(ISNUMBER('Price History'!Z96)),'Price History'!Z96=0),"",'Price History'!Z97/'Price History'!Z96-1),"")</f>
        <v>-2.9978247973106553E-2</v>
      </c>
      <c r="AT96" s="151">
        <f>IFERROR(IF(OR(NOT(ISNUMBER('Price History'!AA97)),NOT(ISNUMBER('Price History'!AA96)),'Price History'!AA96=0),"",'Price History'!AA97/'Price History'!AA96-1),"")</f>
        <v>-1.9575239966744817E-2</v>
      </c>
      <c r="AU96" s="151">
        <f>IFERROR(IF(OR(NOT(ISNUMBER('Price History'!AB97)),NOT(ISNUMBER('Price History'!AB96)),'Price History'!AB96=0),"",'Price History'!AB97/'Price History'!AB96-1),"")</f>
        <v>3.1050421650611337E-3</v>
      </c>
    </row>
    <row r="97" spans="1:47" ht="15" customHeight="1" x14ac:dyDescent="0.2">
      <c r="A97" s="149">
        <f>IF('Price History'!A98="","",'Price History'!A98)</f>
        <v>45849</v>
      </c>
      <c r="B97" s="150">
        <f>IFERROR(IF(OR(NOT(ISNUMBER('Price History'!B98)),NOT(ISNUMBER('Price History'!B97)),'Price History'!B97=0),"",'Price History'!B98/'Price History'!B97-1),"")</f>
        <v>-4.207640188763806E-2</v>
      </c>
      <c r="C97" s="150">
        <f>IFERROR(IF(OR(NOT(ISNUMBER('Price History'!C98)),NOT(ISNUMBER('Price History'!C97)),'Price History'!C97=0),"",'Price History'!C98/'Price History'!C97-1),"")</f>
        <v>5.9012875536480713E-2</v>
      </c>
      <c r="D97" s="150">
        <f>IFERROR(IF(OR(NOT(ISNUMBER('Price History'!D98)),NOT(ISNUMBER('Price History'!D97)),'Price History'!D97=0),"",'Price History'!D98/'Price History'!D97-1),"")</f>
        <v>9.3611075828781143E-3</v>
      </c>
      <c r="E97" s="150">
        <f>IFERROR(IF(OR(NOT(ISNUMBER('Price History'!E98)),NOT(ISNUMBER('Price History'!E97)),'Price History'!E97=0),"",'Price History'!E98/'Price History'!E97-1),"")</f>
        <v>-2.8971688425994957E-3</v>
      </c>
      <c r="F97" s="150">
        <f>IFERROR(IF(OR(NOT(ISNUMBER('Price History'!F98)),NOT(ISNUMBER('Price History'!F97)),'Price History'!F97=0),"",'Price History'!F98/'Price History'!F97-1),"")</f>
        <v>-6.9327731092437062E-2</v>
      </c>
      <c r="G97" s="150">
        <f>IFERROR(IF(OR(NOT(ISNUMBER('Price History'!G98)),NOT(ISNUMBER('Price History'!G97)),'Price History'!G97=0),"",'Price History'!G98/'Price History'!G97-1),"")</f>
        <v>0</v>
      </c>
      <c r="H97" s="150">
        <f>IFERROR(IF(OR(NOT(ISNUMBER('Price History'!H98)),NOT(ISNUMBER('Price History'!H97)),'Price History'!H97=0),"",'Price History'!H98/'Price History'!H97-1),"")</f>
        <v>1.9265453353008555E-2</v>
      </c>
      <c r="I97" s="150">
        <f>IFERROR(IF(OR(NOT(ISNUMBER('Price History'!I98)),NOT(ISNUMBER('Price History'!I97)),'Price History'!I97=0),"",'Price History'!I98/'Price History'!I97-1),"")</f>
        <v>3.5042466184334931E-2</v>
      </c>
      <c r="J97" s="150">
        <f>IFERROR(IF(OR(NOT(ISNUMBER('Price History'!J98)),NOT(ISNUMBER('Price History'!J97)),'Price History'!J97=0),"",'Price History'!J98/'Price History'!J97-1),"")</f>
        <v>1.0596281668432628E-2</v>
      </c>
      <c r="K97" s="150">
        <f>IFERROR(IF(OR(NOT(ISNUMBER('Price History'!K98)),NOT(ISNUMBER('Price History'!K97)),'Price History'!K97=0),"",'Price History'!K98/'Price History'!K97-1),"")</f>
        <v>5.760643048526326E-2</v>
      </c>
      <c r="L97" s="150">
        <f>IFERROR(IF(OR(NOT(ISNUMBER('Price History'!L98)),NOT(ISNUMBER('Price History'!L97)),'Price History'!L97=0),"",'Price History'!L98/'Price History'!L97-1),"")</f>
        <v>-1.8738396442295246E-2</v>
      </c>
      <c r="M97" s="150">
        <f>IFERROR(IF(OR(NOT(ISNUMBER('Price History'!M98)),NOT(ISNUMBER('Price History'!M97)),'Price History'!M97=0),"",'Price History'!M98/'Price History'!M97-1),"")</f>
        <v>-3.5560429231612845E-2</v>
      </c>
      <c r="N97" s="150">
        <f>IFERROR(IF(OR(NOT(ISNUMBER('Price History'!N98)),NOT(ISNUMBER('Price History'!N97)),'Price History'!N97=0),"",'Price History'!N98/'Price History'!N97-1),"")</f>
        <v>2.0081806709890904E-2</v>
      </c>
      <c r="O97" s="150">
        <f>IFERROR(IF(OR(NOT(ISNUMBER('Price History'!O98)),NOT(ISNUMBER('Price History'!O97)),'Price History'!O97=0),"",'Price History'!O98/'Price History'!O97-1),"")</f>
        <v>-1.2856224555389817E-3</v>
      </c>
      <c r="P97" s="150">
        <f>IFERROR(IF(OR(NOT(ISNUMBER('Price History'!P98)),NOT(ISNUMBER('Price History'!P97)),'Price History'!P97=0),"",'Price History'!P98/'Price History'!P97-1),"")</f>
        <v>-3.364171572750152E-3</v>
      </c>
      <c r="Q97" s="150">
        <f>IFERROR(IF(OR(NOT(ISNUMBER('Price History'!Q98)),NOT(ISNUMBER('Price History'!Q97)),'Price History'!Q97=0),"",'Price History'!Q98/'Price History'!Q97-1),"")</f>
        <v>1.6010246557798258E-3</v>
      </c>
      <c r="R97" s="150">
        <f>IFERROR(IF(OR(NOT(ISNUMBER('Price History'!R98)),NOT(ISNUMBER('Price History'!R97)),'Price History'!R97=0),"",'Price History'!R98/'Price History'!R97-1),"")</f>
        <v>3.612409689757623E-3</v>
      </c>
      <c r="S97" s="150">
        <f>IFERROR(IF(OR(NOT(ISNUMBER('Price History'!S98)),NOT(ISNUMBER('Price History'!S97)),'Price History'!S97=0),"",'Price History'!S98/'Price History'!S97-1),"")</f>
        <v>-3.0523386300386202E-3</v>
      </c>
      <c r="T97" s="150">
        <f>IFERROR(IF(OR(NOT(ISNUMBER('Price History'!T98)),NOT(ISNUMBER('Price History'!T97)),'Price History'!T97=0),"",'Price History'!T98/'Price History'!T97-1),"")</f>
        <v>2.5582717453098702E-3</v>
      </c>
      <c r="U97" s="150">
        <f>IFERROR(IF(OR(NOT(ISNUMBER('Price History'!U98)),NOT(ISNUMBER('Price History'!U97)),'Price History'!U97=0),"",'Price History'!U98/'Price History'!U97-1),"")</f>
        <v>-7.6423385555990375E-4</v>
      </c>
      <c r="V97" s="151">
        <f>IFERROR(IF(OR(NOT(ISNUMBER('Price History'!V98)),NOT(ISNUMBER('Price History'!V97)),'Price History'!V97=0),"",'Price History'!V98/'Price History'!V97-1),"")</f>
        <v>-3.0473564253355456E-2</v>
      </c>
      <c r="W97" s="152">
        <f>IFERROR('Price History'!B3+(INDEX('Price History'!B:B,MATCH(9.99E+307,'Returns (Calc)'!$A:$A)+1)-'Price History'!B3)*(ROW()-3)/(MATCH(9.99E+307,'Returns (Calc)'!$A:$A)-3),"")</f>
        <v>359.44169811320751</v>
      </c>
      <c r="X97" s="152">
        <f>IFERROR('Price History'!C3+(INDEX('Price History'!C:C,MATCH(9.99E+307,'Returns (Calc)'!$A:$A)+1)-'Price History'!C3)*(ROW()-3)/(MATCH(9.99E+307,'Returns (Calc)'!$A:$A)-3),"")</f>
        <v>147.01421383647798</v>
      </c>
      <c r="Y97" s="152">
        <f>IFERROR('Price History'!D3+(INDEX('Price History'!D:D,MATCH(9.99E+307,'Returns (Calc)'!$A:$A)+1)-'Price History'!D3)*(ROW()-3)/(MATCH(9.99E+307,'Returns (Calc)'!$A:$A)-3),"")</f>
        <v>1290.4566666666665</v>
      </c>
      <c r="Z97" s="152">
        <f>IFERROR('Price History'!E3+(INDEX('Price History'!E:E,MATCH(9.99E+307,'Returns (Calc)'!$A:$A)+1)-'Price History'!E3)*(ROW()-3)/(MATCH(9.99E+307,'Returns (Calc)'!$A:$A)-3),"")</f>
        <v>247.26264150943396</v>
      </c>
      <c r="AA97" s="152">
        <f>IFERROR('Price History'!F3+(INDEX('Price History'!F:F,MATCH(9.99E+307,'Returns (Calc)'!$A:$A)+1)-'Price History'!F3)*(ROW()-3)/(MATCH(9.99E+307,'Returns (Calc)'!$A:$A)-3),"")</f>
        <v>179.51044025157233</v>
      </c>
      <c r="AB97" s="152">
        <f>IFERROR('Price History'!G3+(INDEX('Price History'!G:G,MATCH(9.99E+307,'Returns (Calc)'!$A:$A)+1)-'Price History'!G3)*(ROW()-3)/(MATCH(9.99E+307,'Returns (Calc)'!$A:$A)-3),"")</f>
        <v>133.75050314465409</v>
      </c>
      <c r="AC97" s="152">
        <f>IFERROR('Price History'!H3+(INDEX('Price History'!H:H,MATCH(9.99E+307,'Returns (Calc)'!$A:$A)+1)-'Price History'!H3)*(ROW()-3)/(MATCH(9.99E+307,'Returns (Calc)'!$A:$A)-3),"")</f>
        <v>636.59213836477988</v>
      </c>
      <c r="AD97" s="152">
        <f>IFERROR('Price History'!I3+(INDEX('Price History'!I:I,MATCH(9.99E+307,'Returns (Calc)'!$A:$A)+1)-'Price History'!I3)*(ROW()-3)/(MATCH(9.99E+307,'Returns (Calc)'!$A:$A)-3),"")</f>
        <v>153.44257861635219</v>
      </c>
      <c r="AE97" s="152">
        <f>IFERROR('Price History'!J3+(INDEX('Price History'!J:J,MATCH(9.99E+307,'Returns (Calc)'!$A:$A)+1)-'Price History'!J3)*(ROW()-3)/(MATCH(9.99E+307,'Returns (Calc)'!$A:$A)-3),"")</f>
        <v>122.27459119496856</v>
      </c>
      <c r="AF97" s="152">
        <f>IFERROR('Price History'!K3+(INDEX('Price History'!K:K,MATCH(9.99E+307,'Returns (Calc)'!$A:$A)+1)-'Price History'!K3)*(ROW()-3)/(MATCH(9.99E+307,'Returns (Calc)'!$A:$A)-3),"")</f>
        <v>129.85628930817612</v>
      </c>
      <c r="AG97" s="152">
        <f>IFERROR('Price History'!L3+(INDEX('Price History'!L:L,MATCH(9.99E+307,'Returns (Calc)'!$A:$A)+1)-'Price History'!L3)*(ROW()-3)/(MATCH(9.99E+307,'Returns (Calc)'!$A:$A)-3),"")</f>
        <v>303.04962264150947</v>
      </c>
      <c r="AH97" s="152">
        <f>IFERROR('Price History'!M3+(INDEX('Price History'!M:M,MATCH(9.99E+307,'Returns (Calc)'!$A:$A)+1)-'Price History'!M3)*(ROW()-3)/(MATCH(9.99E+307,'Returns (Calc)'!$A:$A)-3),"")</f>
        <v>159.07308176100628</v>
      </c>
      <c r="AI97" s="152">
        <f>IFERROR('Price History'!N3+(INDEX('Price History'!N:N,MATCH(9.99E+307,'Returns (Calc)'!$A:$A)+1)-'Price History'!N3)*(ROW()-3)/(MATCH(9.99E+307,'Returns (Calc)'!$A:$A)-3),"")</f>
        <v>444.18880503144652</v>
      </c>
      <c r="AJ97" s="152">
        <f>IFERROR('Price History'!O3+(INDEX('Price History'!O:O,MATCH(9.99E+307,'Returns (Calc)'!$A:$A)+1)-'Price History'!O3)*(ROW()-3)/(MATCH(9.99E+307,'Returns (Calc)'!$A:$A)-3),"")</f>
        <v>101.51767295597485</v>
      </c>
      <c r="AK97" s="152">
        <f>IFERROR('Price History'!Q3+(INDEX('Price History'!Q:Q,MATCH(9.99E+307,'Returns (Calc)'!$A:$A)+1)-'Price History'!Q3)*(ROW()-3)/(MATCH(9.99E+307,'Returns (Calc)'!$A:$A)-3),"")</f>
        <v>41.36591194968554</v>
      </c>
      <c r="AL97" s="152">
        <f>IFERROR('Price History'!R3+(INDEX('Price History'!R:R,MATCH(9.99E+307,'Returns (Calc)'!$A:$A)+1)-'Price History'!R3)*(ROW()-3)/(MATCH(9.99E+307,'Returns (Calc)'!$A:$A)-3),"")</f>
        <v>50.211698113207547</v>
      </c>
      <c r="AM97" s="152">
        <f>IFERROR('Price History'!S3+(INDEX('Price History'!S:S,MATCH(9.99E+307,'Returns (Calc)'!$A:$A)+1)-'Price History'!S3)*(ROW()-3)/(MATCH(9.99E+307,'Returns (Calc)'!$A:$A)-3),"")</f>
        <v>112.92446540880503</v>
      </c>
      <c r="AN97" s="152">
        <f>IFERROR('Price History'!T3+(INDEX('Price History'!T:T,MATCH(9.99E+307,'Returns (Calc)'!$A:$A)+1)-'Price History'!T3)*(ROW()-3)/(MATCH(9.99E+307,'Returns (Calc)'!$A:$A)-3),"")</f>
        <v>41.556981132075478</v>
      </c>
      <c r="AO97" s="153">
        <f>IFERROR('Price History'!V3+(INDEX('Price History'!V:V,MATCH(9.99E+307,'Returns (Calc)'!$A:$A)+1)-'Price History'!V3)*(ROW()-3)/(MATCH(9.99E+307,'Returns (Calc)'!$A:$A)-3),"")</f>
        <v>324.20283018867923</v>
      </c>
      <c r="AP97" s="151">
        <f>IFERROR(IF(OR(NOT(ISNUMBER('Price History'!W98)),NOT(ISNUMBER('Price History'!W97)),'Price History'!W97=0),"",'Price History'!W98/'Price History'!W97-1),"")</f>
        <v>-6.7536803763850184E-3</v>
      </c>
      <c r="AQ97" s="151" t="str">
        <f>IFERROR(IF(OR(NOT(ISNUMBER('Price History'!X98)),NOT(ISNUMBER('Price History'!X97)),'Price History'!X97=0),"",'Price History'!X98/'Price History'!X97-1),"")</f>
        <v/>
      </c>
      <c r="AR97" s="151">
        <f>IFERROR(IF(OR(NOT(ISNUMBER('Price History'!Y98)),NOT(ISNUMBER('Price History'!Y97)),'Price History'!Y97=0),"",'Price History'!Y98/'Price History'!Y97-1),"")</f>
        <v>-3.4890482651678267E-3</v>
      </c>
      <c r="AS97" s="151">
        <f>IFERROR(IF(OR(NOT(ISNUMBER('Price History'!Z98)),NOT(ISNUMBER('Price History'!Z97)),'Price History'!Z97=0),"",'Price History'!Z98/'Price History'!Z97-1),"")</f>
        <v>3.6123455783422243E-2</v>
      </c>
      <c r="AT97" s="151">
        <f>IFERROR(IF(OR(NOT(ISNUMBER('Price History'!AA98)),NOT(ISNUMBER('Price History'!AA97)),'Price History'!AA97=0),"",'Price History'!AA98/'Price History'!AA97-1),"")</f>
        <v>-4.0163428923835953E-2</v>
      </c>
      <c r="AU97" s="151">
        <f>IFERROR(IF(OR(NOT(ISNUMBER('Price History'!AB98)),NOT(ISNUMBER('Price History'!AB97)),'Price History'!AB97=0),"",'Price History'!AB98/'Price History'!AB97-1),"")</f>
        <v>-2.9547293256885654E-2</v>
      </c>
    </row>
    <row r="98" spans="1:47" ht="15" customHeight="1" x14ac:dyDescent="0.2">
      <c r="A98" s="149">
        <f>IF('Price History'!A99="","",'Price History'!A99)</f>
        <v>45856</v>
      </c>
      <c r="B98" s="150">
        <f>IFERROR(IF(OR(NOT(ISNUMBER('Price History'!B99)),NOT(ISNUMBER('Price History'!B98)),'Price History'!B98=0),"",'Price History'!B99/'Price History'!B98-1),"")</f>
        <v>6.7152882895280541E-3</v>
      </c>
      <c r="C98" s="150">
        <f>IFERROR(IF(OR(NOT(ISNUMBER('Price History'!C99)),NOT(ISNUMBER('Price History'!C98)),'Price History'!C98=0),"",'Price History'!C99/'Price History'!C98-1),"")</f>
        <v>2.9566178502348883E-2</v>
      </c>
      <c r="D98" s="150">
        <f>IFERROR(IF(OR(NOT(ISNUMBER('Price History'!D99)),NOT(ISNUMBER('Price History'!D98)),'Price History'!D98=0),"",'Price History'!D99/'Price History'!D98-1),"")</f>
        <v>-8.3984547044685276E-2</v>
      </c>
      <c r="E98" s="150">
        <f>IFERROR(IF(OR(NOT(ISNUMBER('Price History'!E99)),NOT(ISNUMBER('Price History'!E98)),'Price History'!E98=0),"",'Price History'!E99/'Price History'!E98-1),"")</f>
        <v>3.2660267019750666E-2</v>
      </c>
      <c r="F98" s="150">
        <f>IFERROR(IF(OR(NOT(ISNUMBER('Price History'!F99)),NOT(ISNUMBER('Price History'!F98)),'Price History'!F98=0),"",'Price History'!F99/'Price History'!F98-1),"")</f>
        <v>-5.1835130841902943E-3</v>
      </c>
      <c r="G98" s="150">
        <f>IFERROR(IF(OR(NOT(ISNUMBER('Price History'!G99)),NOT(ISNUMBER('Price History'!G98)),'Price History'!G98=0),"",'Price History'!G99/'Price History'!G98-1),"")</f>
        <v>7.0836965998255508E-3</v>
      </c>
      <c r="H98" s="150">
        <f>IFERROR(IF(OR(NOT(ISNUMBER('Price History'!H99)),NOT(ISNUMBER('Price History'!H98)),'Price History'!H98=0),"",'Price History'!H99/'Price History'!H98-1),"")</f>
        <v>-8.1396284082683179E-2</v>
      </c>
      <c r="I98" s="150">
        <f>IFERROR(IF(OR(NOT(ISNUMBER('Price History'!I99)),NOT(ISNUMBER('Price History'!I98)),'Price History'!I98=0),"",'Price History'!I99/'Price History'!I98-1),"")</f>
        <v>4.5404814004376348E-2</v>
      </c>
      <c r="J98" s="150">
        <f>IFERROR(IF(OR(NOT(ISNUMBER('Price History'!J99)),NOT(ISNUMBER('Price History'!J98)),'Price History'!J98=0),"",'Price History'!J99/'Price History'!J98-1),"")</f>
        <v>-2.1923553522066541E-2</v>
      </c>
      <c r="K98" s="150">
        <f>IFERROR(IF(OR(NOT(ISNUMBER('Price History'!K99)),NOT(ISNUMBER('Price History'!K98)),'Price History'!K98=0),"",'Price History'!K99/'Price History'!K98-1),"")</f>
        <v>8.0365939479239978E-2</v>
      </c>
      <c r="L98" s="150">
        <f>IFERROR(IF(OR(NOT(ISNUMBER('Price History'!L99)),NOT(ISNUMBER('Price History'!L98)),'Price History'!L98=0),"",'Price History'!L99/'Price History'!L98-1),"")</f>
        <v>4.3384520614247357E-2</v>
      </c>
      <c r="M98" s="150">
        <f>IFERROR(IF(OR(NOT(ISNUMBER('Price History'!M99)),NOT(ISNUMBER('Price History'!M98)),'Price History'!M98=0),"",'Price History'!M99/'Price History'!M98-1),"")</f>
        <v>4.6779826199951247E-2</v>
      </c>
      <c r="N98" s="150">
        <f>IFERROR(IF(OR(NOT(ISNUMBER('Price History'!N99)),NOT(ISNUMBER('Price History'!N98)),'Price History'!N98=0),"",'Price History'!N99/'Price History'!N98-1),"")</f>
        <v>-1.9281220006398647E-2</v>
      </c>
      <c r="O98" s="150">
        <f>IFERROR(IF(OR(NOT(ISNUMBER('Price History'!O99)),NOT(ISNUMBER('Price History'!O98)),'Price History'!O98=0),"",'Price History'!O99/'Price History'!O98-1),"")</f>
        <v>-1.1800042909246855E-2</v>
      </c>
      <c r="P98" s="150">
        <f>IFERROR(IF(OR(NOT(ISNUMBER('Price History'!P99)),NOT(ISNUMBER('Price History'!P98)),'Price History'!P98=0),"",'Price History'!P99/'Price History'!P98-1),"")</f>
        <v>-4.2194092827002594E-3</v>
      </c>
      <c r="Q98" s="150">
        <f>IFERROR(IF(OR(NOT(ISNUMBER('Price History'!Q99)),NOT(ISNUMBER('Price History'!Q98)),'Price History'!Q98=0),"",'Price History'!Q99/'Price History'!Q98-1),"")</f>
        <v>3.5166240409207905E-3</v>
      </c>
      <c r="R98" s="150">
        <f>IFERROR(IF(OR(NOT(ISNUMBER('Price History'!R99)),NOT(ISNUMBER('Price History'!R98)),'Price History'!R98=0),"",'Price History'!R99/'Price History'!R98-1),"")</f>
        <v>6.1401651492696274E-3</v>
      </c>
      <c r="S98" s="150">
        <f>IFERROR(IF(OR(NOT(ISNUMBER('Price History'!S99)),NOT(ISNUMBER('Price History'!S98)),'Price History'!S98=0),"",'Price History'!S99/'Price History'!S98-1),"")</f>
        <v>1.4858171994597047E-2</v>
      </c>
      <c r="T98" s="150">
        <f>IFERROR(IF(OR(NOT(ISNUMBER('Price History'!T99)),NOT(ISNUMBER('Price History'!T98)),'Price History'!T98=0),"",'Price History'!T99/'Price History'!T98-1),"")</f>
        <v>-2.1264530762687861E-2</v>
      </c>
      <c r="U98" s="150">
        <f>IFERROR(IF(OR(NOT(ISNUMBER('Price History'!U99)),NOT(ISNUMBER('Price History'!U98)),'Price History'!U98=0),"",'Price History'!U99/'Price History'!U98-1),"")</f>
        <v>-1.1089866156787753E-2</v>
      </c>
      <c r="V98" s="151">
        <f>IFERROR(IF(OR(NOT(ISNUMBER('Price History'!V99)),NOT(ISNUMBER('Price History'!V98)),'Price History'!V98=0),"",'Price History'!V99/'Price History'!V98-1),"")</f>
        <v>3.2214998839099618E-3</v>
      </c>
      <c r="W98" s="152">
        <f>IFERROR('Price History'!B3+(INDEX('Price History'!B:B,MATCH(9.99E+307,'Returns (Calc)'!$A:$A)+1)-'Price History'!B3)*(ROW()-3)/(MATCH(9.99E+307,'Returns (Calc)'!$A:$A)-3),"")</f>
        <v>357.63905660377355</v>
      </c>
      <c r="X98" s="152">
        <f>IFERROR('Price History'!C3+(INDEX('Price History'!C:C,MATCH(9.99E+307,'Returns (Calc)'!$A:$A)+1)-'Price History'!C3)*(ROW()-3)/(MATCH(9.99E+307,'Returns (Calc)'!$A:$A)-3),"")</f>
        <v>148.08691823899372</v>
      </c>
      <c r="Y98" s="152">
        <f>IFERROR('Price History'!D3+(INDEX('Price History'!D:D,MATCH(9.99E+307,'Returns (Calc)'!$A:$A)+1)-'Price History'!D3)*(ROW()-3)/(MATCH(9.99E+307,'Returns (Calc)'!$A:$A)-3),"")</f>
        <v>1297.9933333333333</v>
      </c>
      <c r="Z98" s="152">
        <f>IFERROR('Price History'!E3+(INDEX('Price History'!E:E,MATCH(9.99E+307,'Returns (Calc)'!$A:$A)+1)-'Price History'!E3)*(ROW()-3)/(MATCH(9.99E+307,'Returns (Calc)'!$A:$A)-3),"")</f>
        <v>249.02075471698114</v>
      </c>
      <c r="AA98" s="152">
        <f>IFERROR('Price History'!F3+(INDEX('Price History'!F:F,MATCH(9.99E+307,'Returns (Calc)'!$A:$A)+1)-'Price History'!F3)*(ROW()-3)/(MATCH(9.99E+307,'Returns (Calc)'!$A:$A)-3),"")</f>
        <v>180.98012578616351</v>
      </c>
      <c r="AB98" s="152">
        <f>IFERROR('Price History'!G3+(INDEX('Price History'!G:G,MATCH(9.99E+307,'Returns (Calc)'!$A:$A)+1)-'Price History'!G3)*(ROW()-3)/(MATCH(9.99E+307,'Returns (Calc)'!$A:$A)-3),"")</f>
        <v>134.70157232704403</v>
      </c>
      <c r="AC98" s="152">
        <f>IFERROR('Price History'!H3+(INDEX('Price History'!H:H,MATCH(9.99E+307,'Returns (Calc)'!$A:$A)+1)-'Price History'!H3)*(ROW()-3)/(MATCH(9.99E+307,'Returns (Calc)'!$A:$A)-3),"")</f>
        <v>642.62918238993711</v>
      </c>
      <c r="AD98" s="152">
        <f>IFERROR('Price History'!I3+(INDEX('Price History'!I:I,MATCH(9.99E+307,'Returns (Calc)'!$A:$A)+1)-'Price History'!I3)*(ROW()-3)/(MATCH(9.99E+307,'Returns (Calc)'!$A:$A)-3),"")</f>
        <v>154.60930817610063</v>
      </c>
      <c r="AE98" s="152">
        <f>IFERROR('Price History'!J3+(INDEX('Price History'!J:J,MATCH(9.99E+307,'Returns (Calc)'!$A:$A)+1)-'Price History'!J3)*(ROW()-3)/(MATCH(9.99E+307,'Returns (Calc)'!$A:$A)-3),"")</f>
        <v>122.38559748427673</v>
      </c>
      <c r="AF98" s="152">
        <f>IFERROR('Price History'!K3+(INDEX('Price History'!K:K,MATCH(9.99E+307,'Returns (Calc)'!$A:$A)+1)-'Price History'!K3)*(ROW()-3)/(MATCH(9.99E+307,'Returns (Calc)'!$A:$A)-3),"")</f>
        <v>131.07465408805032</v>
      </c>
      <c r="AG98" s="152">
        <f>IFERROR('Price History'!L3+(INDEX('Price History'!L:L,MATCH(9.99E+307,'Returns (Calc)'!$A:$A)+1)-'Price History'!L3)*(ROW()-3)/(MATCH(9.99E+307,'Returns (Calc)'!$A:$A)-3),"")</f>
        <v>305.36132075471698</v>
      </c>
      <c r="AH98" s="152">
        <f>IFERROR('Price History'!M3+(INDEX('Price History'!M:M,MATCH(9.99E+307,'Returns (Calc)'!$A:$A)+1)-'Price History'!M3)*(ROW()-3)/(MATCH(9.99E+307,'Returns (Calc)'!$A:$A)-3),"")</f>
        <v>160.36088050314467</v>
      </c>
      <c r="AI98" s="152">
        <f>IFERROR('Price History'!N3+(INDEX('Price History'!N:N,MATCH(9.99E+307,'Returns (Calc)'!$A:$A)+1)-'Price History'!N3)*(ROW()-3)/(MATCH(9.99E+307,'Returns (Calc)'!$A:$A)-3),"")</f>
        <v>445.20251572327044</v>
      </c>
      <c r="AJ98" s="152">
        <f>IFERROR('Price History'!O3+(INDEX('Price History'!O:O,MATCH(9.99E+307,'Returns (Calc)'!$A:$A)+1)-'Price History'!O3)*(ROW()-3)/(MATCH(9.99E+307,'Returns (Calc)'!$A:$A)-3),"")</f>
        <v>101.79647798742138</v>
      </c>
      <c r="AK98" s="152">
        <f>IFERROR('Price History'!Q3+(INDEX('Price History'!Q:Q,MATCH(9.99E+307,'Returns (Calc)'!$A:$A)+1)-'Price History'!Q3)*(ROW()-3)/(MATCH(9.99E+307,'Returns (Calc)'!$A:$A)-3),"")</f>
        <v>41.805974842767291</v>
      </c>
      <c r="AL98" s="152">
        <f>IFERROR('Price History'!R3+(INDEX('Price History'!R:R,MATCH(9.99E+307,'Returns (Calc)'!$A:$A)+1)-'Price History'!R3)*(ROW()-3)/(MATCH(9.99E+307,'Returns (Calc)'!$A:$A)-3),"")</f>
        <v>50.379056603773584</v>
      </c>
      <c r="AM98" s="152">
        <f>IFERROR('Price History'!S3+(INDEX('Price History'!S:S,MATCH(9.99E+307,'Returns (Calc)'!$A:$A)+1)-'Price History'!S3)*(ROW()-3)/(MATCH(9.99E+307,'Returns (Calc)'!$A:$A)-3),"")</f>
        <v>113.51270440251574</v>
      </c>
      <c r="AN98" s="152">
        <f>IFERROR('Price History'!T3+(INDEX('Price History'!T:T,MATCH(9.99E+307,'Returns (Calc)'!$A:$A)+1)-'Price History'!T3)*(ROW()-3)/(MATCH(9.99E+307,'Returns (Calc)'!$A:$A)-3),"")</f>
        <v>41.730566037735855</v>
      </c>
      <c r="AO98" s="153">
        <f>IFERROR('Price History'!V3+(INDEX('Price History'!V:V,MATCH(9.99E+307,'Returns (Calc)'!$A:$A)+1)-'Price History'!V3)*(ROW()-3)/(MATCH(9.99E+307,'Returns (Calc)'!$A:$A)-3),"")</f>
        <v>325.14509433962263</v>
      </c>
      <c r="AP98" s="151">
        <f>IFERROR(IF(OR(NOT(ISNUMBER('Price History'!W99)),NOT(ISNUMBER('Price History'!W98)),'Price History'!W98=0),"",'Price History'!W99/'Price History'!W98-1),"")</f>
        <v>-1.5280006112001754E-3</v>
      </c>
      <c r="AQ98" s="151" t="str">
        <f>IFERROR(IF(OR(NOT(ISNUMBER('Price History'!X99)),NOT(ISNUMBER('Price History'!X98)),'Price History'!X98=0),"",'Price History'!X99/'Price History'!X98-1),"")</f>
        <v/>
      </c>
      <c r="AR98" s="151">
        <f>IFERROR(IF(OR(NOT(ISNUMBER('Price History'!Y99)),NOT(ISNUMBER('Price History'!Y98)),'Price History'!Y98=0),"",'Price History'!Y99/'Price History'!Y98-1),"")</f>
        <v>3.6957790313170147E-3</v>
      </c>
      <c r="AS98" s="151">
        <f>IFERROR(IF(OR(NOT(ISNUMBER('Price History'!Z99)),NOT(ISNUMBER('Price History'!Z98)),'Price History'!Z98=0),"",'Price History'!Z99/'Price History'!Z98-1),"")</f>
        <v>3.0732302364931297E-2</v>
      </c>
      <c r="AT98" s="151">
        <f>IFERROR(IF(OR(NOT(ISNUMBER('Price History'!AA99)),NOT(ISNUMBER('Price History'!AA98)),'Price History'!AA98=0),"",'Price History'!AA99/'Price History'!AA98-1),"")</f>
        <v>-2.8833025459802486E-2</v>
      </c>
      <c r="AU98" s="151">
        <f>IFERROR(IF(OR(NOT(ISNUMBER('Price History'!AB99)),NOT(ISNUMBER('Price History'!AB98)),'Price History'!AB98=0),"",'Price History'!AB99/'Price History'!AB98-1),"")</f>
        <v>2.3197651237812256E-2</v>
      </c>
    </row>
    <row r="99" spans="1:47" ht="15" customHeight="1" x14ac:dyDescent="0.2">
      <c r="A99" s="149">
        <f>IF('Price History'!A100="","",'Price History'!A100)</f>
        <v>45863</v>
      </c>
      <c r="B99" s="150">
        <f>IFERROR(IF(OR(NOT(ISNUMBER('Price History'!B100)),NOT(ISNUMBER('Price History'!B99)),'Price History'!B99=0),"",'Price History'!B100/'Price History'!B99-1),"")</f>
        <v>1.3532354629705479E-2</v>
      </c>
      <c r="C99" s="150">
        <f>IFERROR(IF(OR(NOT(ISNUMBER('Price History'!C100)),NOT(ISNUMBER('Price History'!C99)),'Price History'!C99=0),"",'Price History'!C100/'Price History'!C99-1),"")</f>
        <v>2.2365360529611689E-2</v>
      </c>
      <c r="D99" s="150">
        <f>IFERROR(IF(OR(NOT(ISNUMBER('Price History'!D100)),NOT(ISNUMBER('Price History'!D99)),'Price History'!D99=0),"",'Price History'!D100/'Price History'!D99-1),"")</f>
        <v>-3.1761295728984895E-2</v>
      </c>
      <c r="E99" s="150">
        <f>IFERROR(IF(OR(NOT(ISNUMBER('Price History'!E100)),NOT(ISNUMBER('Price History'!E99)),'Price History'!E99=0),"",'Price History'!E100/'Price History'!E99-1),"")</f>
        <v>2.4147879046906739E-2</v>
      </c>
      <c r="F99" s="150">
        <f>IFERROR(IF(OR(NOT(ISNUMBER('Price History'!F100)),NOT(ISNUMBER('Price History'!F99)),'Price History'!F99=0),"",'Price History'!F100/'Price History'!F99-1),"")</f>
        <v>-1.6892175813093435E-2</v>
      </c>
      <c r="G99" s="150">
        <f>IFERROR(IF(OR(NOT(ISNUMBER('Price History'!G100)),NOT(ISNUMBER('Price History'!G99)),'Price History'!G99=0),"",'Price History'!G100/'Price History'!G99-1),"")</f>
        <v>-3.1165458283735514E-2</v>
      </c>
      <c r="H99" s="150">
        <f>IFERROR(IF(OR(NOT(ISNUMBER('Price History'!H100)),NOT(ISNUMBER('Price History'!H99)),'Price History'!H99=0),"",'Price History'!H100/'Price History'!H99-1),"")</f>
        <v>-2.7405656247263765E-2</v>
      </c>
      <c r="I99" s="150">
        <f>IFERROR(IF(OR(NOT(ISNUMBER('Price History'!I100)),NOT(ISNUMBER('Price History'!I99)),'Price History'!I99=0),"",'Price History'!I100/'Price History'!I99-1),"")</f>
        <v>6.3375777661491828E-3</v>
      </c>
      <c r="J99" s="150">
        <f>IFERROR(IF(OR(NOT(ISNUMBER('Price History'!J100)),NOT(ISNUMBER('Price History'!J99)),'Price History'!J99=0),"",'Price History'!J100/'Price History'!J99-1),"")</f>
        <v>3.2940259233992686E-2</v>
      </c>
      <c r="K99" s="150">
        <f>IFERROR(IF(OR(NOT(ISNUMBER('Price History'!K100)),NOT(ISNUMBER('Price History'!K99)),'Price History'!K99=0),"",'Price History'!K100/'Price History'!K99-1),"")</f>
        <v>3.4392912975508061E-2</v>
      </c>
      <c r="L99" s="150">
        <f>IFERROR(IF(OR(NOT(ISNUMBER('Price History'!L100)),NOT(ISNUMBER('Price History'!L99)),'Price History'!L99=0),"",'Price History'!L100/'Price History'!L99-1),"")</f>
        <v>2.1633703032092111E-2</v>
      </c>
      <c r="M99" s="150">
        <f>IFERROR(IF(OR(NOT(ISNUMBER('Price History'!M100)),NOT(ISNUMBER('Price History'!M99)),'Price History'!M99=0),"",'Price History'!M100/'Price History'!M99-1),"")</f>
        <v>6.5171851966793426E-2</v>
      </c>
      <c r="N99" s="150">
        <f>IFERROR(IF(OR(NOT(ISNUMBER('Price History'!N100)),NOT(ISNUMBER('Price History'!N99)),'Price History'!N99=0),"",'Price History'!N100/'Price History'!N99-1),"")</f>
        <v>2.1400143537548155E-2</v>
      </c>
      <c r="O99" s="150">
        <f>IFERROR(IF(OR(NOT(ISNUMBER('Price History'!O100)),NOT(ISNUMBER('Price History'!O99)),'Price History'!O99=0),"",'Price History'!O100/'Price History'!O99-1),"")</f>
        <v>1.4763352149370412E-2</v>
      </c>
      <c r="P99" s="150">
        <f>IFERROR(IF(OR(NOT(ISNUMBER('Price History'!P100)),NOT(ISNUMBER('Price History'!P99)),'Price History'!P99=0),"",'Price History'!P100/'Price History'!P99-1),"")</f>
        <v>1.8181818181818077E-2</v>
      </c>
      <c r="Q99" s="150">
        <f>IFERROR(IF(OR(NOT(ISNUMBER('Price History'!Q100)),NOT(ISNUMBER('Price History'!Q99)),'Price History'!Q99=0),"",'Price History'!Q100/'Price History'!Q99-1),"")</f>
        <v>2.2300095571838874E-3</v>
      </c>
      <c r="R99" s="150">
        <f>IFERROR(IF(OR(NOT(ISNUMBER('Price History'!R100)),NOT(ISNUMBER('Price History'!R99)),'Price History'!R99=0),"",'Price History'!R100/'Price History'!R99-1),"")</f>
        <v>7.1548821548821362E-3</v>
      </c>
      <c r="S99" s="150">
        <f>IFERROR(IF(OR(NOT(ISNUMBER('Price History'!S100)),NOT(ISNUMBER('Price History'!S99)),'Price History'!S99=0),"",'Price History'!S100/'Price History'!S99-1),"")</f>
        <v>1.055900621118E-2</v>
      </c>
      <c r="T99" s="150">
        <f>IFERROR(IF(OR(NOT(ISNUMBER('Price History'!T100)),NOT(ISNUMBER('Price History'!T99)),'Price History'!T99=0),"",'Price History'!T100/'Price History'!T99-1),"")</f>
        <v>2.2016222479721792E-2</v>
      </c>
      <c r="U99" s="150">
        <f>IFERROR(IF(OR(NOT(ISNUMBER('Price History'!U100)),NOT(ISNUMBER('Price History'!U99)),'Price History'!U99=0),"",'Price History'!U100/'Price History'!U99-1),"")</f>
        <v>1.0827532869296164E-2</v>
      </c>
      <c r="V99" s="151">
        <f>IFERROR(IF(OR(NOT(ISNUMBER('Price History'!V100)),NOT(ISNUMBER('Price History'!V99)),'Price History'!V99=0),"",'Price History'!V100/'Price History'!V99-1),"")</f>
        <v>2.2912025920675649E-2</v>
      </c>
      <c r="W99" s="152">
        <f>IFERROR('Price History'!B3+(INDEX('Price History'!B:B,MATCH(9.99E+307,'Returns (Calc)'!$A:$A)+1)-'Price History'!B3)*(ROW()-3)/(MATCH(9.99E+307,'Returns (Calc)'!$A:$A)-3),"")</f>
        <v>355.8364150943396</v>
      </c>
      <c r="X99" s="152">
        <f>IFERROR('Price History'!C3+(INDEX('Price History'!C:C,MATCH(9.99E+307,'Returns (Calc)'!$A:$A)+1)-'Price History'!C3)*(ROW()-3)/(MATCH(9.99E+307,'Returns (Calc)'!$A:$A)-3),"")</f>
        <v>149.15962264150943</v>
      </c>
      <c r="Y99" s="152">
        <f>IFERROR('Price History'!D3+(INDEX('Price History'!D:D,MATCH(9.99E+307,'Returns (Calc)'!$A:$A)+1)-'Price History'!D3)*(ROW()-3)/(MATCH(9.99E+307,'Returns (Calc)'!$A:$A)-3),"")</f>
        <v>1305.53</v>
      </c>
      <c r="Z99" s="152">
        <f>IFERROR('Price History'!E3+(INDEX('Price History'!E:E,MATCH(9.99E+307,'Returns (Calc)'!$A:$A)+1)-'Price History'!E3)*(ROW()-3)/(MATCH(9.99E+307,'Returns (Calc)'!$A:$A)-3),"")</f>
        <v>250.77886792452833</v>
      </c>
      <c r="AA99" s="152">
        <f>IFERROR('Price History'!F3+(INDEX('Price History'!F:F,MATCH(9.99E+307,'Returns (Calc)'!$A:$A)+1)-'Price History'!F3)*(ROW()-3)/(MATCH(9.99E+307,'Returns (Calc)'!$A:$A)-3),"")</f>
        <v>182.44981132075469</v>
      </c>
      <c r="AB99" s="152">
        <f>IFERROR('Price History'!G3+(INDEX('Price History'!G:G,MATCH(9.99E+307,'Returns (Calc)'!$A:$A)+1)-'Price History'!G3)*(ROW()-3)/(MATCH(9.99E+307,'Returns (Calc)'!$A:$A)-3),"")</f>
        <v>135.65264150943395</v>
      </c>
      <c r="AC99" s="152">
        <f>IFERROR('Price History'!H3+(INDEX('Price History'!H:H,MATCH(9.99E+307,'Returns (Calc)'!$A:$A)+1)-'Price History'!H3)*(ROW()-3)/(MATCH(9.99E+307,'Returns (Calc)'!$A:$A)-3),"")</f>
        <v>648.66622641509434</v>
      </c>
      <c r="AD99" s="152">
        <f>IFERROR('Price History'!I3+(INDEX('Price History'!I:I,MATCH(9.99E+307,'Returns (Calc)'!$A:$A)+1)-'Price History'!I3)*(ROW()-3)/(MATCH(9.99E+307,'Returns (Calc)'!$A:$A)-3),"")</f>
        <v>155.77603773584906</v>
      </c>
      <c r="AE99" s="152">
        <f>IFERROR('Price History'!J3+(INDEX('Price History'!J:J,MATCH(9.99E+307,'Returns (Calc)'!$A:$A)+1)-'Price History'!J3)*(ROW()-3)/(MATCH(9.99E+307,'Returns (Calc)'!$A:$A)-3),"")</f>
        <v>122.49660377358491</v>
      </c>
      <c r="AF99" s="152">
        <f>IFERROR('Price History'!K3+(INDEX('Price History'!K:K,MATCH(9.99E+307,'Returns (Calc)'!$A:$A)+1)-'Price History'!K3)*(ROW()-3)/(MATCH(9.99E+307,'Returns (Calc)'!$A:$A)-3),"")</f>
        <v>132.29301886792453</v>
      </c>
      <c r="AG99" s="152">
        <f>IFERROR('Price History'!L3+(INDEX('Price History'!L:L,MATCH(9.99E+307,'Returns (Calc)'!$A:$A)+1)-'Price History'!L3)*(ROW()-3)/(MATCH(9.99E+307,'Returns (Calc)'!$A:$A)-3),"")</f>
        <v>307.67301886792455</v>
      </c>
      <c r="AH99" s="152">
        <f>IFERROR('Price History'!M3+(INDEX('Price History'!M:M,MATCH(9.99E+307,'Returns (Calc)'!$A:$A)+1)-'Price History'!M3)*(ROW()-3)/(MATCH(9.99E+307,'Returns (Calc)'!$A:$A)-3),"")</f>
        <v>161.64867924528301</v>
      </c>
      <c r="AI99" s="152">
        <f>IFERROR('Price History'!N3+(INDEX('Price History'!N:N,MATCH(9.99E+307,'Returns (Calc)'!$A:$A)+1)-'Price History'!N3)*(ROW()-3)/(MATCH(9.99E+307,'Returns (Calc)'!$A:$A)-3),"")</f>
        <v>446.2162264150943</v>
      </c>
      <c r="AJ99" s="152">
        <f>IFERROR('Price History'!O3+(INDEX('Price History'!O:O,MATCH(9.99E+307,'Returns (Calc)'!$A:$A)+1)-'Price History'!O3)*(ROW()-3)/(MATCH(9.99E+307,'Returns (Calc)'!$A:$A)-3),"")</f>
        <v>102.07528301886794</v>
      </c>
      <c r="AK99" s="152">
        <f>IFERROR('Price History'!Q3+(INDEX('Price History'!Q:Q,MATCH(9.99E+307,'Returns (Calc)'!$A:$A)+1)-'Price History'!Q3)*(ROW()-3)/(MATCH(9.99E+307,'Returns (Calc)'!$A:$A)-3),"")</f>
        <v>42.246037735849058</v>
      </c>
      <c r="AL99" s="152">
        <f>IFERROR('Price History'!R3+(INDEX('Price History'!R:R,MATCH(9.99E+307,'Returns (Calc)'!$A:$A)+1)-'Price History'!R3)*(ROW()-3)/(MATCH(9.99E+307,'Returns (Calc)'!$A:$A)-3),"")</f>
        <v>50.546415094339622</v>
      </c>
      <c r="AM99" s="152">
        <f>IFERROR('Price History'!S3+(INDEX('Price History'!S:S,MATCH(9.99E+307,'Returns (Calc)'!$A:$A)+1)-'Price History'!S3)*(ROW()-3)/(MATCH(9.99E+307,'Returns (Calc)'!$A:$A)-3),"")</f>
        <v>114.10094339622643</v>
      </c>
      <c r="AN99" s="152">
        <f>IFERROR('Price History'!T3+(INDEX('Price History'!T:T,MATCH(9.99E+307,'Returns (Calc)'!$A:$A)+1)-'Price History'!T3)*(ROW()-3)/(MATCH(9.99E+307,'Returns (Calc)'!$A:$A)-3),"")</f>
        <v>41.904150943396232</v>
      </c>
      <c r="AO99" s="153">
        <f>IFERROR('Price History'!V3+(INDEX('Price History'!V:V,MATCH(9.99E+307,'Returns (Calc)'!$A:$A)+1)-'Price History'!V3)*(ROW()-3)/(MATCH(9.99E+307,'Returns (Calc)'!$A:$A)-3),"")</f>
        <v>326.08735849056603</v>
      </c>
      <c r="AP99" s="151">
        <f>IFERROR(IF(OR(NOT(ISNUMBER('Price History'!W100)),NOT(ISNUMBER('Price History'!W99)),'Price History'!W99=0),"",'Price History'!W100/'Price History'!W99-1),"")</f>
        <v>1.4155635473257266E-2</v>
      </c>
      <c r="AQ99" s="151" t="str">
        <f>IFERROR(IF(OR(NOT(ISNUMBER('Price History'!X100)),NOT(ISNUMBER('Price History'!X99)),'Price History'!X99=0),"",'Price History'!X100/'Price History'!X99-1),"")</f>
        <v/>
      </c>
      <c r="AR99" s="151">
        <f>IFERROR(IF(OR(NOT(ISNUMBER('Price History'!Y100)),NOT(ISNUMBER('Price History'!Y99)),'Price History'!Y99=0),"",'Price History'!Y100/'Price History'!Y99-1),"")</f>
        <v>6.2015503875969546E-3</v>
      </c>
      <c r="AS99" s="151">
        <f>IFERROR(IF(OR(NOT(ISNUMBER('Price History'!Z100)),NOT(ISNUMBER('Price History'!Z99)),'Price History'!Z99=0),"",'Price History'!Z100/'Price History'!Z99-1),"")</f>
        <v>3.161029243338187E-2</v>
      </c>
      <c r="AT99" s="151">
        <f>IFERROR(IF(OR(NOT(ISNUMBER('Price History'!AA100)),NOT(ISNUMBER('Price History'!AA99)),'Price History'!AA99=0),"",'Price History'!AA100/'Price History'!AA99-1),"")</f>
        <v>-2.3734700628514793E-2</v>
      </c>
      <c r="AU99" s="151">
        <f>IFERROR(IF(OR(NOT(ISNUMBER('Price History'!AB100)),NOT(ISNUMBER('Price History'!AB99)),'Price History'!AB99=0),"",'Price History'!AB100/'Price History'!AB99-1),"")</f>
        <v>2.8764745474512132E-2</v>
      </c>
    </row>
    <row r="100" spans="1:47" ht="15" customHeight="1" x14ac:dyDescent="0.2">
      <c r="A100" s="149">
        <f>IF('Price History'!A101="","",'Price History'!A101)</f>
        <v>45870</v>
      </c>
      <c r="B100" s="150">
        <f>IFERROR(IF(OR(NOT(ISNUMBER('Price History'!B101)),NOT(ISNUMBER('Price History'!B100)),'Price History'!B100=0),"",'Price History'!B101/'Price History'!B100-1),"")</f>
        <v>-6.187624750498999E-2</v>
      </c>
      <c r="C100" s="150">
        <f>IFERROR(IF(OR(NOT(ISNUMBER('Price History'!C101)),NOT(ISNUMBER('Price History'!C100)),'Price History'!C100=0),"",'Price History'!C101/'Price History'!C100-1),"")</f>
        <v>2.878893944697225E-2</v>
      </c>
      <c r="D100" s="150">
        <f>IFERROR(IF(OR(NOT(ISNUMBER('Price History'!D101)),NOT(ISNUMBER('Price History'!D100)),'Price History'!D100=0),"",'Price History'!D101/'Price History'!D100-1),"")</f>
        <v>-2.766703083100408E-2</v>
      </c>
      <c r="E100" s="150">
        <f>IFERROR(IF(OR(NOT(ISNUMBER('Price History'!E101)),NOT(ISNUMBER('Price History'!E100)),'Price History'!E100=0),"",'Price History'!E101/'Price History'!E100-1),"")</f>
        <v>-5.3208137715180515E-3</v>
      </c>
      <c r="F100" s="150">
        <f>IFERROR(IF(OR(NOT(ISNUMBER('Price History'!F101)),NOT(ISNUMBER('Price History'!F100)),'Price History'!F100=0),"",'Price History'!F101/'Price History'!F100-1),"")</f>
        <v>-4.5392374764917087E-2</v>
      </c>
      <c r="G100" s="150">
        <f>IFERROR(IF(OR(NOT(ISNUMBER('Price History'!G101)),NOT(ISNUMBER('Price History'!G100)),'Price History'!G100=0),"",'Price History'!G101/'Price History'!G100-1),"")</f>
        <v>-1.7089243828884215E-2</v>
      </c>
      <c r="H100" s="150">
        <f>IFERROR(IF(OR(NOT(ISNUMBER('Price History'!H101)),NOT(ISNUMBER('Price History'!H100)),'Price History'!H100=0),"",'Price History'!H101/'Price History'!H100-1),"")</f>
        <v>-5.7346056895930864E-2</v>
      </c>
      <c r="I100" s="150">
        <f>IFERROR(IF(OR(NOT(ISNUMBER('Price History'!I101)),NOT(ISNUMBER('Price History'!I100)),'Price History'!I100=0),"",'Price History'!I101/'Price History'!I100-1),"")</f>
        <v>1.2710885139819439E-3</v>
      </c>
      <c r="J100" s="150">
        <f>IFERROR(IF(OR(NOT(ISNUMBER('Price History'!J101)),NOT(ISNUMBER('Price History'!J100)),'Price History'!J100=0),"",'Price History'!J101/'Price History'!J100-1),"")</f>
        <v>-4.8778186621379449E-2</v>
      </c>
      <c r="K100" s="150">
        <f>IFERROR(IF(OR(NOT(ISNUMBER('Price History'!K101)),NOT(ISNUMBER('Price History'!K100)),'Price History'!K100=0),"",'Price History'!K101/'Price History'!K100-1),"")</f>
        <v>-2.8526448362720447E-2</v>
      </c>
      <c r="L100" s="150">
        <f>IFERROR(IF(OR(NOT(ISNUMBER('Price History'!L101)),NOT(ISNUMBER('Price History'!L100)),'Price History'!L100=0),"",'Price History'!L101/'Price History'!L100-1),"")</f>
        <v>-4.230991496739045E-2</v>
      </c>
      <c r="M100" s="150">
        <f>IFERROR(IF(OR(NOT(ISNUMBER('Price History'!M101)),NOT(ISNUMBER('Price History'!M100)),'Price History'!M100=0),"",'Price History'!M101/'Price History'!M100-1),"")</f>
        <v>2.9936630490203342E-2</v>
      </c>
      <c r="N100" s="150">
        <f>IFERROR(IF(OR(NOT(ISNUMBER('Price History'!N101)),NOT(ISNUMBER('Price History'!N100)),'Price History'!N100=0),"",'Price History'!N101/'Price History'!N100-1),"")</f>
        <v>-1.6011923773022407E-2</v>
      </c>
      <c r="O100" s="150">
        <f>IFERROR(IF(OR(NOT(ISNUMBER('Price History'!O101)),NOT(ISNUMBER('Price History'!O100)),'Price History'!O100=0),"",'Price History'!O101/'Price History'!O100-1),"")</f>
        <v>-5.0278134360291049E-2</v>
      </c>
      <c r="P100" s="150">
        <f>IFERROR(IF(OR(NOT(ISNUMBER('Price History'!P101)),NOT(ISNUMBER('Price History'!P100)),'Price History'!P100=0),"",'Price History'!P101/'Price History'!P100-1),"")</f>
        <v>-3.0039346246973353E-2</v>
      </c>
      <c r="Q100" s="150">
        <f>IFERROR(IF(OR(NOT(ISNUMBER('Price History'!Q101)),NOT(ISNUMBER('Price History'!Q100)),'Price History'!Q100=0),"",'Price History'!Q101/'Price History'!Q100-1),"")</f>
        <v>-1.0489510489510523E-2</v>
      </c>
      <c r="R100" s="150">
        <f>IFERROR(IF(OR(NOT(ISNUMBER('Price History'!R101)),NOT(ISNUMBER('Price History'!R100)),'Price History'!R100=0),"",'Price History'!R101/'Price History'!R100-1),"")</f>
        <v>-1.5252820727120753E-2</v>
      </c>
      <c r="S100" s="150">
        <f>IFERROR(IF(OR(NOT(ISNUMBER('Price History'!S101)),NOT(ISNUMBER('Price History'!S100)),'Price History'!S100=0),"",'Price History'!S101/'Price History'!S100-1),"")</f>
        <v>-1.5716919834928511E-2</v>
      </c>
      <c r="T100" s="150">
        <f>IFERROR(IF(OR(NOT(ISNUMBER('Price History'!T101)),NOT(ISNUMBER('Price History'!T100)),'Price History'!T100=0),"",'Price History'!T101/'Price History'!T100-1),"")</f>
        <v>-4.1950113378684928E-2</v>
      </c>
      <c r="U100" s="150">
        <f>IFERROR(IF(OR(NOT(ISNUMBER('Price History'!U101)),NOT(ISNUMBER('Price History'!U100)),'Price History'!U100=0),"",'Price History'!U101/'Price History'!U100-1),"")</f>
        <v>-3.4429992348890659E-2</v>
      </c>
      <c r="V100" s="151">
        <f>IFERROR(IF(OR(NOT(ISNUMBER('Price History'!V101)),NOT(ISNUMBER('Price History'!V100)),'Price History'!V100=0),"",'Price History'!V101/'Price History'!V100-1),"")</f>
        <v>-4.9548912582369375E-2</v>
      </c>
      <c r="W100" s="152">
        <f>IFERROR('Price History'!B3+(INDEX('Price History'!B:B,MATCH(9.99E+307,'Returns (Calc)'!$A:$A)+1)-'Price History'!B3)*(ROW()-3)/(MATCH(9.99E+307,'Returns (Calc)'!$A:$A)-3),"")</f>
        <v>354.03377358490565</v>
      </c>
      <c r="X100" s="152">
        <f>IFERROR('Price History'!C3+(INDEX('Price History'!C:C,MATCH(9.99E+307,'Returns (Calc)'!$A:$A)+1)-'Price History'!C3)*(ROW()-3)/(MATCH(9.99E+307,'Returns (Calc)'!$A:$A)-3),"")</f>
        <v>150.23232704402517</v>
      </c>
      <c r="Y100" s="152">
        <f>IFERROR('Price History'!D3+(INDEX('Price History'!D:D,MATCH(9.99E+307,'Returns (Calc)'!$A:$A)+1)-'Price History'!D3)*(ROW()-3)/(MATCH(9.99E+307,'Returns (Calc)'!$A:$A)-3),"")</f>
        <v>1313.0666666666666</v>
      </c>
      <c r="Z100" s="152">
        <f>IFERROR('Price History'!E3+(INDEX('Price History'!E:E,MATCH(9.99E+307,'Returns (Calc)'!$A:$A)+1)-'Price History'!E3)*(ROW()-3)/(MATCH(9.99E+307,'Returns (Calc)'!$A:$A)-3),"")</f>
        <v>252.53698113207548</v>
      </c>
      <c r="AA100" s="152">
        <f>IFERROR('Price History'!F3+(INDEX('Price History'!F:F,MATCH(9.99E+307,'Returns (Calc)'!$A:$A)+1)-'Price History'!F3)*(ROW()-3)/(MATCH(9.99E+307,'Returns (Calc)'!$A:$A)-3),"")</f>
        <v>183.91949685534593</v>
      </c>
      <c r="AB100" s="152">
        <f>IFERROR('Price History'!G3+(INDEX('Price History'!G:G,MATCH(9.99E+307,'Returns (Calc)'!$A:$A)+1)-'Price History'!G3)*(ROW()-3)/(MATCH(9.99E+307,'Returns (Calc)'!$A:$A)-3),"")</f>
        <v>136.60371069182389</v>
      </c>
      <c r="AC100" s="152">
        <f>IFERROR('Price History'!H3+(INDEX('Price History'!H:H,MATCH(9.99E+307,'Returns (Calc)'!$A:$A)+1)-'Price History'!H3)*(ROW()-3)/(MATCH(9.99E+307,'Returns (Calc)'!$A:$A)-3),"")</f>
        <v>654.70327044025157</v>
      </c>
      <c r="AD100" s="152">
        <f>IFERROR('Price History'!I3+(INDEX('Price History'!I:I,MATCH(9.99E+307,'Returns (Calc)'!$A:$A)+1)-'Price History'!I3)*(ROW()-3)/(MATCH(9.99E+307,'Returns (Calc)'!$A:$A)-3),"")</f>
        <v>156.94276729559746</v>
      </c>
      <c r="AE100" s="152">
        <f>IFERROR('Price History'!J3+(INDEX('Price History'!J:J,MATCH(9.99E+307,'Returns (Calc)'!$A:$A)+1)-'Price History'!J3)*(ROW()-3)/(MATCH(9.99E+307,'Returns (Calc)'!$A:$A)-3),"")</f>
        <v>122.60761006289309</v>
      </c>
      <c r="AF100" s="152">
        <f>IFERROR('Price History'!K3+(INDEX('Price History'!K:K,MATCH(9.99E+307,'Returns (Calc)'!$A:$A)+1)-'Price History'!K3)*(ROW()-3)/(MATCH(9.99E+307,'Returns (Calc)'!$A:$A)-3),"")</f>
        <v>133.51138364779874</v>
      </c>
      <c r="AG100" s="152">
        <f>IFERROR('Price History'!L3+(INDEX('Price History'!L:L,MATCH(9.99E+307,'Returns (Calc)'!$A:$A)+1)-'Price History'!L3)*(ROW()-3)/(MATCH(9.99E+307,'Returns (Calc)'!$A:$A)-3),"")</f>
        <v>309.98471698113207</v>
      </c>
      <c r="AH100" s="152">
        <f>IFERROR('Price History'!M3+(INDEX('Price History'!M:M,MATCH(9.99E+307,'Returns (Calc)'!$A:$A)+1)-'Price History'!M3)*(ROW()-3)/(MATCH(9.99E+307,'Returns (Calc)'!$A:$A)-3),"")</f>
        <v>162.93647798742137</v>
      </c>
      <c r="AI100" s="152">
        <f>IFERROR('Price History'!N3+(INDEX('Price History'!N:N,MATCH(9.99E+307,'Returns (Calc)'!$A:$A)+1)-'Price History'!N3)*(ROW()-3)/(MATCH(9.99E+307,'Returns (Calc)'!$A:$A)-3),"")</f>
        <v>447.22993710691821</v>
      </c>
      <c r="AJ100" s="152">
        <f>IFERROR('Price History'!O3+(INDEX('Price History'!O:O,MATCH(9.99E+307,'Returns (Calc)'!$A:$A)+1)-'Price History'!O3)*(ROW()-3)/(MATCH(9.99E+307,'Returns (Calc)'!$A:$A)-3),"")</f>
        <v>102.35408805031447</v>
      </c>
      <c r="AK100" s="152">
        <f>IFERROR('Price History'!Q3+(INDEX('Price History'!Q:Q,MATCH(9.99E+307,'Returns (Calc)'!$A:$A)+1)-'Price History'!Q3)*(ROW()-3)/(MATCH(9.99E+307,'Returns (Calc)'!$A:$A)-3),"")</f>
        <v>42.686100628930816</v>
      </c>
      <c r="AL100" s="152">
        <f>IFERROR('Price History'!R3+(INDEX('Price History'!R:R,MATCH(9.99E+307,'Returns (Calc)'!$A:$A)+1)-'Price History'!R3)*(ROW()-3)/(MATCH(9.99E+307,'Returns (Calc)'!$A:$A)-3),"")</f>
        <v>50.71377358490566</v>
      </c>
      <c r="AM100" s="152">
        <f>IFERROR('Price History'!S3+(INDEX('Price History'!S:S,MATCH(9.99E+307,'Returns (Calc)'!$A:$A)+1)-'Price History'!S3)*(ROW()-3)/(MATCH(9.99E+307,'Returns (Calc)'!$A:$A)-3),"")</f>
        <v>114.68918238993712</v>
      </c>
      <c r="AN100" s="152">
        <f>IFERROR('Price History'!T3+(INDEX('Price History'!T:T,MATCH(9.99E+307,'Returns (Calc)'!$A:$A)+1)-'Price History'!T3)*(ROW()-3)/(MATCH(9.99E+307,'Returns (Calc)'!$A:$A)-3),"")</f>
        <v>42.077735849056609</v>
      </c>
      <c r="AO100" s="153">
        <f>IFERROR('Price History'!V3+(INDEX('Price History'!V:V,MATCH(9.99E+307,'Returns (Calc)'!$A:$A)+1)-'Price History'!V3)*(ROW()-3)/(MATCH(9.99E+307,'Returns (Calc)'!$A:$A)-3),"")</f>
        <v>327.02962264150943</v>
      </c>
      <c r="AP100" s="151">
        <f>IFERROR(IF(OR(NOT(ISNUMBER('Price History'!W101)),NOT(ISNUMBER('Price History'!W100)),'Price History'!W100=0),"",'Price History'!W101/'Price History'!W100-1),"")</f>
        <v>-2.7086162667873892E-2</v>
      </c>
      <c r="AQ100" s="151" t="str">
        <f>IFERROR(IF(OR(NOT(ISNUMBER('Price History'!X101)),NOT(ISNUMBER('Price History'!X100)),'Price History'!X100=0),"",'Price History'!X101/'Price History'!X100-1),"")</f>
        <v/>
      </c>
      <c r="AR100" s="151">
        <f>IFERROR(IF(OR(NOT(ISNUMBER('Price History'!Y101)),NOT(ISNUMBER('Price History'!Y100)),'Price History'!Y100=0),"",'Price History'!Y101/'Price History'!Y100-1),"")</f>
        <v>-2.3690292758089426E-2</v>
      </c>
      <c r="AS100" s="151">
        <f>IFERROR(IF(OR(NOT(ISNUMBER('Price History'!Z101)),NOT(ISNUMBER('Price History'!Z100)),'Price History'!Z100=0),"",'Price History'!Z101/'Price History'!Z100-1),"")</f>
        <v>-8.1415143216639896E-3</v>
      </c>
      <c r="AT100" s="151">
        <f>IFERROR(IF(OR(NOT(ISNUMBER('Price History'!AA101)),NOT(ISNUMBER('Price History'!AA100)),'Price History'!AA100=0),"",'Price History'!AA101/'Price History'!AA100-1),"")</f>
        <v>-1.8551461245235101E-2</v>
      </c>
      <c r="AU100" s="151">
        <f>IFERROR(IF(OR(NOT(ISNUMBER('Price History'!AB101)),NOT(ISNUMBER('Price History'!AB100)),'Price History'!AB100=0),"",'Price History'!AB101/'Price History'!AB100-1),"")</f>
        <v>-3.1197272821183897E-2</v>
      </c>
    </row>
    <row r="101" spans="1:47" ht="15" customHeight="1" x14ac:dyDescent="0.2">
      <c r="A101" s="149">
        <f>IF('Price History'!A102="","",'Price History'!A102)</f>
        <v>45877</v>
      </c>
      <c r="B101" s="150">
        <f>IFERROR(IF(OR(NOT(ISNUMBER('Price History'!B102)),NOT(ISNUMBER('Price History'!B101)),'Price History'!B101=0),"",'Price History'!B102/'Price History'!B101-1),"")</f>
        <v>-1.9407705577918377E-2</v>
      </c>
      <c r="C101" s="150">
        <f>IFERROR(IF(OR(NOT(ISNUMBER('Price History'!C102)),NOT(ISNUMBER('Price History'!C101)),'Price History'!C101=0),"",'Price History'!C102/'Price History'!C101-1),"")</f>
        <v>0.18380539253210859</v>
      </c>
      <c r="D101" s="150">
        <f>IFERROR(IF(OR(NOT(ISNUMBER('Price History'!D102)),NOT(ISNUMBER('Price History'!D101)),'Price History'!D101=0),"",'Price History'!D102/'Price History'!D101-1),"")</f>
        <v>4.7102771008740607E-2</v>
      </c>
      <c r="E101" s="150">
        <f>IFERROR(IF(OR(NOT(ISNUMBER('Price History'!E102)),NOT(ISNUMBER('Price History'!E101)),'Price History'!E101=0),"",'Price History'!E102/'Price History'!E101-1),"")</f>
        <v>5.6569470666387067E-2</v>
      </c>
      <c r="F101" s="150">
        <f>IFERROR(IF(OR(NOT(ISNUMBER('Price History'!F102)),NOT(ISNUMBER('Price History'!F101)),'Price History'!F101=0),"",'Price History'!F102/'Price History'!F101-1),"")</f>
        <v>-4.970000895495652E-2</v>
      </c>
      <c r="G101" s="150">
        <f>IFERROR(IF(OR(NOT(ISNUMBER('Price History'!G102)),NOT(ISNUMBER('Price History'!G101)),'Price History'!G101=0),"",'Price History'!G102/'Price History'!G101-1),"")</f>
        <v>3.1704545454545485E-2</v>
      </c>
      <c r="H101" s="150">
        <f>IFERROR(IF(OR(NOT(ISNUMBER('Price History'!H102)),NOT(ISNUMBER('Price History'!H101)),'Price History'!H101=0),"",'Price History'!H102/'Price History'!H101-1),"")</f>
        <v>0.13360710533855413</v>
      </c>
      <c r="I101" s="150">
        <f>IFERROR(IF(OR(NOT(ISNUMBER('Price History'!I102)),NOT(ISNUMBER('Price History'!I101)),'Price History'!I101=0),"",'Price History'!I102/'Price History'!I101-1),"")</f>
        <v>5.1644547028274701E-2</v>
      </c>
      <c r="J101" s="150">
        <f>IFERROR(IF(OR(NOT(ISNUMBER('Price History'!J102)),NOT(ISNUMBER('Price History'!J101)),'Price History'!J101=0),"",'Price History'!J102/'Price History'!J101-1),"")</f>
        <v>7.3398135290618782E-3</v>
      </c>
      <c r="K101" s="150">
        <f>IFERROR(IF(OR(NOT(ISNUMBER('Price History'!K102)),NOT(ISNUMBER('Price History'!K101)),'Price History'!K101=0),"",'Price History'!K102/'Price History'!K101-1),"")</f>
        <v>0.21190121216049773</v>
      </c>
      <c r="L101" s="150">
        <f>IFERROR(IF(OR(NOT(ISNUMBER('Price History'!L102)),NOT(ISNUMBER('Price History'!L101)),'Price History'!L101=0),"",'Price History'!L102/'Price History'!L101-1),"")</f>
        <v>2.8145338562993061E-2</v>
      </c>
      <c r="M101" s="150">
        <f>IFERROR(IF(OR(NOT(ISNUMBER('Price History'!M102)),NOT(ISNUMBER('Price History'!M101)),'Price History'!M101=0),"",'Price History'!M102/'Price History'!M101-1),"")</f>
        <v>-1.1739745403111734E-2</v>
      </c>
      <c r="N101" s="150">
        <f>IFERROR(IF(OR(NOT(ISNUMBER('Price History'!N102)),NOT(ISNUMBER('Price History'!N101)),'Price History'!N101=0),"",'Price History'!N102/'Price History'!N101-1),"")</f>
        <v>-0.20684655832774324</v>
      </c>
      <c r="O101" s="150">
        <f>IFERROR(IF(OR(NOT(ISNUMBER('Price History'!O102)),NOT(ISNUMBER('Price History'!O101)),'Price History'!O101=0),"",'Price History'!O102/'Price History'!O101-1),"")</f>
        <v>2.3316062176165664E-2</v>
      </c>
      <c r="P101" s="150">
        <f>IFERROR(IF(OR(NOT(ISNUMBER('Price History'!P102)),NOT(ISNUMBER('Price History'!P101)),'Price History'!P101=0),"",'Price History'!P102/'Price History'!P101-1),"")</f>
        <v>1.6147905452843281E-2</v>
      </c>
      <c r="Q101" s="150">
        <f>IFERROR(IF(OR(NOT(ISNUMBER('Price History'!Q102)),NOT(ISNUMBER('Price History'!Q101)),'Price History'!Q101=0),"",'Price History'!Q102/'Price History'!Q101-1),"")</f>
        <v>1.1564407324124559E-2</v>
      </c>
      <c r="R101" s="150">
        <f>IFERROR(IF(OR(NOT(ISNUMBER('Price History'!R102)),NOT(ISNUMBER('Price History'!R101)),'Price History'!R101=0),"",'Price History'!R102/'Price History'!R101-1),"")</f>
        <v>2.8219817525992008E-2</v>
      </c>
      <c r="S101" s="150">
        <f>IFERROR(IF(OR(NOT(ISNUMBER('Price History'!S102)),NOT(ISNUMBER('Price History'!S101)),'Price History'!S101=0),"",'Price History'!S102/'Price History'!S101-1),"")</f>
        <v>3.4968777876895674E-2</v>
      </c>
      <c r="T101" s="150">
        <f>IFERROR(IF(OR(NOT(ISNUMBER('Price History'!T102)),NOT(ISNUMBER('Price History'!T101)),'Price History'!T101=0),"",'Price History'!T102/'Price History'!T101-1),"")</f>
        <v>1.0059171597633254E-2</v>
      </c>
      <c r="U101" s="150">
        <f>IFERROR(IF(OR(NOT(ISNUMBER('Price History'!U102)),NOT(ISNUMBER('Price History'!U101)),'Price History'!U101=0),"",'Price History'!U102/'Price History'!U101-1),"")</f>
        <v>1.9017432646592836E-2</v>
      </c>
      <c r="V101" s="151">
        <f>IFERROR(IF(OR(NOT(ISNUMBER('Price History'!V102)),NOT(ISNUMBER('Price History'!V101)),'Price History'!V101=0),"",'Price History'!V102/'Price History'!V101-1),"")</f>
        <v>-7.5877049424227794E-3</v>
      </c>
      <c r="W101" s="152">
        <f>IFERROR('Price History'!B3+(INDEX('Price History'!B:B,MATCH(9.99E+307,'Returns (Calc)'!$A:$A)+1)-'Price History'!B3)*(ROW()-3)/(MATCH(9.99E+307,'Returns (Calc)'!$A:$A)-3),"")</f>
        <v>352.23113207547169</v>
      </c>
      <c r="X101" s="152">
        <f>IFERROR('Price History'!C3+(INDEX('Price History'!C:C,MATCH(9.99E+307,'Returns (Calc)'!$A:$A)+1)-'Price History'!C3)*(ROW()-3)/(MATCH(9.99E+307,'Returns (Calc)'!$A:$A)-3),"")</f>
        <v>151.30503144654088</v>
      </c>
      <c r="Y101" s="152">
        <f>IFERROR('Price History'!D3+(INDEX('Price History'!D:D,MATCH(9.99E+307,'Returns (Calc)'!$A:$A)+1)-'Price History'!D3)*(ROW()-3)/(MATCH(9.99E+307,'Returns (Calc)'!$A:$A)-3),"")</f>
        <v>1320.6033333333335</v>
      </c>
      <c r="Z101" s="152">
        <f>IFERROR('Price History'!E3+(INDEX('Price History'!E:E,MATCH(9.99E+307,'Returns (Calc)'!$A:$A)+1)-'Price History'!E3)*(ROW()-3)/(MATCH(9.99E+307,'Returns (Calc)'!$A:$A)-3),"")</f>
        <v>254.29509433962266</v>
      </c>
      <c r="AA101" s="152">
        <f>IFERROR('Price History'!F3+(INDEX('Price History'!F:F,MATCH(9.99E+307,'Returns (Calc)'!$A:$A)+1)-'Price History'!F3)*(ROW()-3)/(MATCH(9.99E+307,'Returns (Calc)'!$A:$A)-3),"")</f>
        <v>185.3891823899371</v>
      </c>
      <c r="AB101" s="152">
        <f>IFERROR('Price History'!G3+(INDEX('Price History'!G:G,MATCH(9.99E+307,'Returns (Calc)'!$A:$A)+1)-'Price History'!G3)*(ROW()-3)/(MATCH(9.99E+307,'Returns (Calc)'!$A:$A)-3),"")</f>
        <v>137.55477987421384</v>
      </c>
      <c r="AC101" s="152">
        <f>IFERROR('Price History'!H3+(INDEX('Price History'!H:H,MATCH(9.99E+307,'Returns (Calc)'!$A:$A)+1)-'Price History'!H3)*(ROW()-3)/(MATCH(9.99E+307,'Returns (Calc)'!$A:$A)-3),"")</f>
        <v>660.7403144654088</v>
      </c>
      <c r="AD101" s="152">
        <f>IFERROR('Price History'!I3+(INDEX('Price History'!I:I,MATCH(9.99E+307,'Returns (Calc)'!$A:$A)+1)-'Price History'!I3)*(ROW()-3)/(MATCH(9.99E+307,'Returns (Calc)'!$A:$A)-3),"")</f>
        <v>158.10949685534592</v>
      </c>
      <c r="AE101" s="152">
        <f>IFERROR('Price History'!J3+(INDEX('Price History'!J:J,MATCH(9.99E+307,'Returns (Calc)'!$A:$A)+1)-'Price History'!J3)*(ROW()-3)/(MATCH(9.99E+307,'Returns (Calc)'!$A:$A)-3),"")</f>
        <v>122.71861635220127</v>
      </c>
      <c r="AF101" s="152">
        <f>IFERROR('Price History'!K3+(INDEX('Price History'!K:K,MATCH(9.99E+307,'Returns (Calc)'!$A:$A)+1)-'Price History'!K3)*(ROW()-3)/(MATCH(9.99E+307,'Returns (Calc)'!$A:$A)-3),"")</f>
        <v>134.72974842767297</v>
      </c>
      <c r="AG101" s="152">
        <f>IFERROR('Price History'!L3+(INDEX('Price History'!L:L,MATCH(9.99E+307,'Returns (Calc)'!$A:$A)+1)-'Price History'!L3)*(ROW()-3)/(MATCH(9.99E+307,'Returns (Calc)'!$A:$A)-3),"")</f>
        <v>312.29641509433964</v>
      </c>
      <c r="AH101" s="152">
        <f>IFERROR('Price History'!M3+(INDEX('Price History'!M:M,MATCH(9.99E+307,'Returns (Calc)'!$A:$A)+1)-'Price History'!M3)*(ROW()-3)/(MATCH(9.99E+307,'Returns (Calc)'!$A:$A)-3),"")</f>
        <v>164.22427672955976</v>
      </c>
      <c r="AI101" s="152">
        <f>IFERROR('Price History'!N3+(INDEX('Price History'!N:N,MATCH(9.99E+307,'Returns (Calc)'!$A:$A)+1)-'Price History'!N3)*(ROW()-3)/(MATCH(9.99E+307,'Returns (Calc)'!$A:$A)-3),"")</f>
        <v>448.24364779874213</v>
      </c>
      <c r="AJ101" s="152">
        <f>IFERROR('Price History'!O3+(INDEX('Price History'!O:O,MATCH(9.99E+307,'Returns (Calc)'!$A:$A)+1)-'Price History'!O3)*(ROW()-3)/(MATCH(9.99E+307,'Returns (Calc)'!$A:$A)-3),"")</f>
        <v>102.63289308176101</v>
      </c>
      <c r="AK101" s="152">
        <f>IFERROR('Price History'!Q3+(INDEX('Price History'!Q:Q,MATCH(9.99E+307,'Returns (Calc)'!$A:$A)+1)-'Price History'!Q3)*(ROW()-3)/(MATCH(9.99E+307,'Returns (Calc)'!$A:$A)-3),"")</f>
        <v>43.126163522012575</v>
      </c>
      <c r="AL101" s="152">
        <f>IFERROR('Price History'!R3+(INDEX('Price History'!R:R,MATCH(9.99E+307,'Returns (Calc)'!$A:$A)+1)-'Price History'!R3)*(ROW()-3)/(MATCH(9.99E+307,'Returns (Calc)'!$A:$A)-3),"")</f>
        <v>50.881132075471697</v>
      </c>
      <c r="AM101" s="152">
        <f>IFERROR('Price History'!S3+(INDEX('Price History'!S:S,MATCH(9.99E+307,'Returns (Calc)'!$A:$A)+1)-'Price History'!S3)*(ROW()-3)/(MATCH(9.99E+307,'Returns (Calc)'!$A:$A)-3),"")</f>
        <v>115.27742138364781</v>
      </c>
      <c r="AN101" s="152">
        <f>IFERROR('Price History'!T3+(INDEX('Price History'!T:T,MATCH(9.99E+307,'Returns (Calc)'!$A:$A)+1)-'Price History'!T3)*(ROW()-3)/(MATCH(9.99E+307,'Returns (Calc)'!$A:$A)-3),"")</f>
        <v>42.251320754716986</v>
      </c>
      <c r="AO101" s="153">
        <f>IFERROR('Price History'!V3+(INDEX('Price History'!V:V,MATCH(9.99E+307,'Returns (Calc)'!$A:$A)+1)-'Price History'!V3)*(ROW()-3)/(MATCH(9.99E+307,'Returns (Calc)'!$A:$A)-3),"")</f>
        <v>327.97188679245284</v>
      </c>
      <c r="AP101" s="151">
        <f>IFERROR(IF(OR(NOT(ISNUMBER('Price History'!W102)),NOT(ISNUMBER('Price History'!W101)),'Price History'!W101=0),"",'Price History'!W102/'Price History'!W101-1),"")</f>
        <v>1.8379216750678662E-2</v>
      </c>
      <c r="AQ101" s="151" t="str">
        <f>IFERROR(IF(OR(NOT(ISNUMBER('Price History'!X102)),NOT(ISNUMBER('Price History'!X101)),'Price History'!X101=0),"",'Price History'!X102/'Price History'!X101-1),"")</f>
        <v/>
      </c>
      <c r="AR101" s="151">
        <f>IFERROR(IF(OR(NOT(ISNUMBER('Price History'!Y102)),NOT(ISNUMBER('Price History'!Y101)),'Price History'!Y101=0),"",'Price History'!Y102/'Price History'!Y101-1),"")</f>
        <v>8.0883803511542229E-3</v>
      </c>
      <c r="AS101" s="151">
        <f>IFERROR(IF(OR(NOT(ISNUMBER('Price History'!Z102)),NOT(ISNUMBER('Price History'!Z101)),'Price History'!Z101=0),"",'Price History'!Z102/'Price History'!Z101-1),"")</f>
        <v>2.0893963137079474E-2</v>
      </c>
      <c r="AT101" s="151">
        <f>IFERROR(IF(OR(NOT(ISNUMBER('Price History'!AA102)),NOT(ISNUMBER('Price History'!AA101)),'Price History'!AA101=0),"",'Price History'!AA102/'Price History'!AA101-1),"")</f>
        <v>4.5744864491627846E-2</v>
      </c>
      <c r="AU101" s="151">
        <f>IFERROR(IF(OR(NOT(ISNUMBER('Price History'!AB102)),NOT(ISNUMBER('Price History'!AB101)),'Price History'!AB101=0),"",'Price History'!AB102/'Price History'!AB101-1),"")</f>
        <v>2.7723476097387678E-3</v>
      </c>
    </row>
    <row r="102" spans="1:47" ht="15" customHeight="1" x14ac:dyDescent="0.2">
      <c r="A102" s="149">
        <f>IF('Price History'!A103="","",'Price History'!A103)</f>
        <v>45884</v>
      </c>
      <c r="B102" s="150">
        <f>IFERROR(IF(OR(NOT(ISNUMBER('Price History'!B103)),NOT(ISNUMBER('Price History'!B102)),'Price History'!B102=0),"",'Price History'!B103/'Price History'!B102-1),"")</f>
        <v>4.0463275179592362E-2</v>
      </c>
      <c r="C102" s="150">
        <f>IFERROR(IF(OR(NOT(ISNUMBER('Price History'!C103)),NOT(ISNUMBER('Price History'!C102)),'Price History'!C102=0),"",'Price History'!C103/'Price History'!C102-1),"")</f>
        <v>-1.35076878861905E-2</v>
      </c>
      <c r="D102" s="150">
        <f>IFERROR(IF(OR(NOT(ISNUMBER('Price History'!D103)),NOT(ISNUMBER('Price History'!D102)),'Price History'!D102=0),"",'Price History'!D103/'Price History'!D102-1),"")</f>
        <v>2.746693794506605E-2</v>
      </c>
      <c r="E102" s="150">
        <f>IFERROR(IF(OR(NOT(ISNUMBER('Price History'!E103)),NOT(ISNUMBER('Price History'!E102)),'Price History'!E102=0),"",'Price History'!E103/'Price History'!E102-1),"")</f>
        <v>4.5003309066844466E-3</v>
      </c>
      <c r="F102" s="150">
        <f>IFERROR(IF(OR(NOT(ISNUMBER('Price History'!F103)),NOT(ISNUMBER('Price History'!F102)),'Price History'!F102=0),"",'Price History'!F103/'Price History'!F102-1),"")</f>
        <v>8.0098002261590473E-3</v>
      </c>
      <c r="G102" s="150">
        <f>IFERROR(IF(OR(NOT(ISNUMBER('Price History'!G103)),NOT(ISNUMBER('Price History'!G102)),'Price History'!G102=0),"",'Price History'!G103/'Price History'!G102-1),"")</f>
        <v>-4.3506994162352708E-2</v>
      </c>
      <c r="H102" s="150">
        <f>IFERROR(IF(OR(NOT(ISNUMBER('Price History'!H103)),NOT(ISNUMBER('Price History'!H102)),'Price History'!H102=0),"",'Price History'!H103/'Price History'!H102-1),"")</f>
        <v>1.6680707666385963E-2</v>
      </c>
      <c r="I102" s="150">
        <f>IFERROR(IF(OR(NOT(ISNUMBER('Price History'!I103)),NOT(ISNUMBER('Price History'!I102)),'Price History'!I102=0),"",'Price History'!I103/'Price History'!I102-1),"")</f>
        <v>-1.229080932784643E-2</v>
      </c>
      <c r="J102" s="150">
        <f>IFERROR(IF(OR(NOT(ISNUMBER('Price History'!J103)),NOT(ISNUMBER('Price History'!J102)),'Price History'!J102=0),"",'Price History'!J103/'Price History'!J102-1),"")</f>
        <v>8.5663647105160834E-3</v>
      </c>
      <c r="K102" s="150">
        <f>IFERROR(IF(OR(NOT(ISNUMBER('Price History'!K103)),NOT(ISNUMBER('Price History'!K102)),'Price History'!K102=0),"",'Price History'!K103/'Price History'!K102-1),"")</f>
        <v>-5.2364142062473418E-2</v>
      </c>
      <c r="L102" s="150">
        <f>IFERROR(IF(OR(NOT(ISNUMBER('Price History'!L103)),NOT(ISNUMBER('Price History'!L102)),'Price History'!L102=0),"",'Price History'!L103/'Price History'!L102-1),"")</f>
        <v>-1.2199211872222726E-2</v>
      </c>
      <c r="M102" s="150">
        <f>IFERROR(IF(OR(NOT(ISNUMBER('Price History'!M103)),NOT(ISNUMBER('Price History'!M102)),'Price History'!M102=0),"",'Price History'!M103/'Price History'!M102-1),"")</f>
        <v>-4.9019607843137414E-2</v>
      </c>
      <c r="N102" s="150">
        <f>IFERROR(IF(OR(NOT(ISNUMBER('Price History'!N103)),NOT(ISNUMBER('Price History'!N102)),'Price History'!N102=0),"",'Price History'!N103/'Price History'!N102-1),"")</f>
        <v>7.1615649042396479E-2</v>
      </c>
      <c r="O102" s="150">
        <f>IFERROR(IF(OR(NOT(ISNUMBER('Price History'!O103)),NOT(ISNUMBER('Price History'!O102)),'Price History'!O102=0),"",'Price History'!O103/'Price History'!O102-1),"")</f>
        <v>2.9829389102916881E-2</v>
      </c>
      <c r="P102" s="150">
        <f>IFERROR(IF(OR(NOT(ISNUMBER('Price History'!P103)),NOT(ISNUMBER('Price History'!P102)),'Price History'!P102=0),"",'Price History'!P103/'Price History'!P102-1),"")</f>
        <v>1.535390756947641E-2</v>
      </c>
      <c r="Q102" s="150">
        <f>IFERROR(IF(OR(NOT(ISNUMBER('Price History'!Q103)),NOT(ISNUMBER('Price History'!Q102)),'Price History'!Q102=0),"",'Price History'!Q103/'Price History'!Q102-1),"")</f>
        <v>7.3039060019053359E-3</v>
      </c>
      <c r="R102" s="150">
        <f>IFERROR(IF(OR(NOT(ISNUMBER('Price History'!R103)),NOT(ISNUMBER('Price History'!R102)),'Price History'!R102=0),"",'Price History'!R103/'Price History'!R102-1),"")</f>
        <v>8.6669418076765758E-3</v>
      </c>
      <c r="S102" s="150">
        <f>IFERROR(IF(OR(NOT(ISNUMBER('Price History'!S103)),NOT(ISNUMBER('Price History'!S102)),'Price History'!S102=0),"",'Price History'!S103/'Price History'!S102-1),"")</f>
        <v>1.0343044302707494E-3</v>
      </c>
      <c r="T102" s="150">
        <f>IFERROR(IF(OR(NOT(ISNUMBER('Price History'!T103)),NOT(ISNUMBER('Price History'!T102)),'Price History'!T102=0),"",'Price History'!T103/'Price History'!T102-1),"")</f>
        <v>3.9543057996485054E-2</v>
      </c>
      <c r="U102" s="150">
        <f>IFERROR(IF(OR(NOT(ISNUMBER('Price History'!U103)),NOT(ISNUMBER('Price History'!U102)),'Price History'!U102=0),"",'Price History'!U103/'Price History'!U102-1),"")</f>
        <v>1.6718506998444793E-2</v>
      </c>
      <c r="V102" s="151">
        <f>IFERROR(IF(OR(NOT(ISNUMBER('Price History'!V103)),NOT(ISNUMBER('Price History'!V102)),'Price History'!V102=0),"",'Price History'!V103/'Price History'!V102-1),"")</f>
        <v>2.4646198129047781E-2</v>
      </c>
      <c r="W102" s="152">
        <f>IFERROR('Price History'!B3+(INDEX('Price History'!B:B,MATCH(9.99E+307,'Returns (Calc)'!$A:$A)+1)-'Price History'!B3)*(ROW()-3)/(MATCH(9.99E+307,'Returns (Calc)'!$A:$A)-3),"")</f>
        <v>350.42849056603768</v>
      </c>
      <c r="X102" s="152">
        <f>IFERROR('Price History'!C3+(INDEX('Price History'!C:C,MATCH(9.99E+307,'Returns (Calc)'!$A:$A)+1)-'Price History'!C3)*(ROW()-3)/(MATCH(9.99E+307,'Returns (Calc)'!$A:$A)-3),"")</f>
        <v>152.37773584905659</v>
      </c>
      <c r="Y102" s="152">
        <f>IFERROR('Price History'!D3+(INDEX('Price History'!D:D,MATCH(9.99E+307,'Returns (Calc)'!$A:$A)+1)-'Price History'!D3)*(ROW()-3)/(MATCH(9.99E+307,'Returns (Calc)'!$A:$A)-3),"")</f>
        <v>1328.1399999999999</v>
      </c>
      <c r="Z102" s="152">
        <f>IFERROR('Price History'!E3+(INDEX('Price History'!E:E,MATCH(9.99E+307,'Returns (Calc)'!$A:$A)+1)-'Price History'!E3)*(ROW()-3)/(MATCH(9.99E+307,'Returns (Calc)'!$A:$A)-3),"")</f>
        <v>256.05320754716979</v>
      </c>
      <c r="AA102" s="152">
        <f>IFERROR('Price History'!F3+(INDEX('Price History'!F:F,MATCH(9.99E+307,'Returns (Calc)'!$A:$A)+1)-'Price History'!F3)*(ROW()-3)/(MATCH(9.99E+307,'Returns (Calc)'!$A:$A)-3),"")</f>
        <v>186.85886792452828</v>
      </c>
      <c r="AB102" s="152">
        <f>IFERROR('Price History'!G3+(INDEX('Price History'!G:G,MATCH(9.99E+307,'Returns (Calc)'!$A:$A)+1)-'Price History'!G3)*(ROW()-3)/(MATCH(9.99E+307,'Returns (Calc)'!$A:$A)-3),"")</f>
        <v>138.50584905660378</v>
      </c>
      <c r="AC102" s="152">
        <f>IFERROR('Price History'!H3+(INDEX('Price History'!H:H,MATCH(9.99E+307,'Returns (Calc)'!$A:$A)+1)-'Price History'!H3)*(ROW()-3)/(MATCH(9.99E+307,'Returns (Calc)'!$A:$A)-3),"")</f>
        <v>666.77735849056603</v>
      </c>
      <c r="AD102" s="152">
        <f>IFERROR('Price History'!I3+(INDEX('Price History'!I:I,MATCH(9.99E+307,'Returns (Calc)'!$A:$A)+1)-'Price History'!I3)*(ROW()-3)/(MATCH(9.99E+307,'Returns (Calc)'!$A:$A)-3),"")</f>
        <v>159.27622641509433</v>
      </c>
      <c r="AE102" s="152">
        <f>IFERROR('Price History'!J3+(INDEX('Price History'!J:J,MATCH(9.99E+307,'Returns (Calc)'!$A:$A)+1)-'Price History'!J3)*(ROW()-3)/(MATCH(9.99E+307,'Returns (Calc)'!$A:$A)-3),"")</f>
        <v>122.82962264150945</v>
      </c>
      <c r="AF102" s="152">
        <f>IFERROR('Price History'!K3+(INDEX('Price History'!K:K,MATCH(9.99E+307,'Returns (Calc)'!$A:$A)+1)-'Price History'!K3)*(ROW()-3)/(MATCH(9.99E+307,'Returns (Calc)'!$A:$A)-3),"")</f>
        <v>135.94811320754718</v>
      </c>
      <c r="AG102" s="152">
        <f>IFERROR('Price History'!L3+(INDEX('Price History'!L:L,MATCH(9.99E+307,'Returns (Calc)'!$A:$A)+1)-'Price History'!L3)*(ROW()-3)/(MATCH(9.99E+307,'Returns (Calc)'!$A:$A)-3),"")</f>
        <v>314.60811320754715</v>
      </c>
      <c r="AH102" s="152">
        <f>IFERROR('Price History'!M3+(INDEX('Price History'!M:M,MATCH(9.99E+307,'Returns (Calc)'!$A:$A)+1)-'Price History'!M3)*(ROW()-3)/(MATCH(9.99E+307,'Returns (Calc)'!$A:$A)-3),"")</f>
        <v>165.5120754716981</v>
      </c>
      <c r="AI102" s="152">
        <f>IFERROR('Price History'!N3+(INDEX('Price History'!N:N,MATCH(9.99E+307,'Returns (Calc)'!$A:$A)+1)-'Price History'!N3)*(ROW()-3)/(MATCH(9.99E+307,'Returns (Calc)'!$A:$A)-3),"")</f>
        <v>449.25735849056605</v>
      </c>
      <c r="AJ102" s="152">
        <f>IFERROR('Price History'!O3+(INDEX('Price History'!O:O,MATCH(9.99E+307,'Returns (Calc)'!$A:$A)+1)-'Price History'!O3)*(ROW()-3)/(MATCH(9.99E+307,'Returns (Calc)'!$A:$A)-3),"")</f>
        <v>102.91169811320755</v>
      </c>
      <c r="AK102" s="152">
        <f>IFERROR('Price History'!Q3+(INDEX('Price History'!Q:Q,MATCH(9.99E+307,'Returns (Calc)'!$A:$A)+1)-'Price History'!Q3)*(ROW()-3)/(MATCH(9.99E+307,'Returns (Calc)'!$A:$A)-3),"")</f>
        <v>43.566226415094341</v>
      </c>
      <c r="AL102" s="152">
        <f>IFERROR('Price History'!R3+(INDEX('Price History'!R:R,MATCH(9.99E+307,'Returns (Calc)'!$A:$A)+1)-'Price History'!R3)*(ROW()-3)/(MATCH(9.99E+307,'Returns (Calc)'!$A:$A)-3),"")</f>
        <v>51.048490566037742</v>
      </c>
      <c r="AM102" s="152">
        <f>IFERROR('Price History'!S3+(INDEX('Price History'!S:S,MATCH(9.99E+307,'Returns (Calc)'!$A:$A)+1)-'Price History'!S3)*(ROW()-3)/(MATCH(9.99E+307,'Returns (Calc)'!$A:$A)-3),"")</f>
        <v>115.86566037735849</v>
      </c>
      <c r="AN102" s="152">
        <f>IFERROR('Price History'!T3+(INDEX('Price History'!T:T,MATCH(9.99E+307,'Returns (Calc)'!$A:$A)+1)-'Price History'!T3)*(ROW()-3)/(MATCH(9.99E+307,'Returns (Calc)'!$A:$A)-3),"")</f>
        <v>42.424905660377362</v>
      </c>
      <c r="AO102" s="153">
        <f>IFERROR('Price History'!V3+(INDEX('Price History'!V:V,MATCH(9.99E+307,'Returns (Calc)'!$A:$A)+1)-'Price History'!V3)*(ROW()-3)/(MATCH(9.99E+307,'Returns (Calc)'!$A:$A)-3),"")</f>
        <v>328.91415094339618</v>
      </c>
      <c r="AP102" s="151">
        <f>IFERROR(IF(OR(NOT(ISNUMBER('Price History'!W103)),NOT(ISNUMBER('Price History'!W102)),'Price History'!W102=0),"",'Price History'!W103/'Price History'!W102-1),"")</f>
        <v>1.2183978068839529E-2</v>
      </c>
      <c r="AQ102" s="151" t="str">
        <f>IFERROR(IF(OR(NOT(ISNUMBER('Price History'!X103)),NOT(ISNUMBER('Price History'!X102)),'Price History'!X102=0),"",'Price History'!X103/'Price History'!X102-1),"")</f>
        <v/>
      </c>
      <c r="AR102" s="151">
        <f>IFERROR(IF(OR(NOT(ISNUMBER('Price History'!Y103)),NOT(ISNUMBER('Price History'!Y102)),'Price History'!Y102=0),"",'Price History'!Y103/'Price History'!Y102-1),"")</f>
        <v>1.1350293542074397E-2</v>
      </c>
      <c r="AS102" s="151">
        <f>IFERROR(IF(OR(NOT(ISNUMBER('Price History'!Z103)),NOT(ISNUMBER('Price History'!Z102)),'Price History'!Z102=0),"",'Price History'!Z103/'Price History'!Z102-1),"")</f>
        <v>-2.6021489657188868E-2</v>
      </c>
      <c r="AT102" s="151">
        <f>IFERROR(IF(OR(NOT(ISNUMBER('Price History'!AA103)),NOT(ISNUMBER('Price History'!AA102)),'Price History'!AA102=0),"",'Price History'!AA103/'Price History'!AA102-1),"")</f>
        <v>2.2532188841201783E-2</v>
      </c>
      <c r="AU102" s="151">
        <f>IFERROR(IF(OR(NOT(ISNUMBER('Price History'!AB103)),NOT(ISNUMBER('Price History'!AB102)),'Price History'!AB102=0),"",'Price History'!AB103/'Price History'!AB102-1),"")</f>
        <v>-5.3875872824583615E-3</v>
      </c>
    </row>
    <row r="103" spans="1:47" ht="15" customHeight="1" x14ac:dyDescent="0.2">
      <c r="A103" s="149">
        <f>IF('Price History'!A104="","",'Price History'!A104)</f>
        <v>45891</v>
      </c>
      <c r="B103" s="150">
        <f>IFERROR(IF(OR(NOT(ISNUMBER('Price History'!B104)),NOT(ISNUMBER('Price History'!B103)),'Price History'!B103=0),"",'Price History'!B104/'Price History'!B103-1),"")</f>
        <v>2.0402987177680521E-2</v>
      </c>
      <c r="C103" s="150">
        <f>IFERROR(IF(OR(NOT(ISNUMBER('Price History'!C104)),NOT(ISNUMBER('Price History'!C103)),'Price History'!C103=0),"",'Price History'!C104/'Price History'!C103-1),"")</f>
        <v>-2.949745083758204E-2</v>
      </c>
      <c r="D103" s="150">
        <f>IFERROR(IF(OR(NOT(ISNUMBER('Price History'!D104)),NOT(ISNUMBER('Price History'!D103)),'Price History'!D103=0),"",'Price History'!D104/'Price History'!D103-1),"")</f>
        <v>1.7157195171572104E-2</v>
      </c>
      <c r="E103" s="150">
        <f>IFERROR(IF(OR(NOT(ISNUMBER('Price History'!E104)),NOT(ISNUMBER('Price History'!E103)),'Price History'!E103=0),"",'Price History'!E104/'Price History'!E103-1),"")</f>
        <v>-4.0288575569903839E-2</v>
      </c>
      <c r="F103" s="150">
        <f>IFERROR(IF(OR(NOT(ISNUMBER('Price History'!F104)),NOT(ISNUMBER('Price History'!F103)),'Price History'!F103=0),"",'Price History'!F104/'Price History'!F103-1),"")</f>
        <v>-1.7107600261755618E-2</v>
      </c>
      <c r="G103" s="150">
        <f>IFERROR(IF(OR(NOT(ISNUMBER('Price History'!G104)),NOT(ISNUMBER('Price History'!G103)),'Price History'!G103=0),"",'Price History'!G104/'Price History'!G103-1),"")</f>
        <v>-3.2243205895901017E-3</v>
      </c>
      <c r="H103" s="150">
        <f>IFERROR(IF(OR(NOT(ISNUMBER('Price History'!H104)),NOT(ISNUMBER('Price History'!H103)),'Price History'!H103=0),"",'Price History'!H104/'Price History'!H103-1),"")</f>
        <v>-2.6433543254889114E-2</v>
      </c>
      <c r="I103" s="150">
        <f>IFERROR(IF(OR(NOT(ISNUMBER('Price History'!I104)),NOT(ISNUMBER('Price History'!I103)),'Price History'!I103=0),"",'Price History'!I104/'Price History'!I103-1),"")</f>
        <v>-1.3665907449586068E-2</v>
      </c>
      <c r="J103" s="150">
        <f>IFERROR(IF(OR(NOT(ISNUMBER('Price History'!J104)),NOT(ISNUMBER('Price History'!J103)),'Price History'!J103=0),"",'Price History'!J104/'Price History'!J103-1),"")</f>
        <v>5.3402323538025875E-2</v>
      </c>
      <c r="K103" s="150">
        <f>IFERROR(IF(OR(NOT(ISNUMBER('Price History'!K104)),NOT(ISNUMBER('Price History'!K103)),'Price History'!K103=0),"",'Price History'!K104/'Price History'!K103-1),"")</f>
        <v>-0.10402438336061404</v>
      </c>
      <c r="L103" s="150">
        <f>IFERROR(IF(OR(NOT(ISNUMBER('Price History'!L104)),NOT(ISNUMBER('Price History'!L103)),'Price History'!L103=0),"",'Price History'!L104/'Price History'!L103-1),"")</f>
        <v>-2.4657301701820677E-2</v>
      </c>
      <c r="M103" s="150">
        <f>IFERROR(IF(OR(NOT(ISNUMBER('Price History'!M104)),NOT(ISNUMBER('Price History'!M103)),'Price History'!M103=0),"",'Price History'!M104/'Price History'!M103-1),"")</f>
        <v>-5.3352396719090867E-2</v>
      </c>
      <c r="N103" s="150">
        <f>IFERROR(IF(OR(NOT(ISNUMBER('Price History'!N104)),NOT(ISNUMBER('Price History'!N103)),'Price History'!N103=0),"",'Price History'!N104/'Price History'!N103-1),"")</f>
        <v>5.9319229104610738E-3</v>
      </c>
      <c r="O103" s="150">
        <f>IFERROR(IF(OR(NOT(ISNUMBER('Price History'!O104)),NOT(ISNUMBER('Price History'!O103)),'Price History'!O103=0),"",'Price History'!O104/'Price History'!O103-1),"")</f>
        <v>3.9760581445061893E-2</v>
      </c>
      <c r="P103" s="150">
        <f>IFERROR(IF(OR(NOT(ISNUMBER('Price History'!P104)),NOT(ISNUMBER('Price History'!P103)),'Price History'!P103=0),"",'Price History'!P104/'Price History'!P103-1),"")</f>
        <v>2.888250415847593E-2</v>
      </c>
      <c r="Q103" s="150">
        <f>IFERROR(IF(OR(NOT(ISNUMBER('Price History'!Q104)),NOT(ISNUMBER('Price History'!Q103)),'Price History'!Q103=0),"",'Price History'!Q104/'Price History'!Q103-1),"")</f>
        <v>3.6254728877680442E-3</v>
      </c>
      <c r="R103" s="150">
        <f>IFERROR(IF(OR(NOT(ISNUMBER('Price History'!R104)),NOT(ISNUMBER('Price History'!R103)),'Price History'!R103=0),"",'Price History'!R104/'Price History'!R103-1),"")</f>
        <v>-2.4549918166940632E-3</v>
      </c>
      <c r="S103" s="150">
        <f>IFERROR(IF(OR(NOT(ISNUMBER('Price History'!S104)),NOT(ISNUMBER('Price History'!S103)),'Price History'!S103=0),"",'Price History'!S104/'Price History'!S103-1),"")</f>
        <v>-6.8021353538832985E-3</v>
      </c>
      <c r="T103" s="150">
        <f>IFERROR(IF(OR(NOT(ISNUMBER('Price History'!T104)),NOT(ISNUMBER('Price History'!T103)),'Price History'!T103=0),"",'Price History'!T104/'Price History'!T103-1),"")</f>
        <v>2.5922795153564326E-2</v>
      </c>
      <c r="U103" s="150">
        <f>IFERROR(IF(OR(NOT(ISNUMBER('Price History'!U104)),NOT(ISNUMBER('Price History'!U103)),'Price History'!U103=0),"",'Price History'!U104/'Price History'!U103-1),"")</f>
        <v>2.2944550669216079E-2</v>
      </c>
      <c r="V103" s="151">
        <f>IFERROR(IF(OR(NOT(ISNUMBER('Price History'!V104)),NOT(ISNUMBER('Price History'!V103)),'Price History'!V103=0),"",'Price History'!V104/'Price History'!V103-1),"")</f>
        <v>1.6152630654883815E-2</v>
      </c>
      <c r="W103" s="152">
        <f>IFERROR('Price History'!B3+(INDEX('Price History'!B:B,MATCH(9.99E+307,'Returns (Calc)'!$A:$A)+1)-'Price History'!B3)*(ROW()-3)/(MATCH(9.99E+307,'Returns (Calc)'!$A:$A)-3),"")</f>
        <v>348.62584905660378</v>
      </c>
      <c r="X103" s="152">
        <f>IFERROR('Price History'!C3+(INDEX('Price History'!C:C,MATCH(9.99E+307,'Returns (Calc)'!$A:$A)+1)-'Price History'!C3)*(ROW()-3)/(MATCH(9.99E+307,'Returns (Calc)'!$A:$A)-3),"")</f>
        <v>153.45044025157233</v>
      </c>
      <c r="Y103" s="152">
        <f>IFERROR('Price History'!D3+(INDEX('Price History'!D:D,MATCH(9.99E+307,'Returns (Calc)'!$A:$A)+1)-'Price History'!D3)*(ROW()-3)/(MATCH(9.99E+307,'Returns (Calc)'!$A:$A)-3),"")</f>
        <v>1335.6766666666667</v>
      </c>
      <c r="Z103" s="152">
        <f>IFERROR('Price History'!E3+(INDEX('Price History'!E:E,MATCH(9.99E+307,'Returns (Calc)'!$A:$A)+1)-'Price History'!E3)*(ROW()-3)/(MATCH(9.99E+307,'Returns (Calc)'!$A:$A)-3),"")</f>
        <v>257.81132075471703</v>
      </c>
      <c r="AA103" s="152">
        <f>IFERROR('Price History'!F3+(INDEX('Price History'!F:F,MATCH(9.99E+307,'Returns (Calc)'!$A:$A)+1)-'Price History'!F3)*(ROW()-3)/(MATCH(9.99E+307,'Returns (Calc)'!$A:$A)-3),"")</f>
        <v>188.32855345911952</v>
      </c>
      <c r="AB103" s="152">
        <f>IFERROR('Price History'!G3+(INDEX('Price History'!G:G,MATCH(9.99E+307,'Returns (Calc)'!$A:$A)+1)-'Price History'!G3)*(ROW()-3)/(MATCH(9.99E+307,'Returns (Calc)'!$A:$A)-3),"")</f>
        <v>139.45691823899372</v>
      </c>
      <c r="AC103" s="152">
        <f>IFERROR('Price History'!H3+(INDEX('Price History'!H:H,MATCH(9.99E+307,'Returns (Calc)'!$A:$A)+1)-'Price History'!H3)*(ROW()-3)/(MATCH(9.99E+307,'Returns (Calc)'!$A:$A)-3),"")</f>
        <v>672.81440251572326</v>
      </c>
      <c r="AD103" s="152">
        <f>IFERROR('Price History'!I3+(INDEX('Price History'!I:I,MATCH(9.99E+307,'Returns (Calc)'!$A:$A)+1)-'Price History'!I3)*(ROW()-3)/(MATCH(9.99E+307,'Returns (Calc)'!$A:$A)-3),"")</f>
        <v>160.44295597484276</v>
      </c>
      <c r="AE103" s="152">
        <f>IFERROR('Price History'!J3+(INDEX('Price History'!J:J,MATCH(9.99E+307,'Returns (Calc)'!$A:$A)+1)-'Price History'!J3)*(ROW()-3)/(MATCH(9.99E+307,'Returns (Calc)'!$A:$A)-3),"")</f>
        <v>122.94062893081761</v>
      </c>
      <c r="AF103" s="152">
        <f>IFERROR('Price History'!K3+(INDEX('Price History'!K:K,MATCH(9.99E+307,'Returns (Calc)'!$A:$A)+1)-'Price History'!K3)*(ROW()-3)/(MATCH(9.99E+307,'Returns (Calc)'!$A:$A)-3),"")</f>
        <v>137.16647798742139</v>
      </c>
      <c r="AG103" s="152">
        <f>IFERROR('Price History'!L3+(INDEX('Price History'!L:L,MATCH(9.99E+307,'Returns (Calc)'!$A:$A)+1)-'Price History'!L3)*(ROW()-3)/(MATCH(9.99E+307,'Returns (Calc)'!$A:$A)-3),"")</f>
        <v>316.91981132075472</v>
      </c>
      <c r="AH103" s="152">
        <f>IFERROR('Price History'!M3+(INDEX('Price History'!M:M,MATCH(9.99E+307,'Returns (Calc)'!$A:$A)+1)-'Price History'!M3)*(ROW()-3)/(MATCH(9.99E+307,'Returns (Calc)'!$A:$A)-3),"")</f>
        <v>166.79987421383649</v>
      </c>
      <c r="AI103" s="152">
        <f>IFERROR('Price History'!N3+(INDEX('Price History'!N:N,MATCH(9.99E+307,'Returns (Calc)'!$A:$A)+1)-'Price History'!N3)*(ROW()-3)/(MATCH(9.99E+307,'Returns (Calc)'!$A:$A)-3),"")</f>
        <v>450.27106918238991</v>
      </c>
      <c r="AJ103" s="152">
        <f>IFERROR('Price History'!O3+(INDEX('Price History'!O:O,MATCH(9.99E+307,'Returns (Calc)'!$A:$A)+1)-'Price History'!O3)*(ROW()-3)/(MATCH(9.99E+307,'Returns (Calc)'!$A:$A)-3),"")</f>
        <v>103.19050314465409</v>
      </c>
      <c r="AK103" s="152">
        <f>IFERROR('Price History'!Q3+(INDEX('Price History'!Q:Q,MATCH(9.99E+307,'Returns (Calc)'!$A:$A)+1)-'Price History'!Q3)*(ROW()-3)/(MATCH(9.99E+307,'Returns (Calc)'!$A:$A)-3),"")</f>
        <v>44.0062893081761</v>
      </c>
      <c r="AL103" s="152">
        <f>IFERROR('Price History'!R3+(INDEX('Price History'!R:R,MATCH(9.99E+307,'Returns (Calc)'!$A:$A)+1)-'Price History'!R3)*(ROW()-3)/(MATCH(9.99E+307,'Returns (Calc)'!$A:$A)-3),"")</f>
        <v>51.215849056603773</v>
      </c>
      <c r="AM103" s="152">
        <f>IFERROR('Price History'!S3+(INDEX('Price History'!S:S,MATCH(9.99E+307,'Returns (Calc)'!$A:$A)+1)-'Price History'!S3)*(ROW()-3)/(MATCH(9.99E+307,'Returns (Calc)'!$A:$A)-3),"")</f>
        <v>116.45389937106918</v>
      </c>
      <c r="AN103" s="152">
        <f>IFERROR('Price History'!T3+(INDEX('Price History'!T:T,MATCH(9.99E+307,'Returns (Calc)'!$A:$A)+1)-'Price History'!T3)*(ROW()-3)/(MATCH(9.99E+307,'Returns (Calc)'!$A:$A)-3),"")</f>
        <v>42.598490566037739</v>
      </c>
      <c r="AO103" s="153">
        <f>IFERROR('Price History'!V3+(INDEX('Price History'!V:V,MATCH(9.99E+307,'Returns (Calc)'!$A:$A)+1)-'Price History'!V3)*(ROW()-3)/(MATCH(9.99E+307,'Returns (Calc)'!$A:$A)-3),"")</f>
        <v>329.85641509433964</v>
      </c>
      <c r="AP103" s="151">
        <f>IFERROR(IF(OR(NOT(ISNUMBER('Price History'!W104)),NOT(ISNUMBER('Price History'!W103)),'Price History'!W103=0),"",'Price History'!W104/'Price History'!W103-1),"")</f>
        <v>1.5874210051158633E-2</v>
      </c>
      <c r="AQ103" s="151" t="str">
        <f>IFERROR(IF(OR(NOT(ISNUMBER('Price History'!X104)),NOT(ISNUMBER('Price History'!X103)),'Price History'!X103=0),"",'Price History'!X104/'Price History'!X103-1),"")</f>
        <v/>
      </c>
      <c r="AR103" s="151">
        <f>IFERROR(IF(OR(NOT(ISNUMBER('Price History'!Y104)),NOT(ISNUMBER('Price History'!Y103)),'Price History'!Y103=0),"",'Price History'!Y104/'Price History'!Y103-1),"")</f>
        <v>1.1996904024767829E-2</v>
      </c>
      <c r="AS103" s="151">
        <f>IFERROR(IF(OR(NOT(ISNUMBER('Price History'!Z104)),NOT(ISNUMBER('Price History'!Z103)),'Price History'!Z103=0),"",'Price History'!Z104/'Price History'!Z103-1),"")</f>
        <v>-4.953095684802955E-3</v>
      </c>
      <c r="AT103" s="151">
        <f>IFERROR(IF(OR(NOT(ISNUMBER('Price History'!AA104)),NOT(ISNUMBER('Price History'!AA103)),'Price History'!AA103=0),"",'Price History'!AA104/'Price History'!AA103-1),"")</f>
        <v>-2.7685850351118035E-2</v>
      </c>
      <c r="AU103" s="151">
        <f>IFERROR(IF(OR(NOT(ISNUMBER('Price History'!AB104)),NOT(ISNUMBER('Price History'!AB103)),'Price History'!AB103=0),"",'Price History'!AB104/'Price History'!AB103-1),"")</f>
        <v>3.6527564947792301E-2</v>
      </c>
    </row>
    <row r="104" spans="1:47" ht="15" customHeight="1" x14ac:dyDescent="0.2">
      <c r="A104" s="149">
        <f>IF('Price History'!A105="","",'Price History'!A105)</f>
        <v>45898</v>
      </c>
      <c r="B104" s="150">
        <f>IFERROR(IF(OR(NOT(ISNUMBER('Price History'!B105)),NOT(ISNUMBER('Price History'!B104)),'Price History'!B104=0),"",'Price History'!B105/'Price History'!B104-1),"")</f>
        <v>-1.4885801872462578E-2</v>
      </c>
      <c r="C104" s="150">
        <f>IFERROR(IF(OR(NOT(ISNUMBER('Price History'!C105)),NOT(ISNUMBER('Price History'!C104)),'Price History'!C104=0),"",'Price History'!C105/'Price History'!C104-1),"")</f>
        <v>2.4765478424014997E-2</v>
      </c>
      <c r="D104" s="150">
        <f>IFERROR(IF(OR(NOT(ISNUMBER('Price History'!D105)),NOT(ISNUMBER('Price History'!D104)),'Price History'!D104=0),"",'Price History'!D105/'Price History'!D104-1),"")</f>
        <v>-1.6254416961130835E-2</v>
      </c>
      <c r="E104" s="150">
        <f>IFERROR(IF(OR(NOT(ISNUMBER('Price History'!E105)),NOT(ISNUMBER('Price History'!E104)),'Price History'!E104=0),"",'Price History'!E105/'Price History'!E104-1),"")</f>
        <v>1.1533312738132073E-2</v>
      </c>
      <c r="F104" s="150">
        <f>IFERROR(IF(OR(NOT(ISNUMBER('Price History'!F105)),NOT(ISNUMBER('Price History'!F104)),'Price History'!F104=0),"",'Price History'!F105/'Price History'!F104-1),"")</f>
        <v>7.5137911356286669E-3</v>
      </c>
      <c r="G104" s="150">
        <f>IFERROR(IF(OR(NOT(ISNUMBER('Price History'!G105)),NOT(ISNUMBER('Price History'!G104)),'Price History'!G104=0),"",'Price History'!G105/'Price History'!G104-1),"")</f>
        <v>1.9639556377080147E-3</v>
      </c>
      <c r="H104" s="150">
        <f>IFERROR(IF(OR(NOT(ISNUMBER('Price History'!H105)),NOT(ISNUMBER('Price History'!H104)),'Price History'!H104=0),"",'Price History'!H105/'Price History'!H104-1),"")</f>
        <v>1.132011234998731E-2</v>
      </c>
      <c r="I104" s="150">
        <f>IFERROR(IF(OR(NOT(ISNUMBER('Price History'!I105)),NOT(ISNUMBER('Price History'!I104)),'Price History'!I104=0),"",'Price History'!I105/'Price History'!I104-1),"")</f>
        <v>-2.1402421852999232E-2</v>
      </c>
      <c r="J104" s="150">
        <f>IFERROR(IF(OR(NOT(ISNUMBER('Price History'!J105)),NOT(ISNUMBER('Price History'!J104)),'Price History'!J104=0),"",'Price History'!J105/'Price History'!J104-1),"")</f>
        <v>1.3345690454124259E-2</v>
      </c>
      <c r="K104" s="150">
        <f>IFERROR(IF(OR(NOT(ISNUMBER('Price History'!K105)),NOT(ISNUMBER('Price History'!K104)),'Price History'!K104=0),"",'Price History'!K105/'Price History'!K104-1),"")</f>
        <v>-1.2788207131157914E-2</v>
      </c>
      <c r="L104" s="150">
        <f>IFERROR(IF(OR(NOT(ISNUMBER('Price History'!L105)),NOT(ISNUMBER('Price History'!L104)),'Price History'!L104=0),"",'Price History'!L105/'Price History'!L104-1),"")</f>
        <v>-9.0940736228353192E-3</v>
      </c>
      <c r="M104" s="150">
        <f>IFERROR(IF(OR(NOT(ISNUMBER('Price History'!M105)),NOT(ISNUMBER('Price History'!M104)),'Price History'!M104=0),"",'Price History'!M105/'Price History'!M104-1),"")</f>
        <v>1.2559618441971399E-2</v>
      </c>
      <c r="N104" s="150">
        <f>IFERROR(IF(OR(NOT(ISNUMBER('Price History'!N105)),NOT(ISNUMBER('Price History'!N104)),'Price History'!N104=0),"",'Price History'!N105/'Price History'!N104-1),"")</f>
        <v>-1.0376594452318311E-2</v>
      </c>
      <c r="O104" s="150">
        <f>IFERROR(IF(OR(NOT(ISNUMBER('Price History'!O105)),NOT(ISNUMBER('Price History'!O104)),'Price History'!O104=0),"",'Price History'!O105/'Price History'!O104-1),"")</f>
        <v>8.4292763157893802E-3</v>
      </c>
      <c r="P104" s="150">
        <f>IFERROR(IF(OR(NOT(ISNUMBER('Price History'!P105)),NOT(ISNUMBER('Price History'!P104)),'Price History'!P104=0),"",'Price History'!P105/'Price History'!P104-1),"")</f>
        <v>-2.2045855379189128E-3</v>
      </c>
      <c r="Q104" s="150">
        <f>IFERROR(IF(OR(NOT(ISNUMBER('Price History'!Q105)),NOT(ISNUMBER('Price History'!Q104)),'Price History'!Q104=0),"",'Price History'!Q105/'Price History'!Q104-1),"")</f>
        <v>1.5705983979885652E-4</v>
      </c>
      <c r="R104" s="150">
        <f>IFERROR(IF(OR(NOT(ISNUMBER('Price History'!R105)),NOT(ISNUMBER('Price History'!R104)),'Price History'!R104=0),"",'Price History'!R105/'Price History'!R104-1),"")</f>
        <v>2.0508613617731264E-4</v>
      </c>
      <c r="S104" s="150">
        <f>IFERROR(IF(OR(NOT(ISNUMBER('Price History'!S105)),NOT(ISNUMBER('Price History'!S104)),'Price History'!S104=0),"",'Price History'!S105/'Price History'!S104-1),"")</f>
        <v>-2.6007802340699548E-4</v>
      </c>
      <c r="T104" s="150">
        <f>IFERROR(IF(OR(NOT(ISNUMBER('Price History'!T105)),NOT(ISNUMBER('Price History'!T104)),'Price History'!T104=0),"",'Price History'!T105/'Price History'!T104-1),"")</f>
        <v>9.0634441087615869E-3</v>
      </c>
      <c r="U104" s="150">
        <f>IFERROR(IF(OR(NOT(ISNUMBER('Price History'!U105)),NOT(ISNUMBER('Price History'!U104)),'Price History'!U104=0),"",'Price History'!U105/'Price History'!U104-1),"")</f>
        <v>-1.1214953271028172E-3</v>
      </c>
      <c r="V104" s="151">
        <f>IFERROR(IF(OR(NOT(ISNUMBER('Price History'!V105)),NOT(ISNUMBER('Price History'!V104)),'Price History'!V104=0),"",'Price History'!V105/'Price History'!V104-1),"")</f>
        <v>4.9818579738525326E-3</v>
      </c>
      <c r="W104" s="152">
        <f>IFERROR('Price History'!B3+(INDEX('Price History'!B:B,MATCH(9.99E+307,'Returns (Calc)'!$A:$A)+1)-'Price History'!B3)*(ROW()-3)/(MATCH(9.99E+307,'Returns (Calc)'!$A:$A)-3),"")</f>
        <v>346.82320754716977</v>
      </c>
      <c r="X104" s="152">
        <f>IFERROR('Price History'!C3+(INDEX('Price History'!C:C,MATCH(9.99E+307,'Returns (Calc)'!$A:$A)+1)-'Price History'!C3)*(ROW()-3)/(MATCH(9.99E+307,'Returns (Calc)'!$A:$A)-3),"")</f>
        <v>154.52314465408807</v>
      </c>
      <c r="Y104" s="152">
        <f>IFERROR('Price History'!D3+(INDEX('Price History'!D:D,MATCH(9.99E+307,'Returns (Calc)'!$A:$A)+1)-'Price History'!D3)*(ROW()-3)/(MATCH(9.99E+307,'Returns (Calc)'!$A:$A)-3),"")</f>
        <v>1343.2133333333331</v>
      </c>
      <c r="Z104" s="152">
        <f>IFERROR('Price History'!E3+(INDEX('Price History'!E:E,MATCH(9.99E+307,'Returns (Calc)'!$A:$A)+1)-'Price History'!E3)*(ROW()-3)/(MATCH(9.99E+307,'Returns (Calc)'!$A:$A)-3),"")</f>
        <v>259.56943396226416</v>
      </c>
      <c r="AA104" s="152">
        <f>IFERROR('Price History'!F3+(INDEX('Price History'!F:F,MATCH(9.99E+307,'Returns (Calc)'!$A:$A)+1)-'Price History'!F3)*(ROW()-3)/(MATCH(9.99E+307,'Returns (Calc)'!$A:$A)-3),"")</f>
        <v>189.7982389937107</v>
      </c>
      <c r="AB104" s="152">
        <f>IFERROR('Price History'!G3+(INDEX('Price History'!G:G,MATCH(9.99E+307,'Returns (Calc)'!$A:$A)+1)-'Price History'!G3)*(ROW()-3)/(MATCH(9.99E+307,'Returns (Calc)'!$A:$A)-3),"")</f>
        <v>140.40798742138364</v>
      </c>
      <c r="AC104" s="152">
        <f>IFERROR('Price History'!H3+(INDEX('Price History'!H:H,MATCH(9.99E+307,'Returns (Calc)'!$A:$A)+1)-'Price History'!H3)*(ROW()-3)/(MATCH(9.99E+307,'Returns (Calc)'!$A:$A)-3),"")</f>
        <v>678.85144654088049</v>
      </c>
      <c r="AD104" s="152">
        <f>IFERROR('Price History'!I3+(INDEX('Price History'!I:I,MATCH(9.99E+307,'Returns (Calc)'!$A:$A)+1)-'Price History'!I3)*(ROW()-3)/(MATCH(9.99E+307,'Returns (Calc)'!$A:$A)-3),"")</f>
        <v>161.60968553459119</v>
      </c>
      <c r="AE104" s="152">
        <f>IFERROR('Price History'!J3+(INDEX('Price History'!J:J,MATCH(9.99E+307,'Returns (Calc)'!$A:$A)+1)-'Price History'!J3)*(ROW()-3)/(MATCH(9.99E+307,'Returns (Calc)'!$A:$A)-3),"")</f>
        <v>123.05163522012579</v>
      </c>
      <c r="AF104" s="152">
        <f>IFERROR('Price History'!K3+(INDEX('Price History'!K:K,MATCH(9.99E+307,'Returns (Calc)'!$A:$A)+1)-'Price History'!K3)*(ROW()-3)/(MATCH(9.99E+307,'Returns (Calc)'!$A:$A)-3),"")</f>
        <v>138.38484276729562</v>
      </c>
      <c r="AG104" s="152">
        <f>IFERROR('Price History'!L3+(INDEX('Price History'!L:L,MATCH(9.99E+307,'Returns (Calc)'!$A:$A)+1)-'Price History'!L3)*(ROW()-3)/(MATCH(9.99E+307,'Returns (Calc)'!$A:$A)-3),"")</f>
        <v>319.23150943396229</v>
      </c>
      <c r="AH104" s="152">
        <f>IFERROR('Price History'!M3+(INDEX('Price History'!M:M,MATCH(9.99E+307,'Returns (Calc)'!$A:$A)+1)-'Price History'!M3)*(ROW()-3)/(MATCH(9.99E+307,'Returns (Calc)'!$A:$A)-3),"")</f>
        <v>168.08767295597485</v>
      </c>
      <c r="AI104" s="152">
        <f>IFERROR('Price History'!N3+(INDEX('Price History'!N:N,MATCH(9.99E+307,'Returns (Calc)'!$A:$A)+1)-'Price History'!N3)*(ROW()-3)/(MATCH(9.99E+307,'Returns (Calc)'!$A:$A)-3),"")</f>
        <v>451.28477987421383</v>
      </c>
      <c r="AJ104" s="152">
        <f>IFERROR('Price History'!O3+(INDEX('Price History'!O:O,MATCH(9.99E+307,'Returns (Calc)'!$A:$A)+1)-'Price History'!O3)*(ROW()-3)/(MATCH(9.99E+307,'Returns (Calc)'!$A:$A)-3),"")</f>
        <v>103.46930817610063</v>
      </c>
      <c r="AK104" s="152">
        <f>IFERROR('Price History'!Q3+(INDEX('Price History'!Q:Q,MATCH(9.99E+307,'Returns (Calc)'!$A:$A)+1)-'Price History'!Q3)*(ROW()-3)/(MATCH(9.99E+307,'Returns (Calc)'!$A:$A)-3),"")</f>
        <v>44.446352201257866</v>
      </c>
      <c r="AL104" s="152">
        <f>IFERROR('Price History'!R3+(INDEX('Price History'!R:R,MATCH(9.99E+307,'Returns (Calc)'!$A:$A)+1)-'Price History'!R3)*(ROW()-3)/(MATCH(9.99E+307,'Returns (Calc)'!$A:$A)-3),"")</f>
        <v>51.38320754716981</v>
      </c>
      <c r="AM104" s="152">
        <f>IFERROR('Price History'!S3+(INDEX('Price History'!S:S,MATCH(9.99E+307,'Returns (Calc)'!$A:$A)+1)-'Price History'!S3)*(ROW()-3)/(MATCH(9.99E+307,'Returns (Calc)'!$A:$A)-3),"")</f>
        <v>117.04213836477987</v>
      </c>
      <c r="AN104" s="152">
        <f>IFERROR('Price History'!T3+(INDEX('Price History'!T:T,MATCH(9.99E+307,'Returns (Calc)'!$A:$A)+1)-'Price History'!T3)*(ROW()-3)/(MATCH(9.99E+307,'Returns (Calc)'!$A:$A)-3),"")</f>
        <v>42.772075471698116</v>
      </c>
      <c r="AO104" s="153">
        <f>IFERROR('Price History'!V3+(INDEX('Price History'!V:V,MATCH(9.99E+307,'Returns (Calc)'!$A:$A)+1)-'Price History'!V3)*(ROW()-3)/(MATCH(9.99E+307,'Returns (Calc)'!$A:$A)-3),"")</f>
        <v>330.79867924528298</v>
      </c>
      <c r="AP104" s="151">
        <f>IFERROR(IF(OR(NOT(ISNUMBER('Price History'!W105)),NOT(ISNUMBER('Price History'!W104)),'Price History'!W104=0),"",'Price History'!W105/'Price History'!W104-1),"")</f>
        <v>1.4811523365176882E-4</v>
      </c>
      <c r="AQ104" s="151" t="str">
        <f>IFERROR(IF(OR(NOT(ISNUMBER('Price History'!X105)),NOT(ISNUMBER('Price History'!X104)),'Price History'!X104=0),"",'Price History'!X105/'Price History'!X104-1),"")</f>
        <v/>
      </c>
      <c r="AR104" s="151">
        <f>IFERROR(IF(OR(NOT(ISNUMBER('Price History'!Y105)),NOT(ISNUMBER('Price History'!Y104)),'Price History'!Y104=0),"",'Price History'!Y105/'Price History'!Y104-1),"")</f>
        <v>-3.8240917782026429E-3</v>
      </c>
      <c r="AS104" s="151">
        <f>IFERROR(IF(OR(NOT(ISNUMBER('Price History'!Z105)),NOT(ISNUMBER('Price History'!Z104)),'Price History'!Z104=0),"",'Price History'!Z105/'Price History'!Z104-1),"")</f>
        <v>3.2543932423259703E-2</v>
      </c>
      <c r="AT104" s="151">
        <f>IFERROR(IF(OR(NOT(ISNUMBER('Price History'!AA105)),NOT(ISNUMBER('Price History'!AA104)),'Price History'!AA104=0),"",'Price History'!AA105/'Price History'!AA104-1),"")</f>
        <v>2.9885439149925919E-3</v>
      </c>
      <c r="AU104" s="151">
        <f>IFERROR(IF(OR(NOT(ISNUMBER('Price History'!AB105)),NOT(ISNUMBER('Price History'!AB104)),'Price History'!AB104=0),"",'Price History'!AB105/'Price History'!AB104-1),"")</f>
        <v>-7.4468816612803468E-2</v>
      </c>
    </row>
    <row r="105" spans="1:47" ht="15" customHeight="1" x14ac:dyDescent="0.2">
      <c r="A105" s="149">
        <f>IF('Price History'!A106="","",'Price History'!A106)</f>
        <v>45905</v>
      </c>
      <c r="B105" s="150">
        <f>IFERROR(IF(OR(NOT(ISNUMBER('Price History'!B106)),NOT(ISNUMBER('Price History'!B105)),'Price History'!B105=0),"",'Price History'!B106/'Price History'!B105-1),"")</f>
        <v>-2.1670871881132481E-2</v>
      </c>
      <c r="C105" s="150">
        <f>IFERROR(IF(OR(NOT(ISNUMBER('Price History'!C106)),NOT(ISNUMBER('Price History'!C105)),'Price History'!C105=0),"",'Price History'!C106/'Price History'!C105-1),"")</f>
        <v>4.6136946173562565E-2</v>
      </c>
      <c r="D105" s="150">
        <f>IFERROR(IF(OR(NOT(ISNUMBER('Price History'!D106)),NOT(ISNUMBER('Price History'!D105)),'Price History'!D105=0),"",'Price History'!D106/'Price History'!D105-1),"")</f>
        <v>5.2618737800910864E-2</v>
      </c>
      <c r="E105" s="150">
        <f>IFERROR(IF(OR(NOT(ISNUMBER('Price History'!E106)),NOT(ISNUMBER('Price History'!E105)),'Price History'!E105=0),"",'Price History'!E106/'Price History'!E105-1),"")</f>
        <v>0.12609861210085183</v>
      </c>
      <c r="F105" s="150">
        <f>IFERROR(IF(OR(NOT(ISNUMBER('Price History'!F106)),NOT(ISNUMBER('Price History'!F105)),'Price History'!F105=0),"",'Price History'!F106/'Price History'!F105-1),"")</f>
        <v>-1.43490984612481E-2</v>
      </c>
      <c r="G105" s="150">
        <f>IFERROR(IF(OR(NOT(ISNUMBER('Price History'!G106)),NOT(ISNUMBER('Price History'!G105)),'Price History'!G105=0),"",'Price History'!G106/'Price History'!G105-1),"")</f>
        <v>3.7933817594834496E-2</v>
      </c>
      <c r="H105" s="150">
        <f>IFERROR(IF(OR(NOT(ISNUMBER('Price History'!H106)),NOT(ISNUMBER('Price History'!H105)),'Price History'!H105=0),"",'Price History'!H106/'Price History'!H105-1),"")</f>
        <v>0.10385456993772091</v>
      </c>
      <c r="I105" s="150">
        <f>IFERROR(IF(OR(NOT(ISNUMBER('Price History'!I106)),NOT(ISNUMBER('Price History'!I105)),'Price History'!I105=0),"",'Price History'!I106/'Price History'!I105-1),"")</f>
        <v>-4.1093525179855983E-2</v>
      </c>
      <c r="J105" s="150">
        <f>IFERROR(IF(OR(NOT(ISNUMBER('Price History'!J106)),NOT(ISNUMBER('Price History'!J105)),'Price History'!J105=0),"",'Price History'!J106/'Price History'!J105-1),"")</f>
        <v>-1.097494055240622E-3</v>
      </c>
      <c r="K105" s="150">
        <f>IFERROR(IF(OR(NOT(ISNUMBER('Price History'!K106)),NOT(ISNUMBER('Price History'!K105)),'Price History'!K105=0),"",'Price History'!K106/'Price History'!K105-1),"")</f>
        <v>-2.2972369344649302E-2</v>
      </c>
      <c r="L105" s="150">
        <f>IFERROR(IF(OR(NOT(ISNUMBER('Price History'!L106)),NOT(ISNUMBER('Price History'!L105)),'Price History'!L105=0),"",'Price History'!L106/'Price History'!L105-1),"")</f>
        <v>5.4318710753963106E-2</v>
      </c>
      <c r="M105" s="150">
        <f>IFERROR(IF(OR(NOT(ISNUMBER('Price History'!M106)),NOT(ISNUMBER('Price History'!M105)),'Price History'!M105=0),"",'Price History'!M106/'Price History'!M105-1),"")</f>
        <v>-2.7869367247605581E-2</v>
      </c>
      <c r="N105" s="150">
        <f>IFERROR(IF(OR(NOT(ISNUMBER('Price History'!N106)),NOT(ISNUMBER('Price History'!N105)),'Price History'!N105=0),"",'Price History'!N106/'Price History'!N105-1),"")</f>
        <v>1.3042811109406305E-2</v>
      </c>
      <c r="O105" s="150">
        <f>IFERROR(IF(OR(NOT(ISNUMBER('Price History'!O106)),NOT(ISNUMBER('Price History'!O105)),'Price History'!O105=0),"",'Price History'!O106/'Price History'!O105-1),"")</f>
        <v>1.0907237512742141E-2</v>
      </c>
      <c r="P105" s="150">
        <f>IFERROR(IF(OR(NOT(ISNUMBER('Price History'!P106)),NOT(ISNUMBER('Price History'!P105)),'Price History'!P105=0),"",'Price History'!P106/'Price History'!P105-1),"")</f>
        <v>-8.8378258948307309E-4</v>
      </c>
      <c r="Q105" s="150">
        <f>IFERROR(IF(OR(NOT(ISNUMBER('Price History'!Q106)),NOT(ISNUMBER('Price History'!Q105)),'Price History'!Q105=0),"",'Price History'!Q106/'Price History'!Q105-1),"")</f>
        <v>2.1984924623115187E-3</v>
      </c>
      <c r="R105" s="150">
        <f>IFERROR(IF(OR(NOT(ISNUMBER('Price History'!R106)),NOT(ISNUMBER('Price History'!R105)),'Price History'!R105=0),"",'Price History'!R106/'Price History'!R105-1),"")</f>
        <v>9.8421160549517772E-3</v>
      </c>
      <c r="S105" s="150">
        <f>IFERROR(IF(OR(NOT(ISNUMBER('Price History'!S106)),NOT(ISNUMBER('Price History'!S105)),'Price History'!S105=0),"",'Price History'!S106/'Price History'!S105-1),"")</f>
        <v>4.9427679500519961E-3</v>
      </c>
      <c r="T105" s="150">
        <f>IFERROR(IF(OR(NOT(ISNUMBER('Price History'!T106)),NOT(ISNUMBER('Price History'!T105)),'Price History'!T105=0),"",'Price History'!T106/'Price History'!T105-1),"")</f>
        <v>7.6211213935766242E-3</v>
      </c>
      <c r="U105" s="150">
        <f>IFERROR(IF(OR(NOT(ISNUMBER('Price History'!U106)),NOT(ISNUMBER('Price History'!U105)),'Price History'!U105=0),"",'Price History'!U106/'Price History'!U105-1),"")</f>
        <v>-1.010479041916168E-2</v>
      </c>
      <c r="V105" s="151">
        <f>IFERROR(IF(OR(NOT(ISNUMBER('Price History'!V106)),NOT(ISNUMBER('Price History'!V105)),'Price History'!V105=0),"",'Price History'!V106/'Price History'!V105-1),"")</f>
        <v>-2.432734462305508E-2</v>
      </c>
      <c r="W105" s="152">
        <f>IFERROR('Price History'!B3+(INDEX('Price History'!B:B,MATCH(9.99E+307,'Returns (Calc)'!$A:$A)+1)-'Price History'!B3)*(ROW()-3)/(MATCH(9.99E+307,'Returns (Calc)'!$A:$A)-3),"")</f>
        <v>345.02056603773582</v>
      </c>
      <c r="X105" s="152">
        <f>IFERROR('Price History'!C3+(INDEX('Price History'!C:C,MATCH(9.99E+307,'Returns (Calc)'!$A:$A)+1)-'Price History'!C3)*(ROW()-3)/(MATCH(9.99E+307,'Returns (Calc)'!$A:$A)-3),"")</f>
        <v>155.59584905660375</v>
      </c>
      <c r="Y105" s="152">
        <f>IFERROR('Price History'!D3+(INDEX('Price History'!D:D,MATCH(9.99E+307,'Returns (Calc)'!$A:$A)+1)-'Price History'!D3)*(ROW()-3)/(MATCH(9.99E+307,'Returns (Calc)'!$A:$A)-3),"")</f>
        <v>1350.75</v>
      </c>
      <c r="Z105" s="152">
        <f>IFERROR('Price History'!E3+(INDEX('Price History'!E:E,MATCH(9.99E+307,'Returns (Calc)'!$A:$A)+1)-'Price History'!E3)*(ROW()-3)/(MATCH(9.99E+307,'Returns (Calc)'!$A:$A)-3),"")</f>
        <v>261.32754716981134</v>
      </c>
      <c r="AA105" s="152">
        <f>IFERROR('Price History'!F3+(INDEX('Price History'!F:F,MATCH(9.99E+307,'Returns (Calc)'!$A:$A)+1)-'Price History'!F3)*(ROW()-3)/(MATCH(9.99E+307,'Returns (Calc)'!$A:$A)-3),"")</f>
        <v>191.26792452830188</v>
      </c>
      <c r="AB105" s="152">
        <f>IFERROR('Price History'!G3+(INDEX('Price History'!G:G,MATCH(9.99E+307,'Returns (Calc)'!$A:$A)+1)-'Price History'!G3)*(ROW()-3)/(MATCH(9.99E+307,'Returns (Calc)'!$A:$A)-3),"")</f>
        <v>141.35905660377358</v>
      </c>
      <c r="AC105" s="152">
        <f>IFERROR('Price History'!H3+(INDEX('Price History'!H:H,MATCH(9.99E+307,'Returns (Calc)'!$A:$A)+1)-'Price History'!H3)*(ROW()-3)/(MATCH(9.99E+307,'Returns (Calc)'!$A:$A)-3),"")</f>
        <v>684.88849056603772</v>
      </c>
      <c r="AD105" s="152">
        <f>IFERROR('Price History'!I3+(INDEX('Price History'!I:I,MATCH(9.99E+307,'Returns (Calc)'!$A:$A)+1)-'Price History'!I3)*(ROW()-3)/(MATCH(9.99E+307,'Returns (Calc)'!$A:$A)-3),"")</f>
        <v>162.77641509433963</v>
      </c>
      <c r="AE105" s="152">
        <f>IFERROR('Price History'!J3+(INDEX('Price History'!J:J,MATCH(9.99E+307,'Returns (Calc)'!$A:$A)+1)-'Price History'!J3)*(ROW()-3)/(MATCH(9.99E+307,'Returns (Calc)'!$A:$A)-3),"")</f>
        <v>123.16264150943397</v>
      </c>
      <c r="AF105" s="152">
        <f>IFERROR('Price History'!K3+(INDEX('Price History'!K:K,MATCH(9.99E+307,'Returns (Calc)'!$A:$A)+1)-'Price History'!K3)*(ROW()-3)/(MATCH(9.99E+307,'Returns (Calc)'!$A:$A)-3),"")</f>
        <v>139.6032075471698</v>
      </c>
      <c r="AG105" s="152">
        <f>IFERROR('Price History'!L3+(INDEX('Price History'!L:L,MATCH(9.99E+307,'Returns (Calc)'!$A:$A)+1)-'Price History'!L3)*(ROW()-3)/(MATCH(9.99E+307,'Returns (Calc)'!$A:$A)-3),"")</f>
        <v>321.5432075471698</v>
      </c>
      <c r="AH105" s="152">
        <f>IFERROR('Price History'!M3+(INDEX('Price History'!M:M,MATCH(9.99E+307,'Returns (Calc)'!$A:$A)+1)-'Price History'!M3)*(ROW()-3)/(MATCH(9.99E+307,'Returns (Calc)'!$A:$A)-3),"")</f>
        <v>169.37547169811322</v>
      </c>
      <c r="AI105" s="152">
        <f>IFERROR('Price History'!N3+(INDEX('Price History'!N:N,MATCH(9.99E+307,'Returns (Calc)'!$A:$A)+1)-'Price History'!N3)*(ROW()-3)/(MATCH(9.99E+307,'Returns (Calc)'!$A:$A)-3),"")</f>
        <v>452.29849056603769</v>
      </c>
      <c r="AJ105" s="152">
        <f>IFERROR('Price History'!O3+(INDEX('Price History'!O:O,MATCH(9.99E+307,'Returns (Calc)'!$A:$A)+1)-'Price History'!O3)*(ROW()-3)/(MATCH(9.99E+307,'Returns (Calc)'!$A:$A)-3),"")</f>
        <v>103.74811320754716</v>
      </c>
      <c r="AK105" s="152">
        <f>IFERROR('Price History'!Q3+(INDEX('Price History'!Q:Q,MATCH(9.99E+307,'Returns (Calc)'!$A:$A)+1)-'Price History'!Q3)*(ROW()-3)/(MATCH(9.99E+307,'Returns (Calc)'!$A:$A)-3),"")</f>
        <v>44.886415094339618</v>
      </c>
      <c r="AL105" s="152">
        <f>IFERROR('Price History'!R3+(INDEX('Price History'!R:R,MATCH(9.99E+307,'Returns (Calc)'!$A:$A)+1)-'Price History'!R3)*(ROW()-3)/(MATCH(9.99E+307,'Returns (Calc)'!$A:$A)-3),"")</f>
        <v>51.550566037735848</v>
      </c>
      <c r="AM105" s="152">
        <f>IFERROR('Price History'!S3+(INDEX('Price History'!S:S,MATCH(9.99E+307,'Returns (Calc)'!$A:$A)+1)-'Price History'!S3)*(ROW()-3)/(MATCH(9.99E+307,'Returns (Calc)'!$A:$A)-3),"")</f>
        <v>117.63037735849056</v>
      </c>
      <c r="AN105" s="152">
        <f>IFERROR('Price History'!T3+(INDEX('Price History'!T:T,MATCH(9.99E+307,'Returns (Calc)'!$A:$A)+1)-'Price History'!T3)*(ROW()-3)/(MATCH(9.99E+307,'Returns (Calc)'!$A:$A)-3),"")</f>
        <v>42.945660377358493</v>
      </c>
      <c r="AO105" s="153">
        <f>IFERROR('Price History'!V3+(INDEX('Price History'!V:V,MATCH(9.99E+307,'Returns (Calc)'!$A:$A)+1)-'Price History'!V3)*(ROW()-3)/(MATCH(9.99E+307,'Returns (Calc)'!$A:$A)-3),"")</f>
        <v>331.74094339622638</v>
      </c>
      <c r="AP105" s="151">
        <f>IFERROR(IF(OR(NOT(ISNUMBER('Price History'!W106)),NOT(ISNUMBER('Price History'!W105)),'Price History'!W105=0),"",'Price History'!W106/'Price History'!W105-1),"")</f>
        <v>2.5916327286190644E-3</v>
      </c>
      <c r="AQ105" s="151" t="str">
        <f>IFERROR(IF(OR(NOT(ISNUMBER('Price History'!X106)),NOT(ISNUMBER('Price History'!X105)),'Price History'!X105=0),"",'Price History'!X106/'Price History'!X105-1),"")</f>
        <v/>
      </c>
      <c r="AR105" s="151">
        <f>IFERROR(IF(OR(NOT(ISNUMBER('Price History'!Y106)),NOT(ISNUMBER('Price History'!Y105)),'Price History'!Y105=0),"",'Price History'!Y106/'Price History'!Y105-1),"")</f>
        <v>0</v>
      </c>
      <c r="AS105" s="151">
        <f>IFERROR(IF(OR(NOT(ISNUMBER('Price History'!Z106)),NOT(ISNUMBER('Price History'!Z105)),'Price History'!Z105=0),"",'Price History'!Z106/'Price History'!Z105-1),"")</f>
        <v>1.4645191921405232E-2</v>
      </c>
      <c r="AT105" s="151">
        <f>IFERROR(IF(OR(NOT(ISNUMBER('Price History'!AA106)),NOT(ISNUMBER('Price History'!AA105)),'Price History'!AA105=0),"",'Price History'!AA106/'Price History'!AA105-1),"")</f>
        <v>2.9465320311206744E-2</v>
      </c>
      <c r="AU105" s="151">
        <f>IFERROR(IF(OR(NOT(ISNUMBER('Price History'!AB106)),NOT(ISNUMBER('Price History'!AB105)),'Price History'!AB105=0),"",'Price History'!AB106/'Price History'!AB105-1),"")</f>
        <v>1.3855869242199281E-2</v>
      </c>
    </row>
    <row r="106" spans="1:47" ht="15" customHeight="1" x14ac:dyDescent="0.2">
      <c r="A106" s="149">
        <f>IF('Price History'!A107="","",'Price History'!A107)</f>
        <v>45912</v>
      </c>
      <c r="B106" s="150">
        <f>IFERROR(IF(OR(NOT(ISNUMBER('Price History'!B107)),NOT(ISNUMBER('Price History'!B106)),'Price History'!B106=0),"",'Price History'!B107/'Price History'!B106-1),"")</f>
        <v>1.1175745766112133E-3</v>
      </c>
      <c r="C106" s="150">
        <f>IFERROR(IF(OR(NOT(ISNUMBER('Price History'!C107)),NOT(ISNUMBER('Price History'!C106)),'Price History'!C106=0),"",'Price History'!C107/'Price History'!C106-1),"")</f>
        <v>-2.4221211060553083E-2</v>
      </c>
      <c r="D106" s="150">
        <f>IFERROR(IF(OR(NOT(ISNUMBER('Price History'!D107)),NOT(ISNUMBER('Price History'!D106)),'Price History'!D106=0),"",'Price History'!D107/'Price History'!D106-1),"")</f>
        <v>4.1154806974168734E-2</v>
      </c>
      <c r="E106" s="150">
        <f>IFERROR(IF(OR(NOT(ISNUMBER('Price History'!E107)),NOT(ISNUMBER('Price History'!E106)),'Price History'!E106=0),"",'Price History'!E107/'Price History'!E106-1),"")</f>
        <v>7.4581889407864921E-2</v>
      </c>
      <c r="F106" s="150">
        <f>IFERROR(IF(OR(NOT(ISNUMBER('Price History'!F107)),NOT(ISNUMBER('Price History'!F106)),'Price History'!F106=0),"",'Price History'!F107/'Price History'!F106-1),"")</f>
        <v>4.4248635188200325E-2</v>
      </c>
      <c r="G106" s="150">
        <f>IFERROR(IF(OR(NOT(ISNUMBER('Price History'!G107)),NOT(ISNUMBER('Price History'!G106)),'Price History'!G106=0),"",'Price History'!G107/'Price History'!G106-1),"")</f>
        <v>6.5096645189957725E-2</v>
      </c>
      <c r="H106" s="150">
        <f>IFERROR(IF(OR(NOT(ISNUMBER('Price History'!H107)),NOT(ISNUMBER('Price History'!H106)),'Price History'!H106=0),"",'Price History'!H107/'Price History'!H106-1),"")</f>
        <v>0.19685879841415055</v>
      </c>
      <c r="I106" s="150">
        <f>IFERROR(IF(OR(NOT(ISNUMBER('Price History'!I107)),NOT(ISNUMBER('Price History'!I106)),'Price History'!I106=0),"",'Price History'!I107/'Price History'!I106-1),"")</f>
        <v>6.4762019086489264E-2</v>
      </c>
      <c r="J106" s="150">
        <f>IFERROR(IF(OR(NOT(ISNUMBER('Price History'!J107)),NOT(ISNUMBER('Price History'!J106)),'Price History'!J106=0),"",'Price History'!J107/'Price History'!J106-1),"")</f>
        <v>1.4924006592199168E-2</v>
      </c>
      <c r="K106" s="150">
        <f>IFERROR(IF(OR(NOT(ISNUMBER('Price History'!K107)),NOT(ISNUMBER('Price History'!K106)),'Price History'!K106=0),"",'Price History'!K107/'Price History'!K106-1),"")</f>
        <v>0.1196525373914179</v>
      </c>
      <c r="L106" s="150">
        <f>IFERROR(IF(OR(NOT(ISNUMBER('Price History'!L107)),NOT(ISNUMBER('Price History'!L106)),'Price History'!L106=0),"",'Price History'!L107/'Price History'!L106-1),"")</f>
        <v>6.5431070387338641E-2</v>
      </c>
      <c r="M106" s="150">
        <f>IFERROR(IF(OR(NOT(ISNUMBER('Price History'!M107)),NOT(ISNUMBER('Price History'!M106)),'Price History'!M106=0),"",'Price History'!M107/'Price History'!M106-1),"")</f>
        <v>8.7458612614067732E-2</v>
      </c>
      <c r="N106" s="150">
        <f>IFERROR(IF(OR(NOT(ISNUMBER('Price History'!N107)),NOT(ISNUMBER('Price History'!N106)),'Price History'!N106=0),"",'Price History'!N107/'Price History'!N106-1),"")</f>
        <v>-4.0139351711603322E-3</v>
      </c>
      <c r="O106" s="150">
        <f>IFERROR(IF(OR(NOT(ISNUMBER('Price History'!O107)),NOT(ISNUMBER('Price History'!O106)),'Price History'!O106=0),"",'Price History'!O107/'Price History'!O106-1),"")</f>
        <v>-7.9661187859232374E-3</v>
      </c>
      <c r="P106" s="150">
        <f>IFERROR(IF(OR(NOT(ISNUMBER('Price History'!P107)),NOT(ISNUMBER('Price History'!P106)),'Price History'!P106=0),"",'Price History'!P107/'Price History'!P106-1),"")</f>
        <v>1.3268465280849018E-3</v>
      </c>
      <c r="Q106" s="150">
        <f>IFERROR(IF(OR(NOT(ISNUMBER('Price History'!Q107)),NOT(ISNUMBER('Price History'!Q106)),'Price History'!Q106=0),"",'Price History'!Q107/'Price History'!Q106-1),"")</f>
        <v>8.4612973989344198E-3</v>
      </c>
      <c r="R106" s="150">
        <f>IFERROR(IF(OR(NOT(ISNUMBER('Price History'!R107)),NOT(ISNUMBER('Price History'!R106)),'Price History'!R106=0),"",'Price History'!R107/'Price History'!R106-1),"")</f>
        <v>1.3604060913705585E-2</v>
      </c>
      <c r="S106" s="150">
        <f>IFERROR(IF(OR(NOT(ISNUMBER('Price History'!S107)),NOT(ISNUMBER('Price History'!S106)),'Price History'!S106=0),"",'Price History'!S107/'Price History'!S106-1),"")</f>
        <v>2.9251876779704977E-2</v>
      </c>
      <c r="T106" s="150">
        <f>IFERROR(IF(OR(NOT(ISNUMBER('Price History'!T107)),NOT(ISNUMBER('Price History'!T106)),'Price History'!T106=0),"",'Price History'!T107/'Price History'!T106-1),"")</f>
        <v>8.103727714747766E-4</v>
      </c>
      <c r="U106" s="150">
        <f>IFERROR(IF(OR(NOT(ISNUMBER('Price History'!U107)),NOT(ISNUMBER('Price History'!U106)),'Price History'!U106=0),"",'Price History'!U107/'Price History'!U106-1),"")</f>
        <v>-5.671077504725841E-3</v>
      </c>
      <c r="V106" s="151">
        <f>IFERROR(IF(OR(NOT(ISNUMBER('Price History'!V107)),NOT(ISNUMBER('Price History'!V106)),'Price History'!V106=0),"",'Price History'!V107/'Price History'!V106-1),"")</f>
        <v>-1.104258443465489E-2</v>
      </c>
      <c r="W106" s="152">
        <f>IFERROR('Price History'!B3+(INDEX('Price History'!B:B,MATCH(9.99E+307,'Returns (Calc)'!$A:$A)+1)-'Price History'!B3)*(ROW()-3)/(MATCH(9.99E+307,'Returns (Calc)'!$A:$A)-3),"")</f>
        <v>343.21792452830186</v>
      </c>
      <c r="X106" s="152">
        <f>IFERROR('Price History'!C3+(INDEX('Price History'!C:C,MATCH(9.99E+307,'Returns (Calc)'!$A:$A)+1)-'Price History'!C3)*(ROW()-3)/(MATCH(9.99E+307,'Returns (Calc)'!$A:$A)-3),"")</f>
        <v>156.66855345911949</v>
      </c>
      <c r="Y106" s="152">
        <f>IFERROR('Price History'!D3+(INDEX('Price History'!D:D,MATCH(9.99E+307,'Returns (Calc)'!$A:$A)+1)-'Price History'!D3)*(ROW()-3)/(MATCH(9.99E+307,'Returns (Calc)'!$A:$A)-3),"")</f>
        <v>1358.2866666666666</v>
      </c>
      <c r="Z106" s="152">
        <f>IFERROR('Price History'!E3+(INDEX('Price History'!E:E,MATCH(9.99E+307,'Returns (Calc)'!$A:$A)+1)-'Price History'!E3)*(ROW()-3)/(MATCH(9.99E+307,'Returns (Calc)'!$A:$A)-3),"")</f>
        <v>263.08566037735852</v>
      </c>
      <c r="AA106" s="152">
        <f>IFERROR('Price History'!F3+(INDEX('Price History'!F:F,MATCH(9.99E+307,'Returns (Calc)'!$A:$A)+1)-'Price History'!F3)*(ROW()-3)/(MATCH(9.99E+307,'Returns (Calc)'!$A:$A)-3),"")</f>
        <v>192.73761006289311</v>
      </c>
      <c r="AB106" s="152">
        <f>IFERROR('Price History'!G3+(INDEX('Price History'!G:G,MATCH(9.99E+307,'Returns (Calc)'!$A:$A)+1)-'Price History'!G3)*(ROW()-3)/(MATCH(9.99E+307,'Returns (Calc)'!$A:$A)-3),"")</f>
        <v>142.31012578616352</v>
      </c>
      <c r="AC106" s="152">
        <f>IFERROR('Price History'!H3+(INDEX('Price History'!H:H,MATCH(9.99E+307,'Returns (Calc)'!$A:$A)+1)-'Price History'!H3)*(ROW()-3)/(MATCH(9.99E+307,'Returns (Calc)'!$A:$A)-3),"")</f>
        <v>690.92553459119495</v>
      </c>
      <c r="AD106" s="152">
        <f>IFERROR('Price History'!I3+(INDEX('Price History'!I:I,MATCH(9.99E+307,'Returns (Calc)'!$A:$A)+1)-'Price History'!I3)*(ROW()-3)/(MATCH(9.99E+307,'Returns (Calc)'!$A:$A)-3),"")</f>
        <v>163.94314465408806</v>
      </c>
      <c r="AE106" s="152">
        <f>IFERROR('Price History'!J3+(INDEX('Price History'!J:J,MATCH(9.99E+307,'Returns (Calc)'!$A:$A)+1)-'Price History'!J3)*(ROW()-3)/(MATCH(9.99E+307,'Returns (Calc)'!$A:$A)-3),"")</f>
        <v>123.27364779874215</v>
      </c>
      <c r="AF106" s="152">
        <f>IFERROR('Price History'!K3+(INDEX('Price History'!K:K,MATCH(9.99E+307,'Returns (Calc)'!$A:$A)+1)-'Price History'!K3)*(ROW()-3)/(MATCH(9.99E+307,'Returns (Calc)'!$A:$A)-3),"")</f>
        <v>140.82157232704404</v>
      </c>
      <c r="AG106" s="152">
        <f>IFERROR('Price History'!L3+(INDEX('Price History'!L:L,MATCH(9.99E+307,'Returns (Calc)'!$A:$A)+1)-'Price History'!L3)*(ROW()-3)/(MATCH(9.99E+307,'Returns (Calc)'!$A:$A)-3),"")</f>
        <v>323.85490566037737</v>
      </c>
      <c r="AH106" s="152">
        <f>IFERROR('Price History'!M3+(INDEX('Price History'!M:M,MATCH(9.99E+307,'Returns (Calc)'!$A:$A)+1)-'Price History'!M3)*(ROW()-3)/(MATCH(9.99E+307,'Returns (Calc)'!$A:$A)-3),"")</f>
        <v>170.66327044025158</v>
      </c>
      <c r="AI106" s="152">
        <f>IFERROR('Price History'!N3+(INDEX('Price History'!N:N,MATCH(9.99E+307,'Returns (Calc)'!$A:$A)+1)-'Price History'!N3)*(ROW()-3)/(MATCH(9.99E+307,'Returns (Calc)'!$A:$A)-3),"")</f>
        <v>453.3122012578616</v>
      </c>
      <c r="AJ106" s="152">
        <f>IFERROR('Price History'!O3+(INDEX('Price History'!O:O,MATCH(9.99E+307,'Returns (Calc)'!$A:$A)+1)-'Price History'!O3)*(ROW()-3)/(MATCH(9.99E+307,'Returns (Calc)'!$A:$A)-3),"")</f>
        <v>104.02691823899372</v>
      </c>
      <c r="AK106" s="152">
        <f>IFERROR('Price History'!Q3+(INDEX('Price History'!Q:Q,MATCH(9.99E+307,'Returns (Calc)'!$A:$A)+1)-'Price History'!Q3)*(ROW()-3)/(MATCH(9.99E+307,'Returns (Calc)'!$A:$A)-3),"")</f>
        <v>45.326477987421384</v>
      </c>
      <c r="AL106" s="152">
        <f>IFERROR('Price History'!R3+(INDEX('Price History'!R:R,MATCH(9.99E+307,'Returns (Calc)'!$A:$A)+1)-'Price History'!R3)*(ROW()-3)/(MATCH(9.99E+307,'Returns (Calc)'!$A:$A)-3),"")</f>
        <v>51.717924528301893</v>
      </c>
      <c r="AM106" s="152">
        <f>IFERROR('Price History'!S3+(INDEX('Price History'!S:S,MATCH(9.99E+307,'Returns (Calc)'!$A:$A)+1)-'Price History'!S3)*(ROW()-3)/(MATCH(9.99E+307,'Returns (Calc)'!$A:$A)-3),"")</f>
        <v>118.21861635220125</v>
      </c>
      <c r="AN106" s="152">
        <f>IFERROR('Price History'!T3+(INDEX('Price History'!T:T,MATCH(9.99E+307,'Returns (Calc)'!$A:$A)+1)-'Price History'!T3)*(ROW()-3)/(MATCH(9.99E+307,'Returns (Calc)'!$A:$A)-3),"")</f>
        <v>43.11924528301887</v>
      </c>
      <c r="AO106" s="153">
        <f>IFERROR('Price History'!V3+(INDEX('Price History'!V:V,MATCH(9.99E+307,'Returns (Calc)'!$A:$A)+1)-'Price History'!V3)*(ROW()-3)/(MATCH(9.99E+307,'Returns (Calc)'!$A:$A)-3),"")</f>
        <v>332.68320754716979</v>
      </c>
      <c r="AP106" s="151">
        <f>IFERROR(IF(OR(NOT(ISNUMBER('Price History'!W107)),NOT(ISNUMBER('Price History'!W106)),'Price History'!W106=0),"",'Price History'!W107/'Price History'!W106-1),"")</f>
        <v>1.314623338257026E-2</v>
      </c>
      <c r="AQ106" s="151" t="str">
        <f>IFERROR(IF(OR(NOT(ISNUMBER('Price History'!X107)),NOT(ISNUMBER('Price History'!X106)),'Price History'!X106=0),"",'Price History'!X107/'Price History'!X106-1),"")</f>
        <v/>
      </c>
      <c r="AR106" s="151">
        <f>IFERROR(IF(OR(NOT(ISNUMBER('Price History'!Y107)),NOT(ISNUMBER('Price History'!Y106)),'Price History'!Y106=0),"",'Price History'!Y107/'Price History'!Y106-1),"")</f>
        <v>2.1113243761996525E-3</v>
      </c>
      <c r="AS106" s="151">
        <f>IFERROR(IF(OR(NOT(ISNUMBER('Price History'!Z107)),NOT(ISNUMBER('Price History'!Z106)),'Price History'!Z106=0),"",'Price History'!Z107/'Price History'!Z106-1),"")</f>
        <v>8.8186595637462784E-3</v>
      </c>
      <c r="AT106" s="151">
        <f>IFERROR(IF(OR(NOT(ISNUMBER('Price History'!AA107)),NOT(ISNUMBER('Price History'!AA106)),'Price History'!AA106=0),"",'Price History'!AA107/'Price History'!AA106-1),"")</f>
        <v>-4.4540922977970632E-2</v>
      </c>
      <c r="AU106" s="151">
        <f>IFERROR(IF(OR(NOT(ISNUMBER('Price History'!AB107)),NOT(ISNUMBER('Price History'!AB106)),'Price History'!AB106=0),"",'Price History'!AB107/'Price History'!AB106-1),"")</f>
        <v>1.282380097460889E-2</v>
      </c>
    </row>
    <row r="107" spans="1:47" ht="15" customHeight="1" x14ac:dyDescent="0.2">
      <c r="A107" s="149">
        <f>IF('Price History'!A108="","",'Price History'!A108)</f>
        <v>45919</v>
      </c>
      <c r="B107" s="150">
        <f>IFERROR(IF(OR(NOT(ISNUMBER('Price History'!B108)),NOT(ISNUMBER('Price History'!B107)),'Price History'!B107=0),"",'Price History'!B108/'Price History'!B107-1),"")</f>
        <v>4.734371422028838E-2</v>
      </c>
      <c r="C107" s="150">
        <f>IFERROR(IF(OR(NOT(ISNUMBER('Price History'!C108)),NOT(ISNUMBER('Price History'!C107)),'Price History'!C107=0),"",'Price History'!C108/'Price History'!C107-1),"")</f>
        <v>7.3319463376139149E-2</v>
      </c>
      <c r="D107" s="150">
        <f>IFERROR(IF(OR(NOT(ISNUMBER('Price History'!D108)),NOT(ISNUMBER('Price History'!D107)),'Price History'!D107=0),"",'Price History'!D108/'Price History'!D107-1),"")</f>
        <v>0.14533603779652204</v>
      </c>
      <c r="E107" s="150">
        <f>IFERROR(IF(OR(NOT(ISNUMBER('Price History'!E108)),NOT(ISNUMBER('Price History'!E107)),'Price History'!E107=0),"",'Price History'!E108/'Price History'!E107-1),"")</f>
        <v>-4.1475042063937262E-2</v>
      </c>
      <c r="F107" s="150">
        <f>IFERROR(IF(OR(NOT(ISNUMBER('Price History'!F108)),NOT(ISNUMBER('Price History'!F107)),'Price History'!F107=0),"",'Price History'!F108/'Price History'!F107-1),"")</f>
        <v>0.15234339172704758</v>
      </c>
      <c r="G107" s="150">
        <f>IFERROR(IF(OR(NOT(ISNUMBER('Price History'!G108)),NOT(ISNUMBER('Price History'!G107)),'Price History'!G107=0),"",'Price History'!G108/'Price History'!G107-1),"")</f>
        <v>8.3854818523154018E-2</v>
      </c>
      <c r="H107" s="150">
        <f>IFERROR(IF(OR(NOT(ISNUMBER('Price History'!H108)),NOT(ISNUMBER('Price History'!H107)),'Price History'!H107=0),"",'Price History'!H108/'Price History'!H107-1),"")</f>
        <v>3.4972607975538361E-2</v>
      </c>
      <c r="I107" s="150">
        <f>IFERROR(IF(OR(NOT(ISNUMBER('Price History'!I108)),NOT(ISNUMBER('Price History'!I107)),'Price History'!I107=0),"",'Price History'!I108/'Price History'!I107-1),"")</f>
        <v>-6.4825253664035909E-3</v>
      </c>
      <c r="J107" s="150">
        <f>IFERROR(IF(OR(NOT(ISNUMBER('Price History'!J108)),NOT(ISNUMBER('Price History'!J107)),'Price History'!J107=0),"",'Price History'!J108/'Price History'!J107-1),"")</f>
        <v>-7.2169598556607317E-3</v>
      </c>
      <c r="K107" s="150">
        <f>IFERROR(IF(OR(NOT(ISNUMBER('Price History'!K108)),NOT(ISNUMBER('Price History'!K107)),'Price History'!K107=0),"",'Price History'!K108/'Price History'!K107-1),"")</f>
        <v>6.3932800559995284E-2</v>
      </c>
      <c r="L107" s="150">
        <f>IFERROR(IF(OR(NOT(ISNUMBER('Price History'!L108)),NOT(ISNUMBER('Price History'!L107)),'Price History'!L107=0),"",'Price History'!L108/'Price History'!L107-1),"")</f>
        <v>2.4588561823228217E-2</v>
      </c>
      <c r="M107" s="150">
        <f>IFERROR(IF(OR(NOT(ISNUMBER('Price History'!M108)),NOT(ISNUMBER('Price History'!M107)),'Price History'!M107=0),"",'Price History'!M108/'Price History'!M107-1),"")</f>
        <v>6.5275508688548811E-2</v>
      </c>
      <c r="N107" s="150">
        <f>IFERROR(IF(OR(NOT(ISNUMBER('Price History'!N108)),NOT(ISNUMBER('Price History'!N107)),'Price History'!N107=0),"",'Price History'!N108/'Price History'!N107-1),"")</f>
        <v>-2.8920487668871786E-2</v>
      </c>
      <c r="O107" s="150">
        <f>IFERROR(IF(OR(NOT(ISNUMBER('Price History'!O108)),NOT(ISNUMBER('Price History'!O107)),'Price History'!O107=0),"",'Price History'!O108/'Price History'!O107-1),"")</f>
        <v>5.6922138646067211E-3</v>
      </c>
      <c r="P107" s="150">
        <f>IFERROR(IF(OR(NOT(ISNUMBER('Price History'!P108)),NOT(ISNUMBER('Price History'!P107)),'Price History'!P107=0),"",'Price History'!P108/'Price History'!P107-1),"")</f>
        <v>-2.7974087161366512E-3</v>
      </c>
      <c r="Q107" s="150">
        <f>IFERROR(IF(OR(NOT(ISNUMBER('Price History'!Q108)),NOT(ISNUMBER('Price History'!Q107)),'Price History'!Q107=0),"",'Price History'!Q108/'Price History'!Q107-1),"")</f>
        <v>2.0198881292727844E-3</v>
      </c>
      <c r="R107" s="150">
        <f>IFERROR(IF(OR(NOT(ISNUMBER('Price History'!R108)),NOT(ISNUMBER('Price History'!R107)),'Price History'!R107=0),"",'Price History'!R108/'Price History'!R107-1),"")</f>
        <v>1.1017628205128194E-2</v>
      </c>
      <c r="S107" s="150">
        <f>IFERROR(IF(OR(NOT(ISNUMBER('Price History'!S108)),NOT(ISNUMBER('Price History'!S107)),'Price History'!S107=0),"",'Price History'!S108/'Price History'!S107-1),"")</f>
        <v>1.2072434607645954E-2</v>
      </c>
      <c r="T107" s="150">
        <f>IFERROR(IF(OR(NOT(ISNUMBER('Price History'!T108)),NOT(ISNUMBER('Price History'!T107)),'Price History'!T107=0),"",'Price History'!T108/'Price History'!T107-1),"")</f>
        <v>-1.3495276653170407E-3</v>
      </c>
      <c r="U107" s="150">
        <f>IFERROR(IF(OR(NOT(ISNUMBER('Price History'!U108)),NOT(ISNUMBER('Price History'!U107)),'Price History'!U107=0),"",'Price History'!U108/'Price History'!U107-1),"")</f>
        <v>-5.7034220532320434E-3</v>
      </c>
      <c r="V107" s="151">
        <f>IFERROR(IF(OR(NOT(ISNUMBER('Price History'!V108)),NOT(ISNUMBER('Price History'!V107)),'Price History'!V107=0),"",'Price History'!V108/'Price History'!V107-1),"")</f>
        <v>6.4144443784521776E-3</v>
      </c>
      <c r="W107" s="152">
        <f>IFERROR('Price History'!B3+(INDEX('Price History'!B:B,MATCH(9.99E+307,'Returns (Calc)'!$A:$A)+1)-'Price History'!B3)*(ROW()-3)/(MATCH(9.99E+307,'Returns (Calc)'!$A:$A)-3),"")</f>
        <v>341.41528301886791</v>
      </c>
      <c r="X107" s="152">
        <f>IFERROR('Price History'!C3+(INDEX('Price History'!C:C,MATCH(9.99E+307,'Returns (Calc)'!$A:$A)+1)-'Price History'!C3)*(ROW()-3)/(MATCH(9.99E+307,'Returns (Calc)'!$A:$A)-3),"")</f>
        <v>157.74125786163523</v>
      </c>
      <c r="Y107" s="152">
        <f>IFERROR('Price History'!D3+(INDEX('Price History'!D:D,MATCH(9.99E+307,'Returns (Calc)'!$A:$A)+1)-'Price History'!D3)*(ROW()-3)/(MATCH(9.99E+307,'Returns (Calc)'!$A:$A)-3),"")</f>
        <v>1365.8233333333333</v>
      </c>
      <c r="Z107" s="152">
        <f>IFERROR('Price History'!E3+(INDEX('Price History'!E:E,MATCH(9.99E+307,'Returns (Calc)'!$A:$A)+1)-'Price History'!E3)*(ROW()-3)/(MATCH(9.99E+307,'Returns (Calc)'!$A:$A)-3),"")</f>
        <v>264.84377358490565</v>
      </c>
      <c r="AA107" s="152">
        <f>IFERROR('Price History'!F3+(INDEX('Price History'!F:F,MATCH(9.99E+307,'Returns (Calc)'!$A:$A)+1)-'Price History'!F3)*(ROW()-3)/(MATCH(9.99E+307,'Returns (Calc)'!$A:$A)-3),"")</f>
        <v>194.20729559748429</v>
      </c>
      <c r="AB107" s="152">
        <f>IFERROR('Price History'!G3+(INDEX('Price History'!G:G,MATCH(9.99E+307,'Returns (Calc)'!$A:$A)+1)-'Price History'!G3)*(ROW()-3)/(MATCH(9.99E+307,'Returns (Calc)'!$A:$A)-3),"")</f>
        <v>143.26119496855347</v>
      </c>
      <c r="AC107" s="152">
        <f>IFERROR('Price History'!H3+(INDEX('Price History'!H:H,MATCH(9.99E+307,'Returns (Calc)'!$A:$A)+1)-'Price History'!H3)*(ROW()-3)/(MATCH(9.99E+307,'Returns (Calc)'!$A:$A)-3),"")</f>
        <v>696.96257861635218</v>
      </c>
      <c r="AD107" s="152">
        <f>IFERROR('Price History'!I3+(INDEX('Price History'!I:I,MATCH(9.99E+307,'Returns (Calc)'!$A:$A)+1)-'Price History'!I3)*(ROW()-3)/(MATCH(9.99E+307,'Returns (Calc)'!$A:$A)-3),"")</f>
        <v>165.10987421383649</v>
      </c>
      <c r="AE107" s="152">
        <f>IFERROR('Price History'!J3+(INDEX('Price History'!J:J,MATCH(9.99E+307,'Returns (Calc)'!$A:$A)+1)-'Price History'!J3)*(ROW()-3)/(MATCH(9.99E+307,'Returns (Calc)'!$A:$A)-3),"")</f>
        <v>123.38465408805033</v>
      </c>
      <c r="AF107" s="152">
        <f>IFERROR('Price History'!K3+(INDEX('Price History'!K:K,MATCH(9.99E+307,'Returns (Calc)'!$A:$A)+1)-'Price History'!K3)*(ROW()-3)/(MATCH(9.99E+307,'Returns (Calc)'!$A:$A)-3),"")</f>
        <v>142.03993710691825</v>
      </c>
      <c r="AG107" s="152">
        <f>IFERROR('Price History'!L3+(INDEX('Price History'!L:L,MATCH(9.99E+307,'Returns (Calc)'!$A:$A)+1)-'Price History'!L3)*(ROW()-3)/(MATCH(9.99E+307,'Returns (Calc)'!$A:$A)-3),"")</f>
        <v>326.16660377358488</v>
      </c>
      <c r="AH107" s="152">
        <f>IFERROR('Price History'!M3+(INDEX('Price History'!M:M,MATCH(9.99E+307,'Returns (Calc)'!$A:$A)+1)-'Price History'!M3)*(ROW()-3)/(MATCH(9.99E+307,'Returns (Calc)'!$A:$A)-3),"")</f>
        <v>171.95106918238994</v>
      </c>
      <c r="AI107" s="152">
        <f>IFERROR('Price History'!N3+(INDEX('Price History'!N:N,MATCH(9.99E+307,'Returns (Calc)'!$A:$A)+1)-'Price History'!N3)*(ROW()-3)/(MATCH(9.99E+307,'Returns (Calc)'!$A:$A)-3),"")</f>
        <v>454.32591194968552</v>
      </c>
      <c r="AJ107" s="152">
        <f>IFERROR('Price History'!O3+(INDEX('Price History'!O:O,MATCH(9.99E+307,'Returns (Calc)'!$A:$A)+1)-'Price History'!O3)*(ROW()-3)/(MATCH(9.99E+307,'Returns (Calc)'!$A:$A)-3),"")</f>
        <v>104.30572327044025</v>
      </c>
      <c r="AK107" s="152">
        <f>IFERROR('Price History'!Q3+(INDEX('Price History'!Q:Q,MATCH(9.99E+307,'Returns (Calc)'!$A:$A)+1)-'Price History'!Q3)*(ROW()-3)/(MATCH(9.99E+307,'Returns (Calc)'!$A:$A)-3),"")</f>
        <v>45.766540880503143</v>
      </c>
      <c r="AL107" s="152">
        <f>IFERROR('Price History'!R3+(INDEX('Price History'!R:R,MATCH(9.99E+307,'Returns (Calc)'!$A:$A)+1)-'Price History'!R3)*(ROW()-3)/(MATCH(9.99E+307,'Returns (Calc)'!$A:$A)-3),"")</f>
        <v>51.885283018867923</v>
      </c>
      <c r="AM107" s="152">
        <f>IFERROR('Price History'!S3+(INDEX('Price History'!S:S,MATCH(9.99E+307,'Returns (Calc)'!$A:$A)+1)-'Price History'!S3)*(ROW()-3)/(MATCH(9.99E+307,'Returns (Calc)'!$A:$A)-3),"")</f>
        <v>118.80685534591196</v>
      </c>
      <c r="AN107" s="152">
        <f>IFERROR('Price History'!T3+(INDEX('Price History'!T:T,MATCH(9.99E+307,'Returns (Calc)'!$A:$A)+1)-'Price History'!T3)*(ROW()-3)/(MATCH(9.99E+307,'Returns (Calc)'!$A:$A)-3),"")</f>
        <v>43.292830188679247</v>
      </c>
      <c r="AO107" s="153">
        <f>IFERROR('Price History'!V3+(INDEX('Price History'!V:V,MATCH(9.99E+307,'Returns (Calc)'!$A:$A)+1)-'Price History'!V3)*(ROW()-3)/(MATCH(9.99E+307,'Returns (Calc)'!$A:$A)-3),"")</f>
        <v>333.62547169811319</v>
      </c>
      <c r="AP107" s="151">
        <f>IFERROR(IF(OR(NOT(ISNUMBER('Price History'!W108)),NOT(ISNUMBER('Price History'!W107)),'Price History'!W107=0),"",'Price History'!W108/'Price History'!W107-1),"")</f>
        <v>-5.8317538999863583E-4</v>
      </c>
      <c r="AQ107" s="151" t="str">
        <f>IFERROR(IF(OR(NOT(ISNUMBER('Price History'!X108)),NOT(ISNUMBER('Price History'!X107)),'Price History'!X107=0),"",'Price History'!X108/'Price History'!X107-1),"")</f>
        <v/>
      </c>
      <c r="AR107" s="151">
        <f>IFERROR(IF(OR(NOT(ISNUMBER('Price History'!Y108)),NOT(ISNUMBER('Price History'!Y107)),'Price History'!Y107=0),"",'Price History'!Y108/'Price History'!Y107-1),"")</f>
        <v>-7.6613675541081783E-4</v>
      </c>
      <c r="AS107" s="151">
        <f>IFERROR(IF(OR(NOT(ISNUMBER('Price History'!Z108)),NOT(ISNUMBER('Price History'!Z107)),'Price History'!Z107=0),"",'Price History'!Z108/'Price History'!Z107-1),"")</f>
        <v>6.9040568023691629E-2</v>
      </c>
      <c r="AT107" s="151">
        <f>IFERROR(IF(OR(NOT(ISNUMBER('Price History'!AA108)),NOT(ISNUMBER('Price History'!AA107)),'Price History'!AA107=0),"",'Price History'!AA108/'Price History'!AA107-1),"")</f>
        <v>3.2480646247054823E-2</v>
      </c>
      <c r="AU107" s="151">
        <f>IFERROR(IF(OR(NOT(ISNUMBER('Price History'!AB108)),NOT(ISNUMBER('Price History'!AB107)),'Price History'!AB107=0),"",'Price History'!AB108/'Price History'!AB107-1),"")</f>
        <v>4.9198712151359292E-3</v>
      </c>
    </row>
    <row r="108" spans="1:47" ht="15" customHeight="1" x14ac:dyDescent="0.2">
      <c r="A108" s="149">
        <f>IF('Price History'!A109="","",'Price History'!A109)</f>
        <v>45926</v>
      </c>
      <c r="B108" s="150">
        <f>IFERROR(IF(OR(NOT(ISNUMBER('Price History'!B109)),NOT(ISNUMBER('Price History'!B108)),'Price History'!B108=0),"",'Price History'!B109/'Price History'!B108-1),"")</f>
        <v>-1.5113418966930747E-2</v>
      </c>
      <c r="C108" s="150">
        <f>IFERROR(IF(OR(NOT(ISNUMBER('Price History'!C109)),NOT(ISNUMBER('Price History'!C108)),'Price History'!C108=0),"",'Price History'!C109/'Price History'!C108-1),"")</f>
        <v>-4.752356125927415E-2</v>
      </c>
      <c r="D108" s="150">
        <f>IFERROR(IF(OR(NOT(ISNUMBER('Price History'!D109)),NOT(ISNUMBER('Price History'!D108)),'Price History'!D108=0),"",'Price History'!D109/'Price History'!D108-1),"")</f>
        <v>2.0776415960261252E-2</v>
      </c>
      <c r="E108" s="150">
        <f>IFERROR(IF(OR(NOT(ISNUMBER('Price History'!E109)),NOT(ISNUMBER('Price History'!E108)),'Price History'!E108=0),"",'Price History'!E109/'Price History'!E108-1),"")</f>
        <v>-2.8524618940346969E-2</v>
      </c>
      <c r="F108" s="150">
        <f>IFERROR(IF(OR(NOT(ISNUMBER('Price History'!F109)),NOT(ISNUMBER('Price History'!F108)),'Price History'!F108=0),"",'Price History'!F109/'Price History'!F108-1),"")</f>
        <v>-4.2024832855778405E-2</v>
      </c>
      <c r="G108" s="150">
        <f>IFERROR(IF(OR(NOT(ISNUMBER('Price History'!G109)),NOT(ISNUMBER('Price History'!G108)),'Price History'!G108=0),"",'Price History'!G109/'Price History'!G108-1),"")</f>
        <v>1.8668206312548064E-2</v>
      </c>
      <c r="H108" s="150">
        <f>IFERROR(IF(OR(NOT(ISNUMBER('Price History'!H109)),NOT(ISNUMBER('Price History'!H108)),'Price History'!H108=0),"",'Price History'!H109/'Price History'!H108-1),"")</f>
        <v>-3.3544654397734908E-2</v>
      </c>
      <c r="I108" s="150">
        <f>IFERROR(IF(OR(NOT(ISNUMBER('Price History'!I109)),NOT(ISNUMBER('Price History'!I108)),'Price History'!I108=0),"",'Price History'!I109/'Price History'!I108-1),"")</f>
        <v>8.5673758865247862E-3</v>
      </c>
      <c r="J108" s="150">
        <f>IFERROR(IF(OR(NOT(ISNUMBER('Price History'!J109)),NOT(ISNUMBER('Price History'!J108)),'Price History'!J108=0),"",'Price History'!J109/'Price History'!J108-1),"")</f>
        <v>5.9972739663789465E-3</v>
      </c>
      <c r="K108" s="150">
        <f>IFERROR(IF(OR(NOT(ISNUMBER('Price History'!K109)),NOT(ISNUMBER('Price History'!K108)),'Price History'!K108=0),"",'Price History'!K109/'Price History'!K108-1),"")</f>
        <v>-2.6426887439004343E-2</v>
      </c>
      <c r="L108" s="150">
        <f>IFERROR(IF(OR(NOT(ISNUMBER('Price History'!L109)),NOT(ISNUMBER('Price History'!L108)),'Price History'!L108=0),"",'Price History'!L109/'Price History'!L108-1),"")</f>
        <v>3.2048836322014385E-2</v>
      </c>
      <c r="M108" s="150">
        <f>IFERROR(IF(OR(NOT(ISNUMBER('Price History'!M109)),NOT(ISNUMBER('Price History'!M108)),'Price History'!M108=0),"",'Price History'!M109/'Price History'!M108-1),"")</f>
        <v>-3.4715928895085346E-2</v>
      </c>
      <c r="N108" s="150">
        <f>IFERROR(IF(OR(NOT(ISNUMBER('Price History'!N109)),NOT(ISNUMBER('Price History'!N108)),'Price History'!N108=0),"",'Price History'!N109/'Price History'!N108-1),"")</f>
        <v>6.8385884318229451E-3</v>
      </c>
      <c r="O108" s="150">
        <f>IFERROR(IF(OR(NOT(ISNUMBER('Price History'!O109)),NOT(ISNUMBER('Price History'!O108)),'Price History'!O108=0),"",'Price History'!O109/'Price History'!O108-1),"")</f>
        <v>3.0321406913280669E-3</v>
      </c>
      <c r="P108" s="150">
        <f>IFERROR(IF(OR(NOT(ISNUMBER('Price History'!P109)),NOT(ISNUMBER('Price History'!P108)),'Price History'!P108=0),"",'Price History'!P109/'Price History'!P108-1),"")</f>
        <v>7.6775431861804133E-3</v>
      </c>
      <c r="Q108" s="150">
        <f>IFERROR(IF(OR(NOT(ISNUMBER('Price History'!Q109)),NOT(ISNUMBER('Price History'!Q108)),'Price History'!Q108=0),"",'Price History'!Q109/'Price History'!Q108-1),"")</f>
        <v>3.1012560086840502E-4</v>
      </c>
      <c r="R108" s="150">
        <f>IFERROR(IF(OR(NOT(ISNUMBER('Price History'!R109)),NOT(ISNUMBER('Price History'!R108)),'Price History'!R108=0),"",'Price History'!R109/'Price History'!R108-1),"")</f>
        <v>1.5851000594411246E-3</v>
      </c>
      <c r="S108" s="150">
        <f>IFERROR(IF(OR(NOT(ISNUMBER('Price History'!S109)),NOT(ISNUMBER('Price History'!S108)),'Price History'!S108=0),"",'Price History'!S109/'Price History'!S108-1),"")</f>
        <v>-9.52617627567931E-3</v>
      </c>
      <c r="T108" s="150">
        <f>IFERROR(IF(OR(NOT(ISNUMBER('Price History'!T109)),NOT(ISNUMBER('Price History'!T108)),'Price History'!T108=0),"",'Price History'!T109/'Price History'!T108-1),"")</f>
        <v>7.8378378378378688E-3</v>
      </c>
      <c r="U108" s="150">
        <f>IFERROR(IF(OR(NOT(ISNUMBER('Price History'!U109)),NOT(ISNUMBER('Price History'!U108)),'Price History'!U108=0),"",'Price History'!U109/'Price History'!U108-1),"")</f>
        <v>5.3537284894837889E-3</v>
      </c>
      <c r="V108" s="151">
        <f>IFERROR(IF(OR(NOT(ISNUMBER('Price History'!V109)),NOT(ISNUMBER('Price History'!V108)),'Price History'!V108=0),"",'Price History'!V109/'Price History'!V108-1),"")</f>
        <v>-1.2422543523163077E-2</v>
      </c>
      <c r="W108" s="152">
        <f>IFERROR('Price History'!B3+(INDEX('Price History'!B:B,MATCH(9.99E+307,'Returns (Calc)'!$A:$A)+1)-'Price History'!B3)*(ROW()-3)/(MATCH(9.99E+307,'Returns (Calc)'!$A:$A)-3),"")</f>
        <v>339.61264150943396</v>
      </c>
      <c r="X108" s="152">
        <f>IFERROR('Price History'!C3+(INDEX('Price History'!C:C,MATCH(9.99E+307,'Returns (Calc)'!$A:$A)+1)-'Price History'!C3)*(ROW()-3)/(MATCH(9.99E+307,'Returns (Calc)'!$A:$A)-3),"")</f>
        <v>158.81396226415094</v>
      </c>
      <c r="Y108" s="152">
        <f>IFERROR('Price History'!D3+(INDEX('Price History'!D:D,MATCH(9.99E+307,'Returns (Calc)'!$A:$A)+1)-'Price History'!D3)*(ROW()-3)/(MATCH(9.99E+307,'Returns (Calc)'!$A:$A)-3),"")</f>
        <v>1373.36</v>
      </c>
      <c r="Z108" s="152">
        <f>IFERROR('Price History'!E3+(INDEX('Price History'!E:E,MATCH(9.99E+307,'Returns (Calc)'!$A:$A)+1)-'Price History'!E3)*(ROW()-3)/(MATCH(9.99E+307,'Returns (Calc)'!$A:$A)-3),"")</f>
        <v>266.60188679245283</v>
      </c>
      <c r="AA108" s="152">
        <f>IFERROR('Price History'!F3+(INDEX('Price History'!F:F,MATCH(9.99E+307,'Returns (Calc)'!$A:$A)+1)-'Price History'!F3)*(ROW()-3)/(MATCH(9.99E+307,'Returns (Calc)'!$A:$A)-3),"")</f>
        <v>195.67698113207547</v>
      </c>
      <c r="AB108" s="152">
        <f>IFERROR('Price History'!G3+(INDEX('Price History'!G:G,MATCH(9.99E+307,'Returns (Calc)'!$A:$A)+1)-'Price History'!G3)*(ROW()-3)/(MATCH(9.99E+307,'Returns (Calc)'!$A:$A)-3),"")</f>
        <v>144.21226415094341</v>
      </c>
      <c r="AC108" s="152">
        <f>IFERROR('Price History'!H3+(INDEX('Price History'!H:H,MATCH(9.99E+307,'Returns (Calc)'!$A:$A)+1)-'Price History'!H3)*(ROW()-3)/(MATCH(9.99E+307,'Returns (Calc)'!$A:$A)-3),"")</f>
        <v>702.9996226415094</v>
      </c>
      <c r="AD108" s="152">
        <f>IFERROR('Price History'!I3+(INDEX('Price History'!I:I,MATCH(9.99E+307,'Returns (Calc)'!$A:$A)+1)-'Price History'!I3)*(ROW()-3)/(MATCH(9.99E+307,'Returns (Calc)'!$A:$A)-3),"")</f>
        <v>166.2766037735849</v>
      </c>
      <c r="AE108" s="152">
        <f>IFERROR('Price History'!J3+(INDEX('Price History'!J:J,MATCH(9.99E+307,'Returns (Calc)'!$A:$A)+1)-'Price History'!J3)*(ROW()-3)/(MATCH(9.99E+307,'Returns (Calc)'!$A:$A)-3),"")</f>
        <v>123.4956603773585</v>
      </c>
      <c r="AF108" s="152">
        <f>IFERROR('Price History'!K3+(INDEX('Price History'!K:K,MATCH(9.99E+307,'Returns (Calc)'!$A:$A)+1)-'Price History'!K3)*(ROW()-3)/(MATCH(9.99E+307,'Returns (Calc)'!$A:$A)-3),"")</f>
        <v>143.25830188679245</v>
      </c>
      <c r="AG108" s="152">
        <f>IFERROR('Price History'!L3+(INDEX('Price History'!L:L,MATCH(9.99E+307,'Returns (Calc)'!$A:$A)+1)-'Price History'!L3)*(ROW()-3)/(MATCH(9.99E+307,'Returns (Calc)'!$A:$A)-3),"")</f>
        <v>328.47830188679245</v>
      </c>
      <c r="AH108" s="152">
        <f>IFERROR('Price History'!M3+(INDEX('Price History'!M:M,MATCH(9.99E+307,'Returns (Calc)'!$A:$A)+1)-'Price History'!M3)*(ROW()-3)/(MATCH(9.99E+307,'Returns (Calc)'!$A:$A)-3),"")</f>
        <v>173.23886792452831</v>
      </c>
      <c r="AI108" s="152">
        <f>IFERROR('Price History'!N3+(INDEX('Price History'!N:N,MATCH(9.99E+307,'Returns (Calc)'!$A:$A)+1)-'Price History'!N3)*(ROW()-3)/(MATCH(9.99E+307,'Returns (Calc)'!$A:$A)-3),"")</f>
        <v>455.33962264150944</v>
      </c>
      <c r="AJ108" s="152">
        <f>IFERROR('Price History'!O3+(INDEX('Price History'!O:O,MATCH(9.99E+307,'Returns (Calc)'!$A:$A)+1)-'Price History'!O3)*(ROW()-3)/(MATCH(9.99E+307,'Returns (Calc)'!$A:$A)-3),"")</f>
        <v>104.58452830188679</v>
      </c>
      <c r="AK108" s="152">
        <f>IFERROR('Price History'!Q3+(INDEX('Price History'!Q:Q,MATCH(9.99E+307,'Returns (Calc)'!$A:$A)+1)-'Price History'!Q3)*(ROW()-3)/(MATCH(9.99E+307,'Returns (Calc)'!$A:$A)-3),"")</f>
        <v>46.206603773584902</v>
      </c>
      <c r="AL108" s="152">
        <f>IFERROR('Price History'!R3+(INDEX('Price History'!R:R,MATCH(9.99E+307,'Returns (Calc)'!$A:$A)+1)-'Price History'!R3)*(ROW()-3)/(MATCH(9.99E+307,'Returns (Calc)'!$A:$A)-3),"")</f>
        <v>52.052641509433968</v>
      </c>
      <c r="AM108" s="152">
        <f>IFERROR('Price History'!S3+(INDEX('Price History'!S:S,MATCH(9.99E+307,'Returns (Calc)'!$A:$A)+1)-'Price History'!S3)*(ROW()-3)/(MATCH(9.99E+307,'Returns (Calc)'!$A:$A)-3),"")</f>
        <v>119.39509433962264</v>
      </c>
      <c r="AN108" s="152">
        <f>IFERROR('Price History'!T3+(INDEX('Price History'!T:T,MATCH(9.99E+307,'Returns (Calc)'!$A:$A)+1)-'Price History'!T3)*(ROW()-3)/(MATCH(9.99E+307,'Returns (Calc)'!$A:$A)-3),"")</f>
        <v>43.466415094339624</v>
      </c>
      <c r="AO108" s="153">
        <f>IFERROR('Price History'!V3+(INDEX('Price History'!V:V,MATCH(9.99E+307,'Returns (Calc)'!$A:$A)+1)-'Price History'!V3)*(ROW()-3)/(MATCH(9.99E+307,'Returns (Calc)'!$A:$A)-3),"")</f>
        <v>334.56773584905659</v>
      </c>
      <c r="AP108" s="151">
        <f>IFERROR(IF(OR(NOT(ISNUMBER('Price History'!W109)),NOT(ISNUMBER('Price History'!W108)),'Price History'!W108=0),"",'Price History'!W109/'Price History'!W108-1),"")</f>
        <v>2.3340627279357928E-3</v>
      </c>
      <c r="AQ108" s="151" t="str">
        <f>IFERROR(IF(OR(NOT(ISNUMBER('Price History'!X109)),NOT(ISNUMBER('Price History'!X108)),'Price History'!X108=0),"",'Price History'!X109/'Price History'!X108-1),"")</f>
        <v/>
      </c>
      <c r="AR108" s="151">
        <f>IFERROR(IF(OR(NOT(ISNUMBER('Price History'!Y109)),NOT(ISNUMBER('Price History'!Y108)),'Price History'!Y108=0),"",'Price History'!Y109/'Price History'!Y108-1),"")</f>
        <v>1.3417672992142027E-3</v>
      </c>
      <c r="AS108" s="151">
        <f>IFERROR(IF(OR(NOT(ISNUMBER('Price History'!Z109)),NOT(ISNUMBER('Price History'!Z108)),'Price History'!Z108=0),"",'Price History'!Z109/'Price History'!Z108-1),"")</f>
        <v>-2.0459248381282991E-2</v>
      </c>
      <c r="AT108" s="151">
        <f>IFERROR(IF(OR(NOT(ISNUMBER('Price History'!AA109)),NOT(ISNUMBER('Price History'!AA108)),'Price History'!AA108=0),"",'Price History'!AA109/'Price History'!AA108-1),"")</f>
        <v>-1.3365933170334188E-2</v>
      </c>
      <c r="AU108" s="151">
        <f>IFERROR(IF(OR(NOT(ISNUMBER('Price History'!AB109)),NOT(ISNUMBER('Price History'!AB108)),'Price History'!AB108=0),"",'Price History'!AB109/'Price History'!AB108-1),"")</f>
        <v>4.4926023254976633E-2</v>
      </c>
    </row>
    <row r="109" spans="1:47" ht="15" customHeight="1" x14ac:dyDescent="0.2">
      <c r="A109" s="149">
        <f>IF('Price History'!A110="","",'Price History'!A110)</f>
        <v>45933</v>
      </c>
      <c r="B109" s="150">
        <f>IFERROR(IF(OR(NOT(ISNUMBER('Price History'!B110)),NOT(ISNUMBER('Price History'!B109)),'Price History'!B109=0),"",'Price History'!B110/'Price History'!B109-1),"")</f>
        <v>-3.782223825512665E-2</v>
      </c>
      <c r="C109" s="150">
        <f>IFERROR(IF(OR(NOT(ISNUMBER('Price History'!C110)),NOT(ISNUMBER('Price History'!C109)),'Price History'!C109=0),"",'Price History'!C110/'Price History'!C109-1),"")</f>
        <v>2.1052631578947434E-2</v>
      </c>
      <c r="D109" s="150">
        <f>IFERROR(IF(OR(NOT(ISNUMBER('Price History'!D110)),NOT(ISNUMBER('Price History'!D109)),'Price History'!D109=0),"",'Price History'!D110/'Price History'!D109-1),"")</f>
        <v>8.482053126553768E-2</v>
      </c>
      <c r="E109" s="150">
        <f>IFERROR(IF(OR(NOT(ISNUMBER('Price History'!E110)),NOT(ISNUMBER('Price History'!E109)),'Price History'!E109=0),"",'Price History'!E110/'Price History'!E109-1),"")</f>
        <v>1.1473830030717336E-2</v>
      </c>
      <c r="F109" s="150">
        <f>IFERROR(IF(OR(NOT(ISNUMBER('Price History'!F110)),NOT(ISNUMBER('Price History'!F109)),'Price History'!F109=0),"",'Price History'!F110/'Price History'!F109-1),"")</f>
        <v>1.7530741110003412E-2</v>
      </c>
      <c r="G109" s="150">
        <f>IFERROR(IF(OR(NOT(ISNUMBER('Price History'!G110)),NOT(ISNUMBER('Price History'!G109)),'Price History'!G109=0),"",'Price History'!G110/'Price History'!G109-1),"")</f>
        <v>3.4951823162667761E-2</v>
      </c>
      <c r="H109" s="150">
        <f>IFERROR(IF(OR(NOT(ISNUMBER('Price History'!H110)),NOT(ISNUMBER('Price History'!H109)),'Price History'!H109=0),"",'Price History'!H110/'Price History'!H109-1),"")</f>
        <v>0.19507069163163915</v>
      </c>
      <c r="I109" s="150">
        <f>IFERROR(IF(OR(NOT(ISNUMBER('Price History'!I110)),NOT(ISNUMBER('Price History'!I109)),'Price History'!I109=0),"",'Price History'!I110/'Price History'!I109-1),"")</f>
        <v>5.2936543654365398E-2</v>
      </c>
      <c r="J109" s="150">
        <f>IFERROR(IF(OR(NOT(ISNUMBER('Price History'!J110)),NOT(ISNUMBER('Price History'!J109)),'Price History'!J109=0),"",'Price History'!J110/'Price History'!J109-1),"")</f>
        <v>2.520097552163314E-2</v>
      </c>
      <c r="K109" s="150">
        <f>IFERROR(IF(OR(NOT(ISNUMBER('Price History'!K110)),NOT(ISNUMBER('Price History'!K109)),'Price History'!K109=0),"",'Price History'!K110/'Price History'!K109-1),"")</f>
        <v>-2.5342118601115016E-2</v>
      </c>
      <c r="L109" s="150">
        <f>IFERROR(IF(OR(NOT(ISNUMBER('Price History'!L110)),NOT(ISNUMBER('Price History'!L109)),'Price History'!L109=0),"",'Price History'!L110/'Price History'!L109-1),"")</f>
        <v>6.8872458410351278E-2</v>
      </c>
      <c r="M109" s="150">
        <f>IFERROR(IF(OR(NOT(ISNUMBER('Price History'!M110)),NOT(ISNUMBER('Price History'!M109)),'Price History'!M109=0),"",'Price History'!M110/'Price History'!M109-1),"")</f>
        <v>0.15570159601357703</v>
      </c>
      <c r="N109" s="150">
        <f>IFERROR(IF(OR(NOT(ISNUMBER('Price History'!N110)),NOT(ISNUMBER('Price History'!N109)),'Price History'!N109=0),"",'Price History'!N110/'Price History'!N109-1),"")</f>
        <v>4.552289106652152E-2</v>
      </c>
      <c r="O109" s="150">
        <f>IFERROR(IF(OR(NOT(ISNUMBER('Price History'!O110)),NOT(ISNUMBER('Price History'!O109)),'Price History'!O109=0),"",'Price History'!O110/'Price History'!O109-1),"")</f>
        <v>1.108424022571608E-3</v>
      </c>
      <c r="P109" s="150">
        <f>IFERROR(IF(OR(NOT(ISNUMBER('Price History'!P110)),NOT(ISNUMBER('Price History'!P109)),'Price History'!P109=0),"",'Price History'!P110/'Price History'!P109-1),"")</f>
        <v>1.2380952380952381E-2</v>
      </c>
      <c r="Q109" s="150">
        <f>IFERROR(IF(OR(NOT(ISNUMBER('Price History'!Q110)),NOT(ISNUMBER('Price History'!Q109)),'Price History'!Q109=0),"",'Price History'!Q110/'Price History'!Q109-1),"")</f>
        <v>3.2553092543790019E-3</v>
      </c>
      <c r="R109" s="150">
        <f>IFERROR(IF(OR(NOT(ISNUMBER('Price History'!R110)),NOT(ISNUMBER('Price History'!R109)),'Price History'!R109=0),"",'Price History'!R110/'Price History'!R109-1),"")</f>
        <v>8.3086053412462224E-3</v>
      </c>
      <c r="S109" s="150">
        <f>IFERROR(IF(OR(NOT(ISNUMBER('Price History'!S110)),NOT(ISNUMBER('Price History'!S109)),'Price History'!S109=0),"",'Price History'!S110/'Price History'!S109-1),"")</f>
        <v>-4.0980178974658887E-3</v>
      </c>
      <c r="T109" s="150">
        <f>IFERROR(IF(OR(NOT(ISNUMBER('Price History'!T110)),NOT(ISNUMBER('Price History'!T109)),'Price History'!T109=0),"",'Price History'!T110/'Price History'!T109-1),"")</f>
        <v>3.4861893268973709E-3</v>
      </c>
      <c r="U109" s="150">
        <f>IFERROR(IF(OR(NOT(ISNUMBER('Price History'!U110)),NOT(ISNUMBER('Price History'!U109)),'Price History'!U109=0),"",'Price History'!U110/'Price History'!U109-1),"")</f>
        <v>7.2270825408902173E-3</v>
      </c>
      <c r="V109" s="151">
        <f>IFERROR(IF(OR(NOT(ISNUMBER('Price History'!V110)),NOT(ISNUMBER('Price History'!V109)),'Price History'!V109=0),"",'Price History'!V110/'Price History'!V109-1),"")</f>
        <v>3.6959574531656214E-2</v>
      </c>
      <c r="W109" s="152">
        <f>IFERROR('Price History'!B3+(INDEX('Price History'!B:B,MATCH(9.99E+307,'Returns (Calc)'!$A:$A)+1)-'Price History'!B3)*(ROW()-3)/(MATCH(9.99E+307,'Returns (Calc)'!$A:$A)-3),"")</f>
        <v>337.80999999999995</v>
      </c>
      <c r="X109" s="152">
        <f>IFERROR('Price History'!C3+(INDEX('Price History'!C:C,MATCH(9.99E+307,'Returns (Calc)'!$A:$A)+1)-'Price History'!C3)*(ROW()-3)/(MATCH(9.99E+307,'Returns (Calc)'!$A:$A)-3),"")</f>
        <v>159.88666666666666</v>
      </c>
      <c r="Y109" s="152">
        <f>IFERROR('Price History'!D3+(INDEX('Price History'!D:D,MATCH(9.99E+307,'Returns (Calc)'!$A:$A)+1)-'Price History'!D3)*(ROW()-3)/(MATCH(9.99E+307,'Returns (Calc)'!$A:$A)-3),"")</f>
        <v>1380.8966666666665</v>
      </c>
      <c r="Z109" s="152">
        <f>IFERROR('Price History'!E3+(INDEX('Price History'!E:E,MATCH(9.99E+307,'Returns (Calc)'!$A:$A)+1)-'Price History'!E3)*(ROW()-3)/(MATCH(9.99E+307,'Returns (Calc)'!$A:$A)-3),"")</f>
        <v>268.36</v>
      </c>
      <c r="AA109" s="152">
        <f>IFERROR('Price History'!F3+(INDEX('Price History'!F:F,MATCH(9.99E+307,'Returns (Calc)'!$A:$A)+1)-'Price History'!F3)*(ROW()-3)/(MATCH(9.99E+307,'Returns (Calc)'!$A:$A)-3),"")</f>
        <v>197.1466666666667</v>
      </c>
      <c r="AB109" s="152">
        <f>IFERROR('Price History'!G3+(INDEX('Price History'!G:G,MATCH(9.99E+307,'Returns (Calc)'!$A:$A)+1)-'Price History'!G3)*(ROW()-3)/(MATCH(9.99E+307,'Returns (Calc)'!$A:$A)-3),"")</f>
        <v>145.16333333333333</v>
      </c>
      <c r="AC109" s="152">
        <f>IFERROR('Price History'!H3+(INDEX('Price History'!H:H,MATCH(9.99E+307,'Returns (Calc)'!$A:$A)+1)-'Price History'!H3)*(ROW()-3)/(MATCH(9.99E+307,'Returns (Calc)'!$A:$A)-3),"")</f>
        <v>709.03666666666663</v>
      </c>
      <c r="AD109" s="152">
        <f>IFERROR('Price History'!I3+(INDEX('Price History'!I:I,MATCH(9.99E+307,'Returns (Calc)'!$A:$A)+1)-'Price History'!I3)*(ROW()-3)/(MATCH(9.99E+307,'Returns (Calc)'!$A:$A)-3),"")</f>
        <v>167.44333333333333</v>
      </c>
      <c r="AE109" s="152">
        <f>IFERROR('Price History'!J3+(INDEX('Price History'!J:J,MATCH(9.99E+307,'Returns (Calc)'!$A:$A)+1)-'Price History'!J3)*(ROW()-3)/(MATCH(9.99E+307,'Returns (Calc)'!$A:$A)-3),"")</f>
        <v>123.60666666666667</v>
      </c>
      <c r="AF109" s="152">
        <f>IFERROR('Price History'!K3+(INDEX('Price History'!K:K,MATCH(9.99E+307,'Returns (Calc)'!$A:$A)+1)-'Price History'!K3)*(ROW()-3)/(MATCH(9.99E+307,'Returns (Calc)'!$A:$A)-3),"")</f>
        <v>144.47666666666669</v>
      </c>
      <c r="AG109" s="152">
        <f>IFERROR('Price History'!L3+(INDEX('Price History'!L:L,MATCH(9.99E+307,'Returns (Calc)'!$A:$A)+1)-'Price History'!L3)*(ROW()-3)/(MATCH(9.99E+307,'Returns (Calc)'!$A:$A)-3),"")</f>
        <v>330.78999999999996</v>
      </c>
      <c r="AH109" s="152">
        <f>IFERROR('Price History'!M3+(INDEX('Price History'!M:M,MATCH(9.99E+307,'Returns (Calc)'!$A:$A)+1)-'Price History'!M3)*(ROW()-3)/(MATCH(9.99E+307,'Returns (Calc)'!$A:$A)-3),"")</f>
        <v>174.52666666666667</v>
      </c>
      <c r="AI109" s="152">
        <f>IFERROR('Price History'!N3+(INDEX('Price History'!N:N,MATCH(9.99E+307,'Returns (Calc)'!$A:$A)+1)-'Price History'!N3)*(ROW()-3)/(MATCH(9.99E+307,'Returns (Calc)'!$A:$A)-3),"")</f>
        <v>456.35333333333335</v>
      </c>
      <c r="AJ109" s="152">
        <f>IFERROR('Price History'!O3+(INDEX('Price History'!O:O,MATCH(9.99E+307,'Returns (Calc)'!$A:$A)+1)-'Price History'!O3)*(ROW()-3)/(MATCH(9.99E+307,'Returns (Calc)'!$A:$A)-3),"")</f>
        <v>104.86333333333333</v>
      </c>
      <c r="AK109" s="152">
        <f>IFERROR('Price History'!Q3+(INDEX('Price History'!Q:Q,MATCH(9.99E+307,'Returns (Calc)'!$A:$A)+1)-'Price History'!Q3)*(ROW()-3)/(MATCH(9.99E+307,'Returns (Calc)'!$A:$A)-3),"")</f>
        <v>46.646666666666668</v>
      </c>
      <c r="AL109" s="152">
        <f>IFERROR('Price History'!R3+(INDEX('Price History'!R:R,MATCH(9.99E+307,'Returns (Calc)'!$A:$A)+1)-'Price History'!R3)*(ROW()-3)/(MATCH(9.99E+307,'Returns (Calc)'!$A:$A)-3),"")</f>
        <v>52.22</v>
      </c>
      <c r="AM109" s="152">
        <f>IFERROR('Price History'!S3+(INDEX('Price History'!S:S,MATCH(9.99E+307,'Returns (Calc)'!$A:$A)+1)-'Price History'!S3)*(ROW()-3)/(MATCH(9.99E+307,'Returns (Calc)'!$A:$A)-3),"")</f>
        <v>119.98333333333333</v>
      </c>
      <c r="AN109" s="152">
        <f>IFERROR('Price History'!T3+(INDEX('Price History'!T:T,MATCH(9.99E+307,'Returns (Calc)'!$A:$A)+1)-'Price History'!T3)*(ROW()-3)/(MATCH(9.99E+307,'Returns (Calc)'!$A:$A)-3),"")</f>
        <v>43.64</v>
      </c>
      <c r="AO109" s="153">
        <f>IFERROR('Price History'!V3+(INDEX('Price History'!V:V,MATCH(9.99E+307,'Returns (Calc)'!$A:$A)+1)-'Price History'!V3)*(ROW()-3)/(MATCH(9.99E+307,'Returns (Calc)'!$A:$A)-3),"")</f>
        <v>335.51</v>
      </c>
      <c r="AP109" s="151">
        <f>IFERROR(IF(OR(NOT(ISNUMBER('Price History'!W110)),NOT(ISNUMBER('Price History'!W109)),'Price History'!W109=0),"",'Price History'!W110/'Price History'!W109-1),"")</f>
        <v>5.4577208557706758E-3</v>
      </c>
      <c r="AQ109" s="151" t="str">
        <f>IFERROR(IF(OR(NOT(ISNUMBER('Price History'!X110)),NOT(ISNUMBER('Price History'!X109)),'Price History'!X109=0),"",'Price History'!X110/'Price History'!X109-1),"")</f>
        <v/>
      </c>
      <c r="AR109" s="151">
        <f>IFERROR(IF(OR(NOT(ISNUMBER('Price History'!Y110)),NOT(ISNUMBER('Price History'!Y109)),'Price History'!Y109=0),"",'Price History'!Y110/'Price History'!Y109-1),"")</f>
        <v>8.0398162327717237E-3</v>
      </c>
      <c r="AS109" s="151">
        <f>IFERROR(IF(OR(NOT(ISNUMBER('Price History'!Z110)),NOT(ISNUMBER('Price History'!Z109)),'Price History'!Z109=0),"",'Price History'!Z110/'Price History'!Z109-1),"")</f>
        <v>8.0752325462536412E-3</v>
      </c>
      <c r="AT109" s="151">
        <f>IFERROR(IF(OR(NOT(ISNUMBER('Price History'!AA110)),NOT(ISNUMBER('Price History'!AA109)),'Price History'!AA109=0),"",'Price History'!AA110/'Price History'!AA109-1),"")</f>
        <v>-4.73319015364283E-2</v>
      </c>
      <c r="AU109" s="151">
        <f>IFERROR(IF(OR(NOT(ISNUMBER('Price History'!AB110)),NOT(ISNUMBER('Price History'!AB109)),'Price History'!AB109=0),"",'Price History'!AB110/'Price History'!AB109-1),"")</f>
        <v>2.0704860991490603E-2</v>
      </c>
    </row>
    <row r="110" spans="1:47" ht="15" customHeight="1" x14ac:dyDescent="0.2">
      <c r="A110" s="149">
        <f>IF('Price History'!A111="","",'Price History'!A111)</f>
        <v>45940</v>
      </c>
      <c r="B110" s="150">
        <f>IFERROR(IF(OR(NOT(ISNUMBER('Price History'!B111)),NOT(ISNUMBER('Price History'!B110)),'Price History'!B110=0),"",'Price History'!B111/'Price History'!B110-1),"")</f>
        <v>-2.6619368979639013E-2</v>
      </c>
      <c r="C110" s="150">
        <f>IFERROR(IF(OR(NOT(ISNUMBER('Price History'!C111)),NOT(ISNUMBER('Price History'!C110)),'Price History'!C110=0),"",'Price History'!C111/'Price History'!C110-1),"")</f>
        <v>5.9106529209622005E-2</v>
      </c>
      <c r="D110" s="150">
        <f>IFERROR(IF(OR(NOT(ISNUMBER('Price History'!D111)),NOT(ISNUMBER('Price History'!D110)),'Price History'!D110=0),"",'Price History'!D111/'Price History'!D110-1),"")</f>
        <v>-9.304026446409952E-2</v>
      </c>
      <c r="E110" s="150">
        <f>IFERROR(IF(OR(NOT(ISNUMBER('Price History'!E111)),NOT(ISNUMBER('Price History'!E110)),'Price History'!E110=0),"",'Price History'!E111/'Price History'!E110-1),"")</f>
        <v>-4.0610950665435963E-2</v>
      </c>
      <c r="F110" s="150">
        <f>IFERROR(IF(OR(NOT(ISNUMBER('Price History'!F111)),NOT(ISNUMBER('Price History'!F110)),'Price History'!F110=0),"",'Price History'!F111/'Price History'!F110-1),"")</f>
        <v>7.7570017147057246E-3</v>
      </c>
      <c r="G110" s="150">
        <f>IFERROR(IF(OR(NOT(ISNUMBER('Price History'!G111)),NOT(ISNUMBER('Price History'!G110)),'Price History'!G110=0),"",'Price History'!G111/'Price History'!G110-1),"")</f>
        <v>-0.10779481562614091</v>
      </c>
      <c r="H110" s="150">
        <f>IFERROR(IF(OR(NOT(ISNUMBER('Price History'!H111)),NOT(ISNUMBER('Price History'!H110)),'Price History'!H110=0),"",'Price History'!H111/'Price History'!H110-1),"")</f>
        <v>-3.3200106581401601E-2</v>
      </c>
      <c r="I110" s="150">
        <f>IFERROR(IF(OR(NOT(ISNUMBER('Price History'!I111)),NOT(ISNUMBER('Price History'!I110)),'Price History'!I110=0),"",'Price History'!I111/'Price History'!I110-1),"")</f>
        <v>-2.3775177645990242E-2</v>
      </c>
      <c r="J110" s="150">
        <f>IFERROR(IF(OR(NOT(ISNUMBER('Price History'!J111)),NOT(ISNUMBER('Price History'!J110)),'Price History'!J110=0),"",'Price History'!J111/'Price History'!J110-1),"")</f>
        <v>-4.9867841409691582E-2</v>
      </c>
      <c r="K110" s="150">
        <f>IFERROR(IF(OR(NOT(ISNUMBER('Price History'!K111)),NOT(ISNUMBER('Price History'!K110)),'Price History'!K110=0),"",'Price History'!K111/'Price History'!K110-1),"")</f>
        <v>1.3693881088576942E-2</v>
      </c>
      <c r="L110" s="150">
        <f>IFERROR(IF(OR(NOT(ISNUMBER('Price History'!L111)),NOT(ISNUMBER('Price History'!L110)),'Price History'!L110=0),"",'Price History'!L111/'Price History'!L110-1),"")</f>
        <v>-3.9463217237920567E-2</v>
      </c>
      <c r="M110" s="150">
        <f>IFERROR(IF(OR(NOT(ISNUMBER('Price History'!M111)),NOT(ISNUMBER('Price History'!M110)),'Price History'!M110=0),"",'Price History'!M111/'Price History'!M110-1),"")</f>
        <v>5.4989689433231348E-2</v>
      </c>
      <c r="N110" s="150">
        <f>IFERROR(IF(OR(NOT(ISNUMBER('Price History'!N111)),NOT(ISNUMBER('Price History'!N110)),'Price History'!N110=0),"",'Price History'!N111/'Price History'!N110-1),"")</f>
        <v>1.1133151500124061E-2</v>
      </c>
      <c r="O110" s="150">
        <f>IFERROR(IF(OR(NOT(ISNUMBER('Price History'!O111)),NOT(ISNUMBER('Price History'!O110)),'Price History'!O110=0),"",'Price History'!O111/'Price History'!O110-1),"")</f>
        <v>-5.4353296426774E-2</v>
      </c>
      <c r="P110" s="150">
        <f>IFERROR(IF(OR(NOT(ISNUMBER('Price History'!P111)),NOT(ISNUMBER('Price History'!P110)),'Price History'!P110=0),"",'Price History'!P111/'Price History'!P110-1),"")</f>
        <v>-3.459005716766772E-2</v>
      </c>
      <c r="Q110" s="150">
        <f>IFERROR(IF(OR(NOT(ISNUMBER('Price History'!Q111)),NOT(ISNUMBER('Price History'!Q110)),'Price History'!Q110=0),"",'Price History'!Q111/'Price History'!Q110-1),"")</f>
        <v>-1.2669962917181699E-2</v>
      </c>
      <c r="R110" s="150">
        <f>IFERROR(IF(OR(NOT(ISNUMBER('Price History'!R111)),NOT(ISNUMBER('Price History'!R110)),'Price History'!R110=0),"",'Price History'!R111/'Price History'!R110-1),"")</f>
        <v>-1.6676476358642334E-2</v>
      </c>
      <c r="S110" s="150">
        <f>IFERROR(IF(OR(NOT(ISNUMBER('Price History'!S111)),NOT(ISNUMBER('Price History'!S110)),'Price History'!S110=0),"",'Price History'!S111/'Price History'!S110-1),"")</f>
        <v>-1.3184413839435583E-2</v>
      </c>
      <c r="T110" s="150">
        <f>IFERROR(IF(OR(NOT(ISNUMBER('Price History'!T111)),NOT(ISNUMBER('Price History'!T110)),'Price History'!T110=0),"",'Price History'!T111/'Price History'!T110-1),"")</f>
        <v>-3.3137359700694868E-2</v>
      </c>
      <c r="U110" s="150">
        <f>IFERROR(IF(OR(NOT(ISNUMBER('Price History'!U111)),NOT(ISNUMBER('Price History'!U110)),'Price History'!U110=0),"",'Price History'!U111/'Price History'!U110-1),"")</f>
        <v>-3.1722054380664666E-2</v>
      </c>
      <c r="V110" s="151">
        <f>IFERROR(IF(OR(NOT(ISNUMBER('Price History'!V111)),NOT(ISNUMBER('Price History'!V110)),'Price History'!V110=0),"",'Price History'!V111/'Price History'!V110-1),"")</f>
        <v>-1.7691465452659427E-2</v>
      </c>
      <c r="W110" s="152">
        <f>IFERROR('Price History'!B3+(INDEX('Price History'!B:B,MATCH(9.99E+307,'Returns (Calc)'!$A:$A)+1)-'Price History'!B3)*(ROW()-3)/(MATCH(9.99E+307,'Returns (Calc)'!$A:$A)-3),"")</f>
        <v>336.00735849056605</v>
      </c>
      <c r="X110" s="152">
        <f>IFERROR('Price History'!C3+(INDEX('Price History'!C:C,MATCH(9.99E+307,'Returns (Calc)'!$A:$A)+1)-'Price History'!C3)*(ROW()-3)/(MATCH(9.99E+307,'Returns (Calc)'!$A:$A)-3),"")</f>
        <v>160.9593710691824</v>
      </c>
      <c r="Y110" s="152">
        <f>IFERROR('Price History'!D3+(INDEX('Price History'!D:D,MATCH(9.99E+307,'Returns (Calc)'!$A:$A)+1)-'Price History'!D3)*(ROW()-3)/(MATCH(9.99E+307,'Returns (Calc)'!$A:$A)-3),"")</f>
        <v>1388.4333333333334</v>
      </c>
      <c r="Z110" s="152">
        <f>IFERROR('Price History'!E3+(INDEX('Price History'!E:E,MATCH(9.99E+307,'Returns (Calc)'!$A:$A)+1)-'Price History'!E3)*(ROW()-3)/(MATCH(9.99E+307,'Returns (Calc)'!$A:$A)-3),"")</f>
        <v>270.1181132075472</v>
      </c>
      <c r="AA110" s="152">
        <f>IFERROR('Price History'!F3+(INDEX('Price History'!F:F,MATCH(9.99E+307,'Returns (Calc)'!$A:$A)+1)-'Price History'!F3)*(ROW()-3)/(MATCH(9.99E+307,'Returns (Calc)'!$A:$A)-3),"")</f>
        <v>198.61635220125788</v>
      </c>
      <c r="AB110" s="152">
        <f>IFERROR('Price History'!G3+(INDEX('Price History'!G:G,MATCH(9.99E+307,'Returns (Calc)'!$A:$A)+1)-'Price History'!G3)*(ROW()-3)/(MATCH(9.99E+307,'Returns (Calc)'!$A:$A)-3),"")</f>
        <v>146.11440251572327</v>
      </c>
      <c r="AC110" s="152">
        <f>IFERROR('Price History'!H3+(INDEX('Price History'!H:H,MATCH(9.99E+307,'Returns (Calc)'!$A:$A)+1)-'Price History'!H3)*(ROW()-3)/(MATCH(9.99E+307,'Returns (Calc)'!$A:$A)-3),"")</f>
        <v>715.07371069182386</v>
      </c>
      <c r="AD110" s="152">
        <f>IFERROR('Price History'!I3+(INDEX('Price History'!I:I,MATCH(9.99E+307,'Returns (Calc)'!$A:$A)+1)-'Price History'!I3)*(ROW()-3)/(MATCH(9.99E+307,'Returns (Calc)'!$A:$A)-3),"")</f>
        <v>168.61006289308176</v>
      </c>
      <c r="AE110" s="152">
        <f>IFERROR('Price History'!J3+(INDEX('Price History'!J:J,MATCH(9.99E+307,'Returns (Calc)'!$A:$A)+1)-'Price History'!J3)*(ROW()-3)/(MATCH(9.99E+307,'Returns (Calc)'!$A:$A)-3),"")</f>
        <v>123.71767295597485</v>
      </c>
      <c r="AF110" s="152">
        <f>IFERROR('Price History'!K3+(INDEX('Price History'!K:K,MATCH(9.99E+307,'Returns (Calc)'!$A:$A)+1)-'Price History'!K3)*(ROW()-3)/(MATCH(9.99E+307,'Returns (Calc)'!$A:$A)-3),"")</f>
        <v>145.6950314465409</v>
      </c>
      <c r="AG110" s="152">
        <f>IFERROR('Price History'!L3+(INDEX('Price History'!L:L,MATCH(9.99E+307,'Returns (Calc)'!$A:$A)+1)-'Price History'!L3)*(ROW()-3)/(MATCH(9.99E+307,'Returns (Calc)'!$A:$A)-3),"")</f>
        <v>333.10169811320753</v>
      </c>
      <c r="AH110" s="152">
        <f>IFERROR('Price History'!M3+(INDEX('Price History'!M:M,MATCH(9.99E+307,'Returns (Calc)'!$A:$A)+1)-'Price History'!M3)*(ROW()-3)/(MATCH(9.99E+307,'Returns (Calc)'!$A:$A)-3),"")</f>
        <v>175.81446540880503</v>
      </c>
      <c r="AI110" s="152">
        <f>IFERROR('Price History'!N3+(INDEX('Price History'!N:N,MATCH(9.99E+307,'Returns (Calc)'!$A:$A)+1)-'Price History'!N3)*(ROW()-3)/(MATCH(9.99E+307,'Returns (Calc)'!$A:$A)-3),"")</f>
        <v>457.36704402515721</v>
      </c>
      <c r="AJ110" s="152">
        <f>IFERROR('Price History'!O3+(INDEX('Price History'!O:O,MATCH(9.99E+307,'Returns (Calc)'!$A:$A)+1)-'Price History'!O3)*(ROW()-3)/(MATCH(9.99E+307,'Returns (Calc)'!$A:$A)-3),"")</f>
        <v>105.14213836477987</v>
      </c>
      <c r="AK110" s="152">
        <f>IFERROR('Price History'!Q3+(INDEX('Price History'!Q:Q,MATCH(9.99E+307,'Returns (Calc)'!$A:$A)+1)-'Price History'!Q3)*(ROW()-3)/(MATCH(9.99E+307,'Returns (Calc)'!$A:$A)-3),"")</f>
        <v>47.086729559748427</v>
      </c>
      <c r="AL110" s="152">
        <f>IFERROR('Price History'!R3+(INDEX('Price History'!R:R,MATCH(9.99E+307,'Returns (Calc)'!$A:$A)+1)-'Price History'!R3)*(ROW()-3)/(MATCH(9.99E+307,'Returns (Calc)'!$A:$A)-3),"")</f>
        <v>52.387358490566044</v>
      </c>
      <c r="AM110" s="152">
        <f>IFERROR('Price History'!S3+(INDEX('Price History'!S:S,MATCH(9.99E+307,'Returns (Calc)'!$A:$A)+1)-'Price History'!S3)*(ROW()-3)/(MATCH(9.99E+307,'Returns (Calc)'!$A:$A)-3),"")</f>
        <v>120.57157232704404</v>
      </c>
      <c r="AN110" s="152">
        <f>IFERROR('Price History'!T3+(INDEX('Price History'!T:T,MATCH(9.99E+307,'Returns (Calc)'!$A:$A)+1)-'Price History'!T3)*(ROW()-3)/(MATCH(9.99E+307,'Returns (Calc)'!$A:$A)-3),"")</f>
        <v>43.813584905660377</v>
      </c>
      <c r="AO110" s="153">
        <f>IFERROR('Price History'!V3+(INDEX('Price History'!V:V,MATCH(9.99E+307,'Returns (Calc)'!$A:$A)+1)-'Price History'!V3)*(ROW()-3)/(MATCH(9.99E+307,'Returns (Calc)'!$A:$A)-3),"")</f>
        <v>336.45226415094339</v>
      </c>
      <c r="AP110" s="151">
        <f>IFERROR(IF(OR(NOT(ISNUMBER('Price History'!W111)),NOT(ISNUMBER('Price History'!W110)),'Price History'!W110=0),"",'Price History'!W111/'Price History'!W110-1),"")</f>
        <v>-2.8805095172613426E-2</v>
      </c>
      <c r="AQ110" s="151" t="str">
        <f>IFERROR(IF(OR(NOT(ISNUMBER('Price History'!X111)),NOT(ISNUMBER('Price History'!X110)),'Price History'!X110=0),"",'Price History'!X111/'Price History'!X110-1),"")</f>
        <v/>
      </c>
      <c r="AR110" s="151">
        <f>IFERROR(IF(OR(NOT(ISNUMBER('Price History'!Y111)),NOT(ISNUMBER('Price History'!Y110)),'Price History'!Y110=0),"",'Price History'!Y111/'Price History'!Y110-1),"")</f>
        <v>-1.8040258260539233E-2</v>
      </c>
      <c r="AS110" s="151">
        <f>IFERROR(IF(OR(NOT(ISNUMBER('Price History'!Z111)),NOT(ISNUMBER('Price History'!Z110)),'Price History'!Z110=0),"",'Price History'!Z111/'Price History'!Z110-1),"")</f>
        <v>-1.855607381869806E-2</v>
      </c>
      <c r="AT110" s="151">
        <f>IFERROR(IF(OR(NOT(ISNUMBER('Price History'!AA111)),NOT(ISNUMBER('Price History'!AA110)),'Price History'!AA110=0),"",'Price History'!AA111/'Price History'!AA110-1),"")</f>
        <v>5.7920749154599882E-2</v>
      </c>
      <c r="AU110" s="151">
        <f>IFERROR(IF(OR(NOT(ISNUMBER('Price History'!AB111)),NOT(ISNUMBER('Price History'!AB110)),'Price History'!AB110=0),"",'Price History'!AB111/'Price History'!AB110-1),"")</f>
        <v>-3.2705548805184281E-2</v>
      </c>
    </row>
    <row r="111" spans="1:47" ht="15" customHeight="1" x14ac:dyDescent="0.2">
      <c r="A111" s="149">
        <f>IF('Price History'!A112="","",'Price History'!A112)</f>
        <v>45947</v>
      </c>
      <c r="B111" s="150">
        <f>IFERROR(IF(OR(NOT(ISNUMBER('Price History'!B112)),NOT(ISNUMBER('Price History'!B111)),'Price History'!B111=0),"",'Price History'!B112/'Price History'!B111-1),"")</f>
        <v>-1.2592219489792944E-2</v>
      </c>
      <c r="C111" s="150">
        <f>IFERROR(IF(OR(NOT(ISNUMBER('Price History'!C112)),NOT(ISNUMBER('Price History'!C111)),'Price History'!C111=0),"",'Price History'!C112/'Price History'!C111-1),"")</f>
        <v>-7.138221933809219E-2</v>
      </c>
      <c r="D111" s="150">
        <f>IFERROR(IF(OR(NOT(ISNUMBER('Price History'!D112)),NOT(ISNUMBER('Price History'!D111)),'Price History'!D111=0),"",'Price History'!D112/'Price History'!D111-1),"")</f>
        <v>9.9423693095069154E-2</v>
      </c>
      <c r="E111" s="150">
        <f>IFERROR(IF(OR(NOT(ISNUMBER('Price History'!E112)),NOT(ISNUMBER('Price History'!E111)),'Price History'!E111=0),"",'Price History'!E112/'Price History'!E111-1),"")</f>
        <v>7.6094714955156295E-2</v>
      </c>
      <c r="F111" s="150">
        <f>IFERROR(IF(OR(NOT(ISNUMBER('Price History'!F112)),NOT(ISNUMBER('Price History'!F111)),'Price History'!F111=0),"",'Price History'!F112/'Price History'!F111-1),"")</f>
        <v>-1.83114568141306E-2</v>
      </c>
      <c r="G111" s="150">
        <f>IFERROR(IF(OR(NOT(ISNUMBER('Price History'!G112)),NOT(ISNUMBER('Price History'!G111)),'Price History'!G111=0),"",'Price History'!G112/'Price History'!G111-1),"")</f>
        <v>0.12603580562659844</v>
      </c>
      <c r="H111" s="150">
        <f>IFERROR(IF(OR(NOT(ISNUMBER('Price History'!H112)),NOT(ISNUMBER('Price History'!H111)),'Price History'!H111=0),"",'Price History'!H112/'Price History'!H111-1),"")</f>
        <v>0.11443060302061525</v>
      </c>
      <c r="I111" s="150">
        <f>IFERROR(IF(OR(NOT(ISNUMBER('Price History'!I112)),NOT(ISNUMBER('Price History'!I111)),'Price History'!I111=0),"",'Price History'!I112/'Price History'!I111-1),"")</f>
        <v>3.2837127845875003E-4</v>
      </c>
      <c r="J111" s="150">
        <f>IFERROR(IF(OR(NOT(ISNUMBER('Price History'!J112)),NOT(ISNUMBER('Price History'!J111)),'Price History'!J111=0),"",'Price History'!J112/'Price History'!J111-1),"")</f>
        <v>0.11554154302670616</v>
      </c>
      <c r="K111" s="150">
        <f>IFERROR(IF(OR(NOT(ISNUMBER('Price History'!K112)),NOT(ISNUMBER('Price History'!K111)),'Price History'!K111=0),"",'Price History'!K112/'Price History'!K111-1),"")</f>
        <v>1.5446876424988654E-2</v>
      </c>
      <c r="L111" s="150">
        <f>IFERROR(IF(OR(NOT(ISNUMBER('Price History'!L112)),NOT(ISNUMBER('Price History'!L111)),'Price History'!L111=0),"",'Price History'!L112/'Price History'!L111-1),"")</f>
        <v>5.1382687599020427E-2</v>
      </c>
      <c r="M111" s="150">
        <f>IFERROR(IF(OR(NOT(ISNUMBER('Price History'!M112)),NOT(ISNUMBER('Price History'!M111)),'Price History'!M111=0),"",'Price History'!M112/'Price History'!M111-1),"")</f>
        <v>2.9497127287804181E-2</v>
      </c>
      <c r="N111" s="150">
        <f>IFERROR(IF(OR(NOT(ISNUMBER('Price History'!N112)),NOT(ISNUMBER('Price History'!N111)),'Price History'!N111=0),"",'Price History'!N112/'Price History'!N111-1),"")</f>
        <v>2.2119228034036986E-2</v>
      </c>
      <c r="O111" s="150">
        <f>IFERROR(IF(OR(NOT(ISNUMBER('Price History'!O112)),NOT(ISNUMBER('Price History'!O111)),'Price History'!O111=0),"",'Price History'!O112/'Price History'!O111-1),"")</f>
        <v>1.9584885577434763E-2</v>
      </c>
      <c r="P111" s="150">
        <f>IFERROR(IF(OR(NOT(ISNUMBER('Price History'!P112)),NOT(ISNUMBER('Price History'!P111)),'Price History'!P111=0),"",'Price History'!P112/'Price History'!P111-1),"")</f>
        <v>1.4691552357394499E-2</v>
      </c>
      <c r="Q111" s="150">
        <f>IFERROR(IF(OR(NOT(ISNUMBER('Price History'!Q112)),NOT(ISNUMBER('Price History'!Q111)),'Price History'!Q111=0),"",'Price History'!Q112/'Price History'!Q111-1),"")</f>
        <v>9.8591549295774517E-3</v>
      </c>
      <c r="R111" s="150">
        <f>IFERROR(IF(OR(NOT(ISNUMBER('Price History'!R112)),NOT(ISNUMBER('Price History'!R111)),'Price History'!R111=0),"",'Price History'!R112/'Price History'!R111-1),"")</f>
        <v>2.0550678371907383E-2</v>
      </c>
      <c r="S111" s="150">
        <f>IFERROR(IF(OR(NOT(ISNUMBER('Price History'!S112)),NOT(ISNUMBER('Price History'!S111)),'Price History'!S111=0),"",'Price History'!S112/'Price History'!S111-1),"")</f>
        <v>1.6168836694749222E-2</v>
      </c>
      <c r="T111" s="150">
        <f>IFERROR(IF(OR(NOT(ISNUMBER('Price History'!T112)),NOT(ISNUMBER('Price History'!T111)),'Price History'!T111=0),"",'Price History'!T112/'Price History'!T111-1),"")</f>
        <v>1.4096185737976663E-2</v>
      </c>
      <c r="U111" s="150">
        <f>IFERROR(IF(OR(NOT(ISNUMBER('Price History'!U112)),NOT(ISNUMBER('Price History'!U111)),'Price History'!U111=0),"",'Price History'!U112/'Price History'!U111-1),"")</f>
        <v>9.3603744149766133E-3</v>
      </c>
      <c r="V111" s="151">
        <f>IFERROR(IF(OR(NOT(ISNUMBER('Price History'!V112)),NOT(ISNUMBER('Price History'!V111)),'Price History'!V111=0),"",'Price History'!V112/'Price History'!V111-1),"")</f>
        <v>-5.1038366772263588E-3</v>
      </c>
      <c r="W111" s="152">
        <f>IFERROR('Price History'!B3+(INDEX('Price History'!B:B,MATCH(9.99E+307,'Returns (Calc)'!$A:$A)+1)-'Price History'!B3)*(ROW()-3)/(MATCH(9.99E+307,'Returns (Calc)'!$A:$A)-3),"")</f>
        <v>334.20471698113204</v>
      </c>
      <c r="X111" s="152">
        <f>IFERROR('Price History'!C3+(INDEX('Price History'!C:C,MATCH(9.99E+307,'Returns (Calc)'!$A:$A)+1)-'Price History'!C3)*(ROW()-3)/(MATCH(9.99E+307,'Returns (Calc)'!$A:$A)-3),"")</f>
        <v>162.03207547169811</v>
      </c>
      <c r="Y111" s="152">
        <f>IFERROR('Price History'!D3+(INDEX('Price History'!D:D,MATCH(9.99E+307,'Returns (Calc)'!$A:$A)+1)-'Price History'!D3)*(ROW()-3)/(MATCH(9.99E+307,'Returns (Calc)'!$A:$A)-3),"")</f>
        <v>1395.9699999999998</v>
      </c>
      <c r="Z111" s="152">
        <f>IFERROR('Price History'!E3+(INDEX('Price History'!E:E,MATCH(9.99E+307,'Returns (Calc)'!$A:$A)+1)-'Price History'!E3)*(ROW()-3)/(MATCH(9.99E+307,'Returns (Calc)'!$A:$A)-3),"")</f>
        <v>271.87622641509438</v>
      </c>
      <c r="AA111" s="152">
        <f>IFERROR('Price History'!F3+(INDEX('Price History'!F:F,MATCH(9.99E+307,'Returns (Calc)'!$A:$A)+1)-'Price History'!F3)*(ROW()-3)/(MATCH(9.99E+307,'Returns (Calc)'!$A:$A)-3),"")</f>
        <v>200.08603773584906</v>
      </c>
      <c r="AB111" s="152">
        <f>IFERROR('Price History'!G3+(INDEX('Price History'!G:G,MATCH(9.99E+307,'Returns (Calc)'!$A:$A)+1)-'Price History'!G3)*(ROW()-3)/(MATCH(9.99E+307,'Returns (Calc)'!$A:$A)-3),"")</f>
        <v>147.06547169811321</v>
      </c>
      <c r="AC111" s="152">
        <f>IFERROR('Price History'!H3+(INDEX('Price History'!H:H,MATCH(9.99E+307,'Returns (Calc)'!$A:$A)+1)-'Price History'!H3)*(ROW()-3)/(MATCH(9.99E+307,'Returns (Calc)'!$A:$A)-3),"")</f>
        <v>721.11075471698109</v>
      </c>
      <c r="AD111" s="152">
        <f>IFERROR('Price History'!I3+(INDEX('Price History'!I:I,MATCH(9.99E+307,'Returns (Calc)'!$A:$A)+1)-'Price History'!I3)*(ROW()-3)/(MATCH(9.99E+307,'Returns (Calc)'!$A:$A)-3),"")</f>
        <v>169.77679245283019</v>
      </c>
      <c r="AE111" s="152">
        <f>IFERROR('Price History'!J3+(INDEX('Price History'!J:J,MATCH(9.99E+307,'Returns (Calc)'!$A:$A)+1)-'Price History'!J3)*(ROW()-3)/(MATCH(9.99E+307,'Returns (Calc)'!$A:$A)-3),"")</f>
        <v>123.82867924528303</v>
      </c>
      <c r="AF111" s="152">
        <f>IFERROR('Price History'!K3+(INDEX('Price History'!K:K,MATCH(9.99E+307,'Returns (Calc)'!$A:$A)+1)-'Price History'!K3)*(ROW()-3)/(MATCH(9.99E+307,'Returns (Calc)'!$A:$A)-3),"")</f>
        <v>146.9133962264151</v>
      </c>
      <c r="AG111" s="152">
        <f>IFERROR('Price History'!L3+(INDEX('Price History'!L:L,MATCH(9.99E+307,'Returns (Calc)'!$A:$A)+1)-'Price History'!L3)*(ROW()-3)/(MATCH(9.99E+307,'Returns (Calc)'!$A:$A)-3),"")</f>
        <v>335.4133962264151</v>
      </c>
      <c r="AH111" s="152">
        <f>IFERROR('Price History'!M3+(INDEX('Price History'!M:M,MATCH(9.99E+307,'Returns (Calc)'!$A:$A)+1)-'Price History'!M3)*(ROW()-3)/(MATCH(9.99E+307,'Returns (Calc)'!$A:$A)-3),"")</f>
        <v>177.1022641509434</v>
      </c>
      <c r="AI111" s="152">
        <f>IFERROR('Price History'!N3+(INDEX('Price History'!N:N,MATCH(9.99E+307,'Returns (Calc)'!$A:$A)+1)-'Price History'!N3)*(ROW()-3)/(MATCH(9.99E+307,'Returns (Calc)'!$A:$A)-3),"")</f>
        <v>458.38075471698113</v>
      </c>
      <c r="AJ111" s="152">
        <f>IFERROR('Price History'!O3+(INDEX('Price History'!O:O,MATCH(9.99E+307,'Returns (Calc)'!$A:$A)+1)-'Price History'!O3)*(ROW()-3)/(MATCH(9.99E+307,'Returns (Calc)'!$A:$A)-3),"")</f>
        <v>105.42094339622642</v>
      </c>
      <c r="AK111" s="152">
        <f>IFERROR('Price History'!Q3+(INDEX('Price History'!Q:Q,MATCH(9.99E+307,'Returns (Calc)'!$A:$A)+1)-'Price History'!Q3)*(ROW()-3)/(MATCH(9.99E+307,'Returns (Calc)'!$A:$A)-3),"")</f>
        <v>47.526792452830193</v>
      </c>
      <c r="AL111" s="152">
        <f>IFERROR('Price History'!R3+(INDEX('Price History'!R:R,MATCH(9.99E+307,'Returns (Calc)'!$A:$A)+1)-'Price History'!R3)*(ROW()-3)/(MATCH(9.99E+307,'Returns (Calc)'!$A:$A)-3),"")</f>
        <v>52.554716981132074</v>
      </c>
      <c r="AM111" s="152">
        <f>IFERROR('Price History'!S3+(INDEX('Price History'!S:S,MATCH(9.99E+307,'Returns (Calc)'!$A:$A)+1)-'Price History'!S3)*(ROW()-3)/(MATCH(9.99E+307,'Returns (Calc)'!$A:$A)-3),"")</f>
        <v>121.15981132075473</v>
      </c>
      <c r="AN111" s="152">
        <f>IFERROR('Price History'!T3+(INDEX('Price History'!T:T,MATCH(9.99E+307,'Returns (Calc)'!$A:$A)+1)-'Price History'!T3)*(ROW()-3)/(MATCH(9.99E+307,'Returns (Calc)'!$A:$A)-3),"")</f>
        <v>43.987169811320754</v>
      </c>
      <c r="AO111" s="153">
        <f>IFERROR('Price History'!V3+(INDEX('Price History'!V:V,MATCH(9.99E+307,'Returns (Calc)'!$A:$A)+1)-'Price History'!V3)*(ROW()-3)/(MATCH(9.99E+307,'Returns (Calc)'!$A:$A)-3),"")</f>
        <v>337.39452830188679</v>
      </c>
      <c r="AP111" s="151">
        <f>IFERROR(IF(OR(NOT(ISNUMBER('Price History'!W112)),NOT(ISNUMBER('Price History'!W111)),'Price History'!W111=0),"",'Price History'!W112/'Price History'!W111-1),"")</f>
        <v>1.9151948729413393E-2</v>
      </c>
      <c r="AQ111" s="151" t="str">
        <f>IFERROR(IF(OR(NOT(ISNUMBER('Price History'!X112)),NOT(ISNUMBER('Price History'!X111)),'Price History'!X111=0),"",'Price History'!X112/'Price History'!X111-1),"")</f>
        <v/>
      </c>
      <c r="AR111" s="151">
        <f>IFERROR(IF(OR(NOT(ISNUMBER('Price History'!Y112)),NOT(ISNUMBER('Price History'!Y111)),'Price History'!Y111=0),"",'Price History'!Y112/'Price History'!Y111-1),"")</f>
        <v>1.527750918584414E-2</v>
      </c>
      <c r="AS111" s="151">
        <f>IFERROR(IF(OR(NOT(ISNUMBER('Price History'!Z112)),NOT(ISNUMBER('Price History'!Z111)),'Price History'!Z111=0),"",'Price History'!Z112/'Price History'!Z111-1),"")</f>
        <v>2.9686262354926551E-2</v>
      </c>
      <c r="AT111" s="151">
        <f>IFERROR(IF(OR(NOT(ISNUMBER('Price History'!AA112)),NOT(ISNUMBER('Price History'!AA111)),'Price History'!AA111=0),"",'Price History'!AA112/'Price History'!AA111-1),"")</f>
        <v>-1.6965822473567815E-2</v>
      </c>
      <c r="AU111" s="151">
        <f>IFERROR(IF(OR(NOT(ISNUMBER('Price History'!AB112)),NOT(ISNUMBER('Price History'!AB111)),'Price History'!AB111=0),"",'Price History'!AB112/'Price History'!AB111-1),"")</f>
        <v>-9.9794130988518637E-3</v>
      </c>
    </row>
    <row r="112" spans="1:47" ht="15" customHeight="1" x14ac:dyDescent="0.2">
      <c r="A112" s="149">
        <f>IF('Price History'!A113="","",'Price History'!A113)</f>
        <v>45954</v>
      </c>
      <c r="B112" s="150">
        <f>IFERROR(IF(OR(NOT(ISNUMBER('Price History'!B113)),NOT(ISNUMBER('Price History'!B112)),'Price History'!B112=0),"",'Price History'!B113/'Price History'!B112-1),"")</f>
        <v>6.0793374542399192E-2</v>
      </c>
      <c r="C112" s="150">
        <f>IFERROR(IF(OR(NOT(ISNUMBER('Price History'!C113)),NOT(ISNUMBER('Price History'!C112)),'Price History'!C112=0),"",'Price History'!C113/'Price History'!C112-1),"")</f>
        <v>7.4912648497554191E-2</v>
      </c>
      <c r="D112" s="150">
        <f>IFERROR(IF(OR(NOT(ISNUMBER('Price History'!D113)),NOT(ISNUMBER('Price History'!D112)),'Price History'!D112=0),"",'Price History'!D113/'Price History'!D112-1),"")</f>
        <v>3.72605204737253E-3</v>
      </c>
      <c r="E112" s="150">
        <f>IFERROR(IF(OR(NOT(ISNUMBER('Price History'!E113)),NOT(ISNUMBER('Price History'!E112)),'Price History'!E112=0),"",'Price History'!E113/'Price History'!E112-1),"")</f>
        <v>1.3756308579668364E-2</v>
      </c>
      <c r="F112" s="150">
        <f>IFERROR(IF(OR(NOT(ISNUMBER('Price History'!F113)),NOT(ISNUMBER('Price History'!F112)),'Price History'!F112=0),"",'Price History'!F113/'Price History'!F112-1),"")</f>
        <v>8.8065368108286801E-2</v>
      </c>
      <c r="G112" s="150">
        <f>IFERROR(IF(OR(NOT(ISNUMBER('Price History'!G113)),NOT(ISNUMBER('Price History'!G112)),'Price History'!G112=0),"",'Price History'!G113/'Price History'!G112-1),"")</f>
        <v>6.8865267557009391E-2</v>
      </c>
      <c r="H112" s="150">
        <f>IFERROR(IF(OR(NOT(ISNUMBER('Price History'!H113)),NOT(ISNUMBER('Price History'!H112)),'Price History'!H112=0),"",'Price History'!H113/'Price History'!H112-1),"")</f>
        <v>8.2253437530912965E-2</v>
      </c>
      <c r="I112" s="150">
        <f>IFERROR(IF(OR(NOT(ISNUMBER('Price History'!I113)),NOT(ISNUMBER('Price History'!I112)),'Price History'!I112=0),"",'Price History'!I113/'Price History'!I112-1),"")</f>
        <v>1.657730605099017E-2</v>
      </c>
      <c r="J112" s="150">
        <f>IFERROR(IF(OR(NOT(ISNUMBER('Price History'!J113)),NOT(ISNUMBER('Price History'!J112)),'Price History'!J112=0),"",'Price History'!J113/'Price History'!J112-1),"")</f>
        <v>1.8952618453865311E-2</v>
      </c>
      <c r="K112" s="150">
        <f>IFERROR(IF(OR(NOT(ISNUMBER('Price History'!K113)),NOT(ISNUMBER('Price History'!K112)),'Price History'!K112=0),"",'Price History'!K113/'Price History'!K112-1),"")</f>
        <v>3.6373842267751755E-2</v>
      </c>
      <c r="L112" s="150">
        <f>IFERROR(IF(OR(NOT(ISNUMBER('Price History'!L113)),NOT(ISNUMBER('Price History'!L112)),'Price History'!L112=0),"",'Price History'!L113/'Price History'!L112-1),"")</f>
        <v>-4.1097297852665804E-4</v>
      </c>
      <c r="M112" s="150">
        <f>IFERROR(IF(OR(NOT(ISNUMBER('Price History'!M113)),NOT(ISNUMBER('Price History'!M112)),'Price History'!M112=0),"",'Price History'!M113/'Price History'!M112-1),"")</f>
        <v>6.9328577181980489E-2</v>
      </c>
      <c r="N112" s="150">
        <f>IFERROR(IF(OR(NOT(ISNUMBER('Price History'!N113)),NOT(ISNUMBER('Price History'!N112)),'Price History'!N112=0),"",'Price History'!N113/'Price History'!N112-1),"")</f>
        <v>1.0988220052301934E-2</v>
      </c>
      <c r="O112" s="150">
        <f>IFERROR(IF(OR(NOT(ISNUMBER('Price History'!O113)),NOT(ISNUMBER('Price History'!O112)),'Price History'!O112=0),"",'Price History'!O113/'Price History'!O112-1),"")</f>
        <v>2.9439398684622642E-2</v>
      </c>
      <c r="P112" s="150">
        <f>IFERROR(IF(OR(NOT(ISNUMBER('Price History'!P113)),NOT(ISNUMBER('Price History'!P112)),'Price History'!P112=0),"",'Price History'!P113/'Price History'!P112-1),"")</f>
        <v>1.6990470562162852E-2</v>
      </c>
      <c r="Q112" s="150">
        <f>IFERROR(IF(OR(NOT(ISNUMBER('Price History'!Q113)),NOT(ISNUMBER('Price History'!Q112)),'Price History'!Q112=0),"",'Price History'!Q113/'Price History'!Q112-1),"")</f>
        <v>1.0072834340616899E-2</v>
      </c>
      <c r="R112" s="150">
        <f>IFERROR(IF(OR(NOT(ISNUMBER('Price History'!R113)),NOT(ISNUMBER('Price History'!R112)),'Price History'!R112=0),"",'Price History'!R113/'Price History'!R112-1),"")</f>
        <v>1.8572825024437911E-2</v>
      </c>
      <c r="S112" s="150">
        <f>IFERROR(IF(OR(NOT(ISNUMBER('Price History'!S113)),NOT(ISNUMBER('Price History'!S112)),'Price History'!S112=0),"",'Price History'!S113/'Price History'!S112-1),"")</f>
        <v>1.0719370236998538E-2</v>
      </c>
      <c r="T112" s="150">
        <f>IFERROR(IF(OR(NOT(ISNUMBER('Price History'!T113)),NOT(ISNUMBER('Price History'!T112)),'Price History'!T112=0),"",'Price History'!T113/'Price History'!T112-1),"")</f>
        <v>2.5892613791223873E-2</v>
      </c>
      <c r="U112" s="150">
        <f>IFERROR(IF(OR(NOT(ISNUMBER('Price History'!U113)),NOT(ISNUMBER('Price History'!U112)),'Price History'!U112=0),"",'Price History'!U113/'Price History'!U112-1),"")</f>
        <v>8.8871715610510105E-3</v>
      </c>
      <c r="V112" s="151">
        <f>IFERROR(IF(OR(NOT(ISNUMBER('Price History'!V113)),NOT(ISNUMBER('Price History'!V112)),'Price History'!V112=0),"",'Price History'!V113/'Price History'!V112-1),"")</f>
        <v>1.6038681526033383E-2</v>
      </c>
      <c r="W112" s="152">
        <f>IFERROR('Price History'!B3+(INDEX('Price History'!B:B,MATCH(9.99E+307,'Returns (Calc)'!$A:$A)+1)-'Price History'!B3)*(ROW()-3)/(MATCH(9.99E+307,'Returns (Calc)'!$A:$A)-3),"")</f>
        <v>332.40207547169808</v>
      </c>
      <c r="X112" s="152">
        <f>IFERROR('Price History'!C3+(INDEX('Price History'!C:C,MATCH(9.99E+307,'Returns (Calc)'!$A:$A)+1)-'Price History'!C3)*(ROW()-3)/(MATCH(9.99E+307,'Returns (Calc)'!$A:$A)-3),"")</f>
        <v>163.10477987421385</v>
      </c>
      <c r="Y112" s="152">
        <f>IFERROR('Price History'!D3+(INDEX('Price History'!D:D,MATCH(9.99E+307,'Returns (Calc)'!$A:$A)+1)-'Price History'!D3)*(ROW()-3)/(MATCH(9.99E+307,'Returns (Calc)'!$A:$A)-3),"")</f>
        <v>1403.5066666666667</v>
      </c>
      <c r="Z112" s="152">
        <f>IFERROR('Price History'!E3+(INDEX('Price History'!E:E,MATCH(9.99E+307,'Returns (Calc)'!$A:$A)+1)-'Price History'!E3)*(ROW()-3)/(MATCH(9.99E+307,'Returns (Calc)'!$A:$A)-3),"")</f>
        <v>273.63433962264151</v>
      </c>
      <c r="AA112" s="152">
        <f>IFERROR('Price History'!F3+(INDEX('Price History'!F:F,MATCH(9.99E+307,'Returns (Calc)'!$A:$A)+1)-'Price History'!F3)*(ROW()-3)/(MATCH(9.99E+307,'Returns (Calc)'!$A:$A)-3),"")</f>
        <v>201.55572327044024</v>
      </c>
      <c r="AB112" s="152">
        <f>IFERROR('Price History'!G3+(INDEX('Price History'!G:G,MATCH(9.99E+307,'Returns (Calc)'!$A:$A)+1)-'Price History'!G3)*(ROW()-3)/(MATCH(9.99E+307,'Returns (Calc)'!$A:$A)-3),"")</f>
        <v>148.01654088050316</v>
      </c>
      <c r="AC112" s="152">
        <f>IFERROR('Price History'!H3+(INDEX('Price History'!H:H,MATCH(9.99E+307,'Returns (Calc)'!$A:$A)+1)-'Price History'!H3)*(ROW()-3)/(MATCH(9.99E+307,'Returns (Calc)'!$A:$A)-3),"")</f>
        <v>727.14779874213832</v>
      </c>
      <c r="AD112" s="152">
        <f>IFERROR('Price History'!I3+(INDEX('Price History'!I:I,MATCH(9.99E+307,'Returns (Calc)'!$A:$A)+1)-'Price History'!I3)*(ROW()-3)/(MATCH(9.99E+307,'Returns (Calc)'!$A:$A)-3),"")</f>
        <v>170.94352201257863</v>
      </c>
      <c r="AE112" s="152">
        <f>IFERROR('Price History'!J3+(INDEX('Price History'!J:J,MATCH(9.99E+307,'Returns (Calc)'!$A:$A)+1)-'Price History'!J3)*(ROW()-3)/(MATCH(9.99E+307,'Returns (Calc)'!$A:$A)-3),"")</f>
        <v>123.93968553459121</v>
      </c>
      <c r="AF112" s="152">
        <f>IFERROR('Price History'!K3+(INDEX('Price History'!K:K,MATCH(9.99E+307,'Returns (Calc)'!$A:$A)+1)-'Price History'!K3)*(ROW()-3)/(MATCH(9.99E+307,'Returns (Calc)'!$A:$A)-3),"")</f>
        <v>148.13176100628931</v>
      </c>
      <c r="AG112" s="152">
        <f>IFERROR('Price History'!L3+(INDEX('Price History'!L:L,MATCH(9.99E+307,'Returns (Calc)'!$A:$A)+1)-'Price History'!L3)*(ROW()-3)/(MATCH(9.99E+307,'Returns (Calc)'!$A:$A)-3),"")</f>
        <v>337.72509433962261</v>
      </c>
      <c r="AH112" s="152">
        <f>IFERROR('Price History'!M3+(INDEX('Price History'!M:M,MATCH(9.99E+307,'Returns (Calc)'!$A:$A)+1)-'Price History'!M3)*(ROW()-3)/(MATCH(9.99E+307,'Returns (Calc)'!$A:$A)-3),"")</f>
        <v>178.39006289308176</v>
      </c>
      <c r="AI112" s="152">
        <f>IFERROR('Price History'!N3+(INDEX('Price History'!N:N,MATCH(9.99E+307,'Returns (Calc)'!$A:$A)+1)-'Price History'!N3)*(ROW()-3)/(MATCH(9.99E+307,'Returns (Calc)'!$A:$A)-3),"")</f>
        <v>459.39446540880499</v>
      </c>
      <c r="AJ112" s="152">
        <f>IFERROR('Price History'!O3+(INDEX('Price History'!O:O,MATCH(9.99E+307,'Returns (Calc)'!$A:$A)+1)-'Price History'!O3)*(ROW()-3)/(MATCH(9.99E+307,'Returns (Calc)'!$A:$A)-3),"")</f>
        <v>105.69974842767296</v>
      </c>
      <c r="AK112" s="152">
        <f>IFERROR('Price History'!Q3+(INDEX('Price History'!Q:Q,MATCH(9.99E+307,'Returns (Calc)'!$A:$A)+1)-'Price History'!Q3)*(ROW()-3)/(MATCH(9.99E+307,'Returns (Calc)'!$A:$A)-3),"")</f>
        <v>47.966855345911945</v>
      </c>
      <c r="AL112" s="152">
        <f>IFERROR('Price History'!R3+(INDEX('Price History'!R:R,MATCH(9.99E+307,'Returns (Calc)'!$A:$A)+1)-'Price History'!R3)*(ROW()-3)/(MATCH(9.99E+307,'Returns (Calc)'!$A:$A)-3),"")</f>
        <v>52.722075471698119</v>
      </c>
      <c r="AM112" s="152">
        <f>IFERROR('Price History'!S3+(INDEX('Price History'!S:S,MATCH(9.99E+307,'Returns (Calc)'!$A:$A)+1)-'Price History'!S3)*(ROW()-3)/(MATCH(9.99E+307,'Returns (Calc)'!$A:$A)-3),"")</f>
        <v>121.74805031446542</v>
      </c>
      <c r="AN112" s="152">
        <f>IFERROR('Price History'!T3+(INDEX('Price History'!T:T,MATCH(9.99E+307,'Returns (Calc)'!$A:$A)+1)-'Price History'!T3)*(ROW()-3)/(MATCH(9.99E+307,'Returns (Calc)'!$A:$A)-3),"")</f>
        <v>44.160754716981131</v>
      </c>
      <c r="AO112" s="153">
        <f>IFERROR('Price History'!V3+(INDEX('Price History'!V:V,MATCH(9.99E+307,'Returns (Calc)'!$A:$A)+1)-'Price History'!V3)*(ROW()-3)/(MATCH(9.99E+307,'Returns (Calc)'!$A:$A)-3),"")</f>
        <v>338.3367924528302</v>
      </c>
      <c r="AP112" s="151">
        <f>IFERROR(IF(OR(NOT(ISNUMBER('Price History'!W113)),NOT(ISNUMBER('Price History'!W112)),'Price History'!W112=0),"",'Price History'!W113/'Price History'!W112-1),"")</f>
        <v>1.0821877742029917E-2</v>
      </c>
      <c r="AQ112" s="151" t="str">
        <f>IFERROR(IF(OR(NOT(ISNUMBER('Price History'!X113)),NOT(ISNUMBER('Price History'!X112)),'Price History'!X112=0),"",'Price History'!X113/'Price History'!X112-1),"")</f>
        <v/>
      </c>
      <c r="AR112" s="151">
        <f>IFERROR(IF(OR(NOT(ISNUMBER('Price History'!Y113)),NOT(ISNUMBER('Price History'!Y112)),'Price History'!Y112=0),"",'Price History'!Y113/'Price History'!Y112-1),"")</f>
        <v>1.0476190476190528E-2</v>
      </c>
      <c r="AS112" s="151">
        <f>IFERROR(IF(OR(NOT(ISNUMBER('Price History'!Z113)),NOT(ISNUMBER('Price History'!Z112)),'Price History'!Z112=0),"",'Price History'!Z113/'Price History'!Z112-1),"")</f>
        <v>1.2408441753904764E-2</v>
      </c>
      <c r="AT112" s="151">
        <f>IFERROR(IF(OR(NOT(ISNUMBER('Price History'!AA113)),NOT(ISNUMBER('Price History'!AA112)),'Price History'!AA112=0),"",'Price History'!AA113/'Price History'!AA112-1),"")</f>
        <v>-8.7293646823411675E-2</v>
      </c>
      <c r="AU112" s="151">
        <f>IFERROR(IF(OR(NOT(ISNUMBER('Price History'!AB113)),NOT(ISNUMBER('Price History'!AB112)),'Price History'!AB112=0),"",'Price History'!AB113/'Price History'!AB112-1),"")</f>
        <v>3.2742395939801883E-2</v>
      </c>
    </row>
    <row r="113" spans="1:47" ht="15" customHeight="1" x14ac:dyDescent="0.2">
      <c r="A113" s="149">
        <f>IF('Price History'!A114="","",'Price History'!A114)</f>
        <v>45961</v>
      </c>
      <c r="B113" s="150">
        <f>IFERROR(IF(OR(NOT(ISNUMBER('Price History'!B114)),NOT(ISNUMBER('Price History'!B113)),'Price History'!B113=0),"",'Price History'!B114/'Price History'!B113-1),"")</f>
        <v>-3.7367051369088022E-2</v>
      </c>
      <c r="C113" s="150">
        <f>IFERROR(IF(OR(NOT(ISNUMBER('Price History'!C114)),NOT(ISNUMBER('Price History'!C113)),'Price History'!C113=0),"",'Price History'!C114/'Price History'!C113-1),"")</f>
        <v>2.5159277077103193E-2</v>
      </c>
      <c r="D113" s="150">
        <f>IFERROR(IF(OR(NOT(ISNUMBER('Price History'!D114)),NOT(ISNUMBER('Price History'!D113)),'Price History'!D113=0),"",'Price History'!D114/'Price History'!D113-1),"")</f>
        <v>2.711577060233461E-2</v>
      </c>
      <c r="E113" s="150">
        <f>IFERROR(IF(OR(NOT(ISNUMBER('Price History'!E114)),NOT(ISNUMBER('Price History'!E113)),'Price History'!E113=0),"",'Price History'!E114/'Price History'!E113-1),"")</f>
        <v>4.3752844788347733E-2</v>
      </c>
      <c r="F113" s="150">
        <f>IFERROR(IF(OR(NOT(ISNUMBER('Price History'!F114)),NOT(ISNUMBER('Price History'!F113)),'Price History'!F113=0),"",'Price History'!F114/'Price History'!F113-1),"")</f>
        <v>2.9735265114162024E-2</v>
      </c>
      <c r="G113" s="150">
        <f>IFERROR(IF(OR(NOT(ISNUMBER('Price History'!G114)),NOT(ISNUMBER('Price History'!G113)),'Price History'!G113=0),"",'Price History'!G114/'Price History'!G113-1),"")</f>
        <v>2.1929451763705865E-2</v>
      </c>
      <c r="H113" s="150">
        <f>IFERROR(IF(OR(NOT(ISNUMBER('Price History'!H114)),NOT(ISNUMBER('Price History'!H113)),'Price History'!H113=0),"",'Price History'!H114/'Price History'!H113-1),"")</f>
        <v>2.1662629678716794E-2</v>
      </c>
      <c r="I113" s="150">
        <f>IFERROR(IF(OR(NOT(ISNUMBER('Price History'!I114)),NOT(ISNUMBER('Price History'!I113)),'Price History'!I113=0),"",'Price History'!I114/'Price History'!I113-1),"")</f>
        <v>8.7185834992734357E-2</v>
      </c>
      <c r="J113" s="150">
        <f>IFERROR(IF(OR(NOT(ISNUMBER('Price History'!J114)),NOT(ISNUMBER('Price History'!J113)),'Price History'!J113=0),"",'Price History'!J114/'Price History'!J113-1),"")</f>
        <v>-1.851851851851849E-2</v>
      </c>
      <c r="K113" s="150">
        <f>IFERROR(IF(OR(NOT(ISNUMBER('Price History'!K114)),NOT(ISNUMBER('Price History'!K113)),'Price History'!K113=0),"",'Price History'!K114/'Price History'!K113-1),"")</f>
        <v>8.5793208037697077E-2</v>
      </c>
      <c r="L113" s="150">
        <f>IFERROR(IF(OR(NOT(ISNUMBER('Price History'!L114)),NOT(ISNUMBER('Price History'!L113)),'Price History'!L113=0),"",'Price History'!L114/'Price History'!L113-1),"")</f>
        <v>1.8535649432966705E-2</v>
      </c>
      <c r="M113" s="150">
        <f>IFERROR(IF(OR(NOT(ISNUMBER('Price History'!M114)),NOT(ISNUMBER('Price History'!M113)),'Price History'!M113=0),"",'Price History'!M114/'Price History'!M113-1),"")</f>
        <v>3.6532874206391952E-2</v>
      </c>
      <c r="N113" s="150">
        <f>IFERROR(IF(OR(NOT(ISNUMBER('Price History'!N114)),NOT(ISNUMBER('Price History'!N113)),'Price History'!N113=0),"",'Price History'!N114/'Price History'!N113-1),"")</f>
        <v>9.919551958992967E-3</v>
      </c>
      <c r="O113" s="150">
        <f>IFERROR(IF(OR(NOT(ISNUMBER('Price History'!O114)),NOT(ISNUMBER('Price History'!O113)),'Price History'!O113=0),"",'Price History'!O114/'Price History'!O113-1),"")</f>
        <v>-2.1194605009633993E-2</v>
      </c>
      <c r="P113" s="150">
        <f>IFERROR(IF(OR(NOT(ISNUMBER('Price History'!P114)),NOT(ISNUMBER('Price History'!P113)),'Price History'!P113=0),"",'Price History'!P114/'Price History'!P113-1),"")</f>
        <v>-2.3825088980896303E-2</v>
      </c>
      <c r="Q113" s="150">
        <f>IFERROR(IF(OR(NOT(ISNUMBER('Price History'!Q114)),NOT(ISNUMBER('Price History'!Q113)),'Price History'!Q113=0),"",'Price History'!Q114/'Price History'!Q113-1),"")</f>
        <v>6.1368517950288748E-4</v>
      </c>
      <c r="R113" s="150">
        <f>IFERROR(IF(OR(NOT(ISNUMBER('Price History'!R114)),NOT(ISNUMBER('Price History'!R113)),'Price History'!R113=0),"",'Price History'!R114/'Price History'!R113-1),"")</f>
        <v>9.4049904030710785E-3</v>
      </c>
      <c r="S113" s="150">
        <f>IFERROR(IF(OR(NOT(ISNUMBER('Price History'!S114)),NOT(ISNUMBER('Price History'!S113)),'Price History'!S113=0),"",'Price History'!S114/'Price History'!S113-1),"")</f>
        <v>-8.2856906123085494E-5</v>
      </c>
      <c r="T113" s="150">
        <f>IFERROR(IF(OR(NOT(ISNUMBER('Price History'!T114)),NOT(ISNUMBER('Price History'!T113)),'Price History'!T113=0),"",'Price History'!T114/'Price History'!T113-1),"")</f>
        <v>-6.1105207226356262E-3</v>
      </c>
      <c r="U113" s="150">
        <f>IFERROR(IF(OR(NOT(ISNUMBER('Price History'!U114)),NOT(ISNUMBER('Price History'!U113)),'Price History'!U113=0),"",'Price History'!U114/'Price History'!U113-1),"")</f>
        <v>-1.0340865568747581E-2</v>
      </c>
      <c r="V113" s="151">
        <f>IFERROR(IF(OR(NOT(ISNUMBER('Price History'!V114)),NOT(ISNUMBER('Price History'!V113)),'Price History'!V113=0),"",'Price History'!V114/'Price History'!V113-1),"")</f>
        <v>-1.9093494283558665E-2</v>
      </c>
      <c r="W113" s="152">
        <f>IFERROR('Price History'!B3+(INDEX('Price History'!B:B,MATCH(9.99E+307,'Returns (Calc)'!$A:$A)+1)-'Price History'!B3)*(ROW()-3)/(MATCH(9.99E+307,'Returns (Calc)'!$A:$A)-3),"")</f>
        <v>330.59943396226413</v>
      </c>
      <c r="X113" s="152">
        <f>IFERROR('Price History'!C3+(INDEX('Price History'!C:C,MATCH(9.99E+307,'Returns (Calc)'!$A:$A)+1)-'Price History'!C3)*(ROW()-3)/(MATCH(9.99E+307,'Returns (Calc)'!$A:$A)-3),"")</f>
        <v>164.17748427672956</v>
      </c>
      <c r="Y113" s="152">
        <f>IFERROR('Price History'!D3+(INDEX('Price History'!D:D,MATCH(9.99E+307,'Returns (Calc)'!$A:$A)+1)-'Price History'!D3)*(ROW()-3)/(MATCH(9.99E+307,'Returns (Calc)'!$A:$A)-3),"")</f>
        <v>1411.0433333333333</v>
      </c>
      <c r="Z113" s="152">
        <f>IFERROR('Price History'!E3+(INDEX('Price History'!E:E,MATCH(9.99E+307,'Returns (Calc)'!$A:$A)+1)-'Price History'!E3)*(ROW()-3)/(MATCH(9.99E+307,'Returns (Calc)'!$A:$A)-3),"")</f>
        <v>275.39245283018869</v>
      </c>
      <c r="AA113" s="152">
        <f>IFERROR('Price History'!F3+(INDEX('Price History'!F:F,MATCH(9.99E+307,'Returns (Calc)'!$A:$A)+1)-'Price History'!F3)*(ROW()-3)/(MATCH(9.99E+307,'Returns (Calc)'!$A:$A)-3),"")</f>
        <v>203.02540880503142</v>
      </c>
      <c r="AB113" s="152">
        <f>IFERROR('Price History'!G3+(INDEX('Price History'!G:G,MATCH(9.99E+307,'Returns (Calc)'!$A:$A)+1)-'Price History'!G3)*(ROW()-3)/(MATCH(9.99E+307,'Returns (Calc)'!$A:$A)-3),"")</f>
        <v>148.9676100628931</v>
      </c>
      <c r="AC113" s="152">
        <f>IFERROR('Price History'!H3+(INDEX('Price History'!H:H,MATCH(9.99E+307,'Returns (Calc)'!$A:$A)+1)-'Price History'!H3)*(ROW()-3)/(MATCH(9.99E+307,'Returns (Calc)'!$A:$A)-3),"")</f>
        <v>733.18484276729555</v>
      </c>
      <c r="AD113" s="152">
        <f>IFERROR('Price History'!I3+(INDEX('Price History'!I:I,MATCH(9.99E+307,'Returns (Calc)'!$A:$A)+1)-'Price History'!I3)*(ROW()-3)/(MATCH(9.99E+307,'Returns (Calc)'!$A:$A)-3),"")</f>
        <v>172.11025157232706</v>
      </c>
      <c r="AE113" s="152">
        <f>IFERROR('Price History'!J3+(INDEX('Price History'!J:J,MATCH(9.99E+307,'Returns (Calc)'!$A:$A)+1)-'Price History'!J3)*(ROW()-3)/(MATCH(9.99E+307,'Returns (Calc)'!$A:$A)-3),"")</f>
        <v>124.05069182389938</v>
      </c>
      <c r="AF113" s="152">
        <f>IFERROR('Price History'!K3+(INDEX('Price History'!K:K,MATCH(9.99E+307,'Returns (Calc)'!$A:$A)+1)-'Price History'!K3)*(ROW()-3)/(MATCH(9.99E+307,'Returns (Calc)'!$A:$A)-3),"")</f>
        <v>149.35012578616355</v>
      </c>
      <c r="AG113" s="152">
        <f>IFERROR('Price History'!L3+(INDEX('Price History'!L:L,MATCH(9.99E+307,'Returns (Calc)'!$A:$A)+1)-'Price History'!L3)*(ROW()-3)/(MATCH(9.99E+307,'Returns (Calc)'!$A:$A)-3),"")</f>
        <v>340.03679245283018</v>
      </c>
      <c r="AH113" s="152">
        <f>IFERROR('Price History'!M3+(INDEX('Price History'!M:M,MATCH(9.99E+307,'Returns (Calc)'!$A:$A)+1)-'Price History'!M3)*(ROW()-3)/(MATCH(9.99E+307,'Returns (Calc)'!$A:$A)-3),"")</f>
        <v>179.67786163522013</v>
      </c>
      <c r="AI113" s="152">
        <f>IFERROR('Price History'!N3+(INDEX('Price History'!N:N,MATCH(9.99E+307,'Returns (Calc)'!$A:$A)+1)-'Price History'!N3)*(ROW()-3)/(MATCH(9.99E+307,'Returns (Calc)'!$A:$A)-3),"")</f>
        <v>460.40817610062891</v>
      </c>
      <c r="AJ113" s="152">
        <f>IFERROR('Price History'!O3+(INDEX('Price History'!O:O,MATCH(9.99E+307,'Returns (Calc)'!$A:$A)+1)-'Price History'!O3)*(ROW()-3)/(MATCH(9.99E+307,'Returns (Calc)'!$A:$A)-3),"")</f>
        <v>105.9785534591195</v>
      </c>
      <c r="AK113" s="152">
        <f>IFERROR('Price History'!Q3+(INDEX('Price History'!Q:Q,MATCH(9.99E+307,'Returns (Calc)'!$A:$A)+1)-'Price History'!Q3)*(ROW()-3)/(MATCH(9.99E+307,'Returns (Calc)'!$A:$A)-3),"")</f>
        <v>48.406918238993711</v>
      </c>
      <c r="AL113" s="152">
        <f>IFERROR('Price History'!R3+(INDEX('Price History'!R:R,MATCH(9.99E+307,'Returns (Calc)'!$A:$A)+1)-'Price History'!R3)*(ROW()-3)/(MATCH(9.99E+307,'Returns (Calc)'!$A:$A)-3),"")</f>
        <v>52.88943396226415</v>
      </c>
      <c r="AM113" s="152">
        <f>IFERROR('Price History'!S3+(INDEX('Price History'!S:S,MATCH(9.99E+307,'Returns (Calc)'!$A:$A)+1)-'Price History'!S3)*(ROW()-3)/(MATCH(9.99E+307,'Returns (Calc)'!$A:$A)-3),"")</f>
        <v>122.33628930817611</v>
      </c>
      <c r="AN113" s="152">
        <f>IFERROR('Price History'!T3+(INDEX('Price History'!T:T,MATCH(9.99E+307,'Returns (Calc)'!$A:$A)+1)-'Price History'!T3)*(ROW()-3)/(MATCH(9.99E+307,'Returns (Calc)'!$A:$A)-3),"")</f>
        <v>44.334339622641508</v>
      </c>
      <c r="AO113" s="153">
        <f>IFERROR('Price History'!V3+(INDEX('Price History'!V:V,MATCH(9.99E+307,'Returns (Calc)'!$A:$A)+1)-'Price History'!V3)*(ROW()-3)/(MATCH(9.99E+307,'Returns (Calc)'!$A:$A)-3),"")</f>
        <v>339.2790566037736</v>
      </c>
      <c r="AP113" s="151">
        <f>IFERROR(IF(OR(NOT(ISNUMBER('Price History'!W114)),NOT(ISNUMBER('Price History'!W113)),'Price History'!W113=0),"",'Price History'!W114/'Price History'!W113-1),"")</f>
        <v>-7.3784722222223209E-3</v>
      </c>
      <c r="AQ113" s="151" t="str">
        <f>IFERROR(IF(OR(NOT(ISNUMBER('Price History'!X114)),NOT(ISNUMBER('Price History'!X113)),'Price History'!X113=0),"",'Price History'!X114/'Price History'!X113-1),"")</f>
        <v/>
      </c>
      <c r="AR113" s="151">
        <f>IFERROR(IF(OR(NOT(ISNUMBER('Price History'!Y114)),NOT(ISNUMBER('Price History'!Y113)),'Price History'!Y113=0),"",'Price History'!Y114/'Price History'!Y113-1),"")</f>
        <v>-9.9905749293118795E-3</v>
      </c>
      <c r="AS113" s="151">
        <f>IFERROR(IF(OR(NOT(ISNUMBER('Price History'!Z114)),NOT(ISNUMBER('Price History'!Z113)),'Price History'!Z113=0),"",'Price History'!Z114/'Price History'!Z113-1),"")</f>
        <v>1.6716220680541793E-2</v>
      </c>
      <c r="AT113" s="151">
        <f>IFERROR(IF(OR(NOT(ISNUMBER('Price History'!AA114)),NOT(ISNUMBER('Price History'!AA113)),'Price History'!AA113=0),"",'Price History'!AA114/'Price History'!AA113-1),"")</f>
        <v>2.2106513199963373E-2</v>
      </c>
      <c r="AU113" s="151">
        <f>IFERROR(IF(OR(NOT(ISNUMBER('Price History'!AB114)),NOT(ISNUMBER('Price History'!AB113)),'Price History'!AB113=0),"",'Price History'!AB114/'Price History'!AB113-1),"")</f>
        <v>-6.2111801242236142E-3</v>
      </c>
    </row>
    <row r="114" spans="1:47" ht="15" customHeight="1" x14ac:dyDescent="0.2">
      <c r="A114" s="149">
        <f>IF('Price History'!A115="","",'Price History'!A115)</f>
        <v>45968</v>
      </c>
      <c r="B114" s="150">
        <f>IFERROR(IF(OR(NOT(ISNUMBER('Price History'!B115)),NOT(ISNUMBER('Price History'!B114)),'Price History'!B114=0),"",'Price History'!B115/'Price History'!B114-1),"")</f>
        <v>-3.9258323293467789E-2</v>
      </c>
      <c r="C114" s="150">
        <f>IFERROR(IF(OR(NOT(ISNUMBER('Price History'!C115)),NOT(ISNUMBER('Price History'!C114)),'Price History'!C114=0),"",'Price History'!C115/'Price History'!C114-1),"")</f>
        <v>-0.14610945526032082</v>
      </c>
      <c r="D114" s="150">
        <f>IFERROR(IF(OR(NOT(ISNUMBER('Price History'!D115)),NOT(ISNUMBER('Price History'!D114)),'Price History'!D114=0),"",'Price History'!D115/'Price History'!D114-1),"")</f>
        <v>-3.9908174203401758E-2</v>
      </c>
      <c r="E114" s="150">
        <f>IFERROR(IF(OR(NOT(ISNUMBER('Price History'!E115)),NOT(ISNUMBER('Price History'!E114)),'Price History'!E114=0),"",'Price History'!E115/'Price History'!E114-1),"")</f>
        <v>-5.4647042790951117E-2</v>
      </c>
      <c r="F114" s="150">
        <f>IFERROR(IF(OR(NOT(ISNUMBER('Price History'!F115)),NOT(ISNUMBER('Price History'!F114)),'Price History'!F114=0),"",'Price History'!F115/'Price History'!F114-1),"")</f>
        <v>-5.8931860036832706E-3</v>
      </c>
      <c r="G114" s="150">
        <f>IFERROR(IF(OR(NOT(ISNUMBER('Price History'!G115)),NOT(ISNUMBER('Price History'!G114)),'Price History'!G114=0),"",'Price History'!G115/'Price History'!G114-1),"")</f>
        <v>-1.2725609248939507E-2</v>
      </c>
      <c r="H114" s="150">
        <f>IFERROR(IF(OR(NOT(ISNUMBER('Price History'!H115)),NOT(ISNUMBER('Price History'!H114)),'Price History'!H114=0),"",'Price History'!H115/'Price History'!H114-1),"")</f>
        <v>6.3252068888391744E-2</v>
      </c>
      <c r="I114" s="150">
        <f>IFERROR(IF(OR(NOT(ISNUMBER('Price History'!I115)),NOT(ISNUMBER('Price History'!I114)),'Price History'!I114=0),"",'Price History'!I115/'Price History'!I114-1),"")</f>
        <v>-7.0838077322904813E-2</v>
      </c>
      <c r="J114" s="150">
        <f>IFERROR(IF(OR(NOT(ISNUMBER('Price History'!J115)),NOT(ISNUMBER('Price History'!J114)),'Price History'!J114=0),"",'Price History'!J115/'Price History'!J114-1),"")</f>
        <v>1.2218435707755049E-2</v>
      </c>
      <c r="K114" s="150">
        <f>IFERROR(IF(OR(NOT(ISNUMBER('Price History'!K115)),NOT(ISNUMBER('Price History'!K114)),'Price History'!K114=0),"",'Price History'!K115/'Price History'!K114-1),"")</f>
        <v>-0.1124357759265725</v>
      </c>
      <c r="L114" s="150">
        <f>IFERROR(IF(OR(NOT(ISNUMBER('Price History'!L115)),NOT(ISNUMBER('Price History'!L114)),'Price History'!L114=0),"",'Price History'!L115/'Price History'!L114-1),"")</f>
        <v>-4.6353606027986993E-2</v>
      </c>
      <c r="M114" s="150">
        <f>IFERROR(IF(OR(NOT(ISNUMBER('Price History'!M115)),NOT(ISNUMBER('Price History'!M114)),'Price History'!M114=0),"",'Price History'!M115/'Price History'!M114-1),"")</f>
        <v>-6.7687516221126343E-2</v>
      </c>
      <c r="N114" s="150">
        <f>IFERROR(IF(OR(NOT(ISNUMBER('Price History'!N115)),NOT(ISNUMBER('Price History'!N114)),'Price History'!N114=0),"",'Price History'!N115/'Price History'!N114-1),"")</f>
        <v>-3.7831614070540587E-2</v>
      </c>
      <c r="O114" s="150">
        <f>IFERROR(IF(OR(NOT(ISNUMBER('Price History'!O115)),NOT(ISNUMBER('Price History'!O114)),'Price History'!O114=0),"",'Price History'!O115/'Price History'!O114-1),"")</f>
        <v>-6.2163282221305849E-4</v>
      </c>
      <c r="P114" s="150">
        <f>IFERROR(IF(OR(NOT(ISNUMBER('Price History'!P115)),NOT(ISNUMBER('Price History'!P114)),'Price History'!P114=0),"",'Price History'!P115/'Price History'!P114-1),"")</f>
        <v>7.441029838529678E-3</v>
      </c>
      <c r="Q114" s="150">
        <f>IFERROR(IF(OR(NOT(ISNUMBER('Price History'!Q115)),NOT(ISNUMBER('Price History'!Q114)),'Price History'!Q114=0),"",'Price History'!Q115/'Price History'!Q114-1),"")</f>
        <v>-5.0597976080956064E-3</v>
      </c>
      <c r="R114" s="150">
        <f>IFERROR(IF(OR(NOT(ISNUMBER('Price History'!R115)),NOT(ISNUMBER('Price History'!R114)),'Price History'!R114=0),"",'Price History'!R115/'Price History'!R114-1),"")</f>
        <v>-1.5592317931165667E-2</v>
      </c>
      <c r="S114" s="150">
        <f>IFERROR(IF(OR(NOT(ISNUMBER('Price History'!S115)),NOT(ISNUMBER('Price History'!S114)),'Price History'!S114=0),"",'Price History'!S115/'Price History'!S114-1),"")</f>
        <v>-2.601922439509452E-2</v>
      </c>
      <c r="T114" s="150">
        <f>IFERROR(IF(OR(NOT(ISNUMBER('Price History'!T115)),NOT(ISNUMBER('Price History'!T114)),'Price History'!T114=0),"",'Price History'!T115/'Price History'!T114-1),"")</f>
        <v>2.1384656508955935E-3</v>
      </c>
      <c r="U114" s="150">
        <f>IFERROR(IF(OR(NOT(ISNUMBER('Price History'!U115)),NOT(ISNUMBER('Price History'!U114)),'Price History'!U114=0),"",'Price History'!U115/'Price History'!U114-1),"")</f>
        <v>-1.1609907120743168E-3</v>
      </c>
      <c r="V114" s="151">
        <f>IFERROR(IF(OR(NOT(ISNUMBER('Price History'!V115)),NOT(ISNUMBER('Price History'!V114)),'Price History'!V114=0),"",'Price History'!V115/'Price History'!V114-1),"")</f>
        <v>-1.3874097739912439E-2</v>
      </c>
      <c r="W114" s="152">
        <f>IFERROR('Price History'!B3+(INDEX('Price History'!B:B,MATCH(9.99E+307,'Returns (Calc)'!$A:$A)+1)-'Price History'!B3)*(ROW()-3)/(MATCH(9.99E+307,'Returns (Calc)'!$A:$A)-3),"")</f>
        <v>328.79679245283018</v>
      </c>
      <c r="X114" s="152">
        <f>IFERROR('Price History'!C3+(INDEX('Price History'!C:C,MATCH(9.99E+307,'Returns (Calc)'!$A:$A)+1)-'Price History'!C3)*(ROW()-3)/(MATCH(9.99E+307,'Returns (Calc)'!$A:$A)-3),"")</f>
        <v>165.25018867924527</v>
      </c>
      <c r="Y114" s="152">
        <f>IFERROR('Price History'!D3+(INDEX('Price History'!D:D,MATCH(9.99E+307,'Returns (Calc)'!$A:$A)+1)-'Price History'!D3)*(ROW()-3)/(MATCH(9.99E+307,'Returns (Calc)'!$A:$A)-3),"")</f>
        <v>1418.58</v>
      </c>
      <c r="Z114" s="152">
        <f>IFERROR('Price History'!E3+(INDEX('Price History'!E:E,MATCH(9.99E+307,'Returns (Calc)'!$A:$A)+1)-'Price History'!E3)*(ROW()-3)/(MATCH(9.99E+307,'Returns (Calc)'!$A:$A)-3),"")</f>
        <v>277.15056603773587</v>
      </c>
      <c r="AA114" s="152">
        <f>IFERROR('Price History'!F3+(INDEX('Price History'!F:F,MATCH(9.99E+307,'Returns (Calc)'!$A:$A)+1)-'Price History'!F3)*(ROW()-3)/(MATCH(9.99E+307,'Returns (Calc)'!$A:$A)-3),"")</f>
        <v>204.49509433962265</v>
      </c>
      <c r="AB114" s="152">
        <f>IFERROR('Price History'!G3+(INDEX('Price History'!G:G,MATCH(9.99E+307,'Returns (Calc)'!$A:$A)+1)-'Price History'!G3)*(ROW()-3)/(MATCH(9.99E+307,'Returns (Calc)'!$A:$A)-3),"")</f>
        <v>149.91867924528302</v>
      </c>
      <c r="AC114" s="152">
        <f>IFERROR('Price History'!H3+(INDEX('Price History'!H:H,MATCH(9.99E+307,'Returns (Calc)'!$A:$A)+1)-'Price History'!H3)*(ROW()-3)/(MATCH(9.99E+307,'Returns (Calc)'!$A:$A)-3),"")</f>
        <v>739.22188679245278</v>
      </c>
      <c r="AD114" s="152">
        <f>IFERROR('Price History'!I3+(INDEX('Price History'!I:I,MATCH(9.99E+307,'Returns (Calc)'!$A:$A)+1)-'Price History'!I3)*(ROW()-3)/(MATCH(9.99E+307,'Returns (Calc)'!$A:$A)-3),"")</f>
        <v>173.27698113207549</v>
      </c>
      <c r="AE114" s="152">
        <f>IFERROR('Price History'!J3+(INDEX('Price History'!J:J,MATCH(9.99E+307,'Returns (Calc)'!$A:$A)+1)-'Price History'!J3)*(ROW()-3)/(MATCH(9.99E+307,'Returns (Calc)'!$A:$A)-3),"")</f>
        <v>124.16169811320755</v>
      </c>
      <c r="AF114" s="152">
        <f>IFERROR('Price History'!K3+(INDEX('Price History'!K:K,MATCH(9.99E+307,'Returns (Calc)'!$A:$A)+1)-'Price History'!K3)*(ROW()-3)/(MATCH(9.99E+307,'Returns (Calc)'!$A:$A)-3),"")</f>
        <v>150.56849056603772</v>
      </c>
      <c r="AG114" s="152">
        <f>IFERROR('Price History'!L3+(INDEX('Price History'!L:L,MATCH(9.99E+307,'Returns (Calc)'!$A:$A)+1)-'Price History'!L3)*(ROW()-3)/(MATCH(9.99E+307,'Returns (Calc)'!$A:$A)-3),"")</f>
        <v>342.34849056603775</v>
      </c>
      <c r="AH114" s="152">
        <f>IFERROR('Price History'!M3+(INDEX('Price History'!M:M,MATCH(9.99E+307,'Returns (Calc)'!$A:$A)+1)-'Price History'!M3)*(ROW()-3)/(MATCH(9.99E+307,'Returns (Calc)'!$A:$A)-3),"")</f>
        <v>180.96566037735852</v>
      </c>
      <c r="AI114" s="152">
        <f>IFERROR('Price History'!N3+(INDEX('Price History'!N:N,MATCH(9.99E+307,'Returns (Calc)'!$A:$A)+1)-'Price History'!N3)*(ROW()-3)/(MATCH(9.99E+307,'Returns (Calc)'!$A:$A)-3),"")</f>
        <v>461.42188679245282</v>
      </c>
      <c r="AJ114" s="152">
        <f>IFERROR('Price History'!O3+(INDEX('Price History'!O:O,MATCH(9.99E+307,'Returns (Calc)'!$A:$A)+1)-'Price History'!O3)*(ROW()-3)/(MATCH(9.99E+307,'Returns (Calc)'!$A:$A)-3),"")</f>
        <v>106.25735849056605</v>
      </c>
      <c r="AK114" s="152">
        <f>IFERROR('Price History'!Q3+(INDEX('Price History'!Q:Q,MATCH(9.99E+307,'Returns (Calc)'!$A:$A)+1)-'Price History'!Q3)*(ROW()-3)/(MATCH(9.99E+307,'Returns (Calc)'!$A:$A)-3),"")</f>
        <v>48.84698113207547</v>
      </c>
      <c r="AL114" s="152">
        <f>IFERROR('Price History'!R3+(INDEX('Price History'!R:R,MATCH(9.99E+307,'Returns (Calc)'!$A:$A)+1)-'Price History'!R3)*(ROW()-3)/(MATCH(9.99E+307,'Returns (Calc)'!$A:$A)-3),"")</f>
        <v>53.056792452830194</v>
      </c>
      <c r="AM114" s="152">
        <f>IFERROR('Price History'!S3+(INDEX('Price History'!S:S,MATCH(9.99E+307,'Returns (Calc)'!$A:$A)+1)-'Price History'!S3)*(ROW()-3)/(MATCH(9.99E+307,'Returns (Calc)'!$A:$A)-3),"")</f>
        <v>122.9245283018868</v>
      </c>
      <c r="AN114" s="152">
        <f>IFERROR('Price History'!T3+(INDEX('Price History'!T:T,MATCH(9.99E+307,'Returns (Calc)'!$A:$A)+1)-'Price History'!T3)*(ROW()-3)/(MATCH(9.99E+307,'Returns (Calc)'!$A:$A)-3),"")</f>
        <v>44.507924528301885</v>
      </c>
      <c r="AO114" s="153">
        <f>IFERROR('Price History'!V3+(INDEX('Price History'!V:V,MATCH(9.99E+307,'Returns (Calc)'!$A:$A)+1)-'Price History'!V3)*(ROW()-3)/(MATCH(9.99E+307,'Returns (Calc)'!$A:$A)-3),"")</f>
        <v>340.221320754717</v>
      </c>
      <c r="AP114" s="151">
        <f>IFERROR(IF(OR(NOT(ISNUMBER('Price History'!W115)),NOT(ISNUMBER('Price History'!W114)),'Price History'!W114=0),"",'Price History'!W115/'Price History'!W114-1),"")</f>
        <v>-2.1862702229996644E-3</v>
      </c>
      <c r="AQ114" s="151" t="str">
        <f>IFERROR(IF(OR(NOT(ISNUMBER('Price History'!X115)),NOT(ISNUMBER('Price History'!X114)),'Price History'!X114=0),"",'Price History'!X115/'Price History'!X114-1),"")</f>
        <v/>
      </c>
      <c r="AR114" s="151">
        <f>IFERROR(IF(OR(NOT(ISNUMBER('Price History'!Y115)),NOT(ISNUMBER('Price History'!Y114)),'Price History'!Y114=0),"",'Price History'!Y115/'Price History'!Y114-1),"")</f>
        <v>-1.5232292460016783E-3</v>
      </c>
      <c r="AS114" s="151">
        <f>IFERROR(IF(OR(NOT(ISNUMBER('Price History'!Z115)),NOT(ISNUMBER('Price History'!Z114)),'Price History'!Z114=0),"",'Price History'!Z115/'Price History'!Z114-1),"")</f>
        <v>-5.4263062126332917E-3</v>
      </c>
      <c r="AT114" s="151">
        <f>IFERROR(IF(OR(NOT(ISNUMBER('Price History'!AA115)),NOT(ISNUMBER('Price History'!AA114)),'Price History'!AA114=0),"",'Price History'!AA115/'Price History'!AA114-1),"")</f>
        <v>-1.3584770756993492E-2</v>
      </c>
      <c r="AU114" s="151">
        <f>IFERROR(IF(OR(NOT(ISNUMBER('Price History'!AB115)),NOT(ISNUMBER('Price History'!AB114)),'Price History'!AB114=0),"",'Price History'!AB115/'Price History'!AB114-1),"")</f>
        <v>1.2568681318681385E-2</v>
      </c>
    </row>
    <row r="115" spans="1:47" ht="15" customHeight="1" x14ac:dyDescent="0.2">
      <c r="A115" s="149">
        <f>IF('Price History'!A116="","",'Price History'!A116)</f>
        <v>45975</v>
      </c>
      <c r="B115" s="150">
        <f>IFERROR(IF(OR(NOT(ISNUMBER('Price History'!B116)),NOT(ISNUMBER('Price History'!B115)),'Price History'!B115=0),"",'Price History'!B116/'Price History'!B115-1),"")</f>
        <v>1.2723658051689846E-2</v>
      </c>
      <c r="C115" s="150">
        <f>IFERROR(IF(OR(NOT(ISNUMBER('Price History'!C116)),NOT(ISNUMBER('Price History'!C115)),'Price History'!C115=0),"",'Price History'!C116/'Price History'!C115-1),"")</f>
        <v>-2.4359450427033025E-2</v>
      </c>
      <c r="D115" s="150">
        <f>IFERROR(IF(OR(NOT(ISNUMBER('Price History'!D116)),NOT(ISNUMBER('Price History'!D115)),'Price History'!D115=0),"",'Price History'!D116/'Price History'!D115-1),"")</f>
        <v>-9.8112834700129214E-3</v>
      </c>
      <c r="E115" s="150">
        <f>IFERROR(IF(OR(NOT(ISNUMBER('Price History'!E116)),NOT(ISNUMBER('Price History'!E115)),'Price History'!E115=0),"",'Price History'!E116/'Price History'!E115-1),"")</f>
        <v>-1.9950987458555614E-2</v>
      </c>
      <c r="F115" s="150">
        <f>IFERROR(IF(OR(NOT(ISNUMBER('Price History'!F116)),NOT(ISNUMBER('Price History'!F115)),'Price History'!F115=0),"",'Price History'!F116/'Price History'!F115-1),"")</f>
        <v>-4.1496850685439624E-3</v>
      </c>
      <c r="G115" s="150">
        <f>IFERROR(IF(OR(NOT(ISNUMBER('Price History'!G116)),NOT(ISNUMBER('Price History'!G115)),'Price History'!G115=0),"",'Price History'!G116/'Price History'!G115-1),"")</f>
        <v>-4.9536647009267187E-2</v>
      </c>
      <c r="H115" s="150">
        <f>IFERROR(IF(OR(NOT(ISNUMBER('Price History'!H116)),NOT(ISNUMBER('Price History'!H115)),'Price History'!H115=0),"",'Price History'!H116/'Price History'!H115-1),"")</f>
        <v>3.7443729227144562E-2</v>
      </c>
      <c r="I115" s="150">
        <f>IFERROR(IF(OR(NOT(ISNUMBER('Price History'!I116)),NOT(ISNUMBER('Price History'!I115)),'Price History'!I115=0),"",'Price History'!I116/'Price History'!I115-1),"")</f>
        <v>1.0761854022376172E-2</v>
      </c>
      <c r="J115" s="150">
        <f>IFERROR(IF(OR(NOT(ISNUMBER('Price History'!J116)),NOT(ISNUMBER('Price History'!J115)),'Price History'!J115=0),"",'Price History'!J116/'Price History'!J115-1),"")</f>
        <v>-2.2089012974215727E-2</v>
      </c>
      <c r="K115" s="150">
        <f>IFERROR(IF(OR(NOT(ISNUMBER('Price History'!K116)),NOT(ISNUMBER('Price History'!K115)),'Price History'!K115=0),"",'Price History'!K116/'Price History'!K115-1),"")</f>
        <v>-2.2031135839937099E-2</v>
      </c>
      <c r="L115" s="150">
        <f>IFERROR(IF(OR(NOT(ISNUMBER('Price History'!L116)),NOT(ISNUMBER('Price History'!L115)),'Price History'!L115=0),"",'Price History'!L116/'Price History'!L115-1),"")</f>
        <v>-5.855379188712595E-3</v>
      </c>
      <c r="M115" s="150">
        <f>IFERROR(IF(OR(NOT(ISNUMBER('Price History'!M116)),NOT(ISNUMBER('Price History'!M115)),'Price History'!M115=0),"",'Price History'!M116/'Price History'!M115-1),"")</f>
        <v>-4.9106397193920293E-2</v>
      </c>
      <c r="N115" s="150">
        <f>IFERROR(IF(OR(NOT(ISNUMBER('Price History'!N116)),NOT(ISNUMBER('Price History'!N115)),'Price History'!N115=0),"",'Price History'!N116/'Price History'!N115-1),"")</f>
        <v>6.7599579944806587E-2</v>
      </c>
      <c r="O115" s="150">
        <f>IFERROR(IF(OR(NOT(ISNUMBER('Price History'!O116)),NOT(ISNUMBER('Price History'!O115)),'Price History'!O115=0),"",'Price History'!O116/'Price History'!O115-1),"")</f>
        <v>-1.4513788098693414E-3</v>
      </c>
      <c r="P115" s="150">
        <f>IFERROR(IF(OR(NOT(ISNUMBER('Price History'!P116)),NOT(ISNUMBER('Price History'!P115)),'Price History'!P115=0),"",'Price History'!P116/'Price History'!P115-1),"")</f>
        <v>3.1021493463330163E-3</v>
      </c>
      <c r="Q115" s="150">
        <f>IFERROR(IF(OR(NOT(ISNUMBER('Price History'!Q116)),NOT(ISNUMBER('Price History'!Q115)),'Price History'!Q115=0),"",'Price History'!Q116/'Price History'!Q115-1),"")</f>
        <v>1.5410695022344267E-3</v>
      </c>
      <c r="R115" s="150">
        <f>IFERROR(IF(OR(NOT(ISNUMBER('Price History'!R116)),NOT(ISNUMBER('Price History'!R115)),'Price History'!R115=0),"",'Price History'!R116/'Price History'!R115-1),"")</f>
        <v>1.9316206297081973E-3</v>
      </c>
      <c r="S115" s="150">
        <f>IFERROR(IF(OR(NOT(ISNUMBER('Price History'!S116)),NOT(ISNUMBER('Price History'!S115)),'Price History'!S115=0),"",'Price History'!S116/'Price History'!S115-1),"")</f>
        <v>-5.9554194316828735E-3</v>
      </c>
      <c r="T115" s="150">
        <f>IFERROR(IF(OR(NOT(ISNUMBER('Price History'!T116)),NOT(ISNUMBER('Price History'!T115)),'Price History'!T115=0),"",'Price History'!T116/'Price History'!T115-1),"")</f>
        <v>1.1202987463323488E-2</v>
      </c>
      <c r="U115" s="150">
        <f>IFERROR(IF(OR(NOT(ISNUMBER('Price History'!U116)),NOT(ISNUMBER('Price History'!U115)),'Price History'!U115=0),"",'Price History'!U116/'Price History'!U115-1),"")</f>
        <v>1.97597830298335E-2</v>
      </c>
      <c r="V115" s="151">
        <f>IFERROR(IF(OR(NOT(ISNUMBER('Price History'!V116)),NOT(ISNUMBER('Price History'!V115)),'Price History'!V115=0),"",'Price History'!V116/'Price History'!V115-1),"")</f>
        <v>-1.5899205039748066E-2</v>
      </c>
      <c r="W115" s="152">
        <f>IFERROR('Price History'!B3+(INDEX('Price History'!B:B,MATCH(9.99E+307,'Returns (Calc)'!$A:$A)+1)-'Price History'!B3)*(ROW()-3)/(MATCH(9.99E+307,'Returns (Calc)'!$A:$A)-3),"")</f>
        <v>326.99415094339622</v>
      </c>
      <c r="X115" s="152">
        <f>IFERROR('Price History'!C3+(INDEX('Price History'!C:C,MATCH(9.99E+307,'Returns (Calc)'!$A:$A)+1)-'Price History'!C3)*(ROW()-3)/(MATCH(9.99E+307,'Returns (Calc)'!$A:$A)-3),"")</f>
        <v>166.32289308176101</v>
      </c>
      <c r="Y115" s="152">
        <f>IFERROR('Price History'!D3+(INDEX('Price History'!D:D,MATCH(9.99E+307,'Returns (Calc)'!$A:$A)+1)-'Price History'!D3)*(ROW()-3)/(MATCH(9.99E+307,'Returns (Calc)'!$A:$A)-3),"")</f>
        <v>1426.1166666666666</v>
      </c>
      <c r="Z115" s="152">
        <f>IFERROR('Price History'!E3+(INDEX('Price History'!E:E,MATCH(9.99E+307,'Returns (Calc)'!$A:$A)+1)-'Price History'!E3)*(ROW()-3)/(MATCH(9.99E+307,'Returns (Calc)'!$A:$A)-3),"")</f>
        <v>278.908679245283</v>
      </c>
      <c r="AA115" s="152">
        <f>IFERROR('Price History'!F3+(INDEX('Price History'!F:F,MATCH(9.99E+307,'Returns (Calc)'!$A:$A)+1)-'Price History'!F3)*(ROW()-3)/(MATCH(9.99E+307,'Returns (Calc)'!$A:$A)-3),"")</f>
        <v>205.96477987421383</v>
      </c>
      <c r="AB115" s="152">
        <f>IFERROR('Price History'!G3+(INDEX('Price History'!G:G,MATCH(9.99E+307,'Returns (Calc)'!$A:$A)+1)-'Price History'!G3)*(ROW()-3)/(MATCH(9.99E+307,'Returns (Calc)'!$A:$A)-3),"")</f>
        <v>150.86974842767296</v>
      </c>
      <c r="AC115" s="152">
        <f>IFERROR('Price History'!H3+(INDEX('Price History'!H:H,MATCH(9.99E+307,'Returns (Calc)'!$A:$A)+1)-'Price History'!H3)*(ROW()-3)/(MATCH(9.99E+307,'Returns (Calc)'!$A:$A)-3),"")</f>
        <v>745.25893081761001</v>
      </c>
      <c r="AD115" s="152">
        <f>IFERROR('Price History'!I3+(INDEX('Price History'!I:I,MATCH(9.99E+307,'Returns (Calc)'!$A:$A)+1)-'Price History'!I3)*(ROW()-3)/(MATCH(9.99E+307,'Returns (Calc)'!$A:$A)-3),"")</f>
        <v>174.4437106918239</v>
      </c>
      <c r="AE115" s="152">
        <f>IFERROR('Price History'!J3+(INDEX('Price History'!J:J,MATCH(9.99E+307,'Returns (Calc)'!$A:$A)+1)-'Price History'!J3)*(ROW()-3)/(MATCH(9.99E+307,'Returns (Calc)'!$A:$A)-3),"")</f>
        <v>124.27270440251573</v>
      </c>
      <c r="AF115" s="152">
        <f>IFERROR('Price History'!K3+(INDEX('Price History'!K:K,MATCH(9.99E+307,'Returns (Calc)'!$A:$A)+1)-'Price History'!K3)*(ROW()-3)/(MATCH(9.99E+307,'Returns (Calc)'!$A:$A)-3),"")</f>
        <v>151.78685534591196</v>
      </c>
      <c r="AG115" s="152">
        <f>IFERROR('Price History'!L3+(INDEX('Price History'!L:L,MATCH(9.99E+307,'Returns (Calc)'!$A:$A)+1)-'Price History'!L3)*(ROW()-3)/(MATCH(9.99E+307,'Returns (Calc)'!$A:$A)-3),"")</f>
        <v>344.66018867924527</v>
      </c>
      <c r="AH115" s="152">
        <f>IFERROR('Price History'!M3+(INDEX('Price History'!M:M,MATCH(9.99E+307,'Returns (Calc)'!$A:$A)+1)-'Price History'!M3)*(ROW()-3)/(MATCH(9.99E+307,'Returns (Calc)'!$A:$A)-3),"")</f>
        <v>182.25345911949685</v>
      </c>
      <c r="AI115" s="152">
        <f>IFERROR('Price History'!N3+(INDEX('Price History'!N:N,MATCH(9.99E+307,'Returns (Calc)'!$A:$A)+1)-'Price History'!N3)*(ROW()-3)/(MATCH(9.99E+307,'Returns (Calc)'!$A:$A)-3),"")</f>
        <v>462.43559748427674</v>
      </c>
      <c r="AJ115" s="152">
        <f>IFERROR('Price History'!O3+(INDEX('Price History'!O:O,MATCH(9.99E+307,'Returns (Calc)'!$A:$A)+1)-'Price History'!O3)*(ROW()-3)/(MATCH(9.99E+307,'Returns (Calc)'!$A:$A)-3),"")</f>
        <v>106.53616352201259</v>
      </c>
      <c r="AK115" s="152">
        <f>IFERROR('Price History'!Q3+(INDEX('Price History'!Q:Q,MATCH(9.99E+307,'Returns (Calc)'!$A:$A)+1)-'Price History'!Q3)*(ROW()-3)/(MATCH(9.99E+307,'Returns (Calc)'!$A:$A)-3),"")</f>
        <v>49.287044025157229</v>
      </c>
      <c r="AL115" s="152">
        <f>IFERROR('Price History'!R3+(INDEX('Price History'!R:R,MATCH(9.99E+307,'Returns (Calc)'!$A:$A)+1)-'Price History'!R3)*(ROW()-3)/(MATCH(9.99E+307,'Returns (Calc)'!$A:$A)-3),"")</f>
        <v>53.224150943396225</v>
      </c>
      <c r="AM115" s="152">
        <f>IFERROR('Price History'!S3+(INDEX('Price History'!S:S,MATCH(9.99E+307,'Returns (Calc)'!$A:$A)+1)-'Price History'!S3)*(ROW()-3)/(MATCH(9.99E+307,'Returns (Calc)'!$A:$A)-3),"")</f>
        <v>123.51276729559748</v>
      </c>
      <c r="AN115" s="152">
        <f>IFERROR('Price History'!T3+(INDEX('Price History'!T:T,MATCH(9.99E+307,'Returns (Calc)'!$A:$A)+1)-'Price History'!T3)*(ROW()-3)/(MATCH(9.99E+307,'Returns (Calc)'!$A:$A)-3),"")</f>
        <v>44.681509433962269</v>
      </c>
      <c r="AO115" s="153">
        <f>IFERROR('Price History'!V3+(INDEX('Price History'!V:V,MATCH(9.99E+307,'Returns (Calc)'!$A:$A)+1)-'Price History'!V3)*(ROW()-3)/(MATCH(9.99E+307,'Returns (Calc)'!$A:$A)-3),"")</f>
        <v>341.1635849056604</v>
      </c>
      <c r="AP115" s="151">
        <f>IFERROR(IF(OR(NOT(ISNUMBER('Price History'!W116)),NOT(ISNUMBER('Price History'!W115)),'Price History'!W115=0),"",'Price History'!W116/'Price History'!W115-1),"")</f>
        <v>5.2585451358457824E-3</v>
      </c>
      <c r="AQ115" s="151" t="str">
        <f>IFERROR(IF(OR(NOT(ISNUMBER('Price History'!X116)),NOT(ISNUMBER('Price History'!X115)),'Price History'!X115=0),"",'Price History'!X116/'Price History'!X115-1),"")</f>
        <v/>
      </c>
      <c r="AR115" s="151">
        <f>IFERROR(IF(OR(NOT(ISNUMBER('Price History'!Y116)),NOT(ISNUMBER('Price History'!Y115)),'Price History'!Y115=0),"",'Price History'!Y116/'Price History'!Y115-1),"")</f>
        <v>5.1487414187643132E-3</v>
      </c>
      <c r="AS115" s="151">
        <f>IFERROR(IF(OR(NOT(ISNUMBER('Price History'!Z116)),NOT(ISNUMBER('Price History'!Z115)),'Price History'!Z115=0),"",'Price History'!Z116/'Price History'!Z115-1),"")</f>
        <v>-7.9715116469012415E-3</v>
      </c>
      <c r="AT115" s="151">
        <f>IFERROR(IF(OR(NOT(ISNUMBER('Price History'!AA116)),NOT(ISNUMBER('Price History'!AA115)),'Price History'!AA115=0),"",'Price History'!AA116/'Price History'!AA115-1),"")</f>
        <v>7.7013681253963462E-3</v>
      </c>
      <c r="AU115" s="151">
        <f>IFERROR(IF(OR(NOT(ISNUMBER('Price History'!AB116)),NOT(ISNUMBER('Price History'!AB115)),'Price History'!AB115=0),"",'Price History'!AB116/'Price History'!AB115-1),"")</f>
        <v>-5.0871600081394686E-3</v>
      </c>
    </row>
    <row r="116" spans="1:47" ht="15" customHeight="1" x14ac:dyDescent="0.2">
      <c r="A116" s="149">
        <f>IF('Price History'!A117="","",'Price History'!A117)</f>
        <v>45982</v>
      </c>
      <c r="B116" s="150">
        <f>IFERROR(IF(OR(NOT(ISNUMBER('Price History'!B117)),NOT(ISNUMBER('Price History'!B116)),'Price History'!B116=0),"",'Price History'!B117/'Price History'!B116-1),"")</f>
        <v>-2.08993989912718E-2</v>
      </c>
      <c r="C116" s="150">
        <f>IFERROR(IF(OR(NOT(ISNUMBER('Price History'!C117)),NOT(ISNUMBER('Price History'!C116)),'Price History'!C116=0),"",'Price History'!C117/'Price History'!C116-1),"")</f>
        <v>-0.10611250666057692</v>
      </c>
      <c r="D116" s="150">
        <f>IFERROR(IF(OR(NOT(ISNUMBER('Price History'!D117)),NOT(ISNUMBER('Price History'!D116)),'Price History'!D116=0),"",'Price History'!D117/'Price History'!D116-1),"")</f>
        <v>-4.013291158186727E-2</v>
      </c>
      <c r="E116" s="150">
        <f>IFERROR(IF(OR(NOT(ISNUMBER('Price History'!E117)),NOT(ISNUMBER('Price History'!E116)),'Price History'!E116=0),"",'Price History'!E117/'Price History'!E116-1),"")</f>
        <v>-6.5895919748183429E-3</v>
      </c>
      <c r="F116" s="150">
        <f>IFERROR(IF(OR(NOT(ISNUMBER('Price History'!F117)),NOT(ISNUMBER('Price History'!F116)),'Price History'!F116=0),"",'Price History'!F117/'Price History'!F116-1),"")</f>
        <v>-8.7208869707567471E-2</v>
      </c>
      <c r="G116" s="150">
        <f>IFERROR(IF(OR(NOT(ISNUMBER('Price History'!G117)),NOT(ISNUMBER('Price History'!G116)),'Price History'!G116=0),"",'Price History'!G117/'Price History'!G116-1),"")</f>
        <v>-3.1111505052295652E-2</v>
      </c>
      <c r="H116" s="150">
        <f>IFERROR(IF(OR(NOT(ISNUMBER('Price History'!H117)),NOT(ISNUMBER('Price History'!H116)),'Price History'!H116=0),"",'Price History'!H117/'Price History'!H116-1),"")</f>
        <v>-0.15986049718155648</v>
      </c>
      <c r="I116" s="150">
        <f>IFERROR(IF(OR(NOT(ISNUMBER('Price History'!I117)),NOT(ISNUMBER('Price History'!I116)),'Price History'!I116=0),"",'Price History'!I117/'Price History'!I116-1),"")</f>
        <v>-5.9403331224963107E-2</v>
      </c>
      <c r="J116" s="150">
        <f>IFERROR(IF(OR(NOT(ISNUMBER('Price History'!J117)),NOT(ISNUMBER('Price History'!J116)),'Price History'!J116=0),"",'Price History'!J117/'Price History'!J116-1),"")</f>
        <v>2.4099420606264133E-2</v>
      </c>
      <c r="K116" s="150">
        <f>IFERROR(IF(OR(NOT(ISNUMBER('Price History'!K117)),NOT(ISNUMBER('Price History'!K116)),'Price History'!K116=0),"",'Price History'!K117/'Price History'!K116-1),"")</f>
        <v>-0.11010861444744557</v>
      </c>
      <c r="L116" s="150">
        <f>IFERROR(IF(OR(NOT(ISNUMBER('Price History'!L117)),NOT(ISNUMBER('Price History'!L116)),'Price History'!L116=0),"",'Price History'!L117/'Price History'!L116-1),"")</f>
        <v>-3.4274765824581221E-2</v>
      </c>
      <c r="M116" s="150">
        <f>IFERROR(IF(OR(NOT(ISNUMBER('Price History'!M117)),NOT(ISNUMBER('Price History'!M116)),'Price History'!M116=0),"",'Price History'!M117/'Price History'!M116-1),"")</f>
        <v>-6.5167749868259239E-2</v>
      </c>
      <c r="N116" s="150">
        <f>IFERROR(IF(OR(NOT(ISNUMBER('Price History'!N117)),NOT(ISNUMBER('Price History'!N116)),'Price History'!N116=0),"",'Price History'!N117/'Price History'!N116-1),"")</f>
        <v>-2.3767585496969001E-2</v>
      </c>
      <c r="O116" s="150">
        <f>IFERROR(IF(OR(NOT(ISNUMBER('Price History'!O117)),NOT(ISNUMBER('Price History'!O116)),'Price History'!O116=0),"",'Price History'!O117/'Price History'!O116-1),"")</f>
        <v>-7.7865448504983448E-3</v>
      </c>
      <c r="P116" s="150">
        <f>IFERROR(IF(OR(NOT(ISNUMBER('Price History'!P117)),NOT(ISNUMBER('Price History'!P116)),'Price History'!P116=0),"",'Price History'!P117/'Price History'!P116-1),"")</f>
        <v>-4.9333627862455653E-3</v>
      </c>
      <c r="Q116" s="150">
        <f>IFERROR(IF(OR(NOT(ISNUMBER('Price History'!Q117)),NOT(ISNUMBER('Price History'!Q116)),'Price History'!Q116=0),"",'Price History'!Q117/'Price History'!Q116-1),"")</f>
        <v>-8.9244499153715573E-3</v>
      </c>
      <c r="R116" s="150">
        <f>IFERROR(IF(OR(NOT(ISNUMBER('Price History'!R117)),NOT(ISNUMBER('Price History'!R116)),'Price History'!R116=0),"",'Price History'!R117/'Price History'!R116-1),"")</f>
        <v>-2.7376132639290396E-2</v>
      </c>
      <c r="S116" s="150">
        <f>IFERROR(IF(OR(NOT(ISNUMBER('Price History'!S117)),NOT(ISNUMBER('Price History'!S116)),'Price History'!S116=0),"",'Price History'!S117/'Price History'!S116-1),"")</f>
        <v>-2.9955494693598039E-2</v>
      </c>
      <c r="T116" s="150">
        <f>IFERROR(IF(OR(NOT(ISNUMBER('Price History'!T117)),NOT(ISNUMBER('Price History'!T116)),'Price History'!T116=0),"",'Price History'!T117/'Price History'!T116-1),"")</f>
        <v>-2.0047480875758361E-2</v>
      </c>
      <c r="U116" s="150">
        <f>IFERROR(IF(OR(NOT(ISNUMBER('Price History'!U117)),NOT(ISNUMBER('Price History'!U116)),'Price History'!U116=0),"",'Price History'!U117/'Price History'!U116-1),"")</f>
        <v>-5.3191489361702482E-3</v>
      </c>
      <c r="V116" s="151">
        <f>IFERROR(IF(OR(NOT(ISNUMBER('Price History'!V117)),NOT(ISNUMBER('Price History'!V116)),'Price History'!V116=0),"",'Price History'!V117/'Price History'!V116-1),"")</f>
        <v>-6.1880810852005252E-3</v>
      </c>
      <c r="W116" s="152">
        <f>IFERROR('Price History'!B3+(INDEX('Price History'!B:B,MATCH(9.99E+307,'Returns (Calc)'!$A:$A)+1)-'Price History'!B3)*(ROW()-3)/(MATCH(9.99E+307,'Returns (Calc)'!$A:$A)-3),"")</f>
        <v>325.19150943396221</v>
      </c>
      <c r="X116" s="152">
        <f>IFERROR('Price History'!C3+(INDEX('Price History'!C:C,MATCH(9.99E+307,'Returns (Calc)'!$A:$A)+1)-'Price History'!C3)*(ROW()-3)/(MATCH(9.99E+307,'Returns (Calc)'!$A:$A)-3),"")</f>
        <v>167.39559748427672</v>
      </c>
      <c r="Y116" s="152">
        <f>IFERROR('Price History'!D3+(INDEX('Price History'!D:D,MATCH(9.99E+307,'Returns (Calc)'!$A:$A)+1)-'Price History'!D3)*(ROW()-3)/(MATCH(9.99E+307,'Returns (Calc)'!$A:$A)-3),"")</f>
        <v>1433.6533333333332</v>
      </c>
      <c r="Z116" s="152">
        <f>IFERROR('Price History'!E3+(INDEX('Price History'!E:E,MATCH(9.99E+307,'Returns (Calc)'!$A:$A)+1)-'Price History'!E3)*(ROW()-3)/(MATCH(9.99E+307,'Returns (Calc)'!$A:$A)-3),"")</f>
        <v>280.66679245283024</v>
      </c>
      <c r="AA116" s="152">
        <f>IFERROR('Price History'!F3+(INDEX('Price History'!F:F,MATCH(9.99E+307,'Returns (Calc)'!$A:$A)+1)-'Price History'!F3)*(ROW()-3)/(MATCH(9.99E+307,'Returns (Calc)'!$A:$A)-3),"")</f>
        <v>207.43446540880501</v>
      </c>
      <c r="AB116" s="152">
        <f>IFERROR('Price History'!G3+(INDEX('Price History'!G:G,MATCH(9.99E+307,'Returns (Calc)'!$A:$A)+1)-'Price History'!G3)*(ROW()-3)/(MATCH(9.99E+307,'Returns (Calc)'!$A:$A)-3),"")</f>
        <v>151.8208176100629</v>
      </c>
      <c r="AC116" s="152">
        <f>IFERROR('Price History'!H3+(INDEX('Price History'!H:H,MATCH(9.99E+307,'Returns (Calc)'!$A:$A)+1)-'Price History'!H3)*(ROW()-3)/(MATCH(9.99E+307,'Returns (Calc)'!$A:$A)-3),"")</f>
        <v>751.29597484276724</v>
      </c>
      <c r="AD116" s="152">
        <f>IFERROR('Price History'!I3+(INDEX('Price History'!I:I,MATCH(9.99E+307,'Returns (Calc)'!$A:$A)+1)-'Price History'!I3)*(ROW()-3)/(MATCH(9.99E+307,'Returns (Calc)'!$A:$A)-3),"")</f>
        <v>175.61044025157233</v>
      </c>
      <c r="AE116" s="152">
        <f>IFERROR('Price History'!J3+(INDEX('Price History'!J:J,MATCH(9.99E+307,'Returns (Calc)'!$A:$A)+1)-'Price History'!J3)*(ROW()-3)/(MATCH(9.99E+307,'Returns (Calc)'!$A:$A)-3),"")</f>
        <v>124.38371069182391</v>
      </c>
      <c r="AF116" s="152">
        <f>IFERROR('Price History'!K3+(INDEX('Price History'!K:K,MATCH(9.99E+307,'Returns (Calc)'!$A:$A)+1)-'Price History'!K3)*(ROW()-3)/(MATCH(9.99E+307,'Returns (Calc)'!$A:$A)-3),"")</f>
        <v>153.00522012578617</v>
      </c>
      <c r="AG116" s="152">
        <f>IFERROR('Price History'!L3+(INDEX('Price History'!L:L,MATCH(9.99E+307,'Returns (Calc)'!$A:$A)+1)-'Price History'!L3)*(ROW()-3)/(MATCH(9.99E+307,'Returns (Calc)'!$A:$A)-3),"")</f>
        <v>346.97188679245284</v>
      </c>
      <c r="AH116" s="152">
        <f>IFERROR('Price History'!M3+(INDEX('Price History'!M:M,MATCH(9.99E+307,'Returns (Calc)'!$A:$A)+1)-'Price History'!M3)*(ROW()-3)/(MATCH(9.99E+307,'Returns (Calc)'!$A:$A)-3),"")</f>
        <v>183.54125786163522</v>
      </c>
      <c r="AI116" s="152">
        <f>IFERROR('Price History'!N3+(INDEX('Price History'!N:N,MATCH(9.99E+307,'Returns (Calc)'!$A:$A)+1)-'Price History'!N3)*(ROW()-3)/(MATCH(9.99E+307,'Returns (Calc)'!$A:$A)-3),"")</f>
        <v>463.4493081761006</v>
      </c>
      <c r="AJ116" s="152">
        <f>IFERROR('Price History'!O3+(INDEX('Price History'!O:O,MATCH(9.99E+307,'Returns (Calc)'!$A:$A)+1)-'Price History'!O3)*(ROW()-3)/(MATCH(9.99E+307,'Returns (Calc)'!$A:$A)-3),"")</f>
        <v>106.81496855345912</v>
      </c>
      <c r="AK116" s="152">
        <f>IFERROR('Price History'!Q3+(INDEX('Price History'!Q:Q,MATCH(9.99E+307,'Returns (Calc)'!$A:$A)+1)-'Price History'!Q3)*(ROW()-3)/(MATCH(9.99E+307,'Returns (Calc)'!$A:$A)-3),"")</f>
        <v>49.727106918238995</v>
      </c>
      <c r="AL116" s="152">
        <f>IFERROR('Price History'!R3+(INDEX('Price History'!R:R,MATCH(9.99E+307,'Returns (Calc)'!$A:$A)+1)-'Price History'!R3)*(ROW()-3)/(MATCH(9.99E+307,'Returns (Calc)'!$A:$A)-3),"")</f>
        <v>53.39150943396227</v>
      </c>
      <c r="AM116" s="152">
        <f>IFERROR('Price History'!S3+(INDEX('Price History'!S:S,MATCH(9.99E+307,'Returns (Calc)'!$A:$A)+1)-'Price History'!S3)*(ROW()-3)/(MATCH(9.99E+307,'Returns (Calc)'!$A:$A)-3),"")</f>
        <v>124.10100628930817</v>
      </c>
      <c r="AN116" s="152">
        <f>IFERROR('Price History'!T3+(INDEX('Price History'!T:T,MATCH(9.99E+307,'Returns (Calc)'!$A:$A)+1)-'Price History'!T3)*(ROW()-3)/(MATCH(9.99E+307,'Returns (Calc)'!$A:$A)-3),"")</f>
        <v>44.855094339622639</v>
      </c>
      <c r="AO116" s="153">
        <f>IFERROR('Price History'!V3+(INDEX('Price History'!V:V,MATCH(9.99E+307,'Returns (Calc)'!$A:$A)+1)-'Price History'!V3)*(ROW()-3)/(MATCH(9.99E+307,'Returns (Calc)'!$A:$A)-3),"")</f>
        <v>342.1058490566038</v>
      </c>
      <c r="AP116" s="151">
        <f>IFERROR(IF(OR(NOT(ISNUMBER('Price History'!W117)),NOT(ISNUMBER('Price History'!W116)),'Price History'!W116=0),"",'Price History'!W117/'Price History'!W116-1),"")</f>
        <v>-6.4661435629176367E-3</v>
      </c>
      <c r="AQ116" s="151" t="str">
        <f>IFERROR(IF(OR(NOT(ISNUMBER('Price History'!X117)),NOT(ISNUMBER('Price History'!X116)),'Price History'!X116=0),"",'Price History'!X117/'Price History'!X116-1),"")</f>
        <v/>
      </c>
      <c r="AR116" s="151">
        <f>IFERROR(IF(OR(NOT(ISNUMBER('Price History'!Y117)),NOT(ISNUMBER('Price History'!Y116)),'Price History'!Y116=0),"",'Price History'!Y117/'Price History'!Y116-1),"")</f>
        <v>-2.6560424966799445E-3</v>
      </c>
      <c r="AS116" s="151">
        <f>IFERROR(IF(OR(NOT(ISNUMBER('Price History'!Z117)),NOT(ISNUMBER('Price History'!Z116)),'Price History'!Z116=0),"",'Price History'!Z117/'Price History'!Z116-1),"")</f>
        <v>-5.7006421867281443E-2</v>
      </c>
      <c r="AT116" s="151">
        <f>IFERROR(IF(OR(NOT(ISNUMBER('Price History'!AA117)),NOT(ISNUMBER('Price History'!AA116)),'Price History'!AA116=0),"",'Price History'!AA117/'Price History'!AA116-1),"")</f>
        <v>-6.2129113468800568E-2</v>
      </c>
      <c r="AU116" s="151">
        <f>IFERROR(IF(OR(NOT(ISNUMBER('Price History'!AB117)),NOT(ISNUMBER('Price History'!AB116)),'Price History'!AB116=0),"",'Price History'!AB117/'Price History'!AB116-1),"")</f>
        <v>-0.16805290428142894</v>
      </c>
    </row>
    <row r="117" spans="1:47" ht="15" customHeight="1" x14ac:dyDescent="0.2">
      <c r="A117" s="149">
        <f>IF('Price History'!A118="","",'Price History'!A118)</f>
        <v>45989</v>
      </c>
      <c r="B117" s="150">
        <f>IFERROR(IF(OR(NOT(ISNUMBER('Price History'!B118)),NOT(ISNUMBER('Price History'!B117)),'Price History'!B117=0),"",'Price History'!B118/'Price History'!B117-1),"")</f>
        <v>-1.2523520157932122E-2</v>
      </c>
      <c r="C117" s="150">
        <f>IFERROR(IF(OR(NOT(ISNUMBER('Price History'!C118)),NOT(ISNUMBER('Price History'!C117)),'Price History'!C117=0),"",'Price History'!C118/'Price History'!C117-1),"")</f>
        <v>0.11283317721195596</v>
      </c>
      <c r="D117" s="150">
        <f>IFERROR(IF(OR(NOT(ISNUMBER('Price History'!D118)),NOT(ISNUMBER('Price History'!D117)),'Price History'!D117=0),"",'Price History'!D118/'Price History'!D117-1),"")</f>
        <v>9.6657830448568127E-2</v>
      </c>
      <c r="E117" s="150">
        <f>IFERROR(IF(OR(NOT(ISNUMBER('Price History'!E118)),NOT(ISNUMBER('Price History'!E117)),'Price History'!E117=0),"",'Price History'!E118/'Price History'!E117-1),"")</f>
        <v>0.18448873226924101</v>
      </c>
      <c r="F117" s="150">
        <f>IFERROR(IF(OR(NOT(ISNUMBER('Price History'!F118)),NOT(ISNUMBER('Price History'!F117)),'Price History'!F117=0),"",'Price History'!F118/'Price History'!F117-1),"")</f>
        <v>3.7662020053802925E-2</v>
      </c>
      <c r="G117" s="150">
        <f>IFERROR(IF(OR(NOT(ISNUMBER('Price History'!G118)),NOT(ISNUMBER('Price History'!G117)),'Price History'!G117=0),"",'Price History'!G118/'Price History'!G117-1),"")</f>
        <v>7.1356691976946163E-2</v>
      </c>
      <c r="H117" s="150">
        <f>IFERROR(IF(OR(NOT(ISNUMBER('Price History'!H118)),NOT(ISNUMBER('Price History'!H117)),'Price History'!H117=0),"",'Price History'!H118/'Price History'!H117-1),"")</f>
        <v>0.14036781387266495</v>
      </c>
      <c r="I117" s="150">
        <f>IFERROR(IF(OR(NOT(ISNUMBER('Price History'!I118)),NOT(ISNUMBER('Price History'!I117)),'Price History'!I117=0),"",'Price History'!I118/'Price History'!I117-1),"")</f>
        <v>-1.0479125805547662E-2</v>
      </c>
      <c r="J117" s="150">
        <f>IFERROR(IF(OR(NOT(ISNUMBER('Price History'!J118)),NOT(ISNUMBER('Price History'!J117)),'Price History'!J117=0),"",'Price History'!J118/'Price History'!J117-1),"")</f>
        <v>2.1810429649065322E-2</v>
      </c>
      <c r="K117" s="150">
        <f>IFERROR(IF(OR(NOT(ISNUMBER('Price History'!K118)),NOT(ISNUMBER('Price History'!K117)),'Price History'!K117=0),"",'Price History'!K118/'Price History'!K117-1),"")</f>
        <v>8.782692928640623E-2</v>
      </c>
      <c r="L117" s="150">
        <f>IFERROR(IF(OR(NOT(ISNUMBER('Price History'!L118)),NOT(ISNUMBER('Price History'!L117)),'Price History'!L117=0),"",'Price History'!L118/'Price History'!L117-1),"")</f>
        <v>5.9813358806672046E-2</v>
      </c>
      <c r="M117" s="150">
        <f>IFERROR(IF(OR(NOT(ISNUMBER('Price History'!M118)),NOT(ISNUMBER('Price History'!M117)),'Price History'!M117=0),"",'Price History'!M118/'Price History'!M117-1),"")</f>
        <v>0.12495302517850448</v>
      </c>
      <c r="N117" s="150">
        <f>IFERROR(IF(OR(NOT(ISNUMBER('Price History'!N118)),NOT(ISNUMBER('Price History'!N117)),'Price History'!N117=0),"",'Price History'!N118/'Price History'!N117-1),"")</f>
        <v>1.6051176305183379E-2</v>
      </c>
      <c r="O117" s="150">
        <f>IFERROR(IF(OR(NOT(ISNUMBER('Price History'!O118)),NOT(ISNUMBER('Price History'!O117)),'Price History'!O117=0),"",'Price History'!O118/'Price History'!O117-1),"")</f>
        <v>4.436538662760281E-2</v>
      </c>
      <c r="P117" s="150">
        <f>IFERROR(IF(OR(NOT(ISNUMBER('Price History'!P118)),NOT(ISNUMBER('Price History'!P117)),'Price History'!P117=0),"",'Price History'!P118/'Price History'!P117-1),"")</f>
        <v>2.5751072961373467E-2</v>
      </c>
      <c r="Q117" s="150">
        <f>IFERROR(IF(OR(NOT(ISNUMBER('Price History'!Q118)),NOT(ISNUMBER('Price History'!Q117)),'Price History'!Q117=0),"",'Price History'!Q118/'Price History'!Q117-1),"")</f>
        <v>2.1735755317497274E-2</v>
      </c>
      <c r="R117" s="150">
        <f>IFERROR(IF(OR(NOT(ISNUMBER('Price History'!R118)),NOT(ISNUMBER('Price History'!R117)),'Price History'!R117=0),"",'Price History'!R118/'Price History'!R117-1),"")</f>
        <v>4.5787908820614343E-2</v>
      </c>
      <c r="S117" s="150">
        <f>IFERROR(IF(OR(NOT(ISNUMBER('Price History'!S118)),NOT(ISNUMBER('Price History'!S117)),'Price History'!S117=0),"",'Price History'!S118/'Price History'!S117-1),"")</f>
        <v>5.090877007234873E-2</v>
      </c>
      <c r="T117" s="150">
        <f>IFERROR(IF(OR(NOT(ISNUMBER('Price History'!T118)),NOT(ISNUMBER('Price History'!T117)),'Price History'!T117=0),"",'Price History'!T118/'Price History'!T117-1),"")</f>
        <v>3.4185733512786198E-2</v>
      </c>
      <c r="U117" s="150">
        <f>IFERROR(IF(OR(NOT(ISNUMBER('Price History'!U118)),NOT(ISNUMBER('Price History'!U117)),'Price History'!U117=0),"",'Price History'!U118/'Price History'!U117-1),"")</f>
        <v>1.8334606569900602E-2</v>
      </c>
      <c r="V117" s="151">
        <f>IFERROR(IF(OR(NOT(ISNUMBER('Price History'!V118)),NOT(ISNUMBER('Price History'!V117)),'Price History'!V117=0),"",'Price History'!V118/'Price History'!V117-1),"")</f>
        <v>1.9692043432918194E-2</v>
      </c>
      <c r="W117" s="152">
        <f>IFERROR('Price History'!B3+(INDEX('Price History'!B:B,MATCH(9.99E+307,'Returns (Calc)'!$A:$A)+1)-'Price History'!B3)*(ROW()-3)/(MATCH(9.99E+307,'Returns (Calc)'!$A:$A)-3),"")</f>
        <v>323.38886792452831</v>
      </c>
      <c r="X117" s="152">
        <f>IFERROR('Price History'!C3+(INDEX('Price History'!C:C,MATCH(9.99E+307,'Returns (Calc)'!$A:$A)+1)-'Price History'!C3)*(ROW()-3)/(MATCH(9.99E+307,'Returns (Calc)'!$A:$A)-3),"")</f>
        <v>168.46830188679246</v>
      </c>
      <c r="Y117" s="152">
        <f>IFERROR('Price History'!D3+(INDEX('Price History'!D:D,MATCH(9.99E+307,'Returns (Calc)'!$A:$A)+1)-'Price History'!D3)*(ROW()-3)/(MATCH(9.99E+307,'Returns (Calc)'!$A:$A)-3),"")</f>
        <v>1441.19</v>
      </c>
      <c r="Z117" s="152">
        <f>IFERROR('Price History'!E3+(INDEX('Price History'!E:E,MATCH(9.99E+307,'Returns (Calc)'!$A:$A)+1)-'Price History'!E3)*(ROW()-3)/(MATCH(9.99E+307,'Returns (Calc)'!$A:$A)-3),"")</f>
        <v>282.42490566037736</v>
      </c>
      <c r="AA117" s="152">
        <f>IFERROR('Price History'!F3+(INDEX('Price History'!F:F,MATCH(9.99E+307,'Returns (Calc)'!$A:$A)+1)-'Price History'!F3)*(ROW()-3)/(MATCH(9.99E+307,'Returns (Calc)'!$A:$A)-3),"")</f>
        <v>208.90415094339625</v>
      </c>
      <c r="AB117" s="152">
        <f>IFERROR('Price History'!G3+(INDEX('Price History'!G:G,MATCH(9.99E+307,'Returns (Calc)'!$A:$A)+1)-'Price History'!G3)*(ROW()-3)/(MATCH(9.99E+307,'Returns (Calc)'!$A:$A)-3),"")</f>
        <v>152.77188679245282</v>
      </c>
      <c r="AC117" s="152">
        <f>IFERROR('Price History'!H3+(INDEX('Price History'!H:H,MATCH(9.99E+307,'Returns (Calc)'!$A:$A)+1)-'Price History'!H3)*(ROW()-3)/(MATCH(9.99E+307,'Returns (Calc)'!$A:$A)-3),"")</f>
        <v>757.33301886792447</v>
      </c>
      <c r="AD117" s="152">
        <f>IFERROR('Price History'!I3+(INDEX('Price History'!I:I,MATCH(9.99E+307,'Returns (Calc)'!$A:$A)+1)-'Price History'!I3)*(ROW()-3)/(MATCH(9.99E+307,'Returns (Calc)'!$A:$A)-3),"")</f>
        <v>176.77716981132076</v>
      </c>
      <c r="AE117" s="152">
        <f>IFERROR('Price History'!J3+(INDEX('Price History'!J:J,MATCH(9.99E+307,'Returns (Calc)'!$A:$A)+1)-'Price History'!J3)*(ROW()-3)/(MATCH(9.99E+307,'Returns (Calc)'!$A:$A)-3),"")</f>
        <v>124.49471698113209</v>
      </c>
      <c r="AF117" s="152">
        <f>IFERROR('Price History'!K3+(INDEX('Price History'!K:K,MATCH(9.99E+307,'Returns (Calc)'!$A:$A)+1)-'Price History'!K3)*(ROW()-3)/(MATCH(9.99E+307,'Returns (Calc)'!$A:$A)-3),"")</f>
        <v>154.22358490566037</v>
      </c>
      <c r="AG117" s="152">
        <f>IFERROR('Price History'!L3+(INDEX('Price History'!L:L,MATCH(9.99E+307,'Returns (Calc)'!$A:$A)+1)-'Price History'!L3)*(ROW()-3)/(MATCH(9.99E+307,'Returns (Calc)'!$A:$A)-3),"")</f>
        <v>349.2835849056604</v>
      </c>
      <c r="AH117" s="152">
        <f>IFERROR('Price History'!M3+(INDEX('Price History'!M:M,MATCH(9.99E+307,'Returns (Calc)'!$A:$A)+1)-'Price History'!M3)*(ROW()-3)/(MATCH(9.99E+307,'Returns (Calc)'!$A:$A)-3),"")</f>
        <v>184.82905660377358</v>
      </c>
      <c r="AI117" s="152">
        <f>IFERROR('Price History'!N3+(INDEX('Price History'!N:N,MATCH(9.99E+307,'Returns (Calc)'!$A:$A)+1)-'Price History'!N3)*(ROW()-3)/(MATCH(9.99E+307,'Returns (Calc)'!$A:$A)-3),"")</f>
        <v>464.46301886792452</v>
      </c>
      <c r="AJ117" s="152">
        <f>IFERROR('Price History'!O3+(INDEX('Price History'!O:O,MATCH(9.99E+307,'Returns (Calc)'!$A:$A)+1)-'Price History'!O3)*(ROW()-3)/(MATCH(9.99E+307,'Returns (Calc)'!$A:$A)-3),"")</f>
        <v>107.09377358490566</v>
      </c>
      <c r="AK117" s="152">
        <f>IFERROR('Price History'!Q3+(INDEX('Price History'!Q:Q,MATCH(9.99E+307,'Returns (Calc)'!$A:$A)+1)-'Price History'!Q3)*(ROW()-3)/(MATCH(9.99E+307,'Returns (Calc)'!$A:$A)-3),"")</f>
        <v>50.167169811320754</v>
      </c>
      <c r="AL117" s="152">
        <f>IFERROR('Price History'!R3+(INDEX('Price History'!R:R,MATCH(9.99E+307,'Returns (Calc)'!$A:$A)+1)-'Price History'!R3)*(ROW()-3)/(MATCH(9.99E+307,'Returns (Calc)'!$A:$A)-3),"")</f>
        <v>53.5588679245283</v>
      </c>
      <c r="AM117" s="152">
        <f>IFERROR('Price History'!S3+(INDEX('Price History'!S:S,MATCH(9.99E+307,'Returns (Calc)'!$A:$A)+1)-'Price History'!S3)*(ROW()-3)/(MATCH(9.99E+307,'Returns (Calc)'!$A:$A)-3),"")</f>
        <v>124.68924528301886</v>
      </c>
      <c r="AN117" s="152">
        <f>IFERROR('Price History'!T3+(INDEX('Price History'!T:T,MATCH(9.99E+307,'Returns (Calc)'!$A:$A)+1)-'Price History'!T3)*(ROW()-3)/(MATCH(9.99E+307,'Returns (Calc)'!$A:$A)-3),"")</f>
        <v>45.028679245283016</v>
      </c>
      <c r="AO117" s="153">
        <f>IFERROR('Price History'!V3+(INDEX('Price History'!V:V,MATCH(9.99E+307,'Returns (Calc)'!$A:$A)+1)-'Price History'!V3)*(ROW()-3)/(MATCH(9.99E+307,'Returns (Calc)'!$A:$A)-3),"")</f>
        <v>343.04811320754715</v>
      </c>
      <c r="AP117" s="151">
        <f>IFERROR(IF(OR(NOT(ISNUMBER('Price History'!W118)),NOT(ISNUMBER('Price History'!W117)),'Price History'!W117=0),"",'Price History'!W118/'Price History'!W117-1),"")</f>
        <v>3.8098720292504717E-2</v>
      </c>
      <c r="AQ117" s="151" t="str">
        <f>IFERROR(IF(OR(NOT(ISNUMBER('Price History'!X118)),NOT(ISNUMBER('Price History'!X117)),'Price History'!X117=0),"",'Price History'!X118/'Price History'!X117-1),"")</f>
        <v/>
      </c>
      <c r="AR117" s="151">
        <f>IFERROR(IF(OR(NOT(ISNUMBER('Price History'!Y118)),NOT(ISNUMBER('Price History'!Y117)),'Price History'!Y117=0),"",'Price History'!Y118/'Price History'!Y117-1),"")</f>
        <v>2.3397374928666448E-2</v>
      </c>
      <c r="AS117" s="151">
        <f>IFERROR(IF(OR(NOT(ISNUMBER('Price History'!Z118)),NOT(ISNUMBER('Price History'!Z117)),'Price History'!Z117=0),"",'Price History'!Z118/'Price History'!Z117-1),"")</f>
        <v>3.8276175176363836E-2</v>
      </c>
      <c r="AT117" s="151">
        <f>IFERROR(IF(OR(NOT(ISNUMBER('Price History'!AA118)),NOT(ISNUMBER('Price History'!AA117)),'Price History'!AA117=0),"",'Price History'!AA118/'Price History'!AA117-1),"")</f>
        <v>3.1348863963186702E-2</v>
      </c>
      <c r="AU117" s="151">
        <f>IFERROR(IF(OR(NOT(ISNUMBER('Price History'!AB118)),NOT(ISNUMBER('Price History'!AB117)),'Price History'!AB117=0),"",'Price History'!AB118/'Price History'!AB117-1),"")</f>
        <v>-1.5447021224289204E-2</v>
      </c>
    </row>
    <row r="118" spans="1:47" ht="15" customHeight="1" x14ac:dyDescent="0.2">
      <c r="A118" s="149">
        <f>IF('Price History'!A119="","",'Price History'!A119)</f>
        <v>45996</v>
      </c>
      <c r="B118" s="150">
        <f>IFERROR(IF(OR(NOT(ISNUMBER('Price History'!B119)),NOT(ISNUMBER('Price History'!B118)),'Price History'!B118=0),"",'Price History'!B119/'Price History'!B118-1),"")</f>
        <v>8.1623090619435734E-2</v>
      </c>
      <c r="C118" s="150">
        <f>IFERROR(IF(OR(NOT(ISNUMBER('Price History'!C119)),NOT(ISNUMBER('Price History'!C118)),'Price History'!C118=0),"",'Price History'!C119/'Price History'!C118-1),"")</f>
        <v>-1.5993265993266004E-2</v>
      </c>
      <c r="D118" s="150">
        <f>IFERROR(IF(OR(NOT(ISNUMBER('Price History'!D119)),NOT(ISNUMBER('Price History'!D118)),'Price History'!D118=0),"",'Price History'!D119/'Price History'!D118-1),"")</f>
        <v>3.7234698036836544E-2</v>
      </c>
      <c r="E118" s="150">
        <f>IFERROR(IF(OR(NOT(ISNUMBER('Price History'!E119)),NOT(ISNUMBER('Price History'!E118)),'Price History'!E118=0),"",'Price History'!E119/'Price History'!E118-1),"")</f>
        <v>-3.1575789394734821E-2</v>
      </c>
      <c r="F118" s="150">
        <f>IFERROR(IF(OR(NOT(ISNUMBER('Price History'!F119)),NOT(ISNUMBER('Price History'!F118)),'Price History'!F118=0),"",'Price History'!F119/'Price History'!F118-1),"")</f>
        <v>5.6563752062219752E-3</v>
      </c>
      <c r="G118" s="150">
        <f>IFERROR(IF(OR(NOT(ISNUMBER('Price History'!G119)),NOT(ISNUMBER('Price History'!G118)),'Price History'!G118=0),"",'Price History'!G119/'Price History'!G118-1),"")</f>
        <v>3.321663393390839E-2</v>
      </c>
      <c r="H118" s="150">
        <f>IFERROR(IF(OR(NOT(ISNUMBER('Price History'!H119)),NOT(ISNUMBER('Price History'!H118)),'Price History'!H118=0),"",'Price History'!H119/'Price History'!H118-1),"")</f>
        <v>3.1322751322750975E-3</v>
      </c>
      <c r="I118" s="150">
        <f>IFERROR(IF(OR(NOT(ISNUMBER('Price History'!I119)),NOT(ISNUMBER('Price History'!I118)),'Price History'!I118=0),"",'Price History'!I119/'Price History'!I118-1),"")</f>
        <v>3.0581039755351647E-2</v>
      </c>
      <c r="J118" s="150">
        <f>IFERROR(IF(OR(NOT(ISNUMBER('Price History'!J119)),NOT(ISNUMBER('Price History'!J118)),'Price History'!J118=0),"",'Price History'!J119/'Price History'!J118-1),"")</f>
        <v>-4.3331728454502061E-3</v>
      </c>
      <c r="K118" s="150">
        <f>IFERROR(IF(OR(NOT(ISNUMBER('Price History'!K119)),NOT(ISNUMBER('Price History'!K118)),'Price History'!K118=0),"",'Price History'!K119/'Price History'!K118-1),"")</f>
        <v>7.9014544375185514E-2</v>
      </c>
      <c r="L118" s="150">
        <f>IFERROR(IF(OR(NOT(ISNUMBER('Price History'!L119)),NOT(ISNUMBER('Price History'!L118)),'Price History'!L118=0),"",'Price History'!L119/'Price History'!L118-1),"")</f>
        <v>1.0989391943423854E-2</v>
      </c>
      <c r="M118" s="150">
        <f>IFERROR(IF(OR(NOT(ISNUMBER('Price History'!M119)),NOT(ISNUMBER('Price History'!M118)),'Price History'!M118=0),"",'Price History'!M119/'Price History'!M118-1),"")</f>
        <v>5.166750180947588E-2</v>
      </c>
      <c r="N118" s="150">
        <f>IFERROR(IF(OR(NOT(ISNUMBER('Price History'!N119)),NOT(ISNUMBER('Price History'!N118)),'Price History'!N118=0),"",'Price History'!N119/'Price History'!N118-1),"")</f>
        <v>5.0437028666313166E-2</v>
      </c>
      <c r="O118" s="150">
        <f>IFERROR(IF(OR(NOT(ISNUMBER('Price History'!O119)),NOT(ISNUMBER('Price History'!O118)),'Price History'!O118=0),"",'Price History'!O119/'Price History'!O118-1),"")</f>
        <v>1.7533313295261088E-2</v>
      </c>
      <c r="P118" s="150">
        <f>IFERROR(IF(OR(NOT(ISNUMBER('Price History'!P119)),NOT(ISNUMBER('Price History'!P118)),'Price History'!P118=0),"",'Price History'!P119/'Price History'!P118-1),"")</f>
        <v>-1.1903044293752774E-2</v>
      </c>
      <c r="Q118" s="150">
        <f>IFERROR(IF(OR(NOT(ISNUMBER('Price History'!Q119)),NOT(ISNUMBER('Price History'!Q118)),'Price History'!Q118=0),"",'Price History'!Q119/'Price History'!Q118-1),"")</f>
        <v>2.2792888618750062E-3</v>
      </c>
      <c r="R118" s="150">
        <f>IFERROR(IF(OR(NOT(ISNUMBER('Price History'!R119)),NOT(ISNUMBER('Price History'!R118)),'Price History'!R118=0),"",'Price History'!R119/'Price History'!R118-1),"")</f>
        <v>9.6664139499622603E-3</v>
      </c>
      <c r="S118" s="150">
        <f>IFERROR(IF(OR(NOT(ISNUMBER('Price History'!S119)),NOT(ISNUMBER('Price History'!S118)),'Price History'!S118=0),"",'Price History'!S119/'Price History'!S118-1),"")</f>
        <v>6.1287885148182397E-3</v>
      </c>
      <c r="T118" s="150">
        <f>IFERROR(IF(OR(NOT(ISNUMBER('Price History'!T119)),NOT(ISNUMBER('Price History'!T118)),'Price History'!T118=0),"",'Price History'!T119/'Price History'!T118-1),"")</f>
        <v>1.5616866215512726E-2</v>
      </c>
      <c r="U118" s="150">
        <f>IFERROR(IF(OR(NOT(ISNUMBER('Price History'!U119)),NOT(ISNUMBER('Price History'!U118)),'Price History'!U118=0),"",'Price History'!U119/'Price History'!U118-1),"")</f>
        <v>4.1260315078770482E-3</v>
      </c>
      <c r="V118" s="151">
        <f>IFERROR(IF(OR(NOT(ISNUMBER('Price History'!V119)),NOT(ISNUMBER('Price History'!V118)),'Price History'!V118=0),"",'Price History'!V119/'Price History'!V118-1),"")</f>
        <v>-9.5656359042233241E-3</v>
      </c>
      <c r="W118" s="152">
        <f>IFERROR('Price History'!B3+(INDEX('Price History'!B:B,MATCH(9.99E+307,'Returns (Calc)'!$A:$A)+1)-'Price History'!B3)*(ROW()-3)/(MATCH(9.99E+307,'Returns (Calc)'!$A:$A)-3),"")</f>
        <v>321.5862264150943</v>
      </c>
      <c r="X118" s="152">
        <f>IFERROR('Price History'!C3+(INDEX('Price History'!C:C,MATCH(9.99E+307,'Returns (Calc)'!$A:$A)+1)-'Price History'!C3)*(ROW()-3)/(MATCH(9.99E+307,'Returns (Calc)'!$A:$A)-3),"")</f>
        <v>169.54100628930817</v>
      </c>
      <c r="Y118" s="152">
        <f>IFERROR('Price History'!D3+(INDEX('Price History'!D:D,MATCH(9.99E+307,'Returns (Calc)'!$A:$A)+1)-'Price History'!D3)*(ROW()-3)/(MATCH(9.99E+307,'Returns (Calc)'!$A:$A)-3),"")</f>
        <v>1448.7266666666665</v>
      </c>
      <c r="Z118" s="152">
        <f>IFERROR('Price History'!E3+(INDEX('Price History'!E:E,MATCH(9.99E+307,'Returns (Calc)'!$A:$A)+1)-'Price History'!E3)*(ROW()-3)/(MATCH(9.99E+307,'Returns (Calc)'!$A:$A)-3),"")</f>
        <v>284.18301886792455</v>
      </c>
      <c r="AA118" s="152">
        <f>IFERROR('Price History'!F3+(INDEX('Price History'!F:F,MATCH(9.99E+307,'Returns (Calc)'!$A:$A)+1)-'Price History'!F3)*(ROW()-3)/(MATCH(9.99E+307,'Returns (Calc)'!$A:$A)-3),"")</f>
        <v>210.37383647798742</v>
      </c>
      <c r="AB118" s="152">
        <f>IFERROR('Price History'!G3+(INDEX('Price History'!G:G,MATCH(9.99E+307,'Returns (Calc)'!$A:$A)+1)-'Price History'!G3)*(ROW()-3)/(MATCH(9.99E+307,'Returns (Calc)'!$A:$A)-3),"")</f>
        <v>153.72295597484276</v>
      </c>
      <c r="AC118" s="152">
        <f>IFERROR('Price History'!H3+(INDEX('Price History'!H:H,MATCH(9.99E+307,'Returns (Calc)'!$A:$A)+1)-'Price History'!H3)*(ROW()-3)/(MATCH(9.99E+307,'Returns (Calc)'!$A:$A)-3),"")</f>
        <v>763.37006289308169</v>
      </c>
      <c r="AD118" s="152">
        <f>IFERROR('Price History'!I3+(INDEX('Price History'!I:I,MATCH(9.99E+307,'Returns (Calc)'!$A:$A)+1)-'Price History'!I3)*(ROW()-3)/(MATCH(9.99E+307,'Returns (Calc)'!$A:$A)-3),"")</f>
        <v>177.94389937106916</v>
      </c>
      <c r="AE118" s="152">
        <f>IFERROR('Price History'!J3+(INDEX('Price History'!J:J,MATCH(9.99E+307,'Returns (Calc)'!$A:$A)+1)-'Price History'!J3)*(ROW()-3)/(MATCH(9.99E+307,'Returns (Calc)'!$A:$A)-3),"")</f>
        <v>124.60572327044027</v>
      </c>
      <c r="AF118" s="152">
        <f>IFERROR('Price History'!K3+(INDEX('Price History'!K:K,MATCH(9.99E+307,'Returns (Calc)'!$A:$A)+1)-'Price History'!K3)*(ROW()-3)/(MATCH(9.99E+307,'Returns (Calc)'!$A:$A)-3),"")</f>
        <v>155.44194968553461</v>
      </c>
      <c r="AG118" s="152">
        <f>IFERROR('Price History'!L3+(INDEX('Price History'!L:L,MATCH(9.99E+307,'Returns (Calc)'!$A:$A)+1)-'Price History'!L3)*(ROW()-3)/(MATCH(9.99E+307,'Returns (Calc)'!$A:$A)-3),"")</f>
        <v>351.59528301886792</v>
      </c>
      <c r="AH118" s="152">
        <f>IFERROR('Price History'!M3+(INDEX('Price History'!M:M,MATCH(9.99E+307,'Returns (Calc)'!$A:$A)+1)-'Price History'!M3)*(ROW()-3)/(MATCH(9.99E+307,'Returns (Calc)'!$A:$A)-3),"")</f>
        <v>186.11685534591194</v>
      </c>
      <c r="AI118" s="152">
        <f>IFERROR('Price History'!N3+(INDEX('Price History'!N:N,MATCH(9.99E+307,'Returns (Calc)'!$A:$A)+1)-'Price History'!N3)*(ROW()-3)/(MATCH(9.99E+307,'Returns (Calc)'!$A:$A)-3),"")</f>
        <v>465.47672955974838</v>
      </c>
      <c r="AJ118" s="152">
        <f>IFERROR('Price History'!O3+(INDEX('Price History'!O:O,MATCH(9.99E+307,'Returns (Calc)'!$A:$A)+1)-'Price History'!O3)*(ROW()-3)/(MATCH(9.99E+307,'Returns (Calc)'!$A:$A)-3),"")</f>
        <v>107.3725786163522</v>
      </c>
      <c r="AK118" s="152">
        <f>IFERROR('Price History'!Q3+(INDEX('Price History'!Q:Q,MATCH(9.99E+307,'Returns (Calc)'!$A:$A)+1)-'Price History'!Q3)*(ROW()-3)/(MATCH(9.99E+307,'Returns (Calc)'!$A:$A)-3),"")</f>
        <v>50.60723270440252</v>
      </c>
      <c r="AL118" s="152">
        <f>IFERROR('Price History'!R3+(INDEX('Price History'!R:R,MATCH(9.99E+307,'Returns (Calc)'!$A:$A)+1)-'Price History'!R3)*(ROW()-3)/(MATCH(9.99E+307,'Returns (Calc)'!$A:$A)-3),"")</f>
        <v>53.726226415094345</v>
      </c>
      <c r="AM118" s="152">
        <f>IFERROR('Price History'!S3+(INDEX('Price History'!S:S,MATCH(9.99E+307,'Returns (Calc)'!$A:$A)+1)-'Price History'!S3)*(ROW()-3)/(MATCH(9.99E+307,'Returns (Calc)'!$A:$A)-3),"")</f>
        <v>125.27748427672958</v>
      </c>
      <c r="AN118" s="152">
        <f>IFERROR('Price History'!T3+(INDEX('Price History'!T:T,MATCH(9.99E+307,'Returns (Calc)'!$A:$A)+1)-'Price History'!T3)*(ROW()-3)/(MATCH(9.99E+307,'Returns (Calc)'!$A:$A)-3),"")</f>
        <v>45.202264150943392</v>
      </c>
      <c r="AO118" s="153">
        <f>IFERROR('Price History'!V3+(INDEX('Price History'!V:V,MATCH(9.99E+307,'Returns (Calc)'!$A:$A)+1)-'Price History'!V3)*(ROW()-3)/(MATCH(9.99E+307,'Returns (Calc)'!$A:$A)-3),"")</f>
        <v>343.99037735849055</v>
      </c>
      <c r="AP118" s="151">
        <f>IFERROR(IF(OR(NOT(ISNUMBER('Price History'!W119)),NOT(ISNUMBER('Price History'!W118)),'Price History'!W118=0),"",'Price History'!W119/'Price History'!W118-1),"")</f>
        <v>-1.5497323189630485E-3</v>
      </c>
      <c r="AQ118" s="151" t="str">
        <f>IFERROR(IF(OR(NOT(ISNUMBER('Price History'!X119)),NOT(ISNUMBER('Price History'!X118)),'Price History'!X118=0),"",'Price History'!X119/'Price History'!X118-1),"")</f>
        <v/>
      </c>
      <c r="AR118" s="151">
        <f>IFERROR(IF(OR(NOT(ISNUMBER('Price History'!Y119)),NOT(ISNUMBER('Price History'!Y118)),'Price History'!Y118=0),"",'Price History'!Y119/'Price History'!Y118-1),"")</f>
        <v>-1.8587360594793934E-3</v>
      </c>
      <c r="AS118" s="151">
        <f>IFERROR(IF(OR(NOT(ISNUMBER('Price History'!Z119)),NOT(ISNUMBER('Price History'!Z118)),'Price History'!Z118=0),"",'Price History'!Z119/'Price History'!Z118-1),"")</f>
        <v>-4.8604103599058202E-2</v>
      </c>
      <c r="AT118" s="151">
        <f>IFERROR(IF(OR(NOT(ISNUMBER('Price History'!AA119)),NOT(ISNUMBER('Price History'!AA118)),'Price History'!AA118=0),"",'Price History'!AA119/'Price History'!AA118-1),"")</f>
        <v>-6.822829522216034E-2</v>
      </c>
      <c r="AU118" s="151">
        <f>IFERROR(IF(OR(NOT(ISNUMBER('Price History'!AB119)),NOT(ISNUMBER('Price History'!AB118)),'Price History'!AB118=0),"",'Price History'!AB119/'Price History'!AB118-1),"")</f>
        <v>7.116401015439644E-3</v>
      </c>
    </row>
    <row r="119" spans="1:47" ht="15" customHeight="1" x14ac:dyDescent="0.2">
      <c r="A119" s="149">
        <f>IF('Price History'!A120="","",'Price History'!A120)</f>
        <v>46003</v>
      </c>
      <c r="B119" s="150">
        <f>IFERROR(IF(OR(NOT(ISNUMBER('Price History'!B120)),NOT(ISNUMBER('Price History'!B119)),'Price History'!B119=0),"",'Price History'!B120/'Price History'!B119-1),"")</f>
        <v>2.9370992895512149E-2</v>
      </c>
      <c r="C119" s="150">
        <f>IFERROR(IF(OR(NOT(ISNUMBER('Price History'!C120)),NOT(ISNUMBER('Price History'!C119)),'Price History'!C119=0),"",'Price History'!C120/'Price History'!C119-1),"")</f>
        <v>-2.9784586670814184E-2</v>
      </c>
      <c r="D119" s="150">
        <f>IFERROR(IF(OR(NOT(ISNUMBER('Price History'!D120)),NOT(ISNUMBER('Price History'!D119)),'Price History'!D119=0),"",'Price History'!D120/'Price History'!D119-1),"")</f>
        <v>-1.6934592080130817E-2</v>
      </c>
      <c r="E119" s="150">
        <f>IFERROR(IF(OR(NOT(ISNUMBER('Price History'!E120)),NOT(ISNUMBER('Price History'!E119)),'Price History'!E119=0),"",'Price History'!E120/'Price History'!E119-1),"")</f>
        <v>-7.7679677819083137E-2</v>
      </c>
      <c r="F119" s="150">
        <f>IFERROR(IF(OR(NOT(ISNUMBER('Price History'!F120)),NOT(ISNUMBER('Price History'!F119)),'Price History'!F119=0),"",'Price History'!F120/'Price History'!F119-1),"")</f>
        <v>-1.4217639246933755E-2</v>
      </c>
      <c r="G119" s="150">
        <f>IFERROR(IF(OR(NOT(ISNUMBER('Price History'!G120)),NOT(ISNUMBER('Price History'!G119)),'Price History'!G119=0),"",'Price History'!G120/'Price History'!G119-1),"")</f>
        <v>-1.6942148760330511E-2</v>
      </c>
      <c r="H119" s="150">
        <f>IFERROR(IF(OR(NOT(ISNUMBER('Price History'!H120)),NOT(ISNUMBER('Price History'!H119)),'Price History'!H119=0),"",'Price History'!H120/'Price History'!H119-1),"")</f>
        <v>1.649858643824631E-2</v>
      </c>
      <c r="I119" s="150">
        <f>IFERROR(IF(OR(NOT(ISNUMBER('Price History'!I120)),NOT(ISNUMBER('Price History'!I119)),'Price History'!I119=0),"",'Price History'!I120/'Price History'!I119-1),"")</f>
        <v>-4.0498955929222813E-2</v>
      </c>
      <c r="J119" s="150">
        <f>IFERROR(IF(OR(NOT(ISNUMBER('Price History'!J120)),NOT(ISNUMBER('Price History'!J119)),'Price History'!J119=0),"",'Price History'!J120/'Price History'!J119-1),"")</f>
        <v>1.7246937459703515E-2</v>
      </c>
      <c r="K119" s="150">
        <f>IFERROR(IF(OR(NOT(ISNUMBER('Price History'!K120)),NOT(ISNUMBER('Price History'!K119)),'Price History'!K119=0),"",'Price History'!K120/'Price History'!K119-1),"")</f>
        <v>9.9581866197182567E-3</v>
      </c>
      <c r="L119" s="150">
        <f>IFERROR(IF(OR(NOT(ISNUMBER('Price History'!L120)),NOT(ISNUMBER('Price History'!L119)),'Price History'!L119=0),"",'Price History'!L120/'Price History'!L119-1),"")</f>
        <v>-6.412234680931328E-3</v>
      </c>
      <c r="M119" s="150">
        <f>IFERROR(IF(OR(NOT(ISNUMBER('Price History'!M120)),NOT(ISNUMBER('Price History'!M119)),'Price History'!M119=0),"",'Price History'!M120/'Price History'!M119-1),"")</f>
        <v>-0.14680501879400709</v>
      </c>
      <c r="N119" s="150">
        <f>IFERROR(IF(OR(NOT(ISNUMBER('Price History'!N120)),NOT(ISNUMBER('Price History'!N119)),'Price History'!N119=0),"",'Price History'!N120/'Price History'!N119-1),"")</f>
        <v>-7.5524721173267917E-3</v>
      </c>
      <c r="O119" s="150">
        <f>IFERROR(IF(OR(NOT(ISNUMBER('Price History'!O120)),NOT(ISNUMBER('Price History'!O119)),'Price History'!O119=0),"",'Price History'!O120/'Price History'!O119-1),"")</f>
        <v>2.146514375738473E-2</v>
      </c>
      <c r="P119" s="150">
        <f>IFERROR(IF(OR(NOT(ISNUMBER('Price History'!P120)),NOT(ISNUMBER('Price History'!P119)),'Price History'!P119=0),"",'Price History'!P120/'Price History'!P119-1),"")</f>
        <v>1.6207928743520394E-2</v>
      </c>
      <c r="Q119" s="150">
        <f>IFERROR(IF(OR(NOT(ISNUMBER('Price History'!Q120)),NOT(ISNUMBER('Price History'!Q119)),'Price History'!Q119=0),"",'Price History'!Q120/'Price History'!Q119-1),"")</f>
        <v>-1.2128562765312267E-3</v>
      </c>
      <c r="R119" s="150">
        <f>IFERROR(IF(OR(NOT(ISNUMBER('Price History'!R120)),NOT(ISNUMBER('Price History'!R119)),'Price History'!R119=0),"",'Price History'!R120/'Price History'!R119-1),"")</f>
        <v>-1.0887929416181774E-2</v>
      </c>
      <c r="S119" s="150">
        <f>IFERROR(IF(OR(NOT(ISNUMBER('Price History'!S120)),NOT(ISNUMBER('Price History'!S119)),'Price History'!S119=0),"",'Price History'!S120/'Price History'!S119-1),"")</f>
        <v>-1.4519359145527488E-2</v>
      </c>
      <c r="T119" s="150">
        <f>IFERROR(IF(OR(NOT(ISNUMBER('Price History'!T120)),NOT(ISNUMBER('Price History'!T119)),'Price History'!T119=0),"",'Price History'!T120/'Price History'!T119-1),"")</f>
        <v>1.0763710917478075E-2</v>
      </c>
      <c r="U119" s="150">
        <f>IFERROR(IF(OR(NOT(ISNUMBER('Price History'!U120)),NOT(ISNUMBER('Price History'!U119)),'Price History'!U119=0),"",'Price History'!U120/'Price History'!U119-1),"")</f>
        <v>9.3388121031003912E-3</v>
      </c>
      <c r="V119" s="151">
        <f>IFERROR(IF(OR(NOT(ISNUMBER('Price History'!V120)),NOT(ISNUMBER('Price History'!V119)),'Price History'!V119=0),"",'Price History'!V120/'Price History'!V119-1),"")</f>
        <v>5.0082002065237274E-2</v>
      </c>
      <c r="W119" s="152">
        <f>IFERROR('Price History'!B3+(INDEX('Price History'!B:B,MATCH(9.99E+307,'Returns (Calc)'!$A:$A)+1)-'Price History'!B3)*(ROW()-3)/(MATCH(9.99E+307,'Returns (Calc)'!$A:$A)-3),"")</f>
        <v>319.7835849056604</v>
      </c>
      <c r="X119" s="152">
        <f>IFERROR('Price History'!C3+(INDEX('Price History'!C:C,MATCH(9.99E+307,'Returns (Calc)'!$A:$A)+1)-'Price History'!C3)*(ROW()-3)/(MATCH(9.99E+307,'Returns (Calc)'!$A:$A)-3),"")</f>
        <v>170.61371069182388</v>
      </c>
      <c r="Y119" s="152">
        <f>IFERROR('Price History'!D3+(INDEX('Price History'!D:D,MATCH(9.99E+307,'Returns (Calc)'!$A:$A)+1)-'Price History'!D3)*(ROW()-3)/(MATCH(9.99E+307,'Returns (Calc)'!$A:$A)-3),"")</f>
        <v>1456.2633333333333</v>
      </c>
      <c r="Z119" s="152">
        <f>IFERROR('Price History'!E3+(INDEX('Price History'!E:E,MATCH(9.99E+307,'Returns (Calc)'!$A:$A)+1)-'Price History'!E3)*(ROW()-3)/(MATCH(9.99E+307,'Returns (Calc)'!$A:$A)-3),"")</f>
        <v>285.94113207547173</v>
      </c>
      <c r="AA119" s="152">
        <f>IFERROR('Price History'!F3+(INDEX('Price History'!F:F,MATCH(9.99E+307,'Returns (Calc)'!$A:$A)+1)-'Price History'!F3)*(ROW()-3)/(MATCH(9.99E+307,'Returns (Calc)'!$A:$A)-3),"")</f>
        <v>211.8435220125786</v>
      </c>
      <c r="AB119" s="152">
        <f>IFERROR('Price History'!G3+(INDEX('Price History'!G:G,MATCH(9.99E+307,'Returns (Calc)'!$A:$A)+1)-'Price History'!G3)*(ROW()-3)/(MATCH(9.99E+307,'Returns (Calc)'!$A:$A)-3),"")</f>
        <v>154.67402515723271</v>
      </c>
      <c r="AC119" s="152">
        <f>IFERROR('Price History'!H3+(INDEX('Price History'!H:H,MATCH(9.99E+307,'Returns (Calc)'!$A:$A)+1)-'Price History'!H3)*(ROW()-3)/(MATCH(9.99E+307,'Returns (Calc)'!$A:$A)-3),"")</f>
        <v>769.40710691823904</v>
      </c>
      <c r="AD119" s="152">
        <f>IFERROR('Price History'!I3+(INDEX('Price History'!I:I,MATCH(9.99E+307,'Returns (Calc)'!$A:$A)+1)-'Price History'!I3)*(ROW()-3)/(MATCH(9.99E+307,'Returns (Calc)'!$A:$A)-3),"")</f>
        <v>179.11062893081763</v>
      </c>
      <c r="AE119" s="152">
        <f>IFERROR('Price History'!J3+(INDEX('Price History'!J:J,MATCH(9.99E+307,'Returns (Calc)'!$A:$A)+1)-'Price History'!J3)*(ROW()-3)/(MATCH(9.99E+307,'Returns (Calc)'!$A:$A)-3),"")</f>
        <v>124.71672955974843</v>
      </c>
      <c r="AF119" s="152">
        <f>IFERROR('Price History'!K3+(INDEX('Price History'!K:K,MATCH(9.99E+307,'Returns (Calc)'!$A:$A)+1)-'Price History'!K3)*(ROW()-3)/(MATCH(9.99E+307,'Returns (Calc)'!$A:$A)-3),"")</f>
        <v>156.66031446540882</v>
      </c>
      <c r="AG119" s="152">
        <f>IFERROR('Price History'!L3+(INDEX('Price History'!L:L,MATCH(9.99E+307,'Returns (Calc)'!$A:$A)+1)-'Price History'!L3)*(ROW()-3)/(MATCH(9.99E+307,'Returns (Calc)'!$A:$A)-3),"")</f>
        <v>353.90698113207549</v>
      </c>
      <c r="AH119" s="152">
        <f>IFERROR('Price History'!M3+(INDEX('Price History'!M:M,MATCH(9.99E+307,'Returns (Calc)'!$A:$A)+1)-'Price History'!M3)*(ROW()-3)/(MATCH(9.99E+307,'Returns (Calc)'!$A:$A)-3),"")</f>
        <v>187.40465408805034</v>
      </c>
      <c r="AI119" s="152">
        <f>IFERROR('Price History'!N3+(INDEX('Price History'!N:N,MATCH(9.99E+307,'Returns (Calc)'!$A:$A)+1)-'Price History'!N3)*(ROW()-3)/(MATCH(9.99E+307,'Returns (Calc)'!$A:$A)-3),"")</f>
        <v>466.49044025157229</v>
      </c>
      <c r="AJ119" s="152">
        <f>IFERROR('Price History'!O3+(INDEX('Price History'!O:O,MATCH(9.99E+307,'Returns (Calc)'!$A:$A)+1)-'Price History'!O3)*(ROW()-3)/(MATCH(9.99E+307,'Returns (Calc)'!$A:$A)-3),"")</f>
        <v>107.65138364779875</v>
      </c>
      <c r="AK119" s="152">
        <f>IFERROR('Price History'!Q3+(INDEX('Price History'!Q:Q,MATCH(9.99E+307,'Returns (Calc)'!$A:$A)+1)-'Price History'!Q3)*(ROW()-3)/(MATCH(9.99E+307,'Returns (Calc)'!$A:$A)-3),"")</f>
        <v>51.047295597484272</v>
      </c>
      <c r="AL119" s="152">
        <f>IFERROR('Price History'!R3+(INDEX('Price History'!R:R,MATCH(9.99E+307,'Returns (Calc)'!$A:$A)+1)-'Price History'!R3)*(ROW()-3)/(MATCH(9.99E+307,'Returns (Calc)'!$A:$A)-3),"")</f>
        <v>53.893584905660376</v>
      </c>
      <c r="AM119" s="152">
        <f>IFERROR('Price History'!S3+(INDEX('Price History'!S:S,MATCH(9.99E+307,'Returns (Calc)'!$A:$A)+1)-'Price History'!S3)*(ROW()-3)/(MATCH(9.99E+307,'Returns (Calc)'!$A:$A)-3),"")</f>
        <v>125.86572327044024</v>
      </c>
      <c r="AN119" s="152">
        <f>IFERROR('Price History'!T3+(INDEX('Price History'!T:T,MATCH(9.99E+307,'Returns (Calc)'!$A:$A)+1)-'Price History'!T3)*(ROW()-3)/(MATCH(9.99E+307,'Returns (Calc)'!$A:$A)-3),"")</f>
        <v>45.375849056603769</v>
      </c>
      <c r="AO119" s="153">
        <f>IFERROR('Price History'!V3+(INDEX('Price History'!V:V,MATCH(9.99E+307,'Returns (Calc)'!$A:$A)+1)-'Price History'!V3)*(ROW()-3)/(MATCH(9.99E+307,'Returns (Calc)'!$A:$A)-3),"")</f>
        <v>344.93264150943395</v>
      </c>
      <c r="AP119" s="151">
        <f>IFERROR(IF(OR(NOT(ISNUMBER('Price History'!W120)),NOT(ISNUMBER('Price History'!W119)),'Price History'!W119=0),"",'Price History'!W120/'Price History'!W119-1),"")</f>
        <v>5.5030337237194082E-3</v>
      </c>
      <c r="AQ119" s="151" t="str">
        <f>IFERROR(IF(OR(NOT(ISNUMBER('Price History'!X120)),NOT(ISNUMBER('Price History'!X119)),'Price History'!X119=0),"",'Price History'!X120/'Price History'!X119-1),"")</f>
        <v/>
      </c>
      <c r="AR119" s="151">
        <f>IFERROR(IF(OR(NOT(ISNUMBER('Price History'!Y120)),NOT(ISNUMBER('Price History'!Y119)),'Price History'!Y119=0),"",'Price History'!Y120/'Price History'!Y119-1),"")</f>
        <v>5.2141527001861032E-3</v>
      </c>
      <c r="AS119" s="151">
        <f>IFERROR(IF(OR(NOT(ISNUMBER('Price History'!Z120)),NOT(ISNUMBER('Price History'!Z119)),'Price History'!Z119=0),"",'Price History'!Z120/'Price History'!Z119-1),"")</f>
        <v>5.5895350892699369E-2</v>
      </c>
      <c r="AT119" s="151">
        <f>IFERROR(IF(OR(NOT(ISNUMBER('Price History'!AA120)),NOT(ISNUMBER('Price History'!AA119)),'Price History'!AA119=0),"",'Price History'!AA120/'Price History'!AA119-1),"")</f>
        <v>-5.0379090183559461E-2</v>
      </c>
      <c r="AU119" s="151">
        <f>IFERROR(IF(OR(NOT(ISNUMBER('Price History'!AB120)),NOT(ISNUMBER('Price History'!AB119)),'Price History'!AB119=0),"",'Price History'!AB120/'Price History'!AB119-1),"")</f>
        <v>-7.7438016528925679E-2</v>
      </c>
    </row>
    <row r="120" spans="1:47" ht="15" customHeight="1" x14ac:dyDescent="0.2">
      <c r="A120" s="149">
        <f>IF('Price History'!A121="","",'Price History'!A121)</f>
        <v>46010</v>
      </c>
      <c r="B120" s="150">
        <f>IFERROR(IF(OR(NOT(ISNUMBER('Price History'!B121)),NOT(ISNUMBER('Price History'!B120)),'Price History'!B120=0),"",'Price History'!B121/'Price History'!B120-1),"")</f>
        <v>-1.599191987206483E-3</v>
      </c>
      <c r="C120" s="150">
        <f>IFERROR(IF(OR(NOT(ISNUMBER('Price History'!C121)),NOT(ISNUMBER('Price History'!C120)),'Price History'!C120=0),"",'Price History'!C121/'Price History'!C120-1),"")</f>
        <v>5.0977877524847726E-2</v>
      </c>
      <c r="D120" s="150">
        <f>IFERROR(IF(OR(NOT(ISNUMBER('Price History'!D121)),NOT(ISNUMBER('Price History'!D120)),'Price History'!D120=0),"",'Price History'!D121/'Price History'!D120-1),"")</f>
        <v>-2.2971515692399302E-2</v>
      </c>
      <c r="E120" s="150">
        <f>IFERROR(IF(OR(NOT(ISNUMBER('Price History'!E121)),NOT(ISNUMBER('Price History'!E120)),'Price History'!E120=0),"",'Price History'!E121/'Price History'!E120-1),"")</f>
        <v>-5.4356649032944127E-2</v>
      </c>
      <c r="F120" s="150">
        <f>IFERROR(IF(OR(NOT(ISNUMBER('Price History'!F121)),NOT(ISNUMBER('Price History'!F120)),'Price History'!F120=0),"",'Price History'!F121/'Price History'!F120-1),"")</f>
        <v>-4.6517156668515747E-2</v>
      </c>
      <c r="G120" s="150">
        <f>IFERROR(IF(OR(NOT(ISNUMBER('Price History'!G121)),NOT(ISNUMBER('Price History'!G120)),'Price History'!G120=0),"",'Price History'!G121/'Price History'!G120-1),"")</f>
        <v>4.3379571248423732E-2</v>
      </c>
      <c r="H120" s="150">
        <f>IFERROR(IF(OR(NOT(ISNUMBER('Price History'!H121)),NOT(ISNUMBER('Price History'!H120)),'Price History'!H120=0),"",'Price History'!H121/'Price History'!H120-1),"")</f>
        <v>0.1027812370278125</v>
      </c>
      <c r="I120" s="150">
        <f>IFERROR(IF(OR(NOT(ISNUMBER('Price History'!I121)),NOT(ISNUMBER('Price History'!I120)),'Price History'!I120=0),"",'Price History'!I121/'Price History'!I120-1),"")</f>
        <v>3.4133211156291088E-2</v>
      </c>
      <c r="J120" s="150">
        <f>IFERROR(IF(OR(NOT(ISNUMBER('Price History'!J121)),NOT(ISNUMBER('Price History'!J120)),'Price History'!J120=0),"",'Price History'!J121/'Price History'!J120-1),"")</f>
        <v>-1.5053081920456401E-2</v>
      </c>
      <c r="K120" s="150">
        <f>IFERROR(IF(OR(NOT(ISNUMBER('Price History'!K121)),NOT(ISNUMBER('Price History'!K120)),'Price History'!K120=0),"",'Price History'!K121/'Price History'!K120-1),"")</f>
        <v>5.3440104592253679E-2</v>
      </c>
      <c r="L120" s="150">
        <f>IFERROR(IF(OR(NOT(ISNUMBER('Price History'!L121)),NOT(ISNUMBER('Price History'!L120)),'Price History'!L120=0),"",'Price History'!L121/'Price History'!L120-1),"")</f>
        <v>-1.0560463832136935E-2</v>
      </c>
      <c r="M120" s="150">
        <f>IFERROR(IF(OR(NOT(ISNUMBER('Price History'!M121)),NOT(ISNUMBER('Price History'!M120)),'Price History'!M120=0),"",'Price History'!M121/'Price History'!M120-1),"")</f>
        <v>-8.997269793993512E-3</v>
      </c>
      <c r="N120" s="150">
        <f>IFERROR(IF(OR(NOT(ISNUMBER('Price History'!N121)),NOT(ISNUMBER('Price History'!N120)),'Price History'!N120=0),"",'Price History'!N121/'Price History'!N120-1),"")</f>
        <v>9.2027254225288679E-3</v>
      </c>
      <c r="O120" s="150">
        <f>IFERROR(IF(OR(NOT(ISNUMBER('Price History'!O121)),NOT(ISNUMBER('Price History'!O120)),'Price History'!O120=0),"",'Price History'!O121/'Price History'!O120-1),"")</f>
        <v>-9.0611143242721459E-3</v>
      </c>
      <c r="P120" s="150">
        <f>IFERROR(IF(OR(NOT(ISNUMBER('Price History'!P121)),NOT(ISNUMBER('Price History'!P120)),'Price History'!P120=0),"",'Price History'!P121/'Price History'!P120-1),"")</f>
        <v>-4.5980314677777079E-3</v>
      </c>
      <c r="Q120" s="150">
        <f>IFERROR(IF(OR(NOT(ISNUMBER('Price History'!Q121)),NOT(ISNUMBER('Price History'!Q120)),'Price History'!Q120=0),"",'Price History'!Q121/'Price History'!Q120-1),"")</f>
        <v>2.2768670309654127E-3</v>
      </c>
      <c r="R120" s="150">
        <f>IFERROR(IF(OR(NOT(ISNUMBER('Price History'!R121)),NOT(ISNUMBER('Price History'!R120)),'Price History'!R120=0),"",'Price History'!R121/'Price History'!R120-1),"")</f>
        <v>7.4017840197380114E-3</v>
      </c>
      <c r="S120" s="150">
        <f>IFERROR(IF(OR(NOT(ISNUMBER('Price History'!S121)),NOT(ISNUMBER('Price History'!S120)),'Price History'!S120=0),"",'Price History'!S121/'Price History'!S120-1),"")</f>
        <v>3.640982218459099E-3</v>
      </c>
      <c r="T120" s="150">
        <f>IFERROR(IF(OR(NOT(ISNUMBER('Price History'!T121)),NOT(ISNUMBER('Price History'!T120)),'Price History'!T120=0),"",'Price History'!T121/'Price History'!T120-1),"")</f>
        <v>-4.3103448275860767E-3</v>
      </c>
      <c r="U120" s="150">
        <f>IFERROR(IF(OR(NOT(ISNUMBER('Price History'!U121)),NOT(ISNUMBER('Price History'!U120)),'Price History'!U120=0),"",'Price History'!U121/'Price History'!U120-1),"")</f>
        <v>-8.1421169504071189E-3</v>
      </c>
      <c r="V120" s="151">
        <f>IFERROR(IF(OR(NOT(ISNUMBER('Price History'!V121)),NOT(ISNUMBER('Price History'!V120)),'Price History'!V120=0),"",'Price History'!V121/'Price History'!V120-1),"")</f>
        <v>4.1070137382501759E-3</v>
      </c>
      <c r="W120" s="152">
        <f>IFERROR('Price History'!B3+(INDEX('Price History'!B:B,MATCH(9.99E+307,'Returns (Calc)'!$A:$A)+1)-'Price History'!B3)*(ROW()-3)/(MATCH(9.99E+307,'Returns (Calc)'!$A:$A)-3),"")</f>
        <v>317.98094339622639</v>
      </c>
      <c r="X120" s="152">
        <f>IFERROR('Price History'!C3+(INDEX('Price History'!C:C,MATCH(9.99E+307,'Returns (Calc)'!$A:$A)+1)-'Price History'!C3)*(ROW()-3)/(MATCH(9.99E+307,'Returns (Calc)'!$A:$A)-3),"")</f>
        <v>171.68641509433962</v>
      </c>
      <c r="Y120" s="152">
        <f>IFERROR('Price History'!D3+(INDEX('Price History'!D:D,MATCH(9.99E+307,'Returns (Calc)'!$A:$A)+1)-'Price History'!D3)*(ROW()-3)/(MATCH(9.99E+307,'Returns (Calc)'!$A:$A)-3),"")</f>
        <v>1463.8</v>
      </c>
      <c r="Z120" s="152">
        <f>IFERROR('Price History'!E3+(INDEX('Price History'!E:E,MATCH(9.99E+307,'Returns (Calc)'!$A:$A)+1)-'Price History'!E3)*(ROW()-3)/(MATCH(9.99E+307,'Returns (Calc)'!$A:$A)-3),"")</f>
        <v>287.69924528301885</v>
      </c>
      <c r="AA120" s="152">
        <f>IFERROR('Price History'!F3+(INDEX('Price History'!F:F,MATCH(9.99E+307,'Returns (Calc)'!$A:$A)+1)-'Price History'!F3)*(ROW()-3)/(MATCH(9.99E+307,'Returns (Calc)'!$A:$A)-3),"")</f>
        <v>213.31320754716984</v>
      </c>
      <c r="AB120" s="152">
        <f>IFERROR('Price History'!G3+(INDEX('Price History'!G:G,MATCH(9.99E+307,'Returns (Calc)'!$A:$A)+1)-'Price History'!G3)*(ROW()-3)/(MATCH(9.99E+307,'Returns (Calc)'!$A:$A)-3),"")</f>
        <v>155.62509433962265</v>
      </c>
      <c r="AC120" s="152">
        <f>IFERROR('Price History'!H3+(INDEX('Price History'!H:H,MATCH(9.99E+307,'Returns (Calc)'!$A:$A)+1)-'Price History'!H3)*(ROW()-3)/(MATCH(9.99E+307,'Returns (Calc)'!$A:$A)-3),"")</f>
        <v>775.44415094339627</v>
      </c>
      <c r="AD120" s="152">
        <f>IFERROR('Price History'!I3+(INDEX('Price History'!I:I,MATCH(9.99E+307,'Returns (Calc)'!$A:$A)+1)-'Price History'!I3)*(ROW()-3)/(MATCH(9.99E+307,'Returns (Calc)'!$A:$A)-3),"")</f>
        <v>180.27735849056603</v>
      </c>
      <c r="AE120" s="152">
        <f>IFERROR('Price History'!J3+(INDEX('Price History'!J:J,MATCH(9.99E+307,'Returns (Calc)'!$A:$A)+1)-'Price History'!J3)*(ROW()-3)/(MATCH(9.99E+307,'Returns (Calc)'!$A:$A)-3),"")</f>
        <v>124.82773584905661</v>
      </c>
      <c r="AF120" s="152">
        <f>IFERROR('Price History'!K3+(INDEX('Price History'!K:K,MATCH(9.99E+307,'Returns (Calc)'!$A:$A)+1)-'Price History'!K3)*(ROW()-3)/(MATCH(9.99E+307,'Returns (Calc)'!$A:$A)-3),"")</f>
        <v>157.87867924528305</v>
      </c>
      <c r="AG120" s="152">
        <f>IFERROR('Price History'!L3+(INDEX('Price History'!L:L,MATCH(9.99E+307,'Returns (Calc)'!$A:$A)+1)-'Price History'!L3)*(ROW()-3)/(MATCH(9.99E+307,'Returns (Calc)'!$A:$A)-3),"")</f>
        <v>356.218679245283</v>
      </c>
      <c r="AH120" s="152">
        <f>IFERROR('Price History'!M3+(INDEX('Price History'!M:M,MATCH(9.99E+307,'Returns (Calc)'!$A:$A)+1)-'Price History'!M3)*(ROW()-3)/(MATCH(9.99E+307,'Returns (Calc)'!$A:$A)-3),"")</f>
        <v>188.69245283018867</v>
      </c>
      <c r="AI120" s="152">
        <f>IFERROR('Price History'!N3+(INDEX('Price History'!N:N,MATCH(9.99E+307,'Returns (Calc)'!$A:$A)+1)-'Price History'!N3)*(ROW()-3)/(MATCH(9.99E+307,'Returns (Calc)'!$A:$A)-3),"")</f>
        <v>467.50415094339621</v>
      </c>
      <c r="AJ120" s="152">
        <f>IFERROR('Price History'!O3+(INDEX('Price History'!O:O,MATCH(9.99E+307,'Returns (Calc)'!$A:$A)+1)-'Price History'!O3)*(ROW()-3)/(MATCH(9.99E+307,'Returns (Calc)'!$A:$A)-3),"")</f>
        <v>107.93018867924528</v>
      </c>
      <c r="AK120" s="152">
        <f>IFERROR('Price History'!Q3+(INDEX('Price History'!Q:Q,MATCH(9.99E+307,'Returns (Calc)'!$A:$A)+1)-'Price History'!Q3)*(ROW()-3)/(MATCH(9.99E+307,'Returns (Calc)'!$A:$A)-3),"")</f>
        <v>51.487358490566038</v>
      </c>
      <c r="AL120" s="152">
        <f>IFERROR('Price History'!R3+(INDEX('Price History'!R:R,MATCH(9.99E+307,'Returns (Calc)'!$A:$A)+1)-'Price History'!R3)*(ROW()-3)/(MATCH(9.99E+307,'Returns (Calc)'!$A:$A)-3),"")</f>
        <v>54.060943396226421</v>
      </c>
      <c r="AM120" s="152">
        <f>IFERROR('Price History'!S3+(INDEX('Price History'!S:S,MATCH(9.99E+307,'Returns (Calc)'!$A:$A)+1)-'Price History'!S3)*(ROW()-3)/(MATCH(9.99E+307,'Returns (Calc)'!$A:$A)-3),"")</f>
        <v>126.45396226415096</v>
      </c>
      <c r="AN120" s="152">
        <f>IFERROR('Price History'!T3+(INDEX('Price History'!T:T,MATCH(9.99E+307,'Returns (Calc)'!$A:$A)+1)-'Price History'!T3)*(ROW()-3)/(MATCH(9.99E+307,'Returns (Calc)'!$A:$A)-3),"")</f>
        <v>45.549433962264153</v>
      </c>
      <c r="AO120" s="153">
        <f>IFERROR('Price History'!V3+(INDEX('Price History'!V:V,MATCH(9.99E+307,'Returns (Calc)'!$A:$A)+1)-'Price History'!V3)*(ROW()-3)/(MATCH(9.99E+307,'Returns (Calc)'!$A:$A)-3),"")</f>
        <v>345.87490566037735</v>
      </c>
      <c r="AP120" s="151">
        <f>IFERROR(IF(OR(NOT(ISNUMBER('Price History'!W121)),NOT(ISNUMBER('Price History'!W120)),'Price History'!W120=0),"",'Price History'!W121/'Price History'!W120-1),"")</f>
        <v>-1.1857984844232394E-2</v>
      </c>
      <c r="AQ120" s="151" t="str">
        <f>IFERROR(IF(OR(NOT(ISNUMBER('Price History'!X121)),NOT(ISNUMBER('Price History'!X120)),'Price History'!X120=0),"",'Price History'!X121/'Price History'!X120-1),"")</f>
        <v/>
      </c>
      <c r="AR120" s="151">
        <f>IFERROR(IF(OR(NOT(ISNUMBER('Price History'!Y121)),NOT(ISNUMBER('Price History'!Y120)),'Price History'!Y120=0),"",'Price History'!Y121/'Price History'!Y120-1),"")</f>
        <v>-3.3345683586513131E-3</v>
      </c>
      <c r="AS120" s="151">
        <f>IFERROR(IF(OR(NOT(ISNUMBER('Price History'!Z121)),NOT(ISNUMBER('Price History'!Z120)),'Price History'!Z120=0),"",'Price History'!Z121/'Price History'!Z120-1),"")</f>
        <v>2.4676890109154082E-2</v>
      </c>
      <c r="AT120" s="151">
        <f>IFERROR(IF(OR(NOT(ISNUMBER('Price History'!AA121)),NOT(ISNUMBER('Price History'!AA120)),'Price History'!AA120=0),"",'Price History'!AA121/'Price History'!AA120-1),"")</f>
        <v>-8.4042441432923276E-3</v>
      </c>
      <c r="AU120" s="151">
        <f>IFERROR(IF(OR(NOT(ISNUMBER('Price History'!AB121)),NOT(ISNUMBER('Price History'!AB120)),'Price History'!AB120=0),"",'Price History'!AB121/'Price History'!AB120-1),"")</f>
        <v>-6.2707157574127814E-3</v>
      </c>
    </row>
    <row r="121" spans="1:47" ht="15" customHeight="1" x14ac:dyDescent="0.2">
      <c r="A121" s="149">
        <f>IF('Price History'!A122="","",'Price History'!A122)</f>
        <v>46017</v>
      </c>
      <c r="B121" s="150">
        <f>IFERROR(IF(OR(NOT(ISNUMBER('Price History'!B122)),NOT(ISNUMBER('Price History'!B121)),'Price History'!B121=0),"",'Price History'!B122/'Price History'!B121-1),"")</f>
        <v>-5.788793345697707E-3</v>
      </c>
      <c r="C121" s="150">
        <f>IFERROR(IF(OR(NOT(ISNUMBER('Price History'!C122)),NOT(ISNUMBER('Price History'!C121)),'Price History'!C121=0),"",'Price History'!C122/'Price History'!C121-1),"")</f>
        <v>5.4911531421597548E-3</v>
      </c>
      <c r="D121" s="150">
        <f>IFERROR(IF(OR(NOT(ISNUMBER('Price History'!D122)),NOT(ISNUMBER('Price History'!D121)),'Price History'!D121=0),"",'Price History'!D122/'Price History'!D121-1),"")</f>
        <v>1.5842507397927585E-2</v>
      </c>
      <c r="E121" s="150">
        <f>IFERROR(IF(OR(NOT(ISNUMBER('Price History'!E122)),NOT(ISNUMBER('Price History'!E121)),'Price History'!E121=0),"",'Price History'!E122/'Price History'!E121-1),"")</f>
        <v>3.6554684031374851E-2</v>
      </c>
      <c r="F121" s="150">
        <f>IFERROR(IF(OR(NOT(ISNUMBER('Price History'!F122)),NOT(ISNUMBER('Price History'!F121)),'Price History'!F121=0),"",'Price History'!F122/'Price History'!F121-1),"")</f>
        <v>-1.6622340425531679E-4</v>
      </c>
      <c r="G121" s="150">
        <f>IFERROR(IF(OR(NOT(ISNUMBER('Price History'!G122)),NOT(ISNUMBER('Price History'!G121)),'Price History'!G121=0),"",'Price History'!G122/'Price History'!G121-1),"")</f>
        <v>2.7233905406494285E-2</v>
      </c>
      <c r="H121" s="150">
        <f>IFERROR(IF(OR(NOT(ISNUMBER('Price History'!H122)),NOT(ISNUMBER('Price History'!H121)),'Price History'!H121=0),"",'Price History'!H122/'Price History'!H121-1),"")</f>
        <v>7.0955356470676634E-2</v>
      </c>
      <c r="I121" s="150">
        <f>IFERROR(IF(OR(NOT(ISNUMBER('Price History'!I122)),NOT(ISNUMBER('Price History'!I121)),'Price History'!I121=0),"",'Price History'!I122/'Price History'!I121-1),"")</f>
        <v>5.2721936091266519E-2</v>
      </c>
      <c r="J121" s="150">
        <f>IFERROR(IF(OR(NOT(ISNUMBER('Price History'!J122)),NOT(ISNUMBER('Price History'!J121)),'Price History'!J121=0),"",'Price History'!J122/'Price History'!J121-1),"")</f>
        <v>1.1583011583011782E-2</v>
      </c>
      <c r="K121" s="150">
        <f>IFERROR(IF(OR(NOT(ISNUMBER('Price History'!K122)),NOT(ISNUMBER('Price History'!K121)),'Price History'!K121=0),"",'Price History'!K122/'Price History'!K121-1),"")</f>
        <v>-2.4149343261971157E-2</v>
      </c>
      <c r="L121" s="150">
        <f>IFERROR(IF(OR(NOT(ISNUMBER('Price History'!L122)),NOT(ISNUMBER('Price History'!L121)),'Price History'!L121=0),"",'Price History'!L122/'Price History'!L121-1),"")</f>
        <v>4.8064178583885786E-2</v>
      </c>
      <c r="M121" s="150">
        <f>IFERROR(IF(OR(NOT(ISNUMBER('Price History'!M122)),NOT(ISNUMBER('Price History'!M121)),'Price History'!M121=0),"",'Price History'!M122/'Price History'!M121-1),"")</f>
        <v>4.8525452382443213E-2</v>
      </c>
      <c r="N121" s="150">
        <f>IFERROR(IF(OR(NOT(ISNUMBER('Price History'!N122)),NOT(ISNUMBER('Price History'!N121)),'Price History'!N121=0),"",'Price History'!N122/'Price History'!N121-1),"")</f>
        <v>1.4686540990793473E-2</v>
      </c>
      <c r="O121" s="150">
        <f>IFERROR(IF(OR(NOT(ISNUMBER('Price History'!O122)),NOT(ISNUMBER('Price History'!O121)),'Price History'!O121=0),"",'Price History'!O122/'Price History'!O121-1),"")</f>
        <v>-8.7548638132295409E-4</v>
      </c>
      <c r="P121" s="150">
        <f>IFERROR(IF(OR(NOT(ISNUMBER('Price History'!P122)),NOT(ISNUMBER('Price History'!P121)),'Price History'!P121=0),"",'Price History'!P122/'Price History'!P121-1),"")</f>
        <v>5.2688560086611158E-3</v>
      </c>
      <c r="Q121" s="150">
        <f>IFERROR(IF(OR(NOT(ISNUMBER('Price History'!Q122)),NOT(ISNUMBER('Price History'!Q121)),'Price History'!Q121=0),"",'Price History'!Q122/'Price History'!Q121-1),"")</f>
        <v>1.0601241859760746E-2</v>
      </c>
      <c r="R121" s="150">
        <f>IFERROR(IF(OR(NOT(ISNUMBER('Price History'!R122)),NOT(ISNUMBER('Price History'!R121)),'Price History'!R121=0),"",'Price History'!R122/'Price History'!R121-1),"")</f>
        <v>1.2434061793519247E-2</v>
      </c>
      <c r="S121" s="150">
        <f>IFERROR(IF(OR(NOT(ISNUMBER('Price History'!S122)),NOT(ISNUMBER('Price History'!S121)),'Price History'!S121=0),"",'Price History'!S122/'Price History'!S121-1),"")</f>
        <v>1.7970134143254768E-2</v>
      </c>
      <c r="T121" s="150">
        <f>IFERROR(IF(OR(NOT(ISNUMBER('Price History'!T122)),NOT(ISNUMBER('Price History'!T121)),'Price History'!T121=0),"",'Price History'!T122/'Price History'!T121-1),"")</f>
        <v>6.620830150241952E-3</v>
      </c>
      <c r="U121" s="150">
        <f>IFERROR(IF(OR(NOT(ISNUMBER('Price History'!U122)),NOT(ISNUMBER('Price History'!U121)),'Price History'!U121=0),"",'Price History'!U122/'Price History'!U121-1),"")</f>
        <v>6.7164179104477473E-3</v>
      </c>
      <c r="V121" s="151">
        <f>IFERROR(IF(OR(NOT(ISNUMBER('Price History'!V122)),NOT(ISNUMBER('Price History'!V121)),'Price History'!V121=0),"",'Price History'!V122/'Price History'!V121-1),"")</f>
        <v>1.6447273669959905E-2</v>
      </c>
      <c r="W121" s="152">
        <f>IFERROR('Price History'!B3+(INDEX('Price History'!B:B,MATCH(9.99E+307,'Returns (Calc)'!$A:$A)+1)-'Price History'!B3)*(ROW()-3)/(MATCH(9.99E+307,'Returns (Calc)'!$A:$A)-3),"")</f>
        <v>316.17830188679238</v>
      </c>
      <c r="X121" s="152">
        <f>IFERROR('Price History'!C3+(INDEX('Price History'!C:C,MATCH(9.99E+307,'Returns (Calc)'!$A:$A)+1)-'Price History'!C3)*(ROW()-3)/(MATCH(9.99E+307,'Returns (Calc)'!$A:$A)-3),"")</f>
        <v>172.75911949685536</v>
      </c>
      <c r="Y121" s="152">
        <f>IFERROR('Price History'!D3+(INDEX('Price History'!D:D,MATCH(9.99E+307,'Returns (Calc)'!$A:$A)+1)-'Price History'!D3)*(ROW()-3)/(MATCH(9.99E+307,'Returns (Calc)'!$A:$A)-3),"")</f>
        <v>1471.3366666666666</v>
      </c>
      <c r="Z121" s="152">
        <f>IFERROR('Price History'!E3+(INDEX('Price History'!E:E,MATCH(9.99E+307,'Returns (Calc)'!$A:$A)+1)-'Price History'!E3)*(ROW()-3)/(MATCH(9.99E+307,'Returns (Calc)'!$A:$A)-3),"")</f>
        <v>289.45735849056604</v>
      </c>
      <c r="AA121" s="152">
        <f>IFERROR('Price History'!F3+(INDEX('Price History'!F:F,MATCH(9.99E+307,'Returns (Calc)'!$A:$A)+1)-'Price History'!F3)*(ROW()-3)/(MATCH(9.99E+307,'Returns (Calc)'!$A:$A)-3),"")</f>
        <v>214.78289308176102</v>
      </c>
      <c r="AB121" s="152">
        <f>IFERROR('Price History'!G3+(INDEX('Price History'!G:G,MATCH(9.99E+307,'Returns (Calc)'!$A:$A)+1)-'Price History'!G3)*(ROW()-3)/(MATCH(9.99E+307,'Returns (Calc)'!$A:$A)-3),"")</f>
        <v>156.57616352201256</v>
      </c>
      <c r="AC121" s="152">
        <f>IFERROR('Price History'!H3+(INDEX('Price History'!H:H,MATCH(9.99E+307,'Returns (Calc)'!$A:$A)+1)-'Price History'!H3)*(ROW()-3)/(MATCH(9.99E+307,'Returns (Calc)'!$A:$A)-3),"")</f>
        <v>781.4811949685535</v>
      </c>
      <c r="AD121" s="152">
        <f>IFERROR('Price History'!I3+(INDEX('Price History'!I:I,MATCH(9.99E+307,'Returns (Calc)'!$A:$A)+1)-'Price History'!I3)*(ROW()-3)/(MATCH(9.99E+307,'Returns (Calc)'!$A:$A)-3),"")</f>
        <v>181.44408805031449</v>
      </c>
      <c r="AE121" s="152">
        <f>IFERROR('Price History'!J3+(INDEX('Price History'!J:J,MATCH(9.99E+307,'Returns (Calc)'!$A:$A)+1)-'Price History'!J3)*(ROW()-3)/(MATCH(9.99E+307,'Returns (Calc)'!$A:$A)-3),"")</f>
        <v>124.93874213836479</v>
      </c>
      <c r="AF121" s="152">
        <f>IFERROR('Price History'!K3+(INDEX('Price History'!K:K,MATCH(9.99E+307,'Returns (Calc)'!$A:$A)+1)-'Price History'!K3)*(ROW()-3)/(MATCH(9.99E+307,'Returns (Calc)'!$A:$A)-3),"")</f>
        <v>159.09704402515723</v>
      </c>
      <c r="AG121" s="152">
        <f>IFERROR('Price History'!L3+(INDEX('Price History'!L:L,MATCH(9.99E+307,'Returns (Calc)'!$A:$A)+1)-'Price History'!L3)*(ROW()-3)/(MATCH(9.99E+307,'Returns (Calc)'!$A:$A)-3),"")</f>
        <v>358.53037735849057</v>
      </c>
      <c r="AH121" s="152">
        <f>IFERROR('Price History'!M3+(INDEX('Price History'!M:M,MATCH(9.99E+307,'Returns (Calc)'!$A:$A)+1)-'Price History'!M3)*(ROW()-3)/(MATCH(9.99E+307,'Returns (Calc)'!$A:$A)-3),"")</f>
        <v>189.98025157232706</v>
      </c>
      <c r="AI121" s="152">
        <f>IFERROR('Price History'!N3+(INDEX('Price History'!N:N,MATCH(9.99E+307,'Returns (Calc)'!$A:$A)+1)-'Price History'!N3)*(ROW()-3)/(MATCH(9.99E+307,'Returns (Calc)'!$A:$A)-3),"")</f>
        <v>468.51786163522013</v>
      </c>
      <c r="AJ121" s="152">
        <f>IFERROR('Price History'!O3+(INDEX('Price History'!O:O,MATCH(9.99E+307,'Returns (Calc)'!$A:$A)+1)-'Price History'!O3)*(ROW()-3)/(MATCH(9.99E+307,'Returns (Calc)'!$A:$A)-3),"")</f>
        <v>108.20899371069183</v>
      </c>
      <c r="AK121" s="152">
        <f>IFERROR('Price History'!Q3+(INDEX('Price History'!Q:Q,MATCH(9.99E+307,'Returns (Calc)'!$A:$A)+1)-'Price History'!Q3)*(ROW()-3)/(MATCH(9.99E+307,'Returns (Calc)'!$A:$A)-3),"")</f>
        <v>51.92742138364779</v>
      </c>
      <c r="AL121" s="152">
        <f>IFERROR('Price History'!R3+(INDEX('Price History'!R:R,MATCH(9.99E+307,'Returns (Calc)'!$A:$A)+1)-'Price History'!R3)*(ROW()-3)/(MATCH(9.99E+307,'Returns (Calc)'!$A:$A)-3),"")</f>
        <v>54.228301886792451</v>
      </c>
      <c r="AM121" s="152">
        <f>IFERROR('Price History'!S3+(INDEX('Price History'!S:S,MATCH(9.99E+307,'Returns (Calc)'!$A:$A)+1)-'Price History'!S3)*(ROW()-3)/(MATCH(9.99E+307,'Returns (Calc)'!$A:$A)-3),"")</f>
        <v>127.04220125786165</v>
      </c>
      <c r="AN121" s="152">
        <f>IFERROR('Price History'!T3+(INDEX('Price History'!T:T,MATCH(9.99E+307,'Returns (Calc)'!$A:$A)+1)-'Price History'!T3)*(ROW()-3)/(MATCH(9.99E+307,'Returns (Calc)'!$A:$A)-3),"")</f>
        <v>45.72301886792453</v>
      </c>
      <c r="AO121" s="153">
        <f>IFERROR('Price History'!V3+(INDEX('Price History'!V:V,MATCH(9.99E+307,'Returns (Calc)'!$A:$A)+1)-'Price History'!V3)*(ROW()-3)/(MATCH(9.99E+307,'Returns (Calc)'!$A:$A)-3),"")</f>
        <v>346.81716981132075</v>
      </c>
      <c r="AP121" s="151">
        <f>IFERROR(IF(OR(NOT(ISNUMBER('Price History'!W122)),NOT(ISNUMBER('Price History'!W121)),'Price History'!W121=0),"",'Price History'!W122/'Price History'!W121-1),"")</f>
        <v>1.2284314421643128E-2</v>
      </c>
      <c r="AQ121" s="151">
        <f>IFERROR(IF(OR(NOT(ISNUMBER('Price History'!X122)),NOT(ISNUMBER('Price History'!X121)),'Price History'!X121=0),"",'Price History'!X122/'Price History'!X121-1),"")</f>
        <v>1.5855039637599155E-2</v>
      </c>
      <c r="AR121" s="151">
        <f>IFERROR(IF(OR(NOT(ISNUMBER('Price History'!Y122)),NOT(ISNUMBER('Price History'!Y121)),'Price History'!Y121=0),"",'Price History'!Y122/'Price History'!Y121-1),"")</f>
        <v>8.3643122676579917E-3</v>
      </c>
      <c r="AS121" s="151">
        <f>IFERROR(IF(OR(NOT(ISNUMBER('Price History'!Z122)),NOT(ISNUMBER('Price History'!Z121)),'Price History'!Z121=0),"",'Price History'!Z122/'Price History'!Z121-1),"")</f>
        <v>2.5814462634382362E-2</v>
      </c>
      <c r="AT121" s="151">
        <f>IFERROR(IF(OR(NOT(ISNUMBER('Price History'!AA122)),NOT(ISNUMBER('Price History'!AA121)),'Price History'!AA121=0),"",'Price History'!AA122/'Price History'!AA121-1),"")</f>
        <v>8.4754740968318032E-4</v>
      </c>
      <c r="AU121" s="151">
        <f>IFERROR(IF(OR(NOT(ISNUMBER('Price History'!AB122)),NOT(ISNUMBER('Price History'!AB121)),'Price History'!AB121=0),"",'Price History'!AB122/'Price History'!AB121-1),"")</f>
        <v>1.2575498061840662E-2</v>
      </c>
    </row>
    <row r="122" spans="1:47" ht="15" customHeight="1" x14ac:dyDescent="0.2">
      <c r="A122" s="149">
        <f>IF('Price History'!A123="","",'Price History'!A123)</f>
        <v>46024</v>
      </c>
      <c r="B122" s="150">
        <f>IFERROR(IF(OR(NOT(ISNUMBER('Price History'!B123)),NOT(ISNUMBER('Price History'!B122)),'Price History'!B122=0),"",'Price History'!B123/'Price History'!B122-1),"")</f>
        <v>-5.7942340305257245E-2</v>
      </c>
      <c r="C122" s="150">
        <f>IFERROR(IF(OR(NOT(ISNUMBER('Price History'!C123)),NOT(ISNUMBER('Price History'!C122)),'Price History'!C122=0),"",'Price History'!C123/'Price History'!C122-1),"")</f>
        <v>1.3349514563106624E-2</v>
      </c>
      <c r="D122" s="150">
        <f>IFERROR(IF(OR(NOT(ISNUMBER('Price History'!D123)),NOT(ISNUMBER('Price History'!D122)),'Price History'!D122=0),"",'Price History'!D123/'Price History'!D122-1),"")</f>
        <v>8.4861654895936889E-2</v>
      </c>
      <c r="E122" s="150">
        <f>IFERROR(IF(OR(NOT(ISNUMBER('Price History'!E123)),NOT(ISNUMBER('Price History'!E122)),'Price History'!E122=0),"",'Price History'!E123/'Price History'!E122-1),"")</f>
        <v>-1.282124500285553E-2</v>
      </c>
      <c r="F122" s="150">
        <f>IFERROR(IF(OR(NOT(ISNUMBER('Price History'!F123)),NOT(ISNUMBER('Price History'!F122)),'Price History'!F122=0),"",'Price History'!F123/'Price History'!F122-1),"")</f>
        <v>-5.7439733998337461E-2</v>
      </c>
      <c r="G122" s="150">
        <f>IFERROR(IF(OR(NOT(ISNUMBER('Price History'!G123)),NOT(ISNUMBER('Price History'!G122)),'Price History'!G122=0),"",'Price History'!G123/'Price History'!G122-1),"")</f>
        <v>-4.0003137500980168E-3</v>
      </c>
      <c r="H122" s="150">
        <f>IFERROR(IF(OR(NOT(ISNUMBER('Price History'!H123)),NOT(ISNUMBER('Price History'!H122)),'Price History'!H122=0),"",'Price History'!H123/'Price History'!H122-1),"")</f>
        <v>0.10801026325963936</v>
      </c>
      <c r="I122" s="150">
        <f>IFERROR(IF(OR(NOT(ISNUMBER('Price History'!I123)),NOT(ISNUMBER('Price History'!I122)),'Price History'!I122=0),"",'Price History'!I123/'Price History'!I122-1),"")</f>
        <v>-8.8379188805303155E-3</v>
      </c>
      <c r="J122" s="150">
        <f>IFERROR(IF(OR(NOT(ISNUMBER('Price History'!J123)),NOT(ISNUMBER('Price History'!J122)),'Price History'!J122=0),"",'Price History'!J123/'Price History'!J122-1),"")</f>
        <v>2.703562340966803E-3</v>
      </c>
      <c r="K122" s="150">
        <f>IFERROR(IF(OR(NOT(ISNUMBER('Price History'!K123)),NOT(ISNUMBER('Price History'!K122)),'Price History'!K122=0),"",'Price History'!K123/'Price History'!K122-1),"")</f>
        <v>-0.1104869906205288</v>
      </c>
      <c r="L122" s="150">
        <f>IFERROR(IF(OR(NOT(ISNUMBER('Price History'!L123)),NOT(ISNUMBER('Price History'!L122)),'Price History'!L122=0),"",'Price History'!L123/'Price History'!L122-1),"")</f>
        <v>5.5378061767838105E-2</v>
      </c>
      <c r="M122" s="150">
        <f>IFERROR(IF(OR(NOT(ISNUMBER('Price History'!M123)),NOT(ISNUMBER('Price History'!M122)),'Price History'!M122=0),"",'Price History'!M123/'Price History'!M122-1),"")</f>
        <v>4.7951749671563348E-2</v>
      </c>
      <c r="N122" s="150">
        <f>IFERROR(IF(OR(NOT(ISNUMBER('Price History'!N123)),NOT(ISNUMBER('Price History'!N122)),'Price History'!N122=0),"",'Price History'!N123/'Price History'!N122-1),"")</f>
        <v>-2.326636422553463E-2</v>
      </c>
      <c r="O122" s="150">
        <f>IFERROR(IF(OR(NOT(ISNUMBER('Price History'!O123)),NOT(ISNUMBER('Price History'!O122)),'Price History'!O122=0),"",'Price History'!O123/'Price History'!O122-1),"")</f>
        <v>-5.5496056859116738E-3</v>
      </c>
      <c r="P122" s="150">
        <f>IFERROR(IF(OR(NOT(ISNUMBER('Price History'!P123)),NOT(ISNUMBER('Price History'!P122)),'Price History'!P122=0),"",'Price History'!P123/'Price History'!P122-1),"")</f>
        <v>7.179781734634183E-5</v>
      </c>
      <c r="Q122" s="150">
        <f>IFERROR(IF(OR(NOT(ISNUMBER('Price History'!Q123)),NOT(ISNUMBER('Price History'!Q122)),'Price History'!Q122=0),"",'Price History'!Q123/'Price History'!Q122-1),"")</f>
        <v>-8.242169938558308E-3</v>
      </c>
      <c r="R122" s="150">
        <f>IFERROR(IF(OR(NOT(ISNUMBER('Price History'!R123)),NOT(ISNUMBER('Price History'!R122)),'Price History'!R122=0),"",'Price History'!R123/'Price History'!R122-1),"")</f>
        <v>-1.1537030145143401E-2</v>
      </c>
      <c r="S122" s="150">
        <f>IFERROR(IF(OR(NOT(ISNUMBER('Price History'!S123)),NOT(ISNUMBER('Price History'!S122)),'Price History'!S122=0),"",'Price History'!S123/'Price History'!S122-1),"")</f>
        <v>-1.4089176197579989E-2</v>
      </c>
      <c r="T122" s="150">
        <f>IFERROR(IF(OR(NOT(ISNUMBER('Price History'!T123)),NOT(ISNUMBER('Price History'!T122)),'Price History'!T122=0),"",'Price History'!T123/'Price History'!T122-1),"")</f>
        <v>-9.3599797622060388E-3</v>
      </c>
      <c r="U122" s="150">
        <f>IFERROR(IF(OR(NOT(ISNUMBER('Price History'!U123)),NOT(ISNUMBER('Price History'!U122)),'Price History'!U122=0),"",'Price History'!U123/'Price History'!U122-1),"")</f>
        <v>2.9651593773165619E-3</v>
      </c>
      <c r="V122" s="151">
        <f>IFERROR(IF(OR(NOT(ISNUMBER('Price History'!V123)),NOT(ISNUMBER('Price History'!V122)),'Price History'!V122=0),"",'Price History'!V123/'Price History'!V122-1),"")</f>
        <v>-2.4002493765585942E-2</v>
      </c>
      <c r="W122" s="152">
        <f>IFERROR('Price History'!B3+(INDEX('Price History'!B:B,MATCH(9.99E+307,'Returns (Calc)'!$A:$A)+1)-'Price History'!B3)*(ROW()-3)/(MATCH(9.99E+307,'Returns (Calc)'!$A:$A)-3),"")</f>
        <v>314.37566037735849</v>
      </c>
      <c r="X122" s="152">
        <f>IFERROR('Price History'!C3+(INDEX('Price History'!C:C,MATCH(9.99E+307,'Returns (Calc)'!$A:$A)+1)-'Price History'!C3)*(ROW()-3)/(MATCH(9.99E+307,'Returns (Calc)'!$A:$A)-3),"")</f>
        <v>173.83182389937107</v>
      </c>
      <c r="Y122" s="152">
        <f>IFERROR('Price History'!D3+(INDEX('Price History'!D:D,MATCH(9.99E+307,'Returns (Calc)'!$A:$A)+1)-'Price History'!D3)*(ROW()-3)/(MATCH(9.99E+307,'Returns (Calc)'!$A:$A)-3),"")</f>
        <v>1478.8733333333332</v>
      </c>
      <c r="Z122" s="152">
        <f>IFERROR('Price History'!E3+(INDEX('Price History'!E:E,MATCH(9.99E+307,'Returns (Calc)'!$A:$A)+1)-'Price History'!E3)*(ROW()-3)/(MATCH(9.99E+307,'Returns (Calc)'!$A:$A)-3),"")</f>
        <v>291.21547169811322</v>
      </c>
      <c r="AA122" s="152">
        <f>IFERROR('Price History'!F3+(INDEX('Price History'!F:F,MATCH(9.99E+307,'Returns (Calc)'!$A:$A)+1)-'Price History'!F3)*(ROW()-3)/(MATCH(9.99E+307,'Returns (Calc)'!$A:$A)-3),"")</f>
        <v>216.2525786163522</v>
      </c>
      <c r="AB122" s="152">
        <f>IFERROR('Price History'!G3+(INDEX('Price History'!G:G,MATCH(9.99E+307,'Returns (Calc)'!$A:$A)+1)-'Price History'!G3)*(ROW()-3)/(MATCH(9.99E+307,'Returns (Calc)'!$A:$A)-3),"")</f>
        <v>157.52723270440251</v>
      </c>
      <c r="AC122" s="152">
        <f>IFERROR('Price History'!H3+(INDEX('Price History'!H:H,MATCH(9.99E+307,'Returns (Calc)'!$A:$A)+1)-'Price History'!H3)*(ROW()-3)/(MATCH(9.99E+307,'Returns (Calc)'!$A:$A)-3),"")</f>
        <v>787.51823899371072</v>
      </c>
      <c r="AD122" s="152">
        <f>IFERROR('Price History'!I3+(INDEX('Price History'!I:I,MATCH(9.99E+307,'Returns (Calc)'!$A:$A)+1)-'Price History'!I3)*(ROW()-3)/(MATCH(9.99E+307,'Returns (Calc)'!$A:$A)-3),"")</f>
        <v>182.6108176100629</v>
      </c>
      <c r="AE122" s="152">
        <f>IFERROR('Price History'!J3+(INDEX('Price History'!J:J,MATCH(9.99E+307,'Returns (Calc)'!$A:$A)+1)-'Price History'!J3)*(ROW()-3)/(MATCH(9.99E+307,'Returns (Calc)'!$A:$A)-3),"")</f>
        <v>125.04974842767297</v>
      </c>
      <c r="AF122" s="152">
        <f>IFERROR('Price History'!K3+(INDEX('Price History'!K:K,MATCH(9.99E+307,'Returns (Calc)'!$A:$A)+1)-'Price History'!K3)*(ROW()-3)/(MATCH(9.99E+307,'Returns (Calc)'!$A:$A)-3),"")</f>
        <v>160.31540880503147</v>
      </c>
      <c r="AG122" s="152">
        <f>IFERROR('Price History'!L3+(INDEX('Price History'!L:L,MATCH(9.99E+307,'Returns (Calc)'!$A:$A)+1)-'Price History'!L3)*(ROW()-3)/(MATCH(9.99E+307,'Returns (Calc)'!$A:$A)-3),"")</f>
        <v>360.84207547169814</v>
      </c>
      <c r="AH122" s="152">
        <f>IFERROR('Price History'!M3+(INDEX('Price History'!M:M,MATCH(9.99E+307,'Returns (Calc)'!$A:$A)+1)-'Price History'!M3)*(ROW()-3)/(MATCH(9.99E+307,'Returns (Calc)'!$A:$A)-3),"")</f>
        <v>191.2680503144654</v>
      </c>
      <c r="AI122" s="152">
        <f>IFERROR('Price History'!N3+(INDEX('Price History'!N:N,MATCH(9.99E+307,'Returns (Calc)'!$A:$A)+1)-'Price History'!N3)*(ROW()-3)/(MATCH(9.99E+307,'Returns (Calc)'!$A:$A)-3),"")</f>
        <v>469.53157232704405</v>
      </c>
      <c r="AJ122" s="152">
        <f>IFERROR('Price History'!O3+(INDEX('Price History'!O:O,MATCH(9.99E+307,'Returns (Calc)'!$A:$A)+1)-'Price History'!O3)*(ROW()-3)/(MATCH(9.99E+307,'Returns (Calc)'!$A:$A)-3),"")</f>
        <v>108.48779874213837</v>
      </c>
      <c r="AK122" s="152">
        <f>IFERROR('Price History'!Q3+(INDEX('Price History'!Q:Q,MATCH(9.99E+307,'Returns (Calc)'!$A:$A)+1)-'Price History'!Q3)*(ROW()-3)/(MATCH(9.99E+307,'Returns (Calc)'!$A:$A)-3),"")</f>
        <v>52.367484276729563</v>
      </c>
      <c r="AL122" s="152">
        <f>IFERROR('Price History'!R3+(INDEX('Price History'!R:R,MATCH(9.99E+307,'Returns (Calc)'!$A:$A)+1)-'Price History'!R3)*(ROW()-3)/(MATCH(9.99E+307,'Returns (Calc)'!$A:$A)-3),"")</f>
        <v>54.395660377358496</v>
      </c>
      <c r="AM122" s="152">
        <f>IFERROR('Price History'!S3+(INDEX('Price History'!S:S,MATCH(9.99E+307,'Returns (Calc)'!$A:$A)+1)-'Price History'!S3)*(ROW()-3)/(MATCH(9.99E+307,'Returns (Calc)'!$A:$A)-3),"")</f>
        <v>127.63044025157234</v>
      </c>
      <c r="AN122" s="152">
        <f>IFERROR('Price History'!T3+(INDEX('Price History'!T:T,MATCH(9.99E+307,'Returns (Calc)'!$A:$A)+1)-'Price History'!T3)*(ROW()-3)/(MATCH(9.99E+307,'Returns (Calc)'!$A:$A)-3),"")</f>
        <v>45.896603773584907</v>
      </c>
      <c r="AO122" s="153">
        <f>IFERROR('Price History'!V3+(INDEX('Price History'!V:V,MATCH(9.99E+307,'Returns (Calc)'!$A:$A)+1)-'Price History'!V3)*(ROW()-3)/(MATCH(9.99E+307,'Returns (Calc)'!$A:$A)-3),"")</f>
        <v>347.75943396226415</v>
      </c>
      <c r="AP122" s="151">
        <f>IFERROR(IF(OR(NOT(ISNUMBER('Price History'!W123)),NOT(ISNUMBER('Price History'!W122)),'Price History'!W122=0),"",'Price History'!W123/'Price History'!W122-1),"")</f>
        <v>-2.2446689113355678E-3</v>
      </c>
      <c r="AQ122" s="151">
        <f>IFERROR(IF(OR(NOT(ISNUMBER('Price History'!X123)),NOT(ISNUMBER('Price History'!X122)),'Price History'!X122=0),"",'Price History'!X123/'Price History'!X122-1),"")</f>
        <v>1.025641025641022E-2</v>
      </c>
      <c r="AR122" s="151">
        <f>IFERROR(IF(OR(NOT(ISNUMBER('Price History'!Y123)),NOT(ISNUMBER('Price History'!Y122)),'Price History'!Y122=0),"",'Price History'!Y123/'Price History'!Y122-1),"")</f>
        <v>-4.7926267281105384E-3</v>
      </c>
      <c r="AS122" s="151">
        <f>IFERROR(IF(OR(NOT(ISNUMBER('Price History'!Z123)),NOT(ISNUMBER('Price History'!Z122)),'Price History'!Z122=0),"",'Price History'!Z123/'Price History'!Z122-1),"")</f>
        <v>1.8953269837224784E-2</v>
      </c>
      <c r="AT122" s="151">
        <f>IFERROR(IF(OR(NOT(ISNUMBER('Price History'!AA123)),NOT(ISNUMBER('Price History'!AA122)),'Price History'!AA122=0),"",'Price History'!AA123/'Price History'!AA122-1),"")</f>
        <v>-3.683709114004452E-2</v>
      </c>
      <c r="AU122" s="151">
        <f>IFERROR(IF(OR(NOT(ISNUMBER('Price History'!AB123)),NOT(ISNUMBER('Price History'!AB122)),'Price History'!AB122=0),"",'Price History'!AB123/'Price History'!AB122-1),"")</f>
        <v>-2.2969062986868405E-2</v>
      </c>
    </row>
    <row r="123" spans="1:47" ht="15" customHeight="1" x14ac:dyDescent="0.2">
      <c r="A123" s="149">
        <f>IF('Price History'!A124="","",'Price History'!A124)</f>
        <v>46031</v>
      </c>
      <c r="B123" s="150">
        <f>IFERROR(IF(OR(NOT(ISNUMBER('Price History'!B124)),NOT(ISNUMBER('Price History'!B123)),'Price History'!B123=0),"",'Price History'!B124/'Price History'!B123-1),"")</f>
        <v>1.950195019501777E-3</v>
      </c>
      <c r="C123" s="150">
        <f>IFERROR(IF(OR(NOT(ISNUMBER('Price History'!C124)),NOT(ISNUMBER('Price History'!C123)),'Price History'!C123=0),"",'Price History'!C124/'Price History'!C123-1),"")</f>
        <v>-8.0164670658682602E-2</v>
      </c>
      <c r="D123" s="150">
        <f>IFERROR(IF(OR(NOT(ISNUMBER('Price History'!D124)),NOT(ISNUMBER('Price History'!D123)),'Price History'!D123=0),"",'Price History'!D124/'Price History'!D123-1),"")</f>
        <v>9.4602061784462288E-2</v>
      </c>
      <c r="E123" s="150">
        <f>IFERROR(IF(OR(NOT(ISNUMBER('Price History'!E124)),NOT(ISNUMBER('Price History'!E123)),'Price History'!E123=0),"",'Price History'!E124/'Price History'!E123-1),"")</f>
        <v>-7.6075323247808413E-3</v>
      </c>
      <c r="F123" s="150">
        <f>IFERROR(IF(OR(NOT(ISNUMBER('Price History'!F124)),NOT(ISNUMBER('Price History'!F123)),'Price History'!F123=0),"",'Price History'!F124/'Price History'!F123-1),"")</f>
        <v>3.7569450568833318E-2</v>
      </c>
      <c r="G123" s="150">
        <f>IFERROR(IF(OR(NOT(ISNUMBER('Price History'!G124)),NOT(ISNUMBER('Price History'!G123)),'Price History'!G123=0),"",'Price History'!G124/'Price History'!G123-1),"")</f>
        <v>9.8440699322727809E-2</v>
      </c>
      <c r="H123" s="150">
        <f>IFERROR(IF(OR(NOT(ISNUMBER('Price History'!H124)),NOT(ISNUMBER('Price History'!H123)),'Price History'!H123=0),"",'Price History'!H124/'Price History'!H123-1),"")</f>
        <v>9.4055322928562335E-2</v>
      </c>
      <c r="I123" s="150">
        <f>IFERROR(IF(OR(NOT(ISNUMBER('Price History'!I124)),NOT(ISNUMBER('Price History'!I123)),'Price History'!I123=0),"",'Price History'!I124/'Price History'!I123-1),"")</f>
        <v>-2.1124144153707336E-2</v>
      </c>
      <c r="J123" s="150">
        <f>IFERROR(IF(OR(NOT(ISNUMBER('Price History'!J124)),NOT(ISNUMBER('Price History'!J123)),'Price History'!J123=0),"",'Price History'!J124/'Price History'!J123-1),"")</f>
        <v>2.6962727993655733E-3</v>
      </c>
      <c r="K123" s="150">
        <f>IFERROR(IF(OR(NOT(ISNUMBER('Price History'!K124)),NOT(ISNUMBER('Price History'!K123)),'Price History'!K123=0),"",'Price History'!K124/'Price History'!K123-1),"")</f>
        <v>5.7369236268318913E-2</v>
      </c>
      <c r="L123" s="150">
        <f>IFERROR(IF(OR(NOT(ISNUMBER('Price History'!L124)),NOT(ISNUMBER('Price History'!L123)),'Price History'!L123=0),"",'Price History'!L124/'Price History'!L123-1),"")</f>
        <v>1.2581987891019164E-2</v>
      </c>
      <c r="M123" s="150">
        <f>IFERROR(IF(OR(NOT(ISNUMBER('Price History'!M124)),NOT(ISNUMBER('Price History'!M123)),'Price History'!M123=0),"",'Price History'!M124/'Price History'!M123-1),"")</f>
        <v>-6.8493931278135523E-2</v>
      </c>
      <c r="N123" s="150">
        <f>IFERROR(IF(OR(NOT(ISNUMBER('Price History'!N124)),NOT(ISNUMBER('Price History'!N123)),'Price History'!N123=0),"",'Price History'!N124/'Price History'!N123-1),"")</f>
        <v>2.5943865702342306E-2</v>
      </c>
      <c r="O123" s="150">
        <f>IFERROR(IF(OR(NOT(ISNUMBER('Price History'!O124)),NOT(ISNUMBER('Price History'!O123)),'Price History'!O123=0),"",'Price History'!O124/'Price History'!O123-1),"")</f>
        <v>4.082631682005089E-2</v>
      </c>
      <c r="P123" s="150">
        <f>IFERROR(IF(OR(NOT(ISNUMBER('Price History'!P124)),NOT(ISNUMBER('Price History'!P123)),'Price History'!P123=0),"",'Price History'!P124/'Price History'!P123-1),"")</f>
        <v>2.0963457534640018E-2</v>
      </c>
      <c r="Q123" s="150">
        <f>IFERROR(IF(OR(NOT(ISNUMBER('Price History'!Q124)),NOT(ISNUMBER('Price History'!Q123)),'Price History'!Q123=0),"",'Price History'!Q124/'Price History'!Q123-1),"")</f>
        <v>9.0661831368992196E-3</v>
      </c>
      <c r="R123" s="150">
        <f>IFERROR(IF(OR(NOT(ISNUMBER('Price History'!R124)),NOT(ISNUMBER('Price History'!R123)),'Price History'!R123=0),"",'Price History'!R124/'Price History'!R123-1),"")</f>
        <v>1.8448795180723065E-2</v>
      </c>
      <c r="S123" s="150">
        <f>IFERROR(IF(OR(NOT(ISNUMBER('Price History'!S124)),NOT(ISNUMBER('Price History'!S123)),'Price History'!S123=0),"",'Price History'!S124/'Price History'!S123-1),"")</f>
        <v>2.9421654337593584E-3</v>
      </c>
      <c r="T123" s="150">
        <f>IFERROR(IF(OR(NOT(ISNUMBER('Price History'!T124)),NOT(ISNUMBER('Price History'!T123)),'Price History'!T123=0),"",'Price History'!T124/'Price History'!T123-1),"")</f>
        <v>2.5791624106231037E-2</v>
      </c>
      <c r="U123" s="150">
        <f>IFERROR(IF(OR(NOT(ISNUMBER('Price History'!U124)),NOT(ISNUMBER('Price History'!U123)),'Price History'!U123=0),"",'Price History'!U124/'Price History'!U123-1),"")</f>
        <v>2.9563932002956372E-2</v>
      </c>
      <c r="V123" s="151">
        <f>IFERROR(IF(OR(NOT(ISNUMBER('Price History'!V124)),NOT(ISNUMBER('Price History'!V123)),'Price History'!V123=0),"",'Price History'!V124/'Price History'!V123-1),"")</f>
        <v>9.4944978368805E-3</v>
      </c>
      <c r="W123" s="152">
        <f>IFERROR('Price History'!B3+(INDEX('Price History'!B:B,MATCH(9.99E+307,'Returns (Calc)'!$A:$A)+1)-'Price History'!B3)*(ROW()-3)/(MATCH(9.99E+307,'Returns (Calc)'!$A:$A)-3),"")</f>
        <v>312.57301886792447</v>
      </c>
      <c r="X123" s="152">
        <f>IFERROR('Price History'!C3+(INDEX('Price History'!C:C,MATCH(9.99E+307,'Returns (Calc)'!$A:$A)+1)-'Price History'!C3)*(ROW()-3)/(MATCH(9.99E+307,'Returns (Calc)'!$A:$A)-3),"")</f>
        <v>174.90452830188681</v>
      </c>
      <c r="Y123" s="152">
        <f>IFERROR('Price History'!D3+(INDEX('Price History'!D:D,MATCH(9.99E+307,'Returns (Calc)'!$A:$A)+1)-'Price History'!D3)*(ROW()-3)/(MATCH(9.99E+307,'Returns (Calc)'!$A:$A)-3),"")</f>
        <v>1486.4099999999999</v>
      </c>
      <c r="Z123" s="152">
        <f>IFERROR('Price History'!E3+(INDEX('Price History'!E:E,MATCH(9.99E+307,'Returns (Calc)'!$A:$A)+1)-'Price History'!E3)*(ROW()-3)/(MATCH(9.99E+307,'Returns (Calc)'!$A:$A)-3),"")</f>
        <v>292.9735849056604</v>
      </c>
      <c r="AA123" s="152">
        <f>IFERROR('Price History'!F3+(INDEX('Price History'!F:F,MATCH(9.99E+307,'Returns (Calc)'!$A:$A)+1)-'Price History'!F3)*(ROW()-3)/(MATCH(9.99E+307,'Returns (Calc)'!$A:$A)-3),"")</f>
        <v>217.72226415094343</v>
      </c>
      <c r="AB123" s="152">
        <f>IFERROR('Price History'!G3+(INDEX('Price History'!G:G,MATCH(9.99E+307,'Returns (Calc)'!$A:$A)+1)-'Price History'!G3)*(ROW()-3)/(MATCH(9.99E+307,'Returns (Calc)'!$A:$A)-3),"")</f>
        <v>158.47830188679245</v>
      </c>
      <c r="AC123" s="152">
        <f>IFERROR('Price History'!H3+(INDEX('Price History'!H:H,MATCH(9.99E+307,'Returns (Calc)'!$A:$A)+1)-'Price History'!H3)*(ROW()-3)/(MATCH(9.99E+307,'Returns (Calc)'!$A:$A)-3),"")</f>
        <v>793.55528301886795</v>
      </c>
      <c r="AD123" s="152">
        <f>IFERROR('Price History'!I3+(INDEX('Price History'!I:I,MATCH(9.99E+307,'Returns (Calc)'!$A:$A)+1)-'Price History'!I3)*(ROW()-3)/(MATCH(9.99E+307,'Returns (Calc)'!$A:$A)-3),"")</f>
        <v>183.7775471698113</v>
      </c>
      <c r="AE123" s="152">
        <f>IFERROR('Price History'!J3+(INDEX('Price History'!J:J,MATCH(9.99E+307,'Returns (Calc)'!$A:$A)+1)-'Price History'!J3)*(ROW()-3)/(MATCH(9.99E+307,'Returns (Calc)'!$A:$A)-3),"")</f>
        <v>125.16075471698115</v>
      </c>
      <c r="AF123" s="152">
        <f>IFERROR('Price History'!K3+(INDEX('Price History'!K:K,MATCH(9.99E+307,'Returns (Calc)'!$A:$A)+1)-'Price History'!K3)*(ROW()-3)/(MATCH(9.99E+307,'Returns (Calc)'!$A:$A)-3),"")</f>
        <v>161.53377358490567</v>
      </c>
      <c r="AG123" s="152">
        <f>IFERROR('Price History'!L3+(INDEX('Price History'!L:L,MATCH(9.99E+307,'Returns (Calc)'!$A:$A)+1)-'Price History'!L3)*(ROW()-3)/(MATCH(9.99E+307,'Returns (Calc)'!$A:$A)-3),"")</f>
        <v>363.15377358490565</v>
      </c>
      <c r="AH123" s="152">
        <f>IFERROR('Price History'!M3+(INDEX('Price History'!M:M,MATCH(9.99E+307,'Returns (Calc)'!$A:$A)+1)-'Price History'!M3)*(ROW()-3)/(MATCH(9.99E+307,'Returns (Calc)'!$A:$A)-3),"")</f>
        <v>192.55584905660376</v>
      </c>
      <c r="AI123" s="152">
        <f>IFERROR('Price History'!N3+(INDEX('Price History'!N:N,MATCH(9.99E+307,'Returns (Calc)'!$A:$A)+1)-'Price History'!N3)*(ROW()-3)/(MATCH(9.99E+307,'Returns (Calc)'!$A:$A)-3),"")</f>
        <v>470.54528301886791</v>
      </c>
      <c r="AJ123" s="152">
        <f>IFERROR('Price History'!O3+(INDEX('Price History'!O:O,MATCH(9.99E+307,'Returns (Calc)'!$A:$A)+1)-'Price History'!O3)*(ROW()-3)/(MATCH(9.99E+307,'Returns (Calc)'!$A:$A)-3),"")</f>
        <v>108.7666037735849</v>
      </c>
      <c r="AK123" s="152">
        <f>IFERROR('Price History'!Q3+(INDEX('Price History'!Q:Q,MATCH(9.99E+307,'Returns (Calc)'!$A:$A)+1)-'Price History'!Q3)*(ROW()-3)/(MATCH(9.99E+307,'Returns (Calc)'!$A:$A)-3),"")</f>
        <v>52.807547169811322</v>
      </c>
      <c r="AL123" s="152">
        <f>IFERROR('Price History'!R3+(INDEX('Price History'!R:R,MATCH(9.99E+307,'Returns (Calc)'!$A:$A)+1)-'Price History'!R3)*(ROW()-3)/(MATCH(9.99E+307,'Returns (Calc)'!$A:$A)-3),"")</f>
        <v>54.563018867924526</v>
      </c>
      <c r="AM123" s="152">
        <f>IFERROR('Price History'!S3+(INDEX('Price History'!S:S,MATCH(9.99E+307,'Returns (Calc)'!$A:$A)+1)-'Price History'!S3)*(ROW()-3)/(MATCH(9.99E+307,'Returns (Calc)'!$A:$A)-3),"")</f>
        <v>128.21867924528303</v>
      </c>
      <c r="AN123" s="152">
        <f>IFERROR('Price History'!T3+(INDEX('Price History'!T:T,MATCH(9.99E+307,'Returns (Calc)'!$A:$A)+1)-'Price History'!T3)*(ROW()-3)/(MATCH(9.99E+307,'Returns (Calc)'!$A:$A)-3),"")</f>
        <v>46.070188679245284</v>
      </c>
      <c r="AO123" s="153">
        <f>IFERROR('Price History'!V3+(INDEX('Price History'!V:V,MATCH(9.99E+307,'Returns (Calc)'!$A:$A)+1)-'Price History'!V3)*(ROW()-3)/(MATCH(9.99E+307,'Returns (Calc)'!$A:$A)-3),"")</f>
        <v>348.7016981132075</v>
      </c>
      <c r="AP123" s="151">
        <f>IFERROR(IF(OR(NOT(ISNUMBER('Price History'!W124)),NOT(ISNUMBER('Price History'!W123)),'Price History'!W123=0),"",'Price History'!W124/'Price History'!W123-1),"")</f>
        <v>1.7224409448818756E-2</v>
      </c>
      <c r="AQ123" s="151">
        <f>IFERROR(IF(OR(NOT(ISNUMBER('Price History'!X124)),NOT(ISNUMBER('Price History'!X123)),'Price History'!X123=0),"",'Price History'!X124/'Price History'!X123-1),"")</f>
        <v>-2.0083866696093633E-2</v>
      </c>
      <c r="AR123" s="151">
        <f>IFERROR(IF(OR(NOT(ISNUMBER('Price History'!Y124)),NOT(ISNUMBER('Price History'!Y123)),'Price History'!Y123=0),"",'Price History'!Y124/'Price History'!Y123-1),"")</f>
        <v>1.6299314687905131E-2</v>
      </c>
      <c r="AS123" s="151">
        <f>IFERROR(IF(OR(NOT(ISNUMBER('Price History'!Z124)),NOT(ISNUMBER('Price History'!Z123)),'Price History'!Z123=0),"",'Price History'!Z124/'Price History'!Z123-1),"")</f>
        <v>2.6259847442791084E-3</v>
      </c>
      <c r="AT123" s="151">
        <f>IFERROR(IF(OR(NOT(ISNUMBER('Price History'!AA124)),NOT(ISNUMBER('Price History'!AA123)),'Price History'!AA123=0),"",'Price History'!AA124/'Price History'!AA123-1),"")</f>
        <v>-1.6815034619188984E-2</v>
      </c>
      <c r="AU123" s="151">
        <f>IFERROR(IF(OR(NOT(ISNUMBER('Price History'!AB124)),NOT(ISNUMBER('Price History'!AB123)),'Price History'!AB123=0),"",'Price History'!AB124/'Price History'!AB123-1),"")</f>
        <v>9.3990614606588085E-2</v>
      </c>
    </row>
    <row r="124" spans="1:47" ht="15" customHeight="1" x14ac:dyDescent="0.2">
      <c r="A124" s="149">
        <f>IF('Price History'!A125="","",'Price History'!A125)</f>
        <v>46038</v>
      </c>
      <c r="B124" s="150">
        <f>IFERROR(IF(OR(NOT(ISNUMBER('Price History'!B125)),NOT(ISNUMBER('Price History'!B124)),'Price History'!B124=0),"",'Price History'!B125/'Price History'!B124-1),"")</f>
        <v>-0.11328043120227571</v>
      </c>
      <c r="C124" s="150">
        <f>IFERROR(IF(OR(NOT(ISNUMBER('Price History'!C125)),NOT(ISNUMBER('Price History'!C124)),'Price History'!C124=0),"",'Price History'!C125/'Price History'!C124-1),"")</f>
        <v>5.6473268776955132E-2</v>
      </c>
      <c r="D124" s="150">
        <f>IFERROR(IF(OR(NOT(ISNUMBER('Price History'!D125)),NOT(ISNUMBER('Price History'!D124)),'Price History'!D124=0),"",'Price History'!D125/'Price History'!D124-1),"")</f>
        <v>6.647788671625432E-2</v>
      </c>
      <c r="E124" s="150">
        <f>IFERROR(IF(OR(NOT(ISNUMBER('Price History'!E125)),NOT(ISNUMBER('Price History'!E124)),'Price History'!E124=0),"",'Price History'!E125/'Price History'!E124-1),"")</f>
        <v>1.9528972834324421E-2</v>
      </c>
      <c r="F124" s="150">
        <f>IFERROR(IF(OR(NOT(ISNUMBER('Price History'!F125)),NOT(ISNUMBER('Price History'!F124)),'Price History'!F124=0),"",'Price History'!F125/'Price History'!F124-1),"")</f>
        <v>-3.5529111772205746E-2</v>
      </c>
      <c r="G124" s="150">
        <f>IFERROR(IF(OR(NOT(ISNUMBER('Price History'!G125)),NOT(ISNUMBER('Price History'!G124)),'Price History'!G124=0),"",'Price History'!G125/'Price History'!G124-1),"")</f>
        <v>0.11987381703470024</v>
      </c>
      <c r="H124" s="150">
        <f>IFERROR(IF(OR(NOT(ISNUMBER('Price History'!H125)),NOT(ISNUMBER('Price History'!H124)),'Price History'!H124=0),"",'Price History'!H125/'Price History'!H124-1),"")</f>
        <v>5.1175737191568427E-2</v>
      </c>
      <c r="I124" s="150">
        <f>IFERROR(IF(OR(NOT(ISNUMBER('Price History'!I125)),NOT(ISNUMBER('Price History'!I124)),'Price History'!I124=0),"",'Price History'!I125/'Price History'!I124-1),"")</f>
        <v>7.4282925771296249E-3</v>
      </c>
      <c r="J124" s="150">
        <f>IFERROR(IF(OR(NOT(ISNUMBER('Price History'!J125)),NOT(ISNUMBER('Price History'!J124)),'Price History'!J124=0),"",'Price History'!J125/'Price History'!J124-1),"")</f>
        <v>2.9421069281872825E-2</v>
      </c>
      <c r="K124" s="150">
        <f>IFERROR(IF(OR(NOT(ISNUMBER('Price History'!K125)),NOT(ISNUMBER('Price History'!K124)),'Price History'!K124=0),"",'Price History'!K125/'Price History'!K124-1),"")</f>
        <v>-3.6790805115781144E-2</v>
      </c>
      <c r="L124" s="150">
        <f>IFERROR(IF(OR(NOT(ISNUMBER('Price History'!L125)),NOT(ISNUMBER('Price History'!L124)),'Price History'!L124=0),"",'Price History'!L125/'Price History'!L124-1),"")</f>
        <v>5.7986359814393929E-2</v>
      </c>
      <c r="M124" s="150">
        <f>IFERROR(IF(OR(NOT(ISNUMBER('Price History'!M125)),NOT(ISNUMBER('Price History'!M124)),'Price History'!M124=0),"",'Price History'!M125/'Price History'!M124-1),"")</f>
        <v>8.1605187496176734E-2</v>
      </c>
      <c r="N124" s="150">
        <f>IFERROR(IF(OR(NOT(ISNUMBER('Price History'!N125)),NOT(ISNUMBER('Price History'!N124)),'Price History'!N124=0),"",'Price History'!N125/'Price History'!N124-1),"")</f>
        <v>-4.8506014745828496E-2</v>
      </c>
      <c r="O124" s="150">
        <f>IFERROR(IF(OR(NOT(ISNUMBER('Price History'!O125)),NOT(ISNUMBER('Price History'!O124)),'Price History'!O124=0),"",'Price History'!O125/'Price History'!O124-1),"")</f>
        <v>1.1005549807167725E-2</v>
      </c>
      <c r="P124" s="150">
        <f>IFERROR(IF(OR(NOT(ISNUMBER('Price History'!P125)),NOT(ISNUMBER('Price History'!P124)),'Price History'!P124=0),"",'Price History'!P125/'Price History'!P124-1),"")</f>
        <v>1.3008930454960987E-2</v>
      </c>
      <c r="Q124" s="150">
        <f>IFERROR(IF(OR(NOT(ISNUMBER('Price History'!Q125)),NOT(ISNUMBER('Price History'!Q124)),'Price History'!Q124=0),"",'Price History'!Q125/'Price History'!Q124-1),"")</f>
        <v>-4.4923629829289879E-3</v>
      </c>
      <c r="R124" s="150">
        <f>IFERROR(IF(OR(NOT(ISNUMBER('Price History'!R125)),NOT(ISNUMBER('Price History'!R124)),'Price History'!R124=0),"",'Price History'!R125/'Price History'!R124-1),"")</f>
        <v>-4.0665434380776633E-3</v>
      </c>
      <c r="S124" s="150">
        <f>IFERROR(IF(OR(NOT(ISNUMBER('Price History'!S125)),NOT(ISNUMBER('Price History'!S124)),'Price History'!S124=0),"",'Price History'!S125/'Price History'!S124-1),"")</f>
        <v>-2.5144581342717576E-4</v>
      </c>
      <c r="T124" s="150">
        <f>IFERROR(IF(OR(NOT(ISNUMBER('Price History'!T125)),NOT(ISNUMBER('Price History'!T124)),'Price History'!T124=0),"",'Price History'!T125/'Price History'!T124-1),"")</f>
        <v>-2.0413243714214602E-2</v>
      </c>
      <c r="U124" s="150">
        <f>IFERROR(IF(OR(NOT(ISNUMBER('Price History'!U125)),NOT(ISNUMBER('Price History'!U124)),'Price History'!U124=0),"",'Price History'!U125/'Price History'!U124-1),"")</f>
        <v>1.2562814070351758E-2</v>
      </c>
      <c r="V124" s="151">
        <f>IFERROR(IF(OR(NOT(ISNUMBER('Price History'!V125)),NOT(ISNUMBER('Price History'!V124)),'Price History'!V124=0),"",'Price History'!V125/'Price History'!V124-1),"")</f>
        <v>-6.1378278877128434E-2</v>
      </c>
      <c r="W124" s="152">
        <f>IFERROR('Price History'!B3+(INDEX('Price History'!B:B,MATCH(9.99E+307,'Returns (Calc)'!$A:$A)+1)-'Price History'!B3)*(ROW()-3)/(MATCH(9.99E+307,'Returns (Calc)'!$A:$A)-3),"")</f>
        <v>310.77037735849052</v>
      </c>
      <c r="X124" s="152">
        <f>IFERROR('Price History'!C3+(INDEX('Price History'!C:C,MATCH(9.99E+307,'Returns (Calc)'!$A:$A)+1)-'Price History'!C3)*(ROW()-3)/(MATCH(9.99E+307,'Returns (Calc)'!$A:$A)-3),"")</f>
        <v>175.97723270440252</v>
      </c>
      <c r="Y124" s="152">
        <f>IFERROR('Price History'!D3+(INDEX('Price History'!D:D,MATCH(9.99E+307,'Returns (Calc)'!$A:$A)+1)-'Price History'!D3)*(ROW()-3)/(MATCH(9.99E+307,'Returns (Calc)'!$A:$A)-3),"")</f>
        <v>1493.9466666666667</v>
      </c>
      <c r="Z124" s="152">
        <f>IFERROR('Price History'!E3+(INDEX('Price History'!E:E,MATCH(9.99E+307,'Returns (Calc)'!$A:$A)+1)-'Price History'!E3)*(ROW()-3)/(MATCH(9.99E+307,'Returns (Calc)'!$A:$A)-3),"")</f>
        <v>294.73169811320759</v>
      </c>
      <c r="AA124" s="152">
        <f>IFERROR('Price History'!F3+(INDEX('Price History'!F:F,MATCH(9.99E+307,'Returns (Calc)'!$A:$A)+1)-'Price History'!F3)*(ROW()-3)/(MATCH(9.99E+307,'Returns (Calc)'!$A:$A)-3),"")</f>
        <v>219.19194968553461</v>
      </c>
      <c r="AB124" s="152">
        <f>IFERROR('Price History'!G3+(INDEX('Price History'!G:G,MATCH(9.99E+307,'Returns (Calc)'!$A:$A)+1)-'Price History'!G3)*(ROW()-3)/(MATCH(9.99E+307,'Returns (Calc)'!$A:$A)-3),"")</f>
        <v>159.42937106918239</v>
      </c>
      <c r="AC124" s="152">
        <f>IFERROR('Price History'!H3+(INDEX('Price History'!H:H,MATCH(9.99E+307,'Returns (Calc)'!$A:$A)+1)-'Price History'!H3)*(ROW()-3)/(MATCH(9.99E+307,'Returns (Calc)'!$A:$A)-3),"")</f>
        <v>799.59232704402518</v>
      </c>
      <c r="AD124" s="152">
        <f>IFERROR('Price History'!I3+(INDEX('Price History'!I:I,MATCH(9.99E+307,'Returns (Calc)'!$A:$A)+1)-'Price History'!I3)*(ROW()-3)/(MATCH(9.99E+307,'Returns (Calc)'!$A:$A)-3),"")</f>
        <v>184.94427672955976</v>
      </c>
      <c r="AE124" s="152">
        <f>IFERROR('Price History'!J3+(INDEX('Price History'!J:J,MATCH(9.99E+307,'Returns (Calc)'!$A:$A)+1)-'Price History'!J3)*(ROW()-3)/(MATCH(9.99E+307,'Returns (Calc)'!$A:$A)-3),"")</f>
        <v>125.27176100628931</v>
      </c>
      <c r="AF124" s="152">
        <f>IFERROR('Price History'!K3+(INDEX('Price History'!K:K,MATCH(9.99E+307,'Returns (Calc)'!$A:$A)+1)-'Price History'!K3)*(ROW()-3)/(MATCH(9.99E+307,'Returns (Calc)'!$A:$A)-3),"")</f>
        <v>162.75213836477988</v>
      </c>
      <c r="AG124" s="152">
        <f>IFERROR('Price History'!L3+(INDEX('Price History'!L:L,MATCH(9.99E+307,'Returns (Calc)'!$A:$A)+1)-'Price History'!L3)*(ROW()-3)/(MATCH(9.99E+307,'Returns (Calc)'!$A:$A)-3),"")</f>
        <v>365.46547169811322</v>
      </c>
      <c r="AH124" s="152">
        <f>IFERROR('Price History'!M3+(INDEX('Price History'!M:M,MATCH(9.99E+307,'Returns (Calc)'!$A:$A)+1)-'Price History'!M3)*(ROW()-3)/(MATCH(9.99E+307,'Returns (Calc)'!$A:$A)-3),"")</f>
        <v>193.84364779874215</v>
      </c>
      <c r="AI124" s="152">
        <f>IFERROR('Price History'!N3+(INDEX('Price History'!N:N,MATCH(9.99E+307,'Returns (Calc)'!$A:$A)+1)-'Price History'!N3)*(ROW()-3)/(MATCH(9.99E+307,'Returns (Calc)'!$A:$A)-3),"")</f>
        <v>471.55899371069182</v>
      </c>
      <c r="AJ124" s="152">
        <f>IFERROR('Price History'!O3+(INDEX('Price History'!O:O,MATCH(9.99E+307,'Returns (Calc)'!$A:$A)+1)-'Price History'!O3)*(ROW()-3)/(MATCH(9.99E+307,'Returns (Calc)'!$A:$A)-3),"")</f>
        <v>109.04540880503144</v>
      </c>
      <c r="AK124" s="152">
        <f>IFERROR('Price History'!Q3+(INDEX('Price History'!Q:Q,MATCH(9.99E+307,'Returns (Calc)'!$A:$A)+1)-'Price History'!Q3)*(ROW()-3)/(MATCH(9.99E+307,'Returns (Calc)'!$A:$A)-3),"")</f>
        <v>53.247610062893074</v>
      </c>
      <c r="AL124" s="152">
        <f>IFERROR('Price History'!R3+(INDEX('Price History'!R:R,MATCH(9.99E+307,'Returns (Calc)'!$A:$A)+1)-'Price History'!R3)*(ROW()-3)/(MATCH(9.99E+307,'Returns (Calc)'!$A:$A)-3),"")</f>
        <v>54.730377358490571</v>
      </c>
      <c r="AM124" s="152">
        <f>IFERROR('Price History'!S3+(INDEX('Price History'!S:S,MATCH(9.99E+307,'Returns (Calc)'!$A:$A)+1)-'Price History'!S3)*(ROW()-3)/(MATCH(9.99E+307,'Returns (Calc)'!$A:$A)-3),"")</f>
        <v>128.80691823899372</v>
      </c>
      <c r="AN124" s="152">
        <f>IFERROR('Price History'!T3+(INDEX('Price History'!T:T,MATCH(9.99E+307,'Returns (Calc)'!$A:$A)+1)-'Price History'!T3)*(ROW()-3)/(MATCH(9.99E+307,'Returns (Calc)'!$A:$A)-3),"")</f>
        <v>46.243773584905668</v>
      </c>
      <c r="AO124" s="153">
        <f>IFERROR('Price History'!V3+(INDEX('Price History'!V:V,MATCH(9.99E+307,'Returns (Calc)'!$A:$A)+1)-'Price History'!V3)*(ROW()-3)/(MATCH(9.99E+307,'Returns (Calc)'!$A:$A)-3),"")</f>
        <v>349.6439622641509</v>
      </c>
      <c r="AP124" s="151">
        <f>IFERROR(IF(OR(NOT(ISNUMBER('Price History'!W125)),NOT(ISNUMBER('Price History'!W124)),'Price History'!W124=0),"",'Price History'!W125/'Price History'!W124-1),"")</f>
        <v>1.098901098901095E-2</v>
      </c>
      <c r="AQ124" s="151">
        <f>IFERROR(IF(OR(NOT(ISNUMBER('Price History'!X125)),NOT(ISNUMBER('Price History'!X124)),'Price History'!X124=0),"",'Price History'!X125/'Price History'!X124-1),"")</f>
        <v>2.9054054054054035E-2</v>
      </c>
      <c r="AR124" s="151">
        <f>IFERROR(IF(OR(NOT(ISNUMBER('Price History'!Y125)),NOT(ISNUMBER('Price History'!Y124)),'Price History'!Y124=0),"",'Price History'!Y125/'Price History'!Y124-1),"")</f>
        <v>2.7337342810280774E-3</v>
      </c>
      <c r="AS124" s="151">
        <f>IFERROR(IF(OR(NOT(ISNUMBER('Price History'!Z125)),NOT(ISNUMBER('Price History'!Z124)),'Price History'!Z124=0),"",'Price History'!Z125/'Price History'!Z124-1),"")</f>
        <v>1.0975305562484383E-2</v>
      </c>
      <c r="AT124" s="151">
        <f>IFERROR(IF(OR(NOT(ISNUMBER('Price History'!AA125)),NOT(ISNUMBER('Price History'!AA124)),'Price History'!AA124=0),"",'Price History'!AA125/'Price History'!AA124-1),"")</f>
        <v>-1.6320143080706395E-2</v>
      </c>
      <c r="AU124" s="151">
        <f>IFERROR(IF(OR(NOT(ISNUMBER('Price History'!AB125)),NOT(ISNUMBER('Price History'!AB124)),'Price History'!AB124=0),"",'Price History'!AB125/'Price History'!AB124-1),"")</f>
        <v>-7.4587706146926558E-2</v>
      </c>
    </row>
    <row r="125" spans="1:47" ht="15" customHeight="1" x14ac:dyDescent="0.2">
      <c r="A125" s="149">
        <f>IF('Price History'!A126="","",'Price History'!A126)</f>
        <v>46045</v>
      </c>
      <c r="B125" s="150">
        <f>IFERROR(IF(OR(NOT(ISNUMBER('Price History'!B126)),NOT(ISNUMBER('Price History'!B125)),'Price History'!B125=0),"",'Price History'!B126/'Price History'!B125-1),"")</f>
        <v>1.6716196136701278E-2</v>
      </c>
      <c r="C125" s="150">
        <f>IFERROR(IF(OR(NOT(ISNUMBER('Price History'!C126)),NOT(ISNUMBER('Price History'!C125)),'Price History'!C125=0),"",'Price History'!C126/'Price History'!C125-1),"")</f>
        <v>5.0142494030655405E-2</v>
      </c>
      <c r="D125" s="150">
        <f>IFERROR(IF(OR(NOT(ISNUMBER('Price History'!D126)),NOT(ISNUMBER('Price History'!D125)),'Price History'!D125=0),"",'Price History'!D126/'Price History'!D125-1),"")</f>
        <v>2.2432270518538466E-2</v>
      </c>
      <c r="E125" s="150">
        <f>IFERROR(IF(OR(NOT(ISNUMBER('Price History'!E126)),NOT(ISNUMBER('Price History'!E125)),'Price History'!E125=0),"",'Price History'!E126/'Price History'!E125-1),"")</f>
        <v>-8.9999428212018895E-2</v>
      </c>
      <c r="F125" s="150">
        <f>IFERROR(IF(OR(NOT(ISNUMBER('Price History'!F126)),NOT(ISNUMBER('Price History'!F125)),'Price History'!F125=0),"",'Price History'!F126/'Price History'!F125-1),"")</f>
        <v>-3.0845157310301907E-3</v>
      </c>
      <c r="G125" s="150">
        <f>IFERROR(IF(OR(NOT(ISNUMBER('Price History'!G126)),NOT(ISNUMBER('Price History'!G125)),'Price History'!G125=0),"",'Price History'!G126/'Price History'!G125-1),"")</f>
        <v>-3.5083226632522391E-2</v>
      </c>
      <c r="H125" s="150">
        <f>IFERROR(IF(OR(NOT(ISNUMBER('Price History'!H126)),NOT(ISNUMBER('Price History'!H125)),'Price History'!H125=0),"",'Price History'!H126/'Price History'!H125-1),"")</f>
        <v>0.1017267060186462</v>
      </c>
      <c r="I125" s="150">
        <f>IFERROR(IF(OR(NOT(ISNUMBER('Price History'!I126)),NOT(ISNUMBER('Price History'!I125)),'Price History'!I125=0),"",'Price History'!I126/'Price History'!I125-1),"")</f>
        <v>7.6964477933261222E-3</v>
      </c>
      <c r="J125" s="150">
        <f>IFERROR(IF(OR(NOT(ISNUMBER('Price History'!J126)),NOT(ISNUMBER('Price History'!J125)),'Price History'!J125=0),"",'Price History'!J126/'Price History'!J125-1),"")</f>
        <v>-4.5482483097725845E-2</v>
      </c>
      <c r="K125" s="150">
        <f>IFERROR(IF(OR(NOT(ISNUMBER('Price History'!K126)),NOT(ISNUMBER('Price History'!K125)),'Price History'!K125=0),"",'Price History'!K126/'Price History'!K125-1),"")</f>
        <v>-7.9550772110436041E-3</v>
      </c>
      <c r="L125" s="150">
        <f>IFERROR(IF(OR(NOT(ISNUMBER('Price History'!L126)),NOT(ISNUMBER('Price History'!L125)),'Price History'!L125=0),"",'Price History'!L126/'Price History'!L125-1),"")</f>
        <v>-2.1988049333294124E-2</v>
      </c>
      <c r="M125" s="150">
        <f>IFERROR(IF(OR(NOT(ISNUMBER('Price History'!M126)),NOT(ISNUMBER('Price History'!M125)),'Price History'!M125=0),"",'Price History'!M126/'Price History'!M125-1),"")</f>
        <v>3.138962728352479E-2</v>
      </c>
      <c r="N125" s="150">
        <f>IFERROR(IF(OR(NOT(ISNUMBER('Price History'!N126)),NOT(ISNUMBER('Price History'!N125)),'Price History'!N125=0),"",'Price History'!N126/'Price History'!N125-1),"")</f>
        <v>6.1287837592894689E-2</v>
      </c>
      <c r="O125" s="150">
        <f>IFERROR(IF(OR(NOT(ISNUMBER('Price History'!O126)),NOT(ISNUMBER('Price History'!O125)),'Price History'!O125=0),"",'Price History'!O126/'Price History'!O125-1),"")</f>
        <v>-1.8608113137341675E-4</v>
      </c>
      <c r="P125" s="150">
        <f>IFERROR(IF(OR(NOT(ISNUMBER('Price History'!P126)),NOT(ISNUMBER('Price History'!P125)),'Price History'!P125=0),"",'Price History'!P126/'Price History'!P125-1),"")</f>
        <v>2.4989587671802038E-3</v>
      </c>
      <c r="Q125" s="150">
        <f>IFERROR(IF(OR(NOT(ISNUMBER('Price History'!Q126)),NOT(ISNUMBER('Price History'!Q125)),'Price History'!Q125=0),"",'Price History'!Q126/'Price History'!Q125-1),"")</f>
        <v>-3.0084235860428077E-4</v>
      </c>
      <c r="R125" s="150">
        <f>IFERROR(IF(OR(NOT(ISNUMBER('Price History'!R126)),NOT(ISNUMBER('Price History'!R125)),'Price History'!R125=0),"",'Price History'!R126/'Price History'!R125-1),"")</f>
        <v>5.1967334818112665E-3</v>
      </c>
      <c r="S125" s="150">
        <f>IFERROR(IF(OR(NOT(ISNUMBER('Price History'!S126)),NOT(ISNUMBER('Price History'!S125)),'Price History'!S125=0),"",'Price History'!S126/'Price History'!S125-1),"")</f>
        <v>-1.7270288397049027E-2</v>
      </c>
      <c r="T125" s="150">
        <f>IFERROR(IF(OR(NOT(ISNUMBER('Price History'!T126)),NOT(ISNUMBER('Price History'!T125)),'Price History'!T125=0),"",'Price History'!T126/'Price History'!T125-1),"")</f>
        <v>6.3532401524777349E-3</v>
      </c>
      <c r="U125" s="150">
        <f>IFERROR(IF(OR(NOT(ISNUMBER('Price History'!U126)),NOT(ISNUMBER('Price History'!U125)),'Price History'!U125=0),"",'Price History'!U126/'Price History'!U125-1),"")</f>
        <v>8.1531371853953427E-3</v>
      </c>
      <c r="V125" s="151">
        <f>IFERROR(IF(OR(NOT(ISNUMBER('Price History'!V126)),NOT(ISNUMBER('Price History'!V125)),'Price History'!V125=0),"",'Price History'!V126/'Price History'!V125-1),"")</f>
        <v>-6.4656493227920331E-3</v>
      </c>
      <c r="W125" s="152">
        <f>IFERROR('Price History'!B3+(INDEX('Price History'!B:B,MATCH(9.99E+307,'Returns (Calc)'!$A:$A)+1)-'Price History'!B3)*(ROW()-3)/(MATCH(9.99E+307,'Returns (Calc)'!$A:$A)-3),"")</f>
        <v>308.96773584905657</v>
      </c>
      <c r="X125" s="152">
        <f>IFERROR('Price History'!C3+(INDEX('Price History'!C:C,MATCH(9.99E+307,'Returns (Calc)'!$A:$A)+1)-'Price History'!C3)*(ROW()-3)/(MATCH(9.99E+307,'Returns (Calc)'!$A:$A)-3),"")</f>
        <v>177.04993710691824</v>
      </c>
      <c r="Y125" s="152">
        <f>IFERROR('Price History'!D3+(INDEX('Price History'!D:D,MATCH(9.99E+307,'Returns (Calc)'!$A:$A)+1)-'Price History'!D3)*(ROW()-3)/(MATCH(9.99E+307,'Returns (Calc)'!$A:$A)-3),"")</f>
        <v>1501.4833333333331</v>
      </c>
      <c r="Z125" s="152">
        <f>IFERROR('Price History'!E3+(INDEX('Price History'!E:E,MATCH(9.99E+307,'Returns (Calc)'!$A:$A)+1)-'Price History'!E3)*(ROW()-3)/(MATCH(9.99E+307,'Returns (Calc)'!$A:$A)-3),"")</f>
        <v>296.48981132075471</v>
      </c>
      <c r="AA125" s="152">
        <f>IFERROR('Price History'!F3+(INDEX('Price History'!F:F,MATCH(9.99E+307,'Returns (Calc)'!$A:$A)+1)-'Price History'!F3)*(ROW()-3)/(MATCH(9.99E+307,'Returns (Calc)'!$A:$A)-3),"")</f>
        <v>220.66163522012579</v>
      </c>
      <c r="AB125" s="152">
        <f>IFERROR('Price History'!G3+(INDEX('Price History'!G:G,MATCH(9.99E+307,'Returns (Calc)'!$A:$A)+1)-'Price History'!G3)*(ROW()-3)/(MATCH(9.99E+307,'Returns (Calc)'!$A:$A)-3),"")</f>
        <v>160.38044025157234</v>
      </c>
      <c r="AC125" s="152">
        <f>IFERROR('Price History'!H3+(INDEX('Price History'!H:H,MATCH(9.99E+307,'Returns (Calc)'!$A:$A)+1)-'Price History'!H3)*(ROW()-3)/(MATCH(9.99E+307,'Returns (Calc)'!$A:$A)-3),"")</f>
        <v>805.62937106918241</v>
      </c>
      <c r="AD125" s="152">
        <f>IFERROR('Price History'!I3+(INDEX('Price History'!I:I,MATCH(9.99E+307,'Returns (Calc)'!$A:$A)+1)-'Price History'!I3)*(ROW()-3)/(MATCH(9.99E+307,'Returns (Calc)'!$A:$A)-3),"")</f>
        <v>186.11100628930816</v>
      </c>
      <c r="AE125" s="152">
        <f>IFERROR('Price History'!J3+(INDEX('Price History'!J:J,MATCH(9.99E+307,'Returns (Calc)'!$A:$A)+1)-'Price History'!J3)*(ROW()-3)/(MATCH(9.99E+307,'Returns (Calc)'!$A:$A)-3),"")</f>
        <v>125.38276729559749</v>
      </c>
      <c r="AF125" s="152">
        <f>IFERROR('Price History'!K3+(INDEX('Price History'!K:K,MATCH(9.99E+307,'Returns (Calc)'!$A:$A)+1)-'Price History'!K3)*(ROW()-3)/(MATCH(9.99E+307,'Returns (Calc)'!$A:$A)-3),"")</f>
        <v>163.97050314465409</v>
      </c>
      <c r="AG125" s="152">
        <f>IFERROR('Price History'!L3+(INDEX('Price History'!L:L,MATCH(9.99E+307,'Returns (Calc)'!$A:$A)+1)-'Price History'!L3)*(ROW()-3)/(MATCH(9.99E+307,'Returns (Calc)'!$A:$A)-3),"")</f>
        <v>367.77716981132073</v>
      </c>
      <c r="AH125" s="152">
        <f>IFERROR('Price History'!M3+(INDEX('Price History'!M:M,MATCH(9.99E+307,'Returns (Calc)'!$A:$A)+1)-'Price History'!M3)*(ROW()-3)/(MATCH(9.99E+307,'Returns (Calc)'!$A:$A)-3),"")</f>
        <v>195.13144654088049</v>
      </c>
      <c r="AI125" s="152">
        <f>IFERROR('Price History'!N3+(INDEX('Price History'!N:N,MATCH(9.99E+307,'Returns (Calc)'!$A:$A)+1)-'Price History'!N3)*(ROW()-3)/(MATCH(9.99E+307,'Returns (Calc)'!$A:$A)-3),"")</f>
        <v>472.57270440251568</v>
      </c>
      <c r="AJ125" s="152">
        <f>IFERROR('Price History'!O3+(INDEX('Price History'!O:O,MATCH(9.99E+307,'Returns (Calc)'!$A:$A)+1)-'Price History'!O3)*(ROW()-3)/(MATCH(9.99E+307,'Returns (Calc)'!$A:$A)-3),"")</f>
        <v>109.32421383647798</v>
      </c>
      <c r="AK125" s="152">
        <f>IFERROR('Price History'!Q3+(INDEX('Price History'!Q:Q,MATCH(9.99E+307,'Returns (Calc)'!$A:$A)+1)-'Price History'!Q3)*(ROW()-3)/(MATCH(9.99E+307,'Returns (Calc)'!$A:$A)-3),"")</f>
        <v>53.687672955974847</v>
      </c>
      <c r="AL125" s="152">
        <f>IFERROR('Price History'!R3+(INDEX('Price History'!R:R,MATCH(9.99E+307,'Returns (Calc)'!$A:$A)+1)-'Price History'!R3)*(ROW()-3)/(MATCH(9.99E+307,'Returns (Calc)'!$A:$A)-3),"")</f>
        <v>54.897735849056602</v>
      </c>
      <c r="AM125" s="152">
        <f>IFERROR('Price History'!S3+(INDEX('Price History'!S:S,MATCH(9.99E+307,'Returns (Calc)'!$A:$A)+1)-'Price History'!S3)*(ROW()-3)/(MATCH(9.99E+307,'Returns (Calc)'!$A:$A)-3),"")</f>
        <v>129.39515723270441</v>
      </c>
      <c r="AN125" s="152">
        <f>IFERROR('Price History'!T3+(INDEX('Price History'!T:T,MATCH(9.99E+307,'Returns (Calc)'!$A:$A)+1)-'Price History'!T3)*(ROW()-3)/(MATCH(9.99E+307,'Returns (Calc)'!$A:$A)-3),"")</f>
        <v>46.417358490566045</v>
      </c>
      <c r="AO125" s="153">
        <f>IFERROR('Price History'!V3+(INDEX('Price History'!V:V,MATCH(9.99E+307,'Returns (Calc)'!$A:$A)+1)-'Price History'!V3)*(ROW()-3)/(MATCH(9.99E+307,'Returns (Calc)'!$A:$A)-3),"")</f>
        <v>350.58622641509436</v>
      </c>
      <c r="AP125" s="151">
        <f>IFERROR(IF(OR(NOT(ISNUMBER('Price History'!W126)),NOT(ISNUMBER('Price History'!W125)),'Price History'!W125=0),"",'Price History'!W126/'Price History'!W125-1),"")</f>
        <v>-7.9299972655181294E-3</v>
      </c>
      <c r="AQ125" s="151">
        <f>IFERROR(IF(OR(NOT(ISNUMBER('Price History'!X126)),NOT(ISNUMBER('Price History'!X125)),'Price History'!X125=0),"",'Price History'!X126/'Price History'!X125-1),"")</f>
        <v>2.3199824906981803E-2</v>
      </c>
      <c r="AR125" s="151">
        <f>IFERROR(IF(OR(NOT(ISNUMBER('Price History'!Y126)),NOT(ISNUMBER('Price History'!Y125)),'Price History'!Y125=0),"",'Price History'!Y126/'Price History'!Y125-1),"")</f>
        <v>-5.4525627044710312E-4</v>
      </c>
      <c r="AS125" s="151">
        <f>IFERROR(IF(OR(NOT(ISNUMBER('Price History'!Z126)),NOT(ISNUMBER('Price History'!Z125)),'Price History'!Z125=0),"",'Price History'!Z126/'Price History'!Z125-1),"")</f>
        <v>-9.6101653096471784E-2</v>
      </c>
      <c r="AT125" s="151">
        <f>IFERROR(IF(OR(NOT(ISNUMBER('Price History'!AA126)),NOT(ISNUMBER('Price History'!AA125)),'Price History'!AA125=0),"",'Price History'!AA126/'Price History'!AA125-1),"")</f>
        <v>-2.1363636363636362E-2</v>
      </c>
      <c r="AU125" s="151">
        <f>IFERROR(IF(OR(NOT(ISNUMBER('Price History'!AB126)),NOT(ISNUMBER('Price History'!AB125)),'Price History'!AB125=0),"",'Price History'!AB126/'Price History'!AB125-1),"")</f>
        <v>-9.4505197785876849E-4</v>
      </c>
    </row>
    <row r="126" spans="1:47" ht="15" customHeight="1" x14ac:dyDescent="0.2">
      <c r="A126" s="149">
        <f>IF('Price History'!A127="","",'Price History'!A127)</f>
        <v>46052</v>
      </c>
      <c r="B126" s="150">
        <f>IFERROR(IF(OR(NOT(ISNUMBER('Price History'!B127)),NOT(ISNUMBER('Price History'!B126)),'Price History'!B126=0),"",'Price History'!B127/'Price History'!B126-1),"")</f>
        <v>-2.5974025974025983E-2</v>
      </c>
      <c r="C126" s="150">
        <f>IFERROR(IF(OR(NOT(ISNUMBER('Price History'!C127)),NOT(ISNUMBER('Price History'!C126)),'Price History'!C126=0),"",'Price History'!C127/'Price History'!C126-1),"")</f>
        <v>3.9606865189966367E-2</v>
      </c>
      <c r="D126" s="150">
        <f>IFERROR(IF(OR(NOT(ISNUMBER('Price History'!D127)),NOT(ISNUMBER('Price History'!D126)),'Price History'!D126=0),"",'Price History'!D127/'Price History'!D126-1),"")</f>
        <v>2.4450231481481399E-2</v>
      </c>
      <c r="E126" s="150">
        <f>IFERROR(IF(OR(NOT(ISNUMBER('Price History'!E127)),NOT(ISNUMBER('Price History'!E126)),'Price History'!E126=0),"",'Price History'!E127/'Price History'!E126-1),"")</f>
        <v>3.5124096764059143E-2</v>
      </c>
      <c r="F126" s="150">
        <f>IFERROR(IF(OR(NOT(ISNUMBER('Price History'!F127)),NOT(ISNUMBER('Price History'!F126)),'Price History'!F126=0),"",'Price History'!F127/'Price History'!F126-1),"")</f>
        <v>-2.4487270155587049E-2</v>
      </c>
      <c r="G126" s="150">
        <f>IFERROR(IF(OR(NOT(ISNUMBER('Price History'!G127)),NOT(ISNUMBER('Price History'!G126)),'Price History'!G126=0),"",'Price History'!G127/'Price History'!G126-1),"")</f>
        <v>-5.6064225053078509E-2</v>
      </c>
      <c r="H126" s="150">
        <f>IFERROR(IF(OR(NOT(ISNUMBER('Price History'!H127)),NOT(ISNUMBER('Price History'!H126)),'Price History'!H126=0),"",'Price History'!H127/'Price History'!H126-1),"")</f>
        <v>3.8105252616293495E-2</v>
      </c>
      <c r="I126" s="150">
        <f>IFERROR(IF(OR(NOT(ISNUMBER('Price History'!I127)),NOT(ISNUMBER('Price History'!I126)),'Price History'!I126=0),"",'Price History'!I127/'Price History'!I126-1),"")</f>
        <v>1.8426534209261325E-2</v>
      </c>
      <c r="J126" s="150">
        <f>IFERROR(IF(OR(NOT(ISNUMBER('Price History'!J127)),NOT(ISNUMBER('Price History'!J126)),'Price History'!J126=0),"",'Price History'!J127/'Price History'!J126-1),"")</f>
        <v>2.6802962009014886E-2</v>
      </c>
      <c r="K126" s="150">
        <f>IFERROR(IF(OR(NOT(ISNUMBER('Price History'!K127)),NOT(ISNUMBER('Price History'!K126)),'Price History'!K126=0),"",'Price History'!K127/'Price History'!K126-1),"")</f>
        <v>-0.13567216981132069</v>
      </c>
      <c r="L126" s="150">
        <f>IFERROR(IF(OR(NOT(ISNUMBER('Price History'!L127)),NOT(ISNUMBER('Price History'!L126)),'Price History'!L126=0),"",'Price History'!L127/'Price History'!L126-1),"")</f>
        <v>-1.2881478360320164E-2</v>
      </c>
      <c r="M126" s="150">
        <f>IFERROR(IF(OR(NOT(ISNUMBER('Price History'!M127)),NOT(ISNUMBER('Price History'!M126)),'Price History'!M126=0),"",'Price History'!M127/'Price History'!M126-1),"")</f>
        <v>2.02347005922352E-2</v>
      </c>
      <c r="N126" s="150">
        <f>IFERROR(IF(OR(NOT(ISNUMBER('Price History'!N127)),NOT(ISNUMBER('Price History'!N126)),'Price History'!N126=0),"",'Price History'!N127/'Price History'!N126-1),"")</f>
        <v>3.1809739330928011E-3</v>
      </c>
      <c r="O126" s="150">
        <f>IFERROR(IF(OR(NOT(ISNUMBER('Price History'!O127)),NOT(ISNUMBER('Price History'!O126)),'Price History'!O126=0),"",'Price History'!O127/'Price History'!O126-1),"")</f>
        <v>7.2585147962032082E-3</v>
      </c>
      <c r="P126" s="150">
        <f>IFERROR(IF(OR(NOT(ISNUMBER('Price History'!P127)),NOT(ISNUMBER('Price History'!P126)),'Price History'!P126=0),"",'Price History'!P127/'Price History'!P126-1),"")</f>
        <v>1.7379864284725155E-2</v>
      </c>
      <c r="Q126" s="150">
        <f>IFERROR(IF(OR(NOT(ISNUMBER('Price History'!Q127)),NOT(ISNUMBER('Price History'!Q126)),'Price History'!Q126=0),"",'Price History'!Q127/'Price History'!Q126-1),"")</f>
        <v>3.6111947035812886E-3</v>
      </c>
      <c r="R126" s="150">
        <f>IFERROR(IF(OR(NOT(ISNUMBER('Price History'!R127)),NOT(ISNUMBER('Price History'!R126)),'Price History'!R126=0),"",'Price History'!R127/'Price History'!R126-1),"")</f>
        <v>3.5081240768095601E-3</v>
      </c>
      <c r="S126" s="150">
        <f>IFERROR(IF(OR(NOT(ISNUMBER('Price History'!S127)),NOT(ISNUMBER('Price History'!S126)),'Price History'!S126=0),"",'Price History'!S127/'Price History'!S126-1),"")</f>
        <v>1.6464767104589662E-2</v>
      </c>
      <c r="T126" s="150">
        <f>IFERROR(IF(OR(NOT(ISNUMBER('Price History'!T127)),NOT(ISNUMBER('Price History'!T126)),'Price History'!T126=0),"",'Price History'!T127/'Price History'!T126-1),"")</f>
        <v>-9.8484848484848841E-3</v>
      </c>
      <c r="U126" s="150">
        <f>IFERROR(IF(OR(NOT(ISNUMBER('Price History'!U127)),NOT(ISNUMBER('Price History'!U126)),'Price History'!U126=0),"",'Price History'!U127/'Price History'!U126-1),"")</f>
        <v>2.320675105485237E-2</v>
      </c>
      <c r="V126" s="151">
        <f>IFERROR(IF(OR(NOT(ISNUMBER('Price History'!V127)),NOT(ISNUMBER('Price History'!V126)),'Price History'!V126=0),"",'Price History'!V127/'Price History'!V126-1),"")</f>
        <v>-1.3323875026986953E-2</v>
      </c>
      <c r="W126" s="152">
        <f>IFERROR('Price History'!B3+(INDEX('Price History'!B:B,MATCH(9.99E+307,'Returns (Calc)'!$A:$A)+1)-'Price History'!B3)*(ROW()-3)/(MATCH(9.99E+307,'Returns (Calc)'!$A:$A)-3),"")</f>
        <v>307.16509433962261</v>
      </c>
      <c r="X126" s="152">
        <f>IFERROR('Price History'!C3+(INDEX('Price History'!C:C,MATCH(9.99E+307,'Returns (Calc)'!$A:$A)+1)-'Price History'!C3)*(ROW()-3)/(MATCH(9.99E+307,'Returns (Calc)'!$A:$A)-3),"")</f>
        <v>178.12264150943398</v>
      </c>
      <c r="Y126" s="152">
        <f>IFERROR('Price History'!D3+(INDEX('Price History'!D:D,MATCH(9.99E+307,'Returns (Calc)'!$A:$A)+1)-'Price History'!D3)*(ROW()-3)/(MATCH(9.99E+307,'Returns (Calc)'!$A:$A)-3),"")</f>
        <v>1509.02</v>
      </c>
      <c r="Z126" s="152">
        <f>IFERROR('Price History'!E3+(INDEX('Price History'!E:E,MATCH(9.99E+307,'Returns (Calc)'!$A:$A)+1)-'Price History'!E3)*(ROW()-3)/(MATCH(9.99E+307,'Returns (Calc)'!$A:$A)-3),"")</f>
        <v>298.24792452830195</v>
      </c>
      <c r="AA126" s="152">
        <f>IFERROR('Price History'!F3+(INDEX('Price History'!F:F,MATCH(9.99E+307,'Returns (Calc)'!$A:$A)+1)-'Price History'!F3)*(ROW()-3)/(MATCH(9.99E+307,'Returns (Calc)'!$A:$A)-3),"")</f>
        <v>222.13132075471697</v>
      </c>
      <c r="AB126" s="152">
        <f>IFERROR('Price History'!G3+(INDEX('Price History'!G:G,MATCH(9.99E+307,'Returns (Calc)'!$A:$A)+1)-'Price History'!G3)*(ROW()-3)/(MATCH(9.99E+307,'Returns (Calc)'!$A:$A)-3),"")</f>
        <v>161.33150943396228</v>
      </c>
      <c r="AC126" s="152">
        <f>IFERROR('Price History'!H3+(INDEX('Price History'!H:H,MATCH(9.99E+307,'Returns (Calc)'!$A:$A)+1)-'Price History'!H3)*(ROW()-3)/(MATCH(9.99E+307,'Returns (Calc)'!$A:$A)-3),"")</f>
        <v>811.66641509433964</v>
      </c>
      <c r="AD126" s="152">
        <f>IFERROR('Price History'!I3+(INDEX('Price History'!I:I,MATCH(9.99E+307,'Returns (Calc)'!$A:$A)+1)-'Price History'!I3)*(ROW()-3)/(MATCH(9.99E+307,'Returns (Calc)'!$A:$A)-3),"")</f>
        <v>187.2777358490566</v>
      </c>
      <c r="AE126" s="152">
        <f>IFERROR('Price History'!J3+(INDEX('Price History'!J:J,MATCH(9.99E+307,'Returns (Calc)'!$A:$A)+1)-'Price History'!J3)*(ROW()-3)/(MATCH(9.99E+307,'Returns (Calc)'!$A:$A)-3),"")</f>
        <v>125.49377358490567</v>
      </c>
      <c r="AF126" s="152">
        <f>IFERROR('Price History'!K3+(INDEX('Price History'!K:K,MATCH(9.99E+307,'Returns (Calc)'!$A:$A)+1)-'Price History'!K3)*(ROW()-3)/(MATCH(9.99E+307,'Returns (Calc)'!$A:$A)-3),"")</f>
        <v>165.18886792452832</v>
      </c>
      <c r="AG126" s="152">
        <f>IFERROR('Price History'!L3+(INDEX('Price History'!L:L,MATCH(9.99E+307,'Returns (Calc)'!$A:$A)+1)-'Price History'!L3)*(ROW()-3)/(MATCH(9.99E+307,'Returns (Calc)'!$A:$A)-3),"")</f>
        <v>370.0888679245283</v>
      </c>
      <c r="AH126" s="152">
        <f>IFERROR('Price History'!M3+(INDEX('Price History'!M:M,MATCH(9.99E+307,'Returns (Calc)'!$A:$A)+1)-'Price History'!M3)*(ROW()-3)/(MATCH(9.99E+307,'Returns (Calc)'!$A:$A)-3),"")</f>
        <v>196.41924528301888</v>
      </c>
      <c r="AI126" s="152">
        <f>IFERROR('Price History'!N3+(INDEX('Price History'!N:N,MATCH(9.99E+307,'Returns (Calc)'!$A:$A)+1)-'Price History'!N3)*(ROW()-3)/(MATCH(9.99E+307,'Returns (Calc)'!$A:$A)-3),"")</f>
        <v>473.5864150943396</v>
      </c>
      <c r="AJ126" s="152">
        <f>IFERROR('Price History'!O3+(INDEX('Price History'!O:O,MATCH(9.99E+307,'Returns (Calc)'!$A:$A)+1)-'Price History'!O3)*(ROW()-3)/(MATCH(9.99E+307,'Returns (Calc)'!$A:$A)-3),"")</f>
        <v>109.60301886792453</v>
      </c>
      <c r="AK126" s="152">
        <f>IFERROR('Price History'!Q3+(INDEX('Price History'!Q:Q,MATCH(9.99E+307,'Returns (Calc)'!$A:$A)+1)-'Price History'!Q3)*(ROW()-3)/(MATCH(9.99E+307,'Returns (Calc)'!$A:$A)-3),"")</f>
        <v>54.127735849056599</v>
      </c>
      <c r="AL126" s="152">
        <f>IFERROR('Price History'!R3+(INDEX('Price History'!R:R,MATCH(9.99E+307,'Returns (Calc)'!$A:$A)+1)-'Price History'!R3)*(ROW()-3)/(MATCH(9.99E+307,'Returns (Calc)'!$A:$A)-3),"")</f>
        <v>55.065094339622647</v>
      </c>
      <c r="AM126" s="152">
        <f>IFERROR('Price History'!S3+(INDEX('Price History'!S:S,MATCH(9.99E+307,'Returns (Calc)'!$A:$A)+1)-'Price History'!S3)*(ROW()-3)/(MATCH(9.99E+307,'Returns (Calc)'!$A:$A)-3),"")</f>
        <v>129.9833962264151</v>
      </c>
      <c r="AN126" s="152">
        <f>IFERROR('Price History'!T3+(INDEX('Price History'!T:T,MATCH(9.99E+307,'Returns (Calc)'!$A:$A)+1)-'Price History'!T3)*(ROW()-3)/(MATCH(9.99E+307,'Returns (Calc)'!$A:$A)-3),"")</f>
        <v>46.590943396226422</v>
      </c>
      <c r="AO126" s="153">
        <f>IFERROR('Price History'!V3+(INDEX('Price History'!V:V,MATCH(9.99E+307,'Returns (Calc)'!$A:$A)+1)-'Price History'!V3)*(ROW()-3)/(MATCH(9.99E+307,'Returns (Calc)'!$A:$A)-3),"")</f>
        <v>351.5284905660377</v>
      </c>
      <c r="AP126" s="151">
        <f>IFERROR(IF(OR(NOT(ISNUMBER('Price History'!W127)),NOT(ISNUMBER('Price History'!W126)),'Price History'!W126=0),"",'Price History'!W127/'Price History'!W126-1),"")</f>
        <v>1.5366593164277687E-2</v>
      </c>
      <c r="AQ126" s="151">
        <f>IFERROR(IF(OR(NOT(ISNUMBER('Price History'!X127)),NOT(ISNUMBER('Price History'!X126)),'Price History'!X126=0),"",'Price History'!X127/'Price History'!X126-1),"")</f>
        <v>1.8395721925133612E-2</v>
      </c>
      <c r="AR126" s="151">
        <f>IFERROR(IF(OR(NOT(ISNUMBER('Price History'!Y127)),NOT(ISNUMBER('Price History'!Y126)),'Price History'!Y126=0),"",'Price History'!Y127/'Price History'!Y126-1),"")</f>
        <v>3.0914711765774872E-3</v>
      </c>
      <c r="AS126" s="151">
        <f>IFERROR(IF(OR(NOT(ISNUMBER('Price History'!Z127)),NOT(ISNUMBER('Price History'!Z126)),'Price History'!Z126=0),"",'Price History'!Z127/'Price History'!Z126-1),"")</f>
        <v>4.3947045175378729E-2</v>
      </c>
      <c r="AT126" s="151">
        <f>IFERROR(IF(OR(NOT(ISNUMBER('Price History'!AA127)),NOT(ISNUMBER('Price History'!AA126)),'Price History'!AA126=0),"",'Price History'!AA127/'Price History'!AA126-1),"")</f>
        <v>-3.0538783093358224E-2</v>
      </c>
      <c r="AU126" s="151">
        <f>IFERROR(IF(OR(NOT(ISNUMBER('Price History'!AB127)),NOT(ISNUMBER('Price History'!AB126)),'Price History'!AB126=0),"",'Price History'!AB127/'Price History'!AB126-1),"")</f>
        <v>-8.1441441441441498E-2</v>
      </c>
    </row>
    <row r="127" spans="1:47" ht="15" customHeight="1" x14ac:dyDescent="0.2">
      <c r="A127" s="149">
        <f>IF('Price History'!A128="","",'Price History'!A128)</f>
        <v>46059</v>
      </c>
      <c r="B127" s="150">
        <f>IFERROR(IF(OR(NOT(ISNUMBER('Price History'!B128)),NOT(ISNUMBER('Price History'!B127)),'Price History'!B127=0),"",'Price History'!B128/'Price History'!B127-1),"")</f>
        <v>-8.4808184143222554E-2</v>
      </c>
      <c r="C127" s="150">
        <f>IFERROR(IF(OR(NOT(ISNUMBER('Price History'!C128)),NOT(ISNUMBER('Price History'!C127)),'Price History'!C127=0),"",'Price History'!C128/'Price History'!C127-1),"")</f>
        <v>-2.998447862283049E-2</v>
      </c>
      <c r="D127" s="150">
        <f>IFERROR(IF(OR(NOT(ISNUMBER('Price History'!D128)),NOT(ISNUMBER('Price History'!D127)),'Price History'!D127=0),"",'Price History'!D128/'Price History'!D127-1),"")</f>
        <v>-7.0258438073719232E-3</v>
      </c>
      <c r="E127" s="150">
        <f>IFERROR(IF(OR(NOT(ISNUMBER('Price History'!E128)),NOT(ISNUMBER('Price History'!E127)),'Price History'!E127=0),"",'Price History'!E128/'Price History'!E127-1),"")</f>
        <v>4.916838654850153E-3</v>
      </c>
      <c r="F127" s="150">
        <f>IFERROR(IF(OR(NOT(ISNUMBER('Price History'!F128)),NOT(ISNUMBER('Price History'!F127)),'Price History'!F127=0),"",'Price History'!F128/'Price History'!F127-1),"")</f>
        <v>-0.10394200271862253</v>
      </c>
      <c r="G127" s="150">
        <f>IFERROR(IF(OR(NOT(ISNUMBER('Price History'!G128)),NOT(ISNUMBER('Price History'!G127)),'Price History'!G127=0),"",'Price History'!G128/'Price History'!G127-1),"")</f>
        <v>1.0473044211710025E-2</v>
      </c>
      <c r="H127" s="150">
        <f>IFERROR(IF(OR(NOT(ISNUMBER('Price History'!H128)),NOT(ISNUMBER('Price History'!H127)),'Price History'!H127=0),"",'Price History'!H128/'Price History'!H127-1),"")</f>
        <v>-4.8668724676828146E-2</v>
      </c>
      <c r="I127" s="150">
        <f>IFERROR(IF(OR(NOT(ISNUMBER('Price History'!I128)),NOT(ISNUMBER('Price History'!I127)),'Price History'!I127=0),"",'Price History'!I128/'Price History'!I127-1),"")</f>
        <v>-2.9893014474512314E-2</v>
      </c>
      <c r="J127" s="150">
        <f>IFERROR(IF(OR(NOT(ISNUMBER('Price History'!J128)),NOT(ISNUMBER('Price History'!J127)),'Price History'!J127=0),"",'Price History'!J128/'Price History'!J127-1),"")</f>
        <v>4.8992709884769114E-2</v>
      </c>
      <c r="K127" s="150">
        <f>IFERROR(IF(OR(NOT(ISNUMBER('Price History'!K128)),NOT(ISNUMBER('Price History'!K127)),'Price History'!K127=0),"",'Price History'!K128/'Price History'!K127-1),"")</f>
        <v>-7.2924483252609251E-2</v>
      </c>
      <c r="L127" s="150">
        <f>IFERROR(IF(OR(NOT(ISNUMBER('Price History'!L128)),NOT(ISNUMBER('Price History'!L127)),'Price History'!L127=0),"",'Price History'!L128/'Price History'!L127-1),"")</f>
        <v>5.5338740167083289E-2</v>
      </c>
      <c r="M127" s="150">
        <f>IFERROR(IF(OR(NOT(ISNUMBER('Price History'!M128)),NOT(ISNUMBER('Price History'!M127)),'Price History'!M127=0),"",'Price History'!M128/'Price History'!M127-1),"")</f>
        <v>5.0470303681805939E-2</v>
      </c>
      <c r="N127" s="150">
        <f>IFERROR(IF(OR(NOT(ISNUMBER('Price History'!N128)),NOT(ISNUMBER('Price History'!N127)),'Price History'!N127=0),"",'Price History'!N128/'Price History'!N127-1),"")</f>
        <v>1.706746116194946E-2</v>
      </c>
      <c r="O127" s="150">
        <f>IFERROR(IF(OR(NOT(ISNUMBER('Price History'!O128)),NOT(ISNUMBER('Price History'!O127)),'Price History'!O127=0),"",'Price History'!O128/'Price History'!O127-1),"")</f>
        <v>5.413895048041395E-2</v>
      </c>
      <c r="P127" s="150">
        <f>IFERROR(IF(OR(NOT(ISNUMBER('Price History'!P128)),NOT(ISNUMBER('Price History'!P127)),'Price History'!P127=0),"",'Price History'!P128/'Price History'!P127-1),"")</f>
        <v>3.307697543047694E-2</v>
      </c>
      <c r="Q127" s="150">
        <f>IFERROR(IF(OR(NOT(ISNUMBER('Price History'!Q128)),NOT(ISNUMBER('Price History'!Q127)),'Price History'!Q127=0),"",'Price History'!Q128/'Price History'!Q127-1),"")</f>
        <v>2.8485757121439192E-3</v>
      </c>
      <c r="R127" s="150">
        <f>IFERROR(IF(OR(NOT(ISNUMBER('Price History'!R128)),NOT(ISNUMBER('Price History'!R127)),'Price History'!R127=0),"",'Price History'!R128/'Price History'!R127-1),"")</f>
        <v>-1.5455381784728717E-2</v>
      </c>
      <c r="S127" s="150">
        <f>IFERROR(IF(OR(NOT(ISNUMBER('Price History'!S128)),NOT(ISNUMBER('Price History'!S127)),'Price History'!S127=0),"",'Price History'!S128/'Price History'!S127-1),"")</f>
        <v>-2.5178346621901326E-4</v>
      </c>
      <c r="T127" s="150">
        <f>IFERROR(IF(OR(NOT(ISNUMBER('Price History'!T128)),NOT(ISNUMBER('Price History'!T127)),'Price History'!T127=0),"",'Price History'!T128/'Price History'!T127-1),"")</f>
        <v>2.4483550114766661E-2</v>
      </c>
      <c r="U127" s="150">
        <f>IFERROR(IF(OR(NOT(ISNUMBER('Price History'!U128)),NOT(ISNUMBER('Price History'!U127)),'Price History'!U127=0),"",'Price History'!U128/'Price History'!U127-1),"")</f>
        <v>5.5326460481099682E-2</v>
      </c>
      <c r="V127" s="151">
        <f>IFERROR(IF(OR(NOT(ISNUMBER('Price History'!V128)),NOT(ISNUMBER('Price History'!V127)),'Price History'!V127=0),"",'Price History'!V128/'Price History'!V127-1),"")</f>
        <v>3.0289768997530553E-2</v>
      </c>
      <c r="W127" s="152">
        <f>IFERROR('Price History'!B3+(INDEX('Price History'!B:B,MATCH(9.99E+307,'Returns (Calc)'!$A:$A)+1)-'Price History'!B3)*(ROW()-3)/(MATCH(9.99E+307,'Returns (Calc)'!$A:$A)-3),"")</f>
        <v>305.36245283018866</v>
      </c>
      <c r="X127" s="152">
        <f>IFERROR('Price History'!C3+(INDEX('Price History'!C:C,MATCH(9.99E+307,'Returns (Calc)'!$A:$A)+1)-'Price History'!C3)*(ROW()-3)/(MATCH(9.99E+307,'Returns (Calc)'!$A:$A)-3),"")</f>
        <v>179.19534591194969</v>
      </c>
      <c r="Y127" s="152">
        <f>IFERROR('Price History'!D3+(INDEX('Price History'!D:D,MATCH(9.99E+307,'Returns (Calc)'!$A:$A)+1)-'Price History'!D3)*(ROW()-3)/(MATCH(9.99E+307,'Returns (Calc)'!$A:$A)-3),"")</f>
        <v>1516.5566666666664</v>
      </c>
      <c r="Z127" s="152">
        <f>IFERROR('Price History'!E3+(INDEX('Price History'!E:E,MATCH(9.99E+307,'Returns (Calc)'!$A:$A)+1)-'Price History'!E3)*(ROW()-3)/(MATCH(9.99E+307,'Returns (Calc)'!$A:$A)-3),"")</f>
        <v>300.00603773584908</v>
      </c>
      <c r="AA127" s="152">
        <f>IFERROR('Price History'!F3+(INDEX('Price History'!F:F,MATCH(9.99E+307,'Returns (Calc)'!$A:$A)+1)-'Price History'!F3)*(ROW()-3)/(MATCH(9.99E+307,'Returns (Calc)'!$A:$A)-3),"")</f>
        <v>223.60100628930815</v>
      </c>
      <c r="AB127" s="152">
        <f>IFERROR('Price History'!G3+(INDEX('Price History'!G:G,MATCH(9.99E+307,'Returns (Calc)'!$A:$A)+1)-'Price History'!G3)*(ROW()-3)/(MATCH(9.99E+307,'Returns (Calc)'!$A:$A)-3),"")</f>
        <v>162.2825786163522</v>
      </c>
      <c r="AC127" s="152">
        <f>IFERROR('Price History'!H3+(INDEX('Price History'!H:H,MATCH(9.99E+307,'Returns (Calc)'!$A:$A)+1)-'Price History'!H3)*(ROW()-3)/(MATCH(9.99E+307,'Returns (Calc)'!$A:$A)-3),"")</f>
        <v>817.70345911949687</v>
      </c>
      <c r="AD127" s="152">
        <f>IFERROR('Price History'!I3+(INDEX('Price History'!I:I,MATCH(9.99E+307,'Returns (Calc)'!$A:$A)+1)-'Price History'!I3)*(ROW()-3)/(MATCH(9.99E+307,'Returns (Calc)'!$A:$A)-3),"")</f>
        <v>188.44446540880503</v>
      </c>
      <c r="AE127" s="152">
        <f>IFERROR('Price History'!J3+(INDEX('Price History'!J:J,MATCH(9.99E+307,'Returns (Calc)'!$A:$A)+1)-'Price History'!J3)*(ROW()-3)/(MATCH(9.99E+307,'Returns (Calc)'!$A:$A)-3),"")</f>
        <v>125.60477987421385</v>
      </c>
      <c r="AF127" s="152">
        <f>IFERROR('Price History'!K3+(INDEX('Price History'!K:K,MATCH(9.99E+307,'Returns (Calc)'!$A:$A)+1)-'Price History'!K3)*(ROW()-3)/(MATCH(9.99E+307,'Returns (Calc)'!$A:$A)-3),"")</f>
        <v>166.40723270440253</v>
      </c>
      <c r="AG127" s="152">
        <f>IFERROR('Price History'!L3+(INDEX('Price History'!L:L,MATCH(9.99E+307,'Returns (Calc)'!$A:$A)+1)-'Price History'!L3)*(ROW()-3)/(MATCH(9.99E+307,'Returns (Calc)'!$A:$A)-3),"")</f>
        <v>372.40056603773587</v>
      </c>
      <c r="AH127" s="152">
        <f>IFERROR('Price History'!M3+(INDEX('Price History'!M:M,MATCH(9.99E+307,'Returns (Calc)'!$A:$A)+1)-'Price History'!M3)*(ROW()-3)/(MATCH(9.99E+307,'Returns (Calc)'!$A:$A)-3),"")</f>
        <v>197.70704402515722</v>
      </c>
      <c r="AI127" s="152">
        <f>IFERROR('Price History'!N3+(INDEX('Price History'!N:N,MATCH(9.99E+307,'Returns (Calc)'!$A:$A)+1)-'Price History'!N3)*(ROW()-3)/(MATCH(9.99E+307,'Returns (Calc)'!$A:$A)-3),"")</f>
        <v>474.60012578616352</v>
      </c>
      <c r="AJ127" s="152">
        <f>IFERROR('Price History'!O3+(INDEX('Price History'!O:O,MATCH(9.99E+307,'Returns (Calc)'!$A:$A)+1)-'Price History'!O3)*(ROW()-3)/(MATCH(9.99E+307,'Returns (Calc)'!$A:$A)-3),"")</f>
        <v>109.88182389937107</v>
      </c>
      <c r="AK127" s="152">
        <f>IFERROR('Price History'!Q3+(INDEX('Price History'!Q:Q,MATCH(9.99E+307,'Returns (Calc)'!$A:$A)+1)-'Price History'!Q3)*(ROW()-3)/(MATCH(9.99E+307,'Returns (Calc)'!$A:$A)-3),"")</f>
        <v>54.567798742138372</v>
      </c>
      <c r="AL127" s="152">
        <f>IFERROR('Price History'!R3+(INDEX('Price History'!R:R,MATCH(9.99E+307,'Returns (Calc)'!$A:$A)+1)-'Price History'!R3)*(ROW()-3)/(MATCH(9.99E+307,'Returns (Calc)'!$A:$A)-3),"")</f>
        <v>55.232452830188677</v>
      </c>
      <c r="AM127" s="152">
        <f>IFERROR('Price History'!S3+(INDEX('Price History'!S:S,MATCH(9.99E+307,'Returns (Calc)'!$A:$A)+1)-'Price History'!S3)*(ROW()-3)/(MATCH(9.99E+307,'Returns (Calc)'!$A:$A)-3),"")</f>
        <v>130.57163522012578</v>
      </c>
      <c r="AN127" s="152">
        <f>IFERROR('Price History'!T3+(INDEX('Price History'!T:T,MATCH(9.99E+307,'Returns (Calc)'!$A:$A)+1)-'Price History'!T3)*(ROW()-3)/(MATCH(9.99E+307,'Returns (Calc)'!$A:$A)-3),"")</f>
        <v>46.764528301886799</v>
      </c>
      <c r="AO127" s="153">
        <f>IFERROR('Price History'!V3+(INDEX('Price History'!V:V,MATCH(9.99E+307,'Returns (Calc)'!$A:$A)+1)-'Price History'!V3)*(ROW()-3)/(MATCH(9.99E+307,'Returns (Calc)'!$A:$A)-3),"")</f>
        <v>352.47075471698111</v>
      </c>
      <c r="AP127" s="151">
        <f>IFERROR(IF(OR(NOT(ISNUMBER('Price History'!W128)),NOT(ISNUMBER('Price History'!W127)),'Price History'!W127=0),"",'Price History'!W128/'Price History'!W127-1),"")</f>
        <v>3.6715303698676705E-2</v>
      </c>
      <c r="AQ127" s="151">
        <f>IFERROR(IF(OR(NOT(ISNUMBER('Price History'!X128)),NOT(ISNUMBER('Price History'!X127)),'Price History'!X127=0),"",'Price History'!X128/'Price History'!X127-1),"")</f>
        <v>1.9323671497584627E-2</v>
      </c>
      <c r="AR127" s="151">
        <f>IFERROR(IF(OR(NOT(ISNUMBER('Price History'!Y128)),NOT(ISNUMBER('Price History'!Y127)),'Price History'!Y127=0),"",'Price History'!Y128/'Price History'!Y127-1),"")</f>
        <v>1.5409717186366967E-2</v>
      </c>
      <c r="AS127" s="151">
        <f>IFERROR(IF(OR(NOT(ISNUMBER('Price History'!Z128)),NOT(ISNUMBER('Price History'!Z127)),'Price History'!Z127=0),"",'Price History'!Z128/'Price History'!Z127-1),"")</f>
        <v>4.6313243561249884E-2</v>
      </c>
      <c r="AT127" s="151">
        <f>IFERROR(IF(OR(NOT(ISNUMBER('Price History'!AA128)),NOT(ISNUMBER('Price History'!AA127)),'Price History'!AA127=0),"",'Price History'!AA128/'Price History'!AA127-1),"")</f>
        <v>-1.5450952209845381E-2</v>
      </c>
      <c r="AU127" s="151">
        <f>IFERROR(IF(OR(NOT(ISNUMBER('Price History'!AB128)),NOT(ISNUMBER('Price History'!AB127)),'Price History'!AB127=0),"",'Price History'!AB128/'Price History'!AB127-1),"")</f>
        <v>-9.9401726167124282E-2</v>
      </c>
    </row>
    <row r="128" spans="1:47" ht="15" customHeight="1" x14ac:dyDescent="0.2">
      <c r="A128" s="149">
        <f>IF('Price History'!A129="","",'Price History'!A129)</f>
        <v>46066</v>
      </c>
      <c r="B128" s="150">
        <f>IFERROR(IF(OR(NOT(ISNUMBER('Price History'!B129)),NOT(ISNUMBER('Price History'!B128)),'Price History'!B128=0),"",'Price History'!B129/'Price History'!B128-1),"")</f>
        <v>-1.6431924882629012E-2</v>
      </c>
      <c r="C128" s="150">
        <f>IFERROR(IF(OR(NOT(ISNUMBER('Price History'!C129)),NOT(ISNUMBER('Price History'!C128)),'Price History'!C128=0),"",'Price History'!C129/'Price History'!C128-1),"")</f>
        <v>2.9820350570950671E-2</v>
      </c>
      <c r="D128" s="150">
        <f>IFERROR(IF(OR(NOT(ISNUMBER('Price History'!D129)),NOT(ISNUMBER('Price History'!D128)),'Price History'!D128=0),"",'Price History'!D129/'Price History'!D128-1),"")</f>
        <v>-3.2142222222222294E-3</v>
      </c>
      <c r="E128" s="150">
        <f>IFERROR(IF(OR(NOT(ISNUMBER('Price History'!E129)),NOT(ISNUMBER('Price History'!E128)),'Price History'!E128=0),"",'Price History'!E129/'Price History'!E128-1),"")</f>
        <v>-2.3286016309272184E-2</v>
      </c>
      <c r="F128" s="150">
        <f>IFERROR(IF(OR(NOT(ISNUMBER('Price History'!F129)),NOT(ISNUMBER('Price History'!F128)),'Price History'!F128=0),"",'Price History'!F129/'Price History'!F128-1),"")</f>
        <v>8.6266181229773586E-2</v>
      </c>
      <c r="G128" s="150">
        <f>IFERROR(IF(OR(NOT(ISNUMBER('Price History'!G129)),NOT(ISNUMBER('Price History'!G128)),'Price History'!G128=0),"",'Price History'!G129/'Price History'!G128-1),"")</f>
        <v>1.4677239844184786E-2</v>
      </c>
      <c r="H128" s="150">
        <f>IFERROR(IF(OR(NOT(ISNUMBER('Price History'!H129)),NOT(ISNUMBER('Price History'!H128)),'Price History'!H128=0),"",'Price History'!H129/'Price History'!H128-1),"")</f>
        <v>4.2995487501901408E-2</v>
      </c>
      <c r="I128" s="150">
        <f>IFERROR(IF(OR(NOT(ISNUMBER('Price History'!I129)),NOT(ISNUMBER('Price History'!I128)),'Price History'!I128=0),"",'Price History'!I129/'Price History'!I128-1),"")</f>
        <v>-1.4055573575521674E-2</v>
      </c>
      <c r="J128" s="150">
        <f>IFERROR(IF(OR(NOT(ISNUMBER('Price History'!J129)),NOT(ISNUMBER('Price History'!J128)),'Price History'!J128=0),"",'Price History'!J129/'Price History'!J128-1),"")</f>
        <v>1.4721267374084634E-2</v>
      </c>
      <c r="K128" s="150">
        <f>IFERROR(IF(OR(NOT(ISNUMBER('Price History'!K129)),NOT(ISNUMBER('Price History'!K128)),'Price History'!K128=0),"",'Price History'!K129/'Price History'!K128-1),"")</f>
        <v>-3.303899926416487E-2</v>
      </c>
      <c r="L128" s="150">
        <f>IFERROR(IF(OR(NOT(ISNUMBER('Price History'!L129)),NOT(ISNUMBER('Price History'!L128)),'Price History'!L128=0),"",'Price History'!L129/'Price History'!L128-1),"")</f>
        <v>5.018345708259897E-2</v>
      </c>
      <c r="M128" s="150">
        <f>IFERROR(IF(OR(NOT(ISNUMBER('Price History'!M129)),NOT(ISNUMBER('Price History'!M128)),'Price History'!M128=0),"",'Price History'!M129/'Price History'!M128-1),"")</f>
        <v>0.19919156774457636</v>
      </c>
      <c r="N128" s="150">
        <f>IFERROR(IF(OR(NOT(ISNUMBER('Price History'!N129)),NOT(ISNUMBER('Price History'!N128)),'Price History'!N128=0),"",'Price History'!N129/'Price History'!N128-1),"")</f>
        <v>2.8352025443588946E-2</v>
      </c>
      <c r="O128" s="150">
        <f>IFERROR(IF(OR(NOT(ISNUMBER('Price History'!O129)),NOT(ISNUMBER('Price History'!O128)),'Price History'!O128=0),"",'Price History'!O129/'Price History'!O128-1),"")</f>
        <v>-2.5416301489920023E-3</v>
      </c>
      <c r="P128" s="150">
        <f>IFERROR(IF(OR(NOT(ISNUMBER('Price History'!P129)),NOT(ISNUMBER('Price History'!P128)),'Price History'!P128=0),"",'Price History'!P129/'Price History'!P128-1),"")</f>
        <v>1.6074840239804988E-2</v>
      </c>
      <c r="Q128" s="150">
        <f>IFERROR(IF(OR(NOT(ISNUMBER('Price History'!Q129)),NOT(ISNUMBER('Price History'!Q128)),'Price History'!Q128=0),"",'Price History'!Q129/'Price History'!Q128-1),"")</f>
        <v>-8.6709523097622254E-3</v>
      </c>
      <c r="R128" s="150">
        <f>IFERROR(IF(OR(NOT(ISNUMBER('Price History'!R129)),NOT(ISNUMBER('Price History'!R128)),'Price History'!R128=0),"",'Price History'!R129/'Price History'!R128-1),"")</f>
        <v>-9.3440478415249828E-3</v>
      </c>
      <c r="S128" s="150">
        <f>IFERROR(IF(OR(NOT(ISNUMBER('Price History'!S129)),NOT(ISNUMBER('Price History'!S128)),'Price History'!S128=0),"",'Price History'!S129/'Price History'!S128-1),"")</f>
        <v>-1.32639355271994E-2</v>
      </c>
      <c r="T128" s="150">
        <f>IFERROR(IF(OR(NOT(ISNUMBER('Price History'!T129)),NOT(ISNUMBER('Price History'!T128)),'Price History'!T128=0),"",'Price History'!T129/'Price History'!T128-1),"")</f>
        <v>-4.2320139407518997E-3</v>
      </c>
      <c r="U128" s="150">
        <f>IFERROR(IF(OR(NOT(ISNUMBER('Price History'!U129)),NOT(ISNUMBER('Price History'!U128)),'Price History'!U128=0),"",'Price History'!U129/'Price History'!U128-1),"")</f>
        <v>4.5587756431129112E-3</v>
      </c>
      <c r="V128" s="151">
        <f>IFERROR(IF(OR(NOT(ISNUMBER('Price History'!V129)),NOT(ISNUMBER('Price History'!V128)),'Price History'!V128=0),"",'Price History'!V129/'Price History'!V128-1),"")</f>
        <v>-5.0819174757281593E-2</v>
      </c>
      <c r="W128" s="152">
        <f>IFERROR('Price History'!B3+(INDEX('Price History'!B:B,MATCH(9.99E+307,'Returns (Calc)'!$A:$A)+1)-'Price History'!B3)*(ROW()-3)/(MATCH(9.99E+307,'Returns (Calc)'!$A:$A)-3),"")</f>
        <v>303.5598113207547</v>
      </c>
      <c r="X128" s="152">
        <f>IFERROR('Price History'!C3+(INDEX('Price History'!C:C,MATCH(9.99E+307,'Returns (Calc)'!$A:$A)+1)-'Price History'!C3)*(ROW()-3)/(MATCH(9.99E+307,'Returns (Calc)'!$A:$A)-3),"")</f>
        <v>180.26805031446543</v>
      </c>
      <c r="Y128" s="152">
        <f>IFERROR('Price History'!D3+(INDEX('Price History'!D:D,MATCH(9.99E+307,'Returns (Calc)'!$A:$A)+1)-'Price History'!D3)*(ROW()-3)/(MATCH(9.99E+307,'Returns (Calc)'!$A:$A)-3),"")</f>
        <v>1524.0933333333332</v>
      </c>
      <c r="Z128" s="152">
        <f>IFERROR('Price History'!E3+(INDEX('Price History'!E:E,MATCH(9.99E+307,'Returns (Calc)'!$A:$A)+1)-'Price History'!E3)*(ROW()-3)/(MATCH(9.99E+307,'Returns (Calc)'!$A:$A)-3),"")</f>
        <v>301.7641509433962</v>
      </c>
      <c r="AA128" s="152">
        <f>IFERROR('Price History'!F3+(INDEX('Price History'!F:F,MATCH(9.99E+307,'Returns (Calc)'!$A:$A)+1)-'Price History'!F3)*(ROW()-3)/(MATCH(9.99E+307,'Returns (Calc)'!$A:$A)-3),"")</f>
        <v>225.07069182389938</v>
      </c>
      <c r="AB128" s="152">
        <f>IFERROR('Price History'!G3+(INDEX('Price History'!G:G,MATCH(9.99E+307,'Returns (Calc)'!$A:$A)+1)-'Price History'!G3)*(ROW()-3)/(MATCH(9.99E+307,'Returns (Calc)'!$A:$A)-3),"")</f>
        <v>163.23364779874214</v>
      </c>
      <c r="AC128" s="152">
        <f>IFERROR('Price History'!H3+(INDEX('Price History'!H:H,MATCH(9.99E+307,'Returns (Calc)'!$A:$A)+1)-'Price History'!H3)*(ROW()-3)/(MATCH(9.99E+307,'Returns (Calc)'!$A:$A)-3),"")</f>
        <v>823.7405031446541</v>
      </c>
      <c r="AD128" s="152">
        <f>IFERROR('Price History'!I3+(INDEX('Price History'!I:I,MATCH(9.99E+307,'Returns (Calc)'!$A:$A)+1)-'Price History'!I3)*(ROW()-3)/(MATCH(9.99E+307,'Returns (Calc)'!$A:$A)-3),"")</f>
        <v>189.61119496855346</v>
      </c>
      <c r="AE128" s="152">
        <f>IFERROR('Price History'!J3+(INDEX('Price History'!J:J,MATCH(9.99E+307,'Returns (Calc)'!$A:$A)+1)-'Price History'!J3)*(ROW()-3)/(MATCH(9.99E+307,'Returns (Calc)'!$A:$A)-3),"")</f>
        <v>125.71578616352203</v>
      </c>
      <c r="AF128" s="152">
        <f>IFERROR('Price History'!K3+(INDEX('Price History'!K:K,MATCH(9.99E+307,'Returns (Calc)'!$A:$A)+1)-'Price History'!K3)*(ROW()-3)/(MATCH(9.99E+307,'Returns (Calc)'!$A:$A)-3),"")</f>
        <v>167.62559748427674</v>
      </c>
      <c r="AG128" s="152">
        <f>IFERROR('Price History'!L3+(INDEX('Price History'!L:L,MATCH(9.99E+307,'Returns (Calc)'!$A:$A)+1)-'Price History'!L3)*(ROW()-3)/(MATCH(9.99E+307,'Returns (Calc)'!$A:$A)-3),"")</f>
        <v>374.71226415094338</v>
      </c>
      <c r="AH128" s="152">
        <f>IFERROR('Price History'!M3+(INDEX('Price History'!M:M,MATCH(9.99E+307,'Returns (Calc)'!$A:$A)+1)-'Price History'!M3)*(ROW()-3)/(MATCH(9.99E+307,'Returns (Calc)'!$A:$A)-3),"")</f>
        <v>198.99484276729561</v>
      </c>
      <c r="AI128" s="152">
        <f>IFERROR('Price History'!N3+(INDEX('Price History'!N:N,MATCH(9.99E+307,'Returns (Calc)'!$A:$A)+1)-'Price History'!N3)*(ROW()-3)/(MATCH(9.99E+307,'Returns (Calc)'!$A:$A)-3),"")</f>
        <v>475.61383647798743</v>
      </c>
      <c r="AJ128" s="152">
        <f>IFERROR('Price History'!O3+(INDEX('Price History'!O:O,MATCH(9.99E+307,'Returns (Calc)'!$A:$A)+1)-'Price History'!O3)*(ROW()-3)/(MATCH(9.99E+307,'Returns (Calc)'!$A:$A)-3),"")</f>
        <v>110.16062893081761</v>
      </c>
      <c r="AK128" s="152">
        <f>IFERROR('Price History'!Q3+(INDEX('Price History'!Q:Q,MATCH(9.99E+307,'Returns (Calc)'!$A:$A)+1)-'Price History'!Q3)*(ROW()-3)/(MATCH(9.99E+307,'Returns (Calc)'!$A:$A)-3),"")</f>
        <v>55.007861635220124</v>
      </c>
      <c r="AL128" s="152">
        <f>IFERROR('Price History'!R3+(INDEX('Price History'!R:R,MATCH(9.99E+307,'Returns (Calc)'!$A:$A)+1)-'Price History'!R3)*(ROW()-3)/(MATCH(9.99E+307,'Returns (Calc)'!$A:$A)-3),"")</f>
        <v>55.399811320754722</v>
      </c>
      <c r="AM128" s="152">
        <f>IFERROR('Price History'!S3+(INDEX('Price History'!S:S,MATCH(9.99E+307,'Returns (Calc)'!$A:$A)+1)-'Price History'!S3)*(ROW()-3)/(MATCH(9.99E+307,'Returns (Calc)'!$A:$A)-3),"")</f>
        <v>131.15987421383647</v>
      </c>
      <c r="AN128" s="152">
        <f>IFERROR('Price History'!T3+(INDEX('Price History'!T:T,MATCH(9.99E+307,'Returns (Calc)'!$A:$A)+1)-'Price History'!T3)*(ROW()-3)/(MATCH(9.99E+307,'Returns (Calc)'!$A:$A)-3),"")</f>
        <v>46.938113207547175</v>
      </c>
      <c r="AO128" s="153">
        <f>IFERROR('Price History'!V3+(INDEX('Price History'!V:V,MATCH(9.99E+307,'Returns (Calc)'!$A:$A)+1)-'Price History'!V3)*(ROW()-3)/(MATCH(9.99E+307,'Returns (Calc)'!$A:$A)-3),"")</f>
        <v>353.41301886792451</v>
      </c>
      <c r="AP128" s="151">
        <f>IFERROR(IF(OR(NOT(ISNUMBER('Price History'!W129)),NOT(ISNUMBER('Price History'!W128)),'Price History'!W128=0),"",'Price History'!W129/'Price History'!W128-1),"")</f>
        <v>-6.5462162869855955E-4</v>
      </c>
      <c r="AQ128" s="151">
        <f>IFERROR(IF(OR(NOT(ISNUMBER('Price History'!X129)),NOT(ISNUMBER('Price History'!X128)),'Price History'!X128=0),"",'Price History'!X129/'Price History'!X128-1),"")</f>
        <v>3.8944982485060731E-2</v>
      </c>
      <c r="AR128" s="151">
        <f>IFERROR(IF(OR(NOT(ISNUMBER('Price History'!Y129)),NOT(ISNUMBER('Price History'!Y128)),'Price History'!Y128=0),"",'Price History'!Y129/'Price History'!Y128-1),"")</f>
        <v>3.2137118371720064E-3</v>
      </c>
      <c r="AS128" s="151">
        <f>IFERROR(IF(OR(NOT(ISNUMBER('Price History'!Z129)),NOT(ISNUMBER('Price History'!Z128)),'Price History'!Z128=0),"",'Price History'!Z129/'Price History'!Z128-1),"")</f>
        <v>-1.7399181582482104E-2</v>
      </c>
      <c r="AT128" s="151">
        <f>IFERROR(IF(OR(NOT(ISNUMBER('Price History'!AA129)),NOT(ISNUMBER('Price History'!AA128)),'Price History'!AA128=0),"",'Price History'!AA129/'Price History'!AA128-1),"")</f>
        <v>-6.4841849148418507E-2</v>
      </c>
      <c r="AU128" s="151">
        <f>IFERROR(IF(OR(NOT(ISNUMBER('Price History'!AB129)),NOT(ISNUMBER('Price History'!AB128)),'Price History'!AB128=0),"",'Price History'!AB129/'Price History'!AB128-1),"")</f>
        <v>-5.1946637625918779E-2</v>
      </c>
    </row>
    <row r="129" spans="1:47" ht="15" customHeight="1" x14ac:dyDescent="0.2">
      <c r="A129" s="149">
        <f>IF('Price History'!A130="","",'Price History'!A130)</f>
        <v>46073</v>
      </c>
      <c r="B129" s="150">
        <f>IFERROR(IF(OR(NOT(ISNUMBER('Price History'!B130)),NOT(ISNUMBER('Price History'!B129)),'Price History'!B129=0),"",'Price History'!B130/'Price History'!B129-1),"")</f>
        <v>-2.0305337727772099E-2</v>
      </c>
      <c r="C129" s="150">
        <f>IFERROR(IF(OR(NOT(ISNUMBER('Price History'!C130)),NOT(ISNUMBER('Price History'!C129)),'Price History'!C129=0),"",'Price History'!C130/'Price History'!C129-1),"")</f>
        <v>-6.2151281870188702E-2</v>
      </c>
      <c r="D129" s="150">
        <f>IFERROR(IF(OR(NOT(ISNUMBER('Price History'!D130)),NOT(ISNUMBER('Price History'!D129)),'Price History'!D129=0),"",'Price History'!D130/'Price History'!D129-1),"")</f>
        <v>4.4773244490736497E-2</v>
      </c>
      <c r="E129" s="150">
        <f>IFERROR(IF(OR(NOT(ISNUMBER('Price History'!E130)),NOT(ISNUMBER('Price History'!E129)),'Price History'!E129=0),"",'Price History'!E130/'Price History'!E129-1),"")</f>
        <v>2.3006277250378737E-2</v>
      </c>
      <c r="F129" s="150">
        <f>IFERROR(IF(OR(NOT(ISNUMBER('Price History'!F130)),NOT(ISNUMBER('Price History'!F129)),'Price History'!F129=0),"",'Price History'!F130/'Price History'!F129-1),"")</f>
        <v>-9.5521832231635684E-2</v>
      </c>
      <c r="G129" s="150">
        <f>IFERROR(IF(OR(NOT(ISNUMBER('Price History'!G130)),NOT(ISNUMBER('Price History'!G129)),'Price History'!G129=0),"",'Price History'!G130/'Price History'!G129-1),"")</f>
        <v>2.3102762733941296E-2</v>
      </c>
      <c r="H129" s="150">
        <f>IFERROR(IF(OR(NOT(ISNUMBER('Price History'!H130)),NOT(ISNUMBER('Price History'!H129)),'Price History'!H129=0),"",'Price History'!H130/'Price History'!H129-1),"")</f>
        <v>4.0105002187545535E-2</v>
      </c>
      <c r="I129" s="150">
        <f>IFERROR(IF(OR(NOT(ISNUMBER('Price History'!I130)),NOT(ISNUMBER('Price History'!I129)),'Price History'!I129=0),"",'Price History'!I130/'Price History'!I129-1),"")</f>
        <v>3.8381401469459453E-2</v>
      </c>
      <c r="J129" s="150">
        <f>IFERROR(IF(OR(NOT(ISNUMBER('Price History'!J130)),NOT(ISNUMBER('Price History'!J129)),'Price History'!J129=0),"",'Price History'!J130/'Price History'!J129-1),"")</f>
        <v>1.8263495102732286E-2</v>
      </c>
      <c r="K129" s="150">
        <f>IFERROR(IF(OR(NOT(ISNUMBER('Price History'!K130)),NOT(ISNUMBER('Price History'!K129)),'Price History'!K129=0),"",'Price History'!K130/'Price History'!K129-1),"")</f>
        <v>2.9145422722776093E-2</v>
      </c>
      <c r="L129" s="150">
        <f>IFERROR(IF(OR(NOT(ISNUMBER('Price History'!L130)),NOT(ISNUMBER('Price History'!L129)),'Price History'!L129=0),"",'Price History'!L130/'Price History'!L129-1),"")</f>
        <v>1.1416781292984846E-2</v>
      </c>
      <c r="M129" s="150">
        <f>IFERROR(IF(OR(NOT(ISNUMBER('Price History'!M130)),NOT(ISNUMBER('Price History'!M129)),'Price History'!M129=0),"",'Price History'!M130/'Price History'!M129-1),"")</f>
        <v>3.9296838332551154E-2</v>
      </c>
      <c r="N129" s="150">
        <f>IFERROR(IF(OR(NOT(ISNUMBER('Price History'!N130)),NOT(ISNUMBER('Price History'!N129)),'Price History'!N129=0),"",'Price History'!N130/'Price History'!N129-1),"")</f>
        <v>-2.9645756607727947E-2</v>
      </c>
      <c r="O129" s="150">
        <f>IFERROR(IF(OR(NOT(ISNUMBER('Price History'!O130)),NOT(ISNUMBER('Price History'!O129)),'Price History'!O129=0),"",'Price History'!O130/'Price History'!O129-1),"")</f>
        <v>5.6234074334418072E-3</v>
      </c>
      <c r="P129" s="150">
        <f>IFERROR(IF(OR(NOT(ISNUMBER('Price History'!P130)),NOT(ISNUMBER('Price History'!P129)),'Price History'!P129=0),"",'Price History'!P130/'Price History'!P129-1),"")</f>
        <v>-7.1322051481552684E-3</v>
      </c>
      <c r="Q129" s="150">
        <f>IFERROR(IF(OR(NOT(ISNUMBER('Price History'!Q130)),NOT(ISNUMBER('Price History'!Q129)),'Price History'!Q129=0),"",'Price History'!Q130/'Price History'!Q129-1),"")</f>
        <v>6.7863067410647293E-3</v>
      </c>
      <c r="R129" s="150">
        <f>IFERROR(IF(OR(NOT(ISNUMBER('Price History'!R130)),NOT(ISNUMBER('Price History'!R129)),'Price History'!R129=0),"",'Price History'!R130/'Price History'!R129-1),"")</f>
        <v>1.1129975476325216E-2</v>
      </c>
      <c r="S129" s="150">
        <f>IFERROR(IF(OR(NOT(ISNUMBER('Price History'!S130)),NOT(ISNUMBER('Price History'!S129)),'Price History'!S129=0),"",'Price History'!S130/'Price History'!S129-1),"")</f>
        <v>1.4463161476943931E-2</v>
      </c>
      <c r="T129" s="150">
        <f>IFERROR(IF(OR(NOT(ISNUMBER('Price History'!T130)),NOT(ISNUMBER('Price History'!T129)),'Price History'!T129=0),"",'Price History'!T130/'Price History'!T129-1),"")</f>
        <v>2.0000000000000018E-3</v>
      </c>
      <c r="U129" s="150">
        <f>IFERROR(IF(OR(NOT(ISNUMBER('Price History'!U130)),NOT(ISNUMBER('Price History'!U129)),'Price History'!U129=0),"",'Price History'!U130/'Price History'!U129-1),"")</f>
        <v>0</v>
      </c>
      <c r="V129" s="151">
        <f>IFERROR(IF(OR(NOT(ISNUMBER('Price History'!V130)),NOT(ISNUMBER('Price History'!V129)),'Price History'!V129=0),"",'Price History'!V130/'Price History'!V129-1),"")</f>
        <v>2.1863512865590407E-2</v>
      </c>
      <c r="W129" s="152">
        <f>IFERROR('Price History'!B3+(INDEX('Price History'!B:B,MATCH(9.99E+307,'Returns (Calc)'!$A:$A)+1)-'Price History'!B3)*(ROW()-3)/(MATCH(9.99E+307,'Returns (Calc)'!$A:$A)-3),"")</f>
        <v>301.75716981132075</v>
      </c>
      <c r="X129" s="152">
        <f>IFERROR('Price History'!C3+(INDEX('Price History'!C:C,MATCH(9.99E+307,'Returns (Calc)'!$A:$A)+1)-'Price History'!C3)*(ROW()-3)/(MATCH(9.99E+307,'Returns (Calc)'!$A:$A)-3),"")</f>
        <v>181.34075471698114</v>
      </c>
      <c r="Y129" s="152">
        <f>IFERROR('Price History'!D3+(INDEX('Price History'!D:D,MATCH(9.99E+307,'Returns (Calc)'!$A:$A)+1)-'Price History'!D3)*(ROW()-3)/(MATCH(9.99E+307,'Returns (Calc)'!$A:$A)-3),"")</f>
        <v>1531.6299999999999</v>
      </c>
      <c r="Z129" s="152">
        <f>IFERROR('Price History'!E3+(INDEX('Price History'!E:E,MATCH(9.99E+307,'Returns (Calc)'!$A:$A)+1)-'Price History'!E3)*(ROW()-3)/(MATCH(9.99E+307,'Returns (Calc)'!$A:$A)-3),"")</f>
        <v>303.52226415094344</v>
      </c>
      <c r="AA129" s="152">
        <f>IFERROR('Price History'!F3+(INDEX('Price History'!F:F,MATCH(9.99E+307,'Returns (Calc)'!$A:$A)+1)-'Price History'!F3)*(ROW()-3)/(MATCH(9.99E+307,'Returns (Calc)'!$A:$A)-3),"")</f>
        <v>226.54037735849056</v>
      </c>
      <c r="AB129" s="152">
        <f>IFERROR('Price History'!G3+(INDEX('Price History'!G:G,MATCH(9.99E+307,'Returns (Calc)'!$A:$A)+1)-'Price History'!G3)*(ROW()-3)/(MATCH(9.99E+307,'Returns (Calc)'!$A:$A)-3),"")</f>
        <v>164.18471698113208</v>
      </c>
      <c r="AC129" s="152">
        <f>IFERROR('Price History'!H3+(INDEX('Price History'!H:H,MATCH(9.99E+307,'Returns (Calc)'!$A:$A)+1)-'Price History'!H3)*(ROW()-3)/(MATCH(9.99E+307,'Returns (Calc)'!$A:$A)-3),"")</f>
        <v>829.77754716981133</v>
      </c>
      <c r="AD129" s="152">
        <f>IFERROR('Price History'!I3+(INDEX('Price History'!I:I,MATCH(9.99E+307,'Returns (Calc)'!$A:$A)+1)-'Price History'!I3)*(ROW()-3)/(MATCH(9.99E+307,'Returns (Calc)'!$A:$A)-3),"")</f>
        <v>190.7779245283019</v>
      </c>
      <c r="AE129" s="152">
        <f>IFERROR('Price History'!J3+(INDEX('Price History'!J:J,MATCH(9.99E+307,'Returns (Calc)'!$A:$A)+1)-'Price History'!J3)*(ROW()-3)/(MATCH(9.99E+307,'Returns (Calc)'!$A:$A)-3),"")</f>
        <v>125.82679245283019</v>
      </c>
      <c r="AF129" s="152">
        <f>IFERROR('Price History'!K3+(INDEX('Price History'!K:K,MATCH(9.99E+307,'Returns (Calc)'!$A:$A)+1)-'Price History'!K3)*(ROW()-3)/(MATCH(9.99E+307,'Returns (Calc)'!$A:$A)-3),"")</f>
        <v>168.84396226415097</v>
      </c>
      <c r="AG129" s="152">
        <f>IFERROR('Price History'!L3+(INDEX('Price History'!L:L,MATCH(9.99E+307,'Returns (Calc)'!$A:$A)+1)-'Price History'!L3)*(ROW()-3)/(MATCH(9.99E+307,'Returns (Calc)'!$A:$A)-3),"")</f>
        <v>377.02396226415095</v>
      </c>
      <c r="AH129" s="152">
        <f>IFERROR('Price History'!M3+(INDEX('Price History'!M:M,MATCH(9.99E+307,'Returns (Calc)'!$A:$A)+1)-'Price History'!M3)*(ROW()-3)/(MATCH(9.99E+307,'Returns (Calc)'!$A:$A)-3),"")</f>
        <v>200.28264150943397</v>
      </c>
      <c r="AI129" s="152">
        <f>IFERROR('Price History'!N3+(INDEX('Price History'!N:N,MATCH(9.99E+307,'Returns (Calc)'!$A:$A)+1)-'Price History'!N3)*(ROW()-3)/(MATCH(9.99E+307,'Returns (Calc)'!$A:$A)-3),"")</f>
        <v>476.62754716981129</v>
      </c>
      <c r="AJ129" s="152">
        <f>IFERROR('Price History'!O3+(INDEX('Price History'!O:O,MATCH(9.99E+307,'Returns (Calc)'!$A:$A)+1)-'Price History'!O3)*(ROW()-3)/(MATCH(9.99E+307,'Returns (Calc)'!$A:$A)-3),"")</f>
        <v>110.43943396226416</v>
      </c>
      <c r="AK129" s="152">
        <f>IFERROR('Price History'!Q3+(INDEX('Price History'!Q:Q,MATCH(9.99E+307,'Returns (Calc)'!$A:$A)+1)-'Price History'!Q3)*(ROW()-3)/(MATCH(9.99E+307,'Returns (Calc)'!$A:$A)-3),"")</f>
        <v>55.447924528301883</v>
      </c>
      <c r="AL129" s="152">
        <f>IFERROR('Price History'!R3+(INDEX('Price History'!R:R,MATCH(9.99E+307,'Returns (Calc)'!$A:$A)+1)-'Price History'!R3)*(ROW()-3)/(MATCH(9.99E+307,'Returns (Calc)'!$A:$A)-3),"")</f>
        <v>55.56716981132076</v>
      </c>
      <c r="AM129" s="152">
        <f>IFERROR('Price History'!S3+(INDEX('Price History'!S:S,MATCH(9.99E+307,'Returns (Calc)'!$A:$A)+1)-'Price History'!S3)*(ROW()-3)/(MATCH(9.99E+307,'Returns (Calc)'!$A:$A)-3),"")</f>
        <v>131.74811320754716</v>
      </c>
      <c r="AN129" s="152">
        <f>IFERROR('Price History'!T3+(INDEX('Price History'!T:T,MATCH(9.99E+307,'Returns (Calc)'!$A:$A)+1)-'Price History'!T3)*(ROW()-3)/(MATCH(9.99E+307,'Returns (Calc)'!$A:$A)-3),"")</f>
        <v>47.111698113207552</v>
      </c>
      <c r="AO129" s="153">
        <f>IFERROR('Price History'!V3+(INDEX('Price History'!V:V,MATCH(9.99E+307,'Returns (Calc)'!$A:$A)+1)-'Price History'!V3)*(ROW()-3)/(MATCH(9.99E+307,'Returns (Calc)'!$A:$A)-3),"")</f>
        <v>354.35528301886791</v>
      </c>
      <c r="AP129" s="151">
        <f>IFERROR(IF(OR(NOT(ISNUMBER('Price History'!W130)),NOT(ISNUMBER('Price History'!W129)),'Price History'!W129=0),"",'Price History'!W130/'Price History'!W129-1),"")</f>
        <v>1.2445958338791474E-3</v>
      </c>
      <c r="AQ129" s="151">
        <f>IFERROR(IF(OR(NOT(ISNUMBER('Price History'!X130)),NOT(ISNUMBER('Price History'!X129)),'Price History'!X129=0),"",'Price History'!X130/'Price History'!X129-1),"")</f>
        <v>2.9750099166996335E-3</v>
      </c>
      <c r="AR129" s="151">
        <f>IFERROR(IF(OR(NOT(ISNUMBER('Price History'!Y130)),NOT(ISNUMBER('Price History'!Y129)),'Price History'!Y129=0),"",'Price History'!Y130/'Price History'!Y129-1),"")</f>
        <v>3.2034169781098853E-3</v>
      </c>
      <c r="AS129" s="151">
        <f>IFERROR(IF(OR(NOT(ISNUMBER('Price History'!Z130)),NOT(ISNUMBER('Price History'!Z129)),'Price History'!Z129=0),"",'Price History'!Z130/'Price History'!Z129-1),"")</f>
        <v>8.8154883011190233E-2</v>
      </c>
      <c r="AT129" s="151">
        <f>IFERROR(IF(OR(NOT(ISNUMBER('Price History'!AA130)),NOT(ISNUMBER('Price History'!AA129)),'Price History'!AA129=0),"",'Price History'!AA130/'Price History'!AA129-1),"")</f>
        <v>2.3416157148432371E-2</v>
      </c>
      <c r="AU129" s="151">
        <f>IFERROR(IF(OR(NOT(ISNUMBER('Price History'!AB130)),NOT(ISNUMBER('Price History'!AB129)),'Price History'!AB129=0),"",'Price History'!AB130/'Price History'!AB129-1),"")</f>
        <v>3.5609672046407415E-2</v>
      </c>
    </row>
    <row r="130" spans="1:47" ht="15" customHeight="1" x14ac:dyDescent="0.2">
      <c r="A130" s="149">
        <f>IF('Price History'!A131="","",'Price History'!A131)</f>
        <v>46080</v>
      </c>
      <c r="B130" s="150">
        <f>IFERROR(IF(OR(NOT(ISNUMBER('Price History'!B131)),NOT(ISNUMBER('Price History'!B130)),'Price History'!B130=0),"",'Price History'!B131/'Price History'!B130-1),"")</f>
        <v>1.4693940682881657E-2</v>
      </c>
      <c r="C130" s="150">
        <f>IFERROR(IF(OR(NOT(ISNUMBER('Price History'!C131)),NOT(ISNUMBER('Price History'!C130)),'Price History'!C130=0),"",'Price History'!C131/'Price History'!C130-1),"")</f>
        <v>5.3467881617592639E-3</v>
      </c>
      <c r="D130" s="150">
        <f>IFERROR(IF(OR(NOT(ISNUMBER('Price History'!D131)),NOT(ISNUMBER('Price History'!D130)),'Price History'!D130=0),"",'Price History'!D131/'Price History'!D130-1),"")</f>
        <v>-1.2946486490177489E-2</v>
      </c>
      <c r="E130" s="150">
        <f>IFERROR(IF(OR(NOT(ISNUMBER('Price History'!E131)),NOT(ISNUMBER('Price History'!E130)),'Price History'!E130=0),"",'Price History'!E131/'Price History'!E130-1),"")</f>
        <v>-3.93857872623401E-2</v>
      </c>
      <c r="F130" s="150">
        <f>IFERROR(IF(OR(NOT(ISNUMBER('Price History'!F131)),NOT(ISNUMBER('Price History'!F130)),'Price History'!F130=0),"",'Price History'!F131/'Price History'!F130-1),"")</f>
        <v>-4.2717447246526041E-2</v>
      </c>
      <c r="G130" s="150">
        <f>IFERROR(IF(OR(NOT(ISNUMBER('Price History'!G131)),NOT(ISNUMBER('Price History'!G130)),'Price History'!G130=0),"",'Price History'!G131/'Price History'!G130-1),"")</f>
        <v>1.9096756901634926E-2</v>
      </c>
      <c r="H130" s="150">
        <f>IFERROR(IF(OR(NOT(ISNUMBER('Price History'!H131)),NOT(ISNUMBER('Price History'!H130)),'Price History'!H130=0),"",'Price History'!H131/'Price History'!H130-1),"")</f>
        <v>-3.6899420452421006E-2</v>
      </c>
      <c r="I130" s="150">
        <f>IFERROR(IF(OR(NOT(ISNUMBER('Price History'!I131)),NOT(ISNUMBER('Price History'!I130)),'Price History'!I130=0),"",'Price History'!I131/'Price History'!I130-1),"")</f>
        <v>-6.6532896821206E-2</v>
      </c>
      <c r="J130" s="150">
        <f>IFERROR(IF(OR(NOT(ISNUMBER('Price History'!J131)),NOT(ISNUMBER('Price History'!J130)),'Price History'!J130=0),"",'Price History'!J131/'Price History'!J130-1),"")</f>
        <v>7.5215158747377053E-3</v>
      </c>
      <c r="K130" s="150">
        <f>IFERROR(IF(OR(NOT(ISNUMBER('Price History'!K131)),NOT(ISNUMBER('Price History'!K130)),'Price History'!K130=0),"",'Price History'!K131/'Price History'!K130-1),"")</f>
        <v>1.4418811002661958E-2</v>
      </c>
      <c r="L130" s="150">
        <f>IFERROR(IF(OR(NOT(ISNUMBER('Price History'!L131)),NOT(ISNUMBER('Price History'!L130)),'Price History'!L130=0),"",'Price History'!L131/'Price History'!L130-1),"")</f>
        <v>1.0907112743098191E-2</v>
      </c>
      <c r="M130" s="150">
        <f>IFERROR(IF(OR(NOT(ISNUMBER('Price History'!M131)),NOT(ISNUMBER('Price History'!M130)),'Price History'!M130=0),"",'Price History'!M131/'Price History'!M130-1),"")</f>
        <v>4.569340668363564E-2</v>
      </c>
      <c r="N130" s="150">
        <f>IFERROR(IF(OR(NOT(ISNUMBER('Price History'!N131)),NOT(ISNUMBER('Price History'!N130)),'Price History'!N130=0),"",'Price History'!N131/'Price History'!N130-1),"")</f>
        <v>4.1790731809603798E-2</v>
      </c>
      <c r="O130" s="150">
        <f>IFERROR(IF(OR(NOT(ISNUMBER('Price History'!O131)),NOT(ISNUMBER('Price History'!O130)),'Price History'!O130=0),"",'Price History'!O131/'Price History'!O130-1),"")</f>
        <v>-2.2193097422455232E-2</v>
      </c>
      <c r="P130" s="150">
        <f>IFERROR(IF(OR(NOT(ISNUMBER('Price History'!P131)),NOT(ISNUMBER('Price History'!P130)),'Price History'!P130=0),"",'Price History'!P131/'Price History'!P130-1),"")</f>
        <v>-3.3305034937634037E-3</v>
      </c>
      <c r="Q130" s="150">
        <f>IFERROR(IF(OR(NOT(ISNUMBER('Price History'!Q131)),NOT(ISNUMBER('Price History'!Q130)),'Price History'!Q130=0),"",'Price History'!Q131/'Price History'!Q130-1),"")</f>
        <v>-5.6920311563811721E-3</v>
      </c>
      <c r="R130" s="150">
        <f>IFERROR(IF(OR(NOT(ISNUMBER('Price History'!R131)),NOT(ISNUMBER('Price History'!R130)),'Price History'!R130=0),"",'Price History'!R131/'Price History'!R130-1),"")</f>
        <v>-1.8656716417910779E-3</v>
      </c>
      <c r="S130" s="150">
        <f>IFERROR(IF(OR(NOT(ISNUMBER('Price History'!S131)),NOT(ISNUMBER('Price History'!S130)),'Price History'!S130=0),"",'Price History'!S131/'Price History'!S130-1),"")</f>
        <v>-4.0254948004024849E-3</v>
      </c>
      <c r="T130" s="150">
        <f>IFERROR(IF(OR(NOT(ISNUMBER('Price History'!T131)),NOT(ISNUMBER('Price History'!T130)),'Price History'!T130=0),"",'Price History'!T131/'Price History'!T130-1),"")</f>
        <v>3.493013972055925E-3</v>
      </c>
      <c r="U130" s="150">
        <f>IFERROR(IF(OR(NOT(ISNUMBER('Price History'!U131)),NOT(ISNUMBER('Price History'!U130)),'Price History'!U130=0),"",'Price History'!U131/'Price History'!U130-1),"")</f>
        <v>5.1863857374392364E-3</v>
      </c>
      <c r="V130" s="151">
        <f>IFERROR(IF(OR(NOT(ISNUMBER('Price History'!V131)),NOT(ISNUMBER('Price History'!V130)),'Price History'!V130=0),"",'Price History'!V131/'Price History'!V130-1),"")</f>
        <v>-2.5024242234664706E-3</v>
      </c>
      <c r="W130" s="152">
        <f>IFERROR('Price History'!B3+(INDEX('Price History'!B:B,MATCH(9.99E+307,'Returns (Calc)'!$A:$A)+1)-'Price History'!B3)*(ROW()-3)/(MATCH(9.99E+307,'Returns (Calc)'!$A:$A)-3),"")</f>
        <v>299.9545283018868</v>
      </c>
      <c r="X130" s="152">
        <f>IFERROR('Price History'!C3+(INDEX('Price History'!C:C,MATCH(9.99E+307,'Returns (Calc)'!$A:$A)+1)-'Price History'!C3)*(ROW()-3)/(MATCH(9.99E+307,'Returns (Calc)'!$A:$A)-3),"")</f>
        <v>182.41345911949685</v>
      </c>
      <c r="Y130" s="152">
        <f>IFERROR('Price History'!D3+(INDEX('Price History'!D:D,MATCH(9.99E+307,'Returns (Calc)'!$A:$A)+1)-'Price History'!D3)*(ROW()-3)/(MATCH(9.99E+307,'Returns (Calc)'!$A:$A)-3),"")</f>
        <v>1539.1666666666665</v>
      </c>
      <c r="Z130" s="152">
        <f>IFERROR('Price History'!E3+(INDEX('Price History'!E:E,MATCH(9.99E+307,'Returns (Calc)'!$A:$A)+1)-'Price History'!E3)*(ROW()-3)/(MATCH(9.99E+307,'Returns (Calc)'!$A:$A)-3),"")</f>
        <v>305.28037735849057</v>
      </c>
      <c r="AA130" s="152">
        <f>IFERROR('Price History'!F3+(INDEX('Price History'!F:F,MATCH(9.99E+307,'Returns (Calc)'!$A:$A)+1)-'Price History'!F3)*(ROW()-3)/(MATCH(9.99E+307,'Returns (Calc)'!$A:$A)-3),"")</f>
        <v>228.01006289308174</v>
      </c>
      <c r="AB130" s="152">
        <f>IFERROR('Price History'!G3+(INDEX('Price History'!G:G,MATCH(9.99E+307,'Returns (Calc)'!$A:$A)+1)-'Price History'!G3)*(ROW()-3)/(MATCH(9.99E+307,'Returns (Calc)'!$A:$A)-3),"")</f>
        <v>165.135786163522</v>
      </c>
      <c r="AC130" s="152">
        <f>IFERROR('Price History'!H3+(INDEX('Price History'!H:H,MATCH(9.99E+307,'Returns (Calc)'!$A:$A)+1)-'Price History'!H3)*(ROW()-3)/(MATCH(9.99E+307,'Returns (Calc)'!$A:$A)-3),"")</f>
        <v>835.81459119496856</v>
      </c>
      <c r="AD130" s="152">
        <f>IFERROR('Price History'!I3+(INDEX('Price History'!I:I,MATCH(9.99E+307,'Returns (Calc)'!$A:$A)+1)-'Price History'!I3)*(ROW()-3)/(MATCH(9.99E+307,'Returns (Calc)'!$A:$A)-3),"")</f>
        <v>191.94465408805033</v>
      </c>
      <c r="AE130" s="152">
        <f>IFERROR('Price History'!J3+(INDEX('Price History'!J:J,MATCH(9.99E+307,'Returns (Calc)'!$A:$A)+1)-'Price History'!J3)*(ROW()-3)/(MATCH(9.99E+307,'Returns (Calc)'!$A:$A)-3),"")</f>
        <v>125.93779874213837</v>
      </c>
      <c r="AF130" s="152">
        <f>IFERROR('Price History'!K3+(INDEX('Price History'!K:K,MATCH(9.99E+307,'Returns (Calc)'!$A:$A)+1)-'Price History'!K3)*(ROW()-3)/(MATCH(9.99E+307,'Returns (Calc)'!$A:$A)-3),"")</f>
        <v>170.06232704402515</v>
      </c>
      <c r="AG130" s="152">
        <f>IFERROR('Price History'!L3+(INDEX('Price History'!L:L,MATCH(9.99E+307,'Returns (Calc)'!$A:$A)+1)-'Price History'!L3)*(ROW()-3)/(MATCH(9.99E+307,'Returns (Calc)'!$A:$A)-3),"")</f>
        <v>379.33566037735852</v>
      </c>
      <c r="AH130" s="152">
        <f>IFERROR('Price History'!M3+(INDEX('Price History'!M:M,MATCH(9.99E+307,'Returns (Calc)'!$A:$A)+1)-'Price History'!M3)*(ROW()-3)/(MATCH(9.99E+307,'Returns (Calc)'!$A:$A)-3),"")</f>
        <v>201.57044025157234</v>
      </c>
      <c r="AI130" s="152">
        <f>IFERROR('Price History'!N3+(INDEX('Price History'!N:N,MATCH(9.99E+307,'Returns (Calc)'!$A:$A)+1)-'Price History'!N3)*(ROW()-3)/(MATCH(9.99E+307,'Returns (Calc)'!$A:$A)-3),"")</f>
        <v>477.64125786163521</v>
      </c>
      <c r="AJ130" s="152">
        <f>IFERROR('Price History'!O3+(INDEX('Price History'!O:O,MATCH(9.99E+307,'Returns (Calc)'!$A:$A)+1)-'Price History'!O3)*(ROW()-3)/(MATCH(9.99E+307,'Returns (Calc)'!$A:$A)-3),"")</f>
        <v>110.71823899371068</v>
      </c>
      <c r="AK130" s="152">
        <f>IFERROR('Price History'!Q3+(INDEX('Price History'!Q:Q,MATCH(9.99E+307,'Returns (Calc)'!$A:$A)+1)-'Price History'!Q3)*(ROW()-3)/(MATCH(9.99E+307,'Returns (Calc)'!$A:$A)-3),"")</f>
        <v>55.887987421383649</v>
      </c>
      <c r="AL130" s="152">
        <f>IFERROR('Price History'!R3+(INDEX('Price History'!R:R,MATCH(9.99E+307,'Returns (Calc)'!$A:$A)+1)-'Price History'!R3)*(ROW()-3)/(MATCH(9.99E+307,'Returns (Calc)'!$A:$A)-3),"")</f>
        <v>55.734528301886797</v>
      </c>
      <c r="AM130" s="152">
        <f>IFERROR('Price History'!S3+(INDEX('Price History'!S:S,MATCH(9.99E+307,'Returns (Calc)'!$A:$A)+1)-'Price History'!S3)*(ROW()-3)/(MATCH(9.99E+307,'Returns (Calc)'!$A:$A)-3),"")</f>
        <v>132.33635220125785</v>
      </c>
      <c r="AN130" s="152">
        <f>IFERROR('Price History'!T3+(INDEX('Price History'!T:T,MATCH(9.99E+307,'Returns (Calc)'!$A:$A)+1)-'Price History'!T3)*(ROW()-3)/(MATCH(9.99E+307,'Returns (Calc)'!$A:$A)-3),"")</f>
        <v>47.285283018867929</v>
      </c>
      <c r="AO130" s="153">
        <f>IFERROR('Price History'!V3+(INDEX('Price History'!V:V,MATCH(9.99E+307,'Returns (Calc)'!$A:$A)+1)-'Price History'!V3)*(ROW()-3)/(MATCH(9.99E+307,'Returns (Calc)'!$A:$A)-3),"")</f>
        <v>355.29754716981131</v>
      </c>
      <c r="AP130" s="151">
        <f>IFERROR(IF(OR(NOT(ISNUMBER('Price History'!W131)),NOT(ISNUMBER('Price History'!W130)),'Price History'!W130=0),"",'Price History'!W131/'Price History'!W130-1),"")</f>
        <v>-3.2711808963035161E-3</v>
      </c>
      <c r="AQ130" s="151">
        <f>IFERROR(IF(OR(NOT(ISNUMBER('Price History'!X131)),NOT(ISNUMBER('Price History'!X130)),'Price History'!X130=0),"",'Price History'!X131/'Price History'!X130-1),"")</f>
        <v>1.0085030650583304E-2</v>
      </c>
      <c r="AR130" s="151">
        <f>IFERROR(IF(OR(NOT(ISNUMBER('Price History'!Y131)),NOT(ISNUMBER('Price History'!Y130)),'Price History'!Y130=0),"",'Price History'!Y131/'Price History'!Y130-1),"")</f>
        <v>6.3863757317721426E-3</v>
      </c>
      <c r="AS130" s="151">
        <f>IFERROR(IF(OR(NOT(ISNUMBER('Price History'!Z131)),NOT(ISNUMBER('Price History'!Z130)),'Price History'!Z130=0),"",'Price History'!Z131/'Price History'!Z130-1),"")</f>
        <v>-2.7754243477754459E-3</v>
      </c>
      <c r="AT130" s="151">
        <f>IFERROR(IF(OR(NOT(ISNUMBER('Price History'!AA131)),NOT(ISNUMBER('Price History'!AA130)),'Price History'!AA130=0),"",'Price History'!AA131/'Price History'!AA130-1),"")</f>
        <v>0.22333799415278999</v>
      </c>
      <c r="AU130" s="151">
        <f>IFERROR(IF(OR(NOT(ISNUMBER('Price History'!AB131)),NOT(ISNUMBER('Price History'!AB130)),'Price History'!AB130=0),"",'Price History'!AB131/'Price History'!AB130-1),"")</f>
        <v>9.428206976873188E-3</v>
      </c>
    </row>
    <row r="131" spans="1:47" ht="15" customHeight="1" x14ac:dyDescent="0.2">
      <c r="A131" s="149">
        <f>IF('Price History'!A132="","",'Price History'!A132)</f>
        <v>46087</v>
      </c>
      <c r="B131" s="150">
        <f>IFERROR(IF(OR(NOT(ISNUMBER('Price History'!B132)),NOT(ISNUMBER('Price History'!B131)),'Price History'!B131=0),"",'Price History'!B132/'Price History'!B131-1),"")</f>
        <v>8.0827712358522819E-2</v>
      </c>
      <c r="C131" s="150">
        <f>IFERROR(IF(OR(NOT(ISNUMBER('Price History'!C132)),NOT(ISNUMBER('Price History'!C131)),'Price History'!C131=0),"",'Price History'!C132/'Price History'!C131-1),"")</f>
        <v>-4.5692883895132042E-3</v>
      </c>
      <c r="D131" s="150">
        <f>IFERROR(IF(OR(NOT(ISNUMBER('Price History'!D132)),NOT(ISNUMBER('Price History'!D131)),'Price History'!D131=0),"",'Price History'!D132/'Price History'!D131-1),"")</f>
        <v>-0.10875595802231708</v>
      </c>
      <c r="E131" s="150">
        <f>IFERROR(IF(OR(NOT(ISNUMBER('Price History'!E132)),NOT(ISNUMBER('Price History'!E131)),'Price History'!E131=0),"",'Price History'!E132/'Price History'!E131-1),"")</f>
        <v>3.4203901825047289E-2</v>
      </c>
      <c r="F131" s="150">
        <f>IFERROR(IF(OR(NOT(ISNUMBER('Price History'!F132)),NOT(ISNUMBER('Price History'!F131)),'Price History'!F131=0),"",'Price History'!F132/'Price History'!F131-1),"")</f>
        <v>0.15322580645161299</v>
      </c>
      <c r="G131" s="150">
        <f>IFERROR(IF(OR(NOT(ISNUMBER('Price History'!G132)),NOT(ISNUMBER('Price History'!G131)),'Price History'!G131=0),"",'Price History'!G132/'Price History'!G131-1),"")</f>
        <v>-0.11808797422578743</v>
      </c>
      <c r="H131" s="150">
        <f>IFERROR(IF(OR(NOT(ISNUMBER('Price History'!H132)),NOT(ISNUMBER('Price History'!H131)),'Price History'!H131=0),"",'Price History'!H132/'Price History'!H131-1),"")</f>
        <v>-0.10200664838764473</v>
      </c>
      <c r="I131" s="150">
        <f>IFERROR(IF(OR(NOT(ISNUMBER('Price History'!I132)),NOT(ISNUMBER('Price History'!I131)),'Price History'!I131=0),"",'Price History'!I132/'Price History'!I131-1),"")</f>
        <v>3.5071840705962476E-3</v>
      </c>
      <c r="J131" s="150">
        <f>IFERROR(IF(OR(NOT(ISNUMBER('Price History'!J132)),NOT(ISNUMBER('Price History'!J131)),'Price History'!J131=0),"",'Price History'!J132/'Price History'!J131-1),"")</f>
        <v>-5.634914937908253E-2</v>
      </c>
      <c r="K131" s="150">
        <f>IFERROR(IF(OR(NOT(ISNUMBER('Price History'!K132)),NOT(ISNUMBER('Price History'!K131)),'Price History'!K131=0),"",'Price History'!K132/'Price History'!K131-1),"")</f>
        <v>0.14556454552081055</v>
      </c>
      <c r="L131" s="150">
        <f>IFERROR(IF(OR(NOT(ISNUMBER('Price History'!L132)),NOT(ISNUMBER('Price History'!L131)),'Price History'!L131=0),"",'Price History'!L132/'Price History'!L131-1),"")</f>
        <v>-9.5275251574019282E-2</v>
      </c>
      <c r="M131" s="150">
        <f>IFERROR(IF(OR(NOT(ISNUMBER('Price History'!M132)),NOT(ISNUMBER('Price History'!M131)),'Price History'!M131=0),"",'Price History'!M132/'Price History'!M131-1),"")</f>
        <v>-5.1431039221074948E-2</v>
      </c>
      <c r="N131" s="150">
        <f>IFERROR(IF(OR(NOT(ISNUMBER('Price History'!N132)),NOT(ISNUMBER('Price History'!N131)),'Price History'!N131=0),"",'Price History'!N132/'Price History'!N131-1),"")</f>
        <v>-8.0792222691866367E-2</v>
      </c>
      <c r="O131" s="150">
        <f>IFERROR(IF(OR(NOT(ISNUMBER('Price History'!O132)),NOT(ISNUMBER('Price History'!O131)),'Price History'!O131=0),"",'Price History'!O132/'Price History'!O131-1),"")</f>
        <v>-3.8334375837726697E-2</v>
      </c>
      <c r="P131" s="150">
        <f>IFERROR(IF(OR(NOT(ISNUMBER('Price History'!P132)),NOT(ISNUMBER('Price History'!P131)),'Price History'!P131=0),"",'Price History'!P132/'Price History'!P131-1),"")</f>
        <v>-2.4701873935264129E-2</v>
      </c>
      <c r="Q131" s="150">
        <f>IFERROR(IF(OR(NOT(ISNUMBER('Price History'!Q132)),NOT(ISNUMBER('Price History'!Q131)),'Price History'!Q131=0),"",'Price History'!Q132/'Price History'!Q131-1),"")</f>
        <v>-1.1298583910816506E-2</v>
      </c>
      <c r="R131" s="150">
        <f>IFERROR(IF(OR(NOT(ISNUMBER('Price History'!R132)),NOT(ISNUMBER('Price History'!R131)),'Price History'!R131=0),"",'Price History'!R132/'Price History'!R131-1),"")</f>
        <v>-1.1962616822429939E-2</v>
      </c>
      <c r="S131" s="150">
        <f>IFERROR(IF(OR(NOT(ISNUMBER('Price History'!S132)),NOT(ISNUMBER('Price History'!S131)),'Price History'!S131=0),"",'Price History'!S132/'Price History'!S131-1),"")</f>
        <v>-1.0357022566520713E-2</v>
      </c>
      <c r="T131" s="150">
        <f>IFERROR(IF(OR(NOT(ISNUMBER('Price History'!T132)),NOT(ISNUMBER('Price History'!T131)),'Price History'!T131=0),"",'Price History'!T132/'Price History'!T131-1),"")</f>
        <v>-9.1994032819492366E-3</v>
      </c>
      <c r="U131" s="150">
        <f>IFERROR(IF(OR(NOT(ISNUMBER('Price History'!U132)),NOT(ISNUMBER('Price History'!U131)),'Price History'!U131=0),"",'Price History'!U132/'Price History'!U131-1),"")</f>
        <v>-2.0316027088036148E-2</v>
      </c>
      <c r="V131" s="151">
        <f>IFERROR(IF(OR(NOT(ISNUMBER('Price History'!V132)),NOT(ISNUMBER('Price History'!V131)),'Price History'!V131=0),"",'Price History'!V132/'Price History'!V131-1),"")</f>
        <v>-8.6863808836902257E-3</v>
      </c>
      <c r="W131" s="152">
        <f>IFERROR('Price History'!B3+(INDEX('Price History'!B:B,MATCH(9.99E+307,'Returns (Calc)'!$A:$A)+1)-'Price History'!B3)*(ROW()-3)/(MATCH(9.99E+307,'Returns (Calc)'!$A:$A)-3),"")</f>
        <v>298.15188679245284</v>
      </c>
      <c r="X131" s="152">
        <f>IFERROR('Price History'!C3+(INDEX('Price History'!C:C,MATCH(9.99E+307,'Returns (Calc)'!$A:$A)+1)-'Price History'!C3)*(ROW()-3)/(MATCH(9.99E+307,'Returns (Calc)'!$A:$A)-3),"")</f>
        <v>183.48616352201259</v>
      </c>
      <c r="Y131" s="152">
        <f>IFERROR('Price History'!D3+(INDEX('Price History'!D:D,MATCH(9.99E+307,'Returns (Calc)'!$A:$A)+1)-'Price History'!D3)*(ROW()-3)/(MATCH(9.99E+307,'Returns (Calc)'!$A:$A)-3),"")</f>
        <v>1546.7033333333334</v>
      </c>
      <c r="Z131" s="152">
        <f>IFERROR('Price History'!E3+(INDEX('Price History'!E:E,MATCH(9.99E+307,'Returns (Calc)'!$A:$A)+1)-'Price History'!E3)*(ROW()-3)/(MATCH(9.99E+307,'Returns (Calc)'!$A:$A)-3),"")</f>
        <v>307.03849056603775</v>
      </c>
      <c r="AA131" s="152">
        <f>IFERROR('Price History'!F3+(INDEX('Price History'!F:F,MATCH(9.99E+307,'Returns (Calc)'!$A:$A)+1)-'Price History'!F3)*(ROW()-3)/(MATCH(9.99E+307,'Returns (Calc)'!$A:$A)-3),"")</f>
        <v>229.47974842767297</v>
      </c>
      <c r="AB131" s="152">
        <f>IFERROR('Price History'!G3+(INDEX('Price History'!G:G,MATCH(9.99E+307,'Returns (Calc)'!$A:$A)+1)-'Price History'!G3)*(ROW()-3)/(MATCH(9.99E+307,'Returns (Calc)'!$A:$A)-3),"")</f>
        <v>166.08685534591194</v>
      </c>
      <c r="AC131" s="152">
        <f>IFERROR('Price History'!H3+(INDEX('Price History'!H:H,MATCH(9.99E+307,'Returns (Calc)'!$A:$A)+1)-'Price History'!H3)*(ROW()-3)/(MATCH(9.99E+307,'Returns (Calc)'!$A:$A)-3),"")</f>
        <v>841.85163522012579</v>
      </c>
      <c r="AD131" s="152">
        <f>IFERROR('Price History'!I3+(INDEX('Price History'!I:I,MATCH(9.99E+307,'Returns (Calc)'!$A:$A)+1)-'Price History'!I3)*(ROW()-3)/(MATCH(9.99E+307,'Returns (Calc)'!$A:$A)-3),"")</f>
        <v>193.11138364779873</v>
      </c>
      <c r="AE131" s="152">
        <f>IFERROR('Price History'!J3+(INDEX('Price History'!J:J,MATCH(9.99E+307,'Returns (Calc)'!$A:$A)+1)-'Price History'!J3)*(ROW()-3)/(MATCH(9.99E+307,'Returns (Calc)'!$A:$A)-3),"")</f>
        <v>126.04880503144655</v>
      </c>
      <c r="AF131" s="152">
        <f>IFERROR('Price History'!K3+(INDEX('Price History'!K:K,MATCH(9.99E+307,'Returns (Calc)'!$A:$A)+1)-'Price History'!K3)*(ROW()-3)/(MATCH(9.99E+307,'Returns (Calc)'!$A:$A)-3),"")</f>
        <v>171.28069182389939</v>
      </c>
      <c r="AG131" s="152">
        <f>IFERROR('Price History'!L3+(INDEX('Price History'!L:L,MATCH(9.99E+307,'Returns (Calc)'!$A:$A)+1)-'Price History'!L3)*(ROW()-3)/(MATCH(9.99E+307,'Returns (Calc)'!$A:$A)-3),"")</f>
        <v>381.64735849056603</v>
      </c>
      <c r="AH131" s="152">
        <f>IFERROR('Price History'!M3+(INDEX('Price History'!M:M,MATCH(9.99E+307,'Returns (Calc)'!$A:$A)+1)-'Price History'!M3)*(ROW()-3)/(MATCH(9.99E+307,'Returns (Calc)'!$A:$A)-3),"")</f>
        <v>202.8582389937107</v>
      </c>
      <c r="AI131" s="152">
        <f>IFERROR('Price History'!N3+(INDEX('Price History'!N:N,MATCH(9.99E+307,'Returns (Calc)'!$A:$A)+1)-'Price History'!N3)*(ROW()-3)/(MATCH(9.99E+307,'Returns (Calc)'!$A:$A)-3),"")</f>
        <v>478.65496855345907</v>
      </c>
      <c r="AJ131" s="152">
        <f>IFERROR('Price History'!O3+(INDEX('Price History'!O:O,MATCH(9.99E+307,'Returns (Calc)'!$A:$A)+1)-'Price History'!O3)*(ROW()-3)/(MATCH(9.99E+307,'Returns (Calc)'!$A:$A)-3),"")</f>
        <v>110.99704402515724</v>
      </c>
      <c r="AK131" s="152">
        <f>IFERROR('Price History'!Q3+(INDEX('Price History'!Q:Q,MATCH(9.99E+307,'Returns (Calc)'!$A:$A)+1)-'Price History'!Q3)*(ROW()-3)/(MATCH(9.99E+307,'Returns (Calc)'!$A:$A)-3),"")</f>
        <v>56.328050314465408</v>
      </c>
      <c r="AL131" s="152">
        <f>IFERROR('Price History'!R3+(INDEX('Price History'!R:R,MATCH(9.99E+307,'Returns (Calc)'!$A:$A)+1)-'Price History'!R3)*(ROW()-3)/(MATCH(9.99E+307,'Returns (Calc)'!$A:$A)-3),"")</f>
        <v>55.901886792452828</v>
      </c>
      <c r="AM131" s="152">
        <f>IFERROR('Price History'!S3+(INDEX('Price History'!S:S,MATCH(9.99E+307,'Returns (Calc)'!$A:$A)+1)-'Price History'!S3)*(ROW()-3)/(MATCH(9.99E+307,'Returns (Calc)'!$A:$A)-3),"")</f>
        <v>132.92459119496857</v>
      </c>
      <c r="AN131" s="152">
        <f>IFERROR('Price History'!T3+(INDEX('Price History'!T:T,MATCH(9.99E+307,'Returns (Calc)'!$A:$A)+1)-'Price History'!T3)*(ROW()-3)/(MATCH(9.99E+307,'Returns (Calc)'!$A:$A)-3),"")</f>
        <v>47.458867924528306</v>
      </c>
      <c r="AO131" s="153">
        <f>IFERROR('Price History'!V3+(INDEX('Price History'!V:V,MATCH(9.99E+307,'Returns (Calc)'!$A:$A)+1)-'Price History'!V3)*(ROW()-3)/(MATCH(9.99E+307,'Returns (Calc)'!$A:$A)-3),"")</f>
        <v>356.23981132075471</v>
      </c>
      <c r="AP131" s="151">
        <f>IFERROR(IF(OR(NOT(ISNUMBER('Price History'!W132)),NOT(ISNUMBER('Price History'!W131)),'Price History'!W131=0),"",'Price History'!W132/'Price History'!W131-1),"")</f>
        <v>-2.7830653101411085E-2</v>
      </c>
      <c r="AQ131" s="151">
        <f>IFERROR(IF(OR(NOT(ISNUMBER('Price History'!X132)),NOT(ISNUMBER('Price History'!X131)),'Price History'!X131=0),"",'Price History'!X132/'Price History'!X131-1),"")</f>
        <v>9.9843382928739288E-3</v>
      </c>
      <c r="AR131" s="151">
        <f>IFERROR(IF(OR(NOT(ISNUMBER('Price History'!Y132)),NOT(ISNUMBER('Price History'!Y131)),'Price History'!Y131=0),"",'Price History'!Y132/'Price History'!Y131-1),"")</f>
        <v>-2.414947999294903E-2</v>
      </c>
      <c r="AS131" s="151">
        <f>IFERROR(IF(OR(NOT(ISNUMBER('Price History'!Z132)),NOT(ISNUMBER('Price History'!Z131)),'Price History'!Z131=0),"",'Price History'!Z132/'Price History'!Z131-1),"")</f>
        <v>-5.5955938360578772E-2</v>
      </c>
      <c r="AT131" s="151">
        <f>IFERROR(IF(OR(NOT(ISNUMBER('Price History'!AA132)),NOT(ISNUMBER('Price History'!AA131)),'Price History'!AA131=0),"",'Price History'!AA132/'Price History'!AA131-1),"")</f>
        <v>2.8886118038237818E-2</v>
      </c>
      <c r="AU131" s="151">
        <f>IFERROR(IF(OR(NOT(ISNUMBER('Price History'!AB132)),NOT(ISNUMBER('Price History'!AB131)),'Price History'!AB131=0),"",'Price History'!AB132/'Price History'!AB131-1),"")</f>
        <v>7.406186473270715E-2</v>
      </c>
    </row>
    <row r="132" spans="1:47" ht="15" customHeight="1" x14ac:dyDescent="0.2">
      <c r="A132" s="149">
        <f>IF('Price History'!A133="","",'Price History'!A133)</f>
        <v>46094</v>
      </c>
      <c r="B132" s="150">
        <f>IFERROR(IF(OR(NOT(ISNUMBER('Price History'!B133)),NOT(ISNUMBER('Price History'!B132)),'Price History'!B132=0),"",'Price History'!B133/'Price History'!B132-1),"")</f>
        <v>-0.12093646428319582</v>
      </c>
      <c r="C132" s="150">
        <f>IFERROR(IF(OR(NOT(ISNUMBER('Price History'!C133)),NOT(ISNUMBER('Price History'!C132)),'Price History'!C132=0),"",'Price History'!C133/'Price History'!C132-1),"")</f>
        <v>5.1170140717886614E-3</v>
      </c>
      <c r="D132" s="150">
        <f>IFERROR(IF(OR(NOT(ISNUMBER('Price History'!D133)),NOT(ISNUMBER('Price History'!D132)),'Price History'!D132=0),"",'Price History'!D133/'Price History'!D132-1),"")</f>
        <v>4.0905986090412405E-2</v>
      </c>
      <c r="E132" s="150">
        <f>IFERROR(IF(OR(NOT(ISNUMBER('Price History'!E133)),NOT(ISNUMBER('Price History'!E132)),'Price History'!E132=0),"",'Price History'!E133/'Price History'!E132-1),"")</f>
        <v>-2.519244226731987E-2</v>
      </c>
      <c r="F132" s="150">
        <f>IFERROR(IF(OR(NOT(ISNUMBER('Price History'!F133)),NOT(ISNUMBER('Price History'!F132)),'Price History'!F132=0),"",'Price History'!F133/'Price History'!F132-1),"")</f>
        <v>2.9743589743589816E-2</v>
      </c>
      <c r="G132" s="150">
        <f>IFERROR(IF(OR(NOT(ISNUMBER('Price History'!G133)),NOT(ISNUMBER('Price History'!G132)),'Price History'!G132=0),"",'Price History'!G133/'Price History'!G132-1),"")</f>
        <v>5.5095802579587128E-2</v>
      </c>
      <c r="H132" s="150">
        <f>IFERROR(IF(OR(NOT(ISNUMBER('Price History'!H133)),NOT(ISNUMBER('Price History'!H132)),'Price History'!H132=0),"",'Price History'!H133/'Price History'!H132-1),"")</f>
        <v>0.15077413602096801</v>
      </c>
      <c r="I132" s="150">
        <f>IFERROR(IF(OR(NOT(ISNUMBER('Price History'!I133)),NOT(ISNUMBER('Price History'!I132)),'Price History'!I132=0),"",'Price History'!I133/'Price History'!I132-1),"")</f>
        <v>1.3754227733934643E-2</v>
      </c>
      <c r="J132" s="150">
        <f>IFERROR(IF(OR(NOT(ISNUMBER('Price History'!J133)),NOT(ISNUMBER('Price History'!J132)),'Price History'!J132=0),"",'Price History'!J133/'Price History'!J132-1),"")</f>
        <v>-2.07667731629394E-2</v>
      </c>
      <c r="K132" s="150">
        <f>IFERROR(IF(OR(NOT(ISNUMBER('Price History'!K133)),NOT(ISNUMBER('Price History'!K132)),'Price History'!K132=0),"",'Price History'!K133/'Price History'!K132-1),"")</f>
        <v>-3.9513871214049479E-2</v>
      </c>
      <c r="L132" s="150">
        <f>IFERROR(IF(OR(NOT(ISNUMBER('Price History'!L133)),NOT(ISNUMBER('Price History'!L132)),'Price History'!L132=0),"",'Price History'!L133/'Price History'!L132-1),"")</f>
        <v>-1.7249070631969454E-3</v>
      </c>
      <c r="M132" s="150">
        <f>IFERROR(IF(OR(NOT(ISNUMBER('Price History'!M133)),NOT(ISNUMBER('Price History'!M132)),'Price History'!M132=0),"",'Price History'!M133/'Price History'!M132-1),"")</f>
        <v>7.0733827242249747E-2</v>
      </c>
      <c r="N132" s="150">
        <f>IFERROR(IF(OR(NOT(ISNUMBER('Price History'!N133)),NOT(ISNUMBER('Price History'!N132)),'Price History'!N132=0),"",'Price History'!N133/'Price History'!N132-1),"")</f>
        <v>2.7699314633558902E-2</v>
      </c>
      <c r="O132" s="150">
        <f>IFERROR(IF(OR(NOT(ISNUMBER('Price History'!O133)),NOT(ISNUMBER('Price History'!O132)),'Price History'!O132=0),"",'Price History'!O133/'Price History'!O132-1),"")</f>
        <v>-1.9141423527225476E-2</v>
      </c>
      <c r="P132" s="150">
        <f>IFERROR(IF(OR(NOT(ISNUMBER('Price History'!P133)),NOT(ISNUMBER('Price History'!P132)),'Price History'!P132=0),"",'Price History'!P133/'Price History'!P132-1),"")</f>
        <v>-1.2159892509237546E-2</v>
      </c>
      <c r="Q132" s="150">
        <f>IFERROR(IF(OR(NOT(ISNUMBER('Price History'!Q133)),NOT(ISNUMBER('Price History'!Q132)),'Price History'!Q132=0),"",'Price History'!Q133/'Price History'!Q132-1),"")</f>
        <v>-1.3408502209355411E-2</v>
      </c>
      <c r="R132" s="150">
        <f>IFERROR(IF(OR(NOT(ISNUMBER('Price History'!R133)),NOT(ISNUMBER('Price History'!R132)),'Price History'!R132=0),"",'Price History'!R133/'Price History'!R132-1),"")</f>
        <v>-5.107832009080493E-3</v>
      </c>
      <c r="S132" s="150">
        <f>IFERROR(IF(OR(NOT(ISNUMBER('Price History'!S133)),NOT(ISNUMBER('Price History'!S132)),'Price History'!S132=0),"",'Price History'!S133/'Price History'!S132-1),"")</f>
        <v>-1.7357270484131715E-2</v>
      </c>
      <c r="T132" s="150">
        <f>IFERROR(IF(OR(NOT(ISNUMBER('Price History'!T133)),NOT(ISNUMBER('Price History'!T132)),'Price History'!T132=0),"",'Price History'!T133/'Price History'!T132-1),"")</f>
        <v>-2.1580928481806705E-2</v>
      </c>
      <c r="U132" s="150">
        <f>IFERROR(IF(OR(NOT(ISNUMBER('Price History'!U133)),NOT(ISNUMBER('Price History'!U132)),'Price History'!U132=0),"",'Price History'!U133/'Price History'!U132-1),"")</f>
        <v>-1.0533245556286985E-2</v>
      </c>
      <c r="V132" s="151">
        <f>IFERROR(IF(OR(NOT(ISNUMBER('Price History'!V133)),NOT(ISNUMBER('Price History'!V132)),'Price History'!V132=0),"",'Price History'!V133/'Price History'!V132-1),"")</f>
        <v>-3.2202960900923672E-2</v>
      </c>
      <c r="W132" s="152">
        <f>IFERROR('Price History'!B3+(INDEX('Price History'!B:B,MATCH(9.99E+307,'Returns (Calc)'!$A:$A)+1)-'Price History'!B3)*(ROW()-3)/(MATCH(9.99E+307,'Returns (Calc)'!$A:$A)-3),"")</f>
        <v>296.34924528301883</v>
      </c>
      <c r="X132" s="152">
        <f>IFERROR('Price History'!C3+(INDEX('Price History'!C:C,MATCH(9.99E+307,'Returns (Calc)'!$A:$A)+1)-'Price History'!C3)*(ROW()-3)/(MATCH(9.99E+307,'Returns (Calc)'!$A:$A)-3),"")</f>
        <v>184.55886792452833</v>
      </c>
      <c r="Y132" s="152">
        <f>IFERROR('Price History'!D3+(INDEX('Price History'!D:D,MATCH(9.99E+307,'Returns (Calc)'!$A:$A)+1)-'Price History'!D3)*(ROW()-3)/(MATCH(9.99E+307,'Returns (Calc)'!$A:$A)-3),"")</f>
        <v>1554.2399999999998</v>
      </c>
      <c r="Z132" s="152">
        <f>IFERROR('Price History'!E3+(INDEX('Price History'!E:E,MATCH(9.99E+307,'Returns (Calc)'!$A:$A)+1)-'Price History'!E3)*(ROW()-3)/(MATCH(9.99E+307,'Returns (Calc)'!$A:$A)-3),"")</f>
        <v>308.79660377358493</v>
      </c>
      <c r="AA132" s="152">
        <f>IFERROR('Price History'!F3+(INDEX('Price History'!F:F,MATCH(9.99E+307,'Returns (Calc)'!$A:$A)+1)-'Price History'!F3)*(ROW()-3)/(MATCH(9.99E+307,'Returns (Calc)'!$A:$A)-3),"")</f>
        <v>230.94943396226415</v>
      </c>
      <c r="AB132" s="152">
        <f>IFERROR('Price History'!G3+(INDEX('Price History'!G:G,MATCH(9.99E+307,'Returns (Calc)'!$A:$A)+1)-'Price History'!G3)*(ROW()-3)/(MATCH(9.99E+307,'Returns (Calc)'!$A:$A)-3),"")</f>
        <v>167.03792452830189</v>
      </c>
      <c r="AC132" s="152">
        <f>IFERROR('Price History'!H3+(INDEX('Price History'!H:H,MATCH(9.99E+307,'Returns (Calc)'!$A:$A)+1)-'Price History'!H3)*(ROW()-3)/(MATCH(9.99E+307,'Returns (Calc)'!$A:$A)-3),"")</f>
        <v>847.88867924528302</v>
      </c>
      <c r="AD132" s="152">
        <f>IFERROR('Price History'!I3+(INDEX('Price History'!I:I,MATCH(9.99E+307,'Returns (Calc)'!$A:$A)+1)-'Price History'!I3)*(ROW()-3)/(MATCH(9.99E+307,'Returns (Calc)'!$A:$A)-3),"")</f>
        <v>194.27811320754716</v>
      </c>
      <c r="AE132" s="152">
        <f>IFERROR('Price History'!J3+(INDEX('Price History'!J:J,MATCH(9.99E+307,'Returns (Calc)'!$A:$A)+1)-'Price History'!J3)*(ROW()-3)/(MATCH(9.99E+307,'Returns (Calc)'!$A:$A)-3),"")</f>
        <v>126.15981132075473</v>
      </c>
      <c r="AF132" s="152">
        <f>IFERROR('Price History'!K3+(INDEX('Price History'!K:K,MATCH(9.99E+307,'Returns (Calc)'!$A:$A)+1)-'Price History'!K3)*(ROW()-3)/(MATCH(9.99E+307,'Returns (Calc)'!$A:$A)-3),"")</f>
        <v>172.4990566037736</v>
      </c>
      <c r="AG132" s="152">
        <f>IFERROR('Price History'!L3+(INDEX('Price History'!L:L,MATCH(9.99E+307,'Returns (Calc)'!$A:$A)+1)-'Price History'!L3)*(ROW()-3)/(MATCH(9.99E+307,'Returns (Calc)'!$A:$A)-3),"")</f>
        <v>383.95905660377355</v>
      </c>
      <c r="AH132" s="152">
        <f>IFERROR('Price History'!M3+(INDEX('Price History'!M:M,MATCH(9.99E+307,'Returns (Calc)'!$A:$A)+1)-'Price History'!M3)*(ROW()-3)/(MATCH(9.99E+307,'Returns (Calc)'!$A:$A)-3),"")</f>
        <v>204.14603773584906</v>
      </c>
      <c r="AI132" s="152">
        <f>IFERROR('Price History'!N3+(INDEX('Price History'!N:N,MATCH(9.99E+307,'Returns (Calc)'!$A:$A)+1)-'Price History'!N3)*(ROW()-3)/(MATCH(9.99E+307,'Returns (Calc)'!$A:$A)-3),"")</f>
        <v>479.66867924528299</v>
      </c>
      <c r="AJ132" s="152">
        <f>IFERROR('Price History'!O3+(INDEX('Price History'!O:O,MATCH(9.99E+307,'Returns (Calc)'!$A:$A)+1)-'Price History'!O3)*(ROW()-3)/(MATCH(9.99E+307,'Returns (Calc)'!$A:$A)-3),"")</f>
        <v>111.27584905660378</v>
      </c>
      <c r="AK132" s="152">
        <f>IFERROR('Price History'!Q3+(INDEX('Price History'!Q:Q,MATCH(9.99E+307,'Returns (Calc)'!$A:$A)+1)-'Price History'!Q3)*(ROW()-3)/(MATCH(9.99E+307,'Returns (Calc)'!$A:$A)-3),"")</f>
        <v>56.768113207547167</v>
      </c>
      <c r="AL132" s="152">
        <f>IFERROR('Price History'!R3+(INDEX('Price History'!R:R,MATCH(9.99E+307,'Returns (Calc)'!$A:$A)+1)-'Price History'!R3)*(ROW()-3)/(MATCH(9.99E+307,'Returns (Calc)'!$A:$A)-3),"")</f>
        <v>56.069245283018873</v>
      </c>
      <c r="AM132" s="152">
        <f>IFERROR('Price History'!S3+(INDEX('Price History'!S:S,MATCH(9.99E+307,'Returns (Calc)'!$A:$A)+1)-'Price History'!S3)*(ROW()-3)/(MATCH(9.99E+307,'Returns (Calc)'!$A:$A)-3),"")</f>
        <v>133.51283018867926</v>
      </c>
      <c r="AN132" s="152">
        <f>IFERROR('Price History'!T3+(INDEX('Price History'!T:T,MATCH(9.99E+307,'Returns (Calc)'!$A:$A)+1)-'Price History'!T3)*(ROW()-3)/(MATCH(9.99E+307,'Returns (Calc)'!$A:$A)-3),"")</f>
        <v>47.632452830188683</v>
      </c>
      <c r="AO132" s="153">
        <f>IFERROR('Price History'!V3+(INDEX('Price History'!V:V,MATCH(9.99E+307,'Returns (Calc)'!$A:$A)+1)-'Price History'!V3)*(ROW()-3)/(MATCH(9.99E+307,'Returns (Calc)'!$A:$A)-3),"")</f>
        <v>357.18207547169811</v>
      </c>
      <c r="AP132" s="151">
        <f>IFERROR(IF(OR(NOT(ISNUMBER('Price History'!W133)),NOT(ISNUMBER('Price History'!W132)),'Price History'!W132=0),"",'Price History'!W133/'Price History'!W132-1),"")</f>
        <v>-1.5326446559989271E-2</v>
      </c>
      <c r="AQ132" s="151">
        <f>IFERROR(IF(OR(NOT(ISNUMBER('Price History'!X133)),NOT(ISNUMBER('Price History'!X132)),'Price History'!X132=0),"",'Price History'!X133/'Price History'!X132-1),"")</f>
        <v>-4.2643923240939241E-3</v>
      </c>
      <c r="AR132" s="151">
        <f>IFERROR(IF(OR(NOT(ISNUMBER('Price History'!Y133)),NOT(ISNUMBER('Price History'!Y132)),'Price History'!Y132=0),"",'Price History'!Y133/'Price History'!Y132-1),"")</f>
        <v>-1.7160404624277481E-2</v>
      </c>
      <c r="AS132" s="151">
        <f>IFERROR(IF(OR(NOT(ISNUMBER('Price History'!Z133)),NOT(ISNUMBER('Price History'!Z132)),'Price History'!Z132=0),"",'Price History'!Z133/'Price History'!Z132-1),"")</f>
        <v>-7.1127110228401236E-2</v>
      </c>
      <c r="AT132" s="151">
        <f>IFERROR(IF(OR(NOT(ISNUMBER('Price History'!AA133)),NOT(ISNUMBER('Price History'!AA132)),'Price History'!AA132=0),"",'Price History'!AA133/'Price History'!AA132-1),"")</f>
        <v>-3.7467178347808439E-2</v>
      </c>
      <c r="AU132" s="151">
        <f>IFERROR(IF(OR(NOT(ISNUMBER('Price History'!AB133)),NOT(ISNUMBER('Price History'!AB132)),'Price History'!AB132=0),"",'Price History'!AB133/'Price History'!AB132-1),"")</f>
        <v>-8.4965982914727123E-2</v>
      </c>
    </row>
    <row r="133" spans="1:47" ht="15" customHeight="1" x14ac:dyDescent="0.2">
      <c r="A133" s="149">
        <f>IF('Price History'!A134="","",'Price History'!A134)</f>
        <v>46101</v>
      </c>
      <c r="B133" s="150">
        <f>IFERROR(IF(OR(NOT(ISNUMBER('Price History'!B134)),NOT(ISNUMBER('Price History'!B133)),'Price History'!B133=0),"",'Price History'!B134/'Price History'!B133-1),"")</f>
        <v>-4.6927643189474955E-3</v>
      </c>
      <c r="C133" s="150">
        <f>IFERROR(IF(OR(NOT(ISNUMBER('Price History'!C134)),NOT(ISNUMBER('Price History'!C133)),'Price History'!C133=0),"",'Price History'!C134/'Price History'!C133-1),"")</f>
        <v>-1.7593771056374941E-2</v>
      </c>
      <c r="D133" s="150">
        <f>IFERROR(IF(OR(NOT(ISNUMBER('Price History'!D134)),NOT(ISNUMBER('Price History'!D133)),'Price History'!D133=0),"",'Price History'!D134/'Price History'!D133-1),"")</f>
        <v>-2.1133167290569799E-2</v>
      </c>
      <c r="E133" s="150">
        <f>IFERROR(IF(OR(NOT(ISNUMBER('Price History'!E134)),NOT(ISNUMBER('Price History'!E133)),'Price History'!E133=0),"",'Price History'!E134/'Price History'!E133-1),"")</f>
        <v>-3.6143450170105118E-2</v>
      </c>
      <c r="F133" s="150">
        <f>IFERROR(IF(OR(NOT(ISNUMBER('Price History'!F134)),NOT(ISNUMBER('Price History'!F133)),'Price History'!F133=0),"",'Price History'!F134/'Price History'!F133-1),"")</f>
        <v>-7.4157913799347996E-2</v>
      </c>
      <c r="G133" s="150">
        <f>IFERROR(IF(OR(NOT(ISNUMBER('Price History'!G134)),NOT(ISNUMBER('Price History'!G133)),'Price History'!G133=0),"",'Price History'!G134/'Price History'!G133-1),"")</f>
        <v>5.6458451102317619E-2</v>
      </c>
      <c r="H133" s="150">
        <f>IFERROR(IF(OR(NOT(ISNUMBER('Price History'!H134)),NOT(ISNUMBER('Price History'!H133)),'Price History'!H133=0),"",'Price History'!H134/'Price History'!H133-1),"")</f>
        <v>-7.5841179647325729E-3</v>
      </c>
      <c r="I133" s="150">
        <f>IFERROR(IF(OR(NOT(ISNUMBER('Price History'!I134)),NOT(ISNUMBER('Price History'!I133)),'Price History'!I133=0),"",'Price History'!I134/'Price History'!I133-1),"")</f>
        <v>-4.18705516014235E-2</v>
      </c>
      <c r="J133" s="150">
        <f>IFERROR(IF(OR(NOT(ISNUMBER('Price History'!J134)),NOT(ISNUMBER('Price History'!J133)),'Price History'!J133=0),"",'Price History'!J134/'Price History'!J133-1),"")</f>
        <v>-2.0508040083896395E-2</v>
      </c>
      <c r="K133" s="150">
        <f>IFERROR(IF(OR(NOT(ISNUMBER('Price History'!K134)),NOT(ISNUMBER('Price History'!K133)),'Price History'!K133=0),"",'Price History'!K134/'Price History'!K133-1),"")</f>
        <v>-1.7886717456110368E-3</v>
      </c>
      <c r="L133" s="150">
        <f>IFERROR(IF(OR(NOT(ISNUMBER('Price History'!L134)),NOT(ISNUMBER('Price History'!L133)),'Price History'!L133=0),"",'Price History'!L134/'Price History'!L133-1),"")</f>
        <v>-2.4071260464146427E-2</v>
      </c>
      <c r="M133" s="150">
        <f>IFERROR(IF(OR(NOT(ISNUMBER('Price History'!M134)),NOT(ISNUMBER('Price History'!M133)),'Price History'!M133=0),"",'Price History'!M134/'Price History'!M133-1),"")</f>
        <v>-1.1364514882102772E-2</v>
      </c>
      <c r="N133" s="150">
        <f>IFERROR(IF(OR(NOT(ISNUMBER('Price History'!N134)),NOT(ISNUMBER('Price History'!N133)),'Price History'!N133=0),"",'Price History'!N134/'Price History'!N133-1),"")</f>
        <v>-3.2684194826777979E-2</v>
      </c>
      <c r="O133" s="150">
        <f>IFERROR(IF(OR(NOT(ISNUMBER('Price History'!O134)),NOT(ISNUMBER('Price History'!O133)),'Price History'!O133=0),"",'Price History'!O134/'Price History'!O133-1),"")</f>
        <v>-1.9893899204245225E-3</v>
      </c>
      <c r="P133" s="150">
        <f>IFERROR(IF(OR(NOT(ISNUMBER('Price History'!P134)),NOT(ISNUMBER('Price History'!P133)),'Price History'!P133=0),"",'Price History'!P134/'Price History'!P133-1),"")</f>
        <v>-2.3394994559303606E-2</v>
      </c>
      <c r="Q133" s="150">
        <f>IFERROR(IF(OR(NOT(ISNUMBER('Price History'!Q134)),NOT(ISNUMBER('Price History'!Q133)),'Price History'!Q133=0),"",'Price History'!Q134/'Price History'!Q133-1),"")</f>
        <v>-1.1119691119691133E-2</v>
      </c>
      <c r="R133" s="150">
        <f>IFERROR(IF(OR(NOT(ISNUMBER('Price History'!R134)),NOT(ISNUMBER('Price History'!R133)),'Price History'!R133=0),"",'Price History'!R134/'Price History'!R133-1),"")</f>
        <v>-1.4071116181783694E-2</v>
      </c>
      <c r="S133" s="150">
        <f>IFERROR(IF(OR(NOT(ISNUMBER('Price History'!S134)),NOT(ISNUMBER('Price History'!S133)),'Price History'!S133=0),"",'Price History'!S134/'Price History'!S133-1),"")</f>
        <v>-2.0694432418391195E-2</v>
      </c>
      <c r="T133" s="150">
        <f>IFERROR(IF(OR(NOT(ISNUMBER('Price History'!T134)),NOT(ISNUMBER('Price History'!T133)),'Price History'!T133=0),"",'Price History'!T134/'Price History'!T133-1),"")</f>
        <v>1.0259040779687645E-3</v>
      </c>
      <c r="U133" s="150">
        <f>IFERROR(IF(OR(NOT(ISNUMBER('Price History'!U134)),NOT(ISNUMBER('Price History'!U133)),'Price History'!U133=0),"",'Price History'!U134/'Price History'!U133-1),"")</f>
        <v>-1.3306719893546148E-2</v>
      </c>
      <c r="V133" s="151">
        <f>IFERROR(IF(OR(NOT(ISNUMBER('Price History'!V134)),NOT(ISNUMBER('Price History'!V133)),'Price History'!V133=0),"",'Price History'!V134/'Price History'!V133-1),"")</f>
        <v>-1.7977381185853458E-2</v>
      </c>
      <c r="W133" s="152">
        <f>IFERROR('Price History'!B3+(INDEX('Price History'!B:B,MATCH(9.99E+307,'Returns (Calc)'!$A:$A)+1)-'Price History'!B3)*(ROW()-3)/(MATCH(9.99E+307,'Returns (Calc)'!$A:$A)-3),"")</f>
        <v>294.54660377358493</v>
      </c>
      <c r="X133" s="152">
        <f>IFERROR('Price History'!C3+(INDEX('Price History'!C:C,MATCH(9.99E+307,'Returns (Calc)'!$A:$A)+1)-'Price History'!C3)*(ROW()-3)/(MATCH(9.99E+307,'Returns (Calc)'!$A:$A)-3),"")</f>
        <v>185.63157232704404</v>
      </c>
      <c r="Y133" s="152">
        <f>IFERROR('Price History'!D3+(INDEX('Price History'!D:D,MATCH(9.99E+307,'Returns (Calc)'!$A:$A)+1)-'Price History'!D3)*(ROW()-3)/(MATCH(9.99E+307,'Returns (Calc)'!$A:$A)-3),"")</f>
        <v>1561.7766666666666</v>
      </c>
      <c r="Z133" s="152">
        <f>IFERROR('Price History'!E3+(INDEX('Price History'!E:E,MATCH(9.99E+307,'Returns (Calc)'!$A:$A)+1)-'Price History'!E3)*(ROW()-3)/(MATCH(9.99E+307,'Returns (Calc)'!$A:$A)-3),"")</f>
        <v>310.55471698113212</v>
      </c>
      <c r="AA133" s="152">
        <f>IFERROR('Price History'!F3+(INDEX('Price History'!F:F,MATCH(9.99E+307,'Returns (Calc)'!$A:$A)+1)-'Price History'!F3)*(ROW()-3)/(MATCH(9.99E+307,'Returns (Calc)'!$A:$A)-3),"")</f>
        <v>232.41911949685533</v>
      </c>
      <c r="AB133" s="152">
        <f>IFERROR('Price History'!G3+(INDEX('Price History'!G:G,MATCH(9.99E+307,'Returns (Calc)'!$A:$A)+1)-'Price History'!G3)*(ROW()-3)/(MATCH(9.99E+307,'Returns (Calc)'!$A:$A)-3),"")</f>
        <v>167.98899371069183</v>
      </c>
      <c r="AC133" s="152">
        <f>IFERROR('Price History'!H3+(INDEX('Price History'!H:H,MATCH(9.99E+307,'Returns (Calc)'!$A:$A)+1)-'Price History'!H3)*(ROW()-3)/(MATCH(9.99E+307,'Returns (Calc)'!$A:$A)-3),"")</f>
        <v>853.92572327044024</v>
      </c>
      <c r="AD133" s="152">
        <f>IFERROR('Price History'!I3+(INDEX('Price History'!I:I,MATCH(9.99E+307,'Returns (Calc)'!$A:$A)+1)-'Price History'!I3)*(ROW()-3)/(MATCH(9.99E+307,'Returns (Calc)'!$A:$A)-3),"")</f>
        <v>195.4448427672956</v>
      </c>
      <c r="AE133" s="152">
        <f>IFERROR('Price History'!J3+(INDEX('Price History'!J:J,MATCH(9.99E+307,'Returns (Calc)'!$A:$A)+1)-'Price History'!J3)*(ROW()-3)/(MATCH(9.99E+307,'Returns (Calc)'!$A:$A)-3),"")</f>
        <v>126.27081761006291</v>
      </c>
      <c r="AF133" s="152">
        <f>IFERROR('Price History'!K3+(INDEX('Price History'!K:K,MATCH(9.99E+307,'Returns (Calc)'!$A:$A)+1)-'Price History'!K3)*(ROW()-3)/(MATCH(9.99E+307,'Returns (Calc)'!$A:$A)-3),"")</f>
        <v>173.7174213836478</v>
      </c>
      <c r="AG133" s="152">
        <f>IFERROR('Price History'!L3+(INDEX('Price History'!L:L,MATCH(9.99E+307,'Returns (Calc)'!$A:$A)+1)-'Price History'!L3)*(ROW()-3)/(MATCH(9.99E+307,'Returns (Calc)'!$A:$A)-3),"")</f>
        <v>386.27075471698117</v>
      </c>
      <c r="AH133" s="152">
        <f>IFERROR('Price History'!M3+(INDEX('Price History'!M:M,MATCH(9.99E+307,'Returns (Calc)'!$A:$A)+1)-'Price History'!M3)*(ROW()-3)/(MATCH(9.99E+307,'Returns (Calc)'!$A:$A)-3),"")</f>
        <v>205.43383647798743</v>
      </c>
      <c r="AI133" s="152">
        <f>IFERROR('Price History'!N3+(INDEX('Price History'!N:N,MATCH(9.99E+307,'Returns (Calc)'!$A:$A)+1)-'Price History'!N3)*(ROW()-3)/(MATCH(9.99E+307,'Returns (Calc)'!$A:$A)-3),"")</f>
        <v>480.6823899371069</v>
      </c>
      <c r="AJ133" s="152">
        <f>IFERROR('Price History'!O3+(INDEX('Price History'!O:O,MATCH(9.99E+307,'Returns (Calc)'!$A:$A)+1)-'Price History'!O3)*(ROW()-3)/(MATCH(9.99E+307,'Returns (Calc)'!$A:$A)-3),"")</f>
        <v>111.55465408805031</v>
      </c>
      <c r="AK133" s="152">
        <f>IFERROR('Price History'!Q3+(INDEX('Price History'!Q:Q,MATCH(9.99E+307,'Returns (Calc)'!$A:$A)+1)-'Price History'!Q3)*(ROW()-3)/(MATCH(9.99E+307,'Returns (Calc)'!$A:$A)-3),"")</f>
        <v>57.208176100628933</v>
      </c>
      <c r="AL133" s="152">
        <f>IFERROR('Price History'!R3+(INDEX('Price History'!R:R,MATCH(9.99E+307,'Returns (Calc)'!$A:$A)+1)-'Price History'!R3)*(ROW()-3)/(MATCH(9.99E+307,'Returns (Calc)'!$A:$A)-3),"")</f>
        <v>56.236603773584903</v>
      </c>
      <c r="AM133" s="152">
        <f>IFERROR('Price History'!S3+(INDEX('Price History'!S:S,MATCH(9.99E+307,'Returns (Calc)'!$A:$A)+1)-'Price History'!S3)*(ROW()-3)/(MATCH(9.99E+307,'Returns (Calc)'!$A:$A)-3),"")</f>
        <v>134.10106918238995</v>
      </c>
      <c r="AN133" s="152">
        <f>IFERROR('Price History'!T3+(INDEX('Price History'!T:T,MATCH(9.99E+307,'Returns (Calc)'!$A:$A)+1)-'Price History'!T3)*(ROW()-3)/(MATCH(9.99E+307,'Returns (Calc)'!$A:$A)-3),"")</f>
        <v>47.80603773584906</v>
      </c>
      <c r="AO133" s="153">
        <f>IFERROR('Price History'!V3+(INDEX('Price History'!V:V,MATCH(9.99E+307,'Returns (Calc)'!$A:$A)+1)-'Price History'!V3)*(ROW()-3)/(MATCH(9.99E+307,'Returns (Calc)'!$A:$A)-3),"")</f>
        <v>358.12433962264151</v>
      </c>
      <c r="AP133" s="151">
        <f>IFERROR(IF(OR(NOT(ISNUMBER('Price History'!W134)),NOT(ISNUMBER('Price History'!W133)),'Price History'!W133=0),"",'Price History'!W134/'Price History'!W133-1),"")</f>
        <v>-1.6182117388919504E-2</v>
      </c>
      <c r="AQ133" s="151">
        <f>IFERROR(IF(OR(NOT(ISNUMBER('Price History'!X134)),NOT(ISNUMBER('Price History'!X133)),'Price History'!X133=0),"",'Price History'!X134/'Price History'!X133-1),"")</f>
        <v>1.031730582051793E-2</v>
      </c>
      <c r="AR133" s="151">
        <f>IFERROR(IF(OR(NOT(ISNUMBER('Price History'!Y134)),NOT(ISNUMBER('Price History'!Y133)),'Price History'!Y133=0),"",'Price History'!Y134/'Price History'!Y133-1),"")</f>
        <v>-1.7460025730564155E-2</v>
      </c>
      <c r="AS133" s="151">
        <f>IFERROR(IF(OR(NOT(ISNUMBER('Price History'!Z134)),NOT(ISNUMBER('Price History'!Z133)),'Price History'!Z133=0),"",'Price History'!Z134/'Price History'!Z133-1),"")</f>
        <v>-4.3064279032473562E-2</v>
      </c>
      <c r="AT133" s="151">
        <f>IFERROR(IF(OR(NOT(ISNUMBER('Price History'!AA134)),NOT(ISNUMBER('Price History'!AA133)),'Price History'!AA133=0),"",'Price History'!AA134/'Price History'!AA133-1),"")</f>
        <v>-3.6617353897807292E-2</v>
      </c>
      <c r="AU133" s="151">
        <f>IFERROR(IF(OR(NOT(ISNUMBER('Price History'!AB134)),NOT(ISNUMBER('Price History'!AB133)),'Price History'!AB133=0),"",'Price History'!AB134/'Price History'!AB133-1),"")</f>
        <v>2.9013864042933823E-2</v>
      </c>
    </row>
    <row r="134" spans="1:47" ht="15" customHeight="1" x14ac:dyDescent="0.2">
      <c r="A134" s="149">
        <f>IF('Price History'!A135="","",'Price History'!A135)</f>
        <v>46108</v>
      </c>
      <c r="B134" s="150">
        <f>IFERROR(IF(OR(NOT(ISNUMBER('Price History'!B135)),NOT(ISNUMBER('Price History'!B134)),'Price History'!B134=0),"",'Price History'!B135/'Price History'!B134-1),"")</f>
        <v>-5.3636913157364519E-2</v>
      </c>
      <c r="C134" s="150">
        <f>IFERROR(IF(OR(NOT(ISNUMBER('Price History'!C135)),NOT(ISNUMBER('Price History'!C134)),'Price History'!C134=0),"",'Price History'!C135/'Price History'!C134-1),"")</f>
        <v>-7.963725041914349E-2</v>
      </c>
      <c r="D134" s="150">
        <f>IFERROR(IF(OR(NOT(ISNUMBER('Price History'!D135)),NOT(ISNUMBER('Price History'!D134)),'Price History'!D134=0),"",'Price History'!D135/'Price History'!D134-1),"")</f>
        <v>-1.1221318219215681E-2</v>
      </c>
      <c r="E134" s="150">
        <f>IFERROR(IF(OR(NOT(ISNUMBER('Price History'!E135)),NOT(ISNUMBER('Price History'!E134)),'Price History'!E134=0),"",'Price History'!E135/'Price History'!E134-1),"")</f>
        <v>-2.962986949904467E-2</v>
      </c>
      <c r="F134" s="150">
        <f>IFERROR(IF(OR(NOT(ISNUMBER('Price History'!F135)),NOT(ISNUMBER('Price History'!F134)),'Price History'!F134=0),"",'Price History'!F135/'Price History'!F134-1),"")</f>
        <v>-9.6430317848410718E-2</v>
      </c>
      <c r="G134" s="150">
        <f>IFERROR(IF(OR(NOT(ISNUMBER('Price History'!G135)),NOT(ISNUMBER('Price History'!G134)),'Price History'!G134=0),"",'Price History'!G135/'Price History'!G134-1),"")</f>
        <v>-3.7054377633603086E-2</v>
      </c>
      <c r="H134" s="150">
        <f>IFERROR(IF(OR(NOT(ISNUMBER('Price History'!H135)),NOT(ISNUMBER('Price History'!H134)),'Price History'!H134=0),"",'Price History'!H135/'Price History'!H134-1),"")</f>
        <v>-0.15530213410306171</v>
      </c>
      <c r="I134" s="150">
        <f>IFERROR(IF(OR(NOT(ISNUMBER('Price History'!I135)),NOT(ISNUMBER('Price History'!I134)),'Price History'!I134=0),"",'Price History'!I135/'Price History'!I134-1),"")</f>
        <v>-3.0004062445592283E-2</v>
      </c>
      <c r="J134" s="150">
        <f>IFERROR(IF(OR(NOT(ISNUMBER('Price History'!J135)),NOT(ISNUMBER('Price History'!J134)),'Price History'!J134=0),"",'Price History'!J135/'Price History'!J134-1),"")</f>
        <v>6.8998334522958338E-3</v>
      </c>
      <c r="K134" s="150">
        <f>IFERROR(IF(OR(NOT(ISNUMBER('Price History'!K135)),NOT(ISNUMBER('Price History'!K134)),'Price History'!K134=0),"",'Price History'!K135/'Price History'!K134-1),"")</f>
        <v>-5.0570745951685758E-2</v>
      </c>
      <c r="L134" s="150">
        <f>IFERROR(IF(OR(NOT(ISNUMBER('Price History'!L135)),NOT(ISNUMBER('Price History'!L134)),'Price History'!L134=0),"",'Price History'!L135/'Price History'!L134-1),"")</f>
        <v>-7.6009646204094894E-3</v>
      </c>
      <c r="M134" s="150">
        <f>IFERROR(IF(OR(NOT(ISNUMBER('Price History'!M135)),NOT(ISNUMBER('Price History'!M134)),'Price History'!M134=0),"",'Price History'!M135/'Price History'!M134-1),"")</f>
        <v>-1.8767594619956141E-2</v>
      </c>
      <c r="N134" s="150">
        <f>IFERROR(IF(OR(NOT(ISNUMBER('Price History'!N135)),NOT(ISNUMBER('Price History'!N134)),'Price History'!N134=0),"",'Price History'!N135/'Price History'!N134-1),"")</f>
        <v>-4.6101321585903077E-2</v>
      </c>
      <c r="O134" s="150">
        <f>IFERROR(IF(OR(NOT(ISNUMBER('Price History'!O135)),NOT(ISNUMBER('Price History'!O134)),'Price History'!O134=0),"",'Price History'!O135/'Price History'!O134-1),"")</f>
        <v>2.9615567157095457E-2</v>
      </c>
      <c r="P134" s="150">
        <f>IFERROR(IF(OR(NOT(ISNUMBER('Price History'!P135)),NOT(ISNUMBER('Price History'!P134)),'Price History'!P134=0),"",'Price History'!P135/'Price History'!P134-1),"")</f>
        <v>2.4442896935933378E-2</v>
      </c>
      <c r="Q134" s="150">
        <f>IFERROR(IF(OR(NOT(ISNUMBER('Price History'!Q135)),NOT(ISNUMBER('Price History'!Q134)),'Price History'!Q134=0),"",'Price History'!Q135/'Price History'!Q134-1),"")</f>
        <v>-1.2806496954552604E-2</v>
      </c>
      <c r="R134" s="150">
        <f>IFERROR(IF(OR(NOT(ISNUMBER('Price History'!R135)),NOT(ISNUMBER('Price History'!R134)),'Price History'!R134=0),"",'Price History'!R135/'Price History'!R134-1),"")</f>
        <v>-2.9315332690453277E-2</v>
      </c>
      <c r="S134" s="150">
        <f>IFERROR(IF(OR(NOT(ISNUMBER('Price History'!S135)),NOT(ISNUMBER('Price History'!S134)),'Price History'!S134=0),"",'Price History'!S135/'Price History'!S134-1),"")</f>
        <v>-2.7763041556145063E-2</v>
      </c>
      <c r="T134" s="150">
        <f>IFERROR(IF(OR(NOT(ISNUMBER('Price History'!T135)),NOT(ISNUMBER('Price History'!T134)),'Price History'!T134=0),"",'Price History'!T135/'Price History'!T134-1),"")</f>
        <v>-1.2298232129131503E-2</v>
      </c>
      <c r="U134" s="150">
        <f>IFERROR(IF(OR(NOT(ISNUMBER('Price History'!U135)),NOT(ISNUMBER('Price History'!U134)),'Price History'!U134=0),"",'Price History'!U135/'Price History'!U134-1),"")</f>
        <v>1.0114632501685872E-2</v>
      </c>
      <c r="V134" s="151">
        <f>IFERROR(IF(OR(NOT(ISNUMBER('Price History'!V135)),NOT(ISNUMBER('Price History'!V134)),'Price History'!V134=0),"",'Price History'!V135/'Price History'!V134-1),"")</f>
        <v>-2.0236985754227055E-2</v>
      </c>
      <c r="W134" s="152">
        <f>IFERROR('Price History'!B3+(INDEX('Price History'!B:B,MATCH(9.99E+307,'Returns (Calc)'!$A:$A)+1)-'Price History'!B3)*(ROW()-3)/(MATCH(9.99E+307,'Returns (Calc)'!$A:$A)-3),"")</f>
        <v>292.74396226415092</v>
      </c>
      <c r="X134" s="152">
        <f>IFERROR('Price History'!C3+(INDEX('Price History'!C:C,MATCH(9.99E+307,'Returns (Calc)'!$A:$A)+1)-'Price History'!C3)*(ROW()-3)/(MATCH(9.99E+307,'Returns (Calc)'!$A:$A)-3),"")</f>
        <v>186.70427672955975</v>
      </c>
      <c r="Y134" s="152">
        <f>IFERROR('Price History'!D3+(INDEX('Price History'!D:D,MATCH(9.99E+307,'Returns (Calc)'!$A:$A)+1)-'Price History'!D3)*(ROW()-3)/(MATCH(9.99E+307,'Returns (Calc)'!$A:$A)-3),"")</f>
        <v>1569.313333333333</v>
      </c>
      <c r="Z134" s="152">
        <f>IFERROR('Price History'!E3+(INDEX('Price History'!E:E,MATCH(9.99E+307,'Returns (Calc)'!$A:$A)+1)-'Price History'!E3)*(ROW()-3)/(MATCH(9.99E+307,'Returns (Calc)'!$A:$A)-3),"")</f>
        <v>312.3128301886793</v>
      </c>
      <c r="AA134" s="152">
        <f>IFERROR('Price History'!F3+(INDEX('Price History'!F:F,MATCH(9.99E+307,'Returns (Calc)'!$A:$A)+1)-'Price History'!F3)*(ROW()-3)/(MATCH(9.99E+307,'Returns (Calc)'!$A:$A)-3),"")</f>
        <v>233.88880503144657</v>
      </c>
      <c r="AB134" s="152">
        <f>IFERROR('Price History'!G3+(INDEX('Price History'!G:G,MATCH(9.99E+307,'Returns (Calc)'!$A:$A)+1)-'Price History'!G3)*(ROW()-3)/(MATCH(9.99E+307,'Returns (Calc)'!$A:$A)-3),"")</f>
        <v>168.94006289308177</v>
      </c>
      <c r="AC134" s="152">
        <f>IFERROR('Price History'!H3+(INDEX('Price History'!H:H,MATCH(9.99E+307,'Returns (Calc)'!$A:$A)+1)-'Price History'!H3)*(ROW()-3)/(MATCH(9.99E+307,'Returns (Calc)'!$A:$A)-3),"")</f>
        <v>859.96276729559747</v>
      </c>
      <c r="AD134" s="152">
        <f>IFERROR('Price History'!I3+(INDEX('Price History'!I:I,MATCH(9.99E+307,'Returns (Calc)'!$A:$A)+1)-'Price History'!I3)*(ROW()-3)/(MATCH(9.99E+307,'Returns (Calc)'!$A:$A)-3),"")</f>
        <v>196.61157232704403</v>
      </c>
      <c r="AE134" s="152">
        <f>IFERROR('Price History'!J3+(INDEX('Price History'!J:J,MATCH(9.99E+307,'Returns (Calc)'!$A:$A)+1)-'Price History'!J3)*(ROW()-3)/(MATCH(9.99E+307,'Returns (Calc)'!$A:$A)-3),"")</f>
        <v>126.38182389937107</v>
      </c>
      <c r="AF134" s="152">
        <f>IFERROR('Price History'!K3+(INDEX('Price History'!K:K,MATCH(9.99E+307,'Returns (Calc)'!$A:$A)+1)-'Price History'!K3)*(ROW()-3)/(MATCH(9.99E+307,'Returns (Calc)'!$A:$A)-3),"")</f>
        <v>174.93578616352201</v>
      </c>
      <c r="AG134" s="152">
        <f>IFERROR('Price History'!L3+(INDEX('Price History'!L:L,MATCH(9.99E+307,'Returns (Calc)'!$A:$A)+1)-'Price History'!L3)*(ROW()-3)/(MATCH(9.99E+307,'Returns (Calc)'!$A:$A)-3),"")</f>
        <v>388.58245283018869</v>
      </c>
      <c r="AH134" s="152">
        <f>IFERROR('Price History'!M3+(INDEX('Price History'!M:M,MATCH(9.99E+307,'Returns (Calc)'!$A:$A)+1)-'Price History'!M3)*(ROW()-3)/(MATCH(9.99E+307,'Returns (Calc)'!$A:$A)-3),"")</f>
        <v>206.72163522012579</v>
      </c>
      <c r="AI134" s="152">
        <f>IFERROR('Price History'!N3+(INDEX('Price History'!N:N,MATCH(9.99E+307,'Returns (Calc)'!$A:$A)+1)-'Price History'!N3)*(ROW()-3)/(MATCH(9.99E+307,'Returns (Calc)'!$A:$A)-3),"")</f>
        <v>481.69610062893082</v>
      </c>
      <c r="AJ134" s="152">
        <f>IFERROR('Price History'!O3+(INDEX('Price History'!O:O,MATCH(9.99E+307,'Returns (Calc)'!$A:$A)+1)-'Price History'!O3)*(ROW()-3)/(MATCH(9.99E+307,'Returns (Calc)'!$A:$A)-3),"")</f>
        <v>111.83345911949687</v>
      </c>
      <c r="AK134" s="152">
        <f>IFERROR('Price History'!Q3+(INDEX('Price History'!Q:Q,MATCH(9.99E+307,'Returns (Calc)'!$A:$A)+1)-'Price History'!Q3)*(ROW()-3)/(MATCH(9.99E+307,'Returns (Calc)'!$A:$A)-3),"")</f>
        <v>57.648238993710692</v>
      </c>
      <c r="AL134" s="152">
        <f>IFERROR('Price History'!R3+(INDEX('Price History'!R:R,MATCH(9.99E+307,'Returns (Calc)'!$A:$A)+1)-'Price History'!R3)*(ROW()-3)/(MATCH(9.99E+307,'Returns (Calc)'!$A:$A)-3),"")</f>
        <v>56.403962264150948</v>
      </c>
      <c r="AM134" s="152">
        <f>IFERROR('Price History'!S3+(INDEX('Price History'!S:S,MATCH(9.99E+307,'Returns (Calc)'!$A:$A)+1)-'Price History'!S3)*(ROW()-3)/(MATCH(9.99E+307,'Returns (Calc)'!$A:$A)-3),"")</f>
        <v>134.68930817610064</v>
      </c>
      <c r="AN134" s="152">
        <f>IFERROR('Price History'!T3+(INDEX('Price History'!T:T,MATCH(9.99E+307,'Returns (Calc)'!$A:$A)+1)-'Price History'!T3)*(ROW()-3)/(MATCH(9.99E+307,'Returns (Calc)'!$A:$A)-3),"")</f>
        <v>47.979622641509437</v>
      </c>
      <c r="AO134" s="153">
        <f>IFERROR('Price History'!V3+(INDEX('Price History'!V:V,MATCH(9.99E+307,'Returns (Calc)'!$A:$A)+1)-'Price History'!V3)*(ROW()-3)/(MATCH(9.99E+307,'Returns (Calc)'!$A:$A)-3),"")</f>
        <v>359.06660377358492</v>
      </c>
      <c r="AP134" s="151">
        <f>IFERROR(IF(OR(NOT(ISNUMBER('Price History'!W135)),NOT(ISNUMBER('Price History'!W134)),'Price History'!W134=0),"",'Price History'!W135/'Price History'!W134-1),"")</f>
        <v>3.6241984945637462E-3</v>
      </c>
      <c r="AQ134" s="151">
        <f>IFERROR(IF(OR(NOT(ISNUMBER('Price History'!X135)),NOT(ISNUMBER('Price History'!X134)),'Price History'!X134=0),"",'Price History'!X135/'Price History'!X134-1),"")</f>
        <v>2.6396917148362231E-2</v>
      </c>
      <c r="AR134" s="151">
        <f>IFERROR(IF(OR(NOT(ISNUMBER('Price History'!Y135)),NOT(ISNUMBER('Price History'!Y134)),'Price History'!Y134=0),"",'Price History'!Y135/'Price History'!Y134-1),"")</f>
        <v>-9.7268986157875714E-3</v>
      </c>
      <c r="AS134" s="151">
        <f>IFERROR(IF(OR(NOT(ISNUMBER('Price History'!Z135)),NOT(ISNUMBER('Price History'!Z134)),'Price History'!Z134=0),"",'Price History'!Z135/'Price History'!Z134-1),"")</f>
        <v>-1.386027999860362E-2</v>
      </c>
      <c r="AT134" s="151">
        <f>IFERROR(IF(OR(NOT(ISNUMBER('Price History'!AA135)),NOT(ISNUMBER('Price History'!AA134)),'Price History'!AA134=0),"",'Price History'!AA135/'Price History'!AA134-1),"")</f>
        <v>1.7534306251361542E-2</v>
      </c>
      <c r="AU134" s="151">
        <f>IFERROR(IF(OR(NOT(ISNUMBER('Price History'!AB135)),NOT(ISNUMBER('Price History'!AB134)),'Price History'!AB134=0),"",'Price History'!AB135/'Price History'!AB134-1),"")</f>
        <v>-6.2367577552018161E-2</v>
      </c>
    </row>
    <row r="135" spans="1:47" ht="15" customHeight="1" x14ac:dyDescent="0.2">
      <c r="A135" s="149">
        <f>IF('Price History'!A136="","",'Price History'!A136)</f>
        <v>46115</v>
      </c>
      <c r="B135" s="150">
        <f>IFERROR(IF(OR(NOT(ISNUMBER('Price History'!B136)),NOT(ISNUMBER('Price History'!B135)),'Price History'!B135=0),"",'Price History'!B136/'Price History'!B135-1),"")</f>
        <v>3.4406404360415532E-2</v>
      </c>
      <c r="C135" s="150">
        <f>IFERROR(IF(OR(NOT(ISNUMBER('Price History'!C136)),NOT(ISNUMBER('Price History'!C135)),'Price History'!C135=0),"",'Price History'!C136/'Price History'!C135-1),"")</f>
        <v>4.8935994038254549E-2</v>
      </c>
      <c r="D135" s="150">
        <f>IFERROR(IF(OR(NOT(ISNUMBER('Price History'!D136)),NOT(ISNUMBER('Price History'!D135)),'Price History'!D135=0),"",'Price History'!D136/'Price History'!D135-1),"")</f>
        <v>1.1333256288763138E-2</v>
      </c>
      <c r="E135" s="150">
        <f>IFERROR(IF(OR(NOT(ISNUMBER('Price History'!E136)),NOT(ISNUMBER('Price History'!E135)),'Price History'!E135=0),"",'Price History'!E136/'Price History'!E135-1),"")</f>
        <v>4.6118934792765076E-2</v>
      </c>
      <c r="F135" s="150">
        <f>IFERROR(IF(OR(NOT(ISNUMBER('Price History'!F136)),NOT(ISNUMBER('Price History'!F135)),'Price History'!F135=0),"",'Price History'!F136/'Price History'!F135-1),"")</f>
        <v>7.9987011581339917E-2</v>
      </c>
      <c r="G135" s="150">
        <f>IFERROR(IF(OR(NOT(ISNUMBER('Price History'!G136)),NOT(ISNUMBER('Price History'!G135)),'Price History'!G135=0),"",'Price History'!G136/'Price History'!G135-1),"")</f>
        <v>5.1052302563033836E-2</v>
      </c>
      <c r="H135" s="150">
        <f>IFERROR(IF(OR(NOT(ISNUMBER('Price History'!H136)),NOT(ISNUMBER('Price History'!H135)),'Price History'!H135=0),"",'Price History'!H136/'Price History'!H135-1),"")</f>
        <v>2.5656825948126238E-2</v>
      </c>
      <c r="I135" s="150">
        <f>IFERROR(IF(OR(NOT(ISNUMBER('Price History'!I136)),NOT(ISNUMBER('Price History'!I135)),'Price History'!I135=0),"",'Price History'!I136/'Price History'!I135-1),"")</f>
        <v>5.8932631327031304E-2</v>
      </c>
      <c r="J135" s="150">
        <f>IFERROR(IF(OR(NOT(ISNUMBER('Price History'!J136)),NOT(ISNUMBER('Price History'!J135)),'Price History'!J135=0),"",'Price History'!J136/'Price History'!J135-1),"")</f>
        <v>3.7807183364839236E-2</v>
      </c>
      <c r="K135" s="150">
        <f>IFERROR(IF(OR(NOT(ISNUMBER('Price History'!K136)),NOT(ISNUMBER('Price History'!K135)),'Price History'!K135=0),"",'Price History'!K136/'Price History'!K135-1),"")</f>
        <v>3.7746400111841272E-2</v>
      </c>
      <c r="L135" s="150">
        <f>IFERROR(IF(OR(NOT(ISNUMBER('Price History'!L136)),NOT(ISNUMBER('Price History'!L135)),'Price History'!L135=0),"",'Price History'!L136/'Price History'!L135-1),"")</f>
        <v>3.7649953860350527E-2</v>
      </c>
      <c r="M135" s="150">
        <f>IFERROR(IF(OR(NOT(ISNUMBER('Price History'!M136)),NOT(ISNUMBER('Price History'!M135)),'Price History'!M135=0),"",'Price History'!M136/'Price History'!M135-1),"")</f>
        <v>4.0683774306662368E-2</v>
      </c>
      <c r="N135" s="150">
        <f>IFERROR(IF(OR(NOT(ISNUMBER('Price History'!N136)),NOT(ISNUMBER('Price History'!N135)),'Price History'!N135=0),"",'Price History'!N136/'Price History'!N135-1),"")</f>
        <v>1.3023298773870318E-2</v>
      </c>
      <c r="O135" s="150">
        <f>IFERROR(IF(OR(NOT(ISNUMBER('Price History'!O136)),NOT(ISNUMBER('Price History'!O135)),'Price History'!O135=0),"",'Price History'!O136/'Price History'!O135-1),"")</f>
        <v>2.0097722872683743E-2</v>
      </c>
      <c r="P135" s="150">
        <f>IFERROR(IF(OR(NOT(ISNUMBER('Price History'!P136)),NOT(ISNUMBER('Price History'!P135)),'Price History'!P135=0),"",'Price History'!P136/'Price History'!P135-1),"")</f>
        <v>1.4478961321460204E-2</v>
      </c>
      <c r="Q135" s="150">
        <f>IFERROR(IF(OR(NOT(ISNUMBER('Price History'!Q136)),NOT(ISNUMBER('Price History'!Q135)),'Price History'!Q135=0),"",'Price History'!Q136/'Price History'!Q135-1),"")</f>
        <v>1.1707008384749251E-2</v>
      </c>
      <c r="R135" s="150">
        <f>IFERROR(IF(OR(NOT(ISNUMBER('Price History'!R136)),NOT(ISNUMBER('Price History'!R135)),'Price History'!R135=0),"",'Price History'!R136/'Price History'!R135-1),"")</f>
        <v>3.7552155771905404E-2</v>
      </c>
      <c r="S135" s="150">
        <f>IFERROR(IF(OR(NOT(ISNUMBER('Price History'!S136)),NOT(ISNUMBER('Price History'!S135)),'Price History'!S135=0),"",'Price History'!S136/'Price History'!S135-1),"")</f>
        <v>4.0196435067297198E-2</v>
      </c>
      <c r="T135" s="150">
        <f>IFERROR(IF(OR(NOT(ISNUMBER('Price History'!T136)),NOT(ISNUMBER('Price History'!T135)),'Price History'!T135=0),"",'Price History'!T136/'Price History'!T135-1),"")</f>
        <v>2.8015564202334753E-2</v>
      </c>
      <c r="U135" s="150">
        <f>IFERROR(IF(OR(NOT(ISNUMBER('Price History'!U136)),NOT(ISNUMBER('Price History'!U135)),'Price History'!U135=0),"",'Price History'!U136/'Price History'!U135-1),"")</f>
        <v>4.0053404539384108E-3</v>
      </c>
      <c r="V135" s="151">
        <f>IFERROR(IF(OR(NOT(ISNUMBER('Price History'!V136)),NOT(ISNUMBER('Price History'!V135)),'Price History'!V135=0),"",'Price History'!V136/'Price History'!V135-1),"")</f>
        <v>1.7869275716809296E-2</v>
      </c>
      <c r="W135" s="152">
        <f>IFERROR('Price History'!B3+(INDEX('Price History'!B:B,MATCH(9.99E+307,'Returns (Calc)'!$A:$A)+1)-'Price History'!B3)*(ROW()-3)/(MATCH(9.99E+307,'Returns (Calc)'!$A:$A)-3),"")</f>
        <v>290.94132075471691</v>
      </c>
      <c r="X135" s="152">
        <f>IFERROR('Price History'!C3+(INDEX('Price History'!C:C,MATCH(9.99E+307,'Returns (Calc)'!$A:$A)+1)-'Price History'!C3)*(ROW()-3)/(MATCH(9.99E+307,'Returns (Calc)'!$A:$A)-3),"")</f>
        <v>187.77698113207549</v>
      </c>
      <c r="Y135" s="152">
        <f>IFERROR('Price History'!D3+(INDEX('Price History'!D:D,MATCH(9.99E+307,'Returns (Calc)'!$A:$A)+1)-'Price History'!D3)*(ROW()-3)/(MATCH(9.99E+307,'Returns (Calc)'!$A:$A)-3),"")</f>
        <v>1576.85</v>
      </c>
      <c r="Z135" s="152">
        <f>IFERROR('Price History'!E3+(INDEX('Price History'!E:E,MATCH(9.99E+307,'Returns (Calc)'!$A:$A)+1)-'Price History'!E3)*(ROW()-3)/(MATCH(9.99E+307,'Returns (Calc)'!$A:$A)-3),"")</f>
        <v>314.07094339622643</v>
      </c>
      <c r="AA135" s="152">
        <f>IFERROR('Price History'!F3+(INDEX('Price History'!F:F,MATCH(9.99E+307,'Returns (Calc)'!$A:$A)+1)-'Price History'!F3)*(ROW()-3)/(MATCH(9.99E+307,'Returns (Calc)'!$A:$A)-3),"")</f>
        <v>235.35849056603774</v>
      </c>
      <c r="AB135" s="152">
        <f>IFERROR('Price History'!G3+(INDEX('Price History'!G:G,MATCH(9.99E+307,'Returns (Calc)'!$A:$A)+1)-'Price History'!G3)*(ROW()-3)/(MATCH(9.99E+307,'Returns (Calc)'!$A:$A)-3),"")</f>
        <v>169.89113207547172</v>
      </c>
      <c r="AC135" s="152">
        <f>IFERROR('Price History'!H3+(INDEX('Price History'!H:H,MATCH(9.99E+307,'Returns (Calc)'!$A:$A)+1)-'Price History'!H3)*(ROW()-3)/(MATCH(9.99E+307,'Returns (Calc)'!$A:$A)-3),"")</f>
        <v>865.9998113207547</v>
      </c>
      <c r="AD135" s="152">
        <f>IFERROR('Price History'!I3+(INDEX('Price History'!I:I,MATCH(9.99E+307,'Returns (Calc)'!$A:$A)+1)-'Price History'!I3)*(ROW()-3)/(MATCH(9.99E+307,'Returns (Calc)'!$A:$A)-3),"")</f>
        <v>197.77830188679246</v>
      </c>
      <c r="AE135" s="152">
        <f>IFERROR('Price History'!J3+(INDEX('Price History'!J:J,MATCH(9.99E+307,'Returns (Calc)'!$A:$A)+1)-'Price History'!J3)*(ROW()-3)/(MATCH(9.99E+307,'Returns (Calc)'!$A:$A)-3),"")</f>
        <v>126.49283018867925</v>
      </c>
      <c r="AF135" s="152">
        <f>IFERROR('Price History'!K3+(INDEX('Price History'!K:K,MATCH(9.99E+307,'Returns (Calc)'!$A:$A)+1)-'Price History'!K3)*(ROW()-3)/(MATCH(9.99E+307,'Returns (Calc)'!$A:$A)-3),"")</f>
        <v>176.15415094339625</v>
      </c>
      <c r="AG135" s="152">
        <f>IFERROR('Price History'!L3+(INDEX('Price History'!L:L,MATCH(9.99E+307,'Returns (Calc)'!$A:$A)+1)-'Price History'!L3)*(ROW()-3)/(MATCH(9.99E+307,'Returns (Calc)'!$A:$A)-3),"")</f>
        <v>390.8941509433962</v>
      </c>
      <c r="AH135" s="152">
        <f>IFERROR('Price History'!M3+(INDEX('Price History'!M:M,MATCH(9.99E+307,'Returns (Calc)'!$A:$A)+1)-'Price History'!M3)*(ROW()-3)/(MATCH(9.99E+307,'Returns (Calc)'!$A:$A)-3),"")</f>
        <v>208.00943396226415</v>
      </c>
      <c r="AI135" s="152">
        <f>IFERROR('Price History'!N3+(INDEX('Price History'!N:N,MATCH(9.99E+307,'Returns (Calc)'!$A:$A)+1)-'Price History'!N3)*(ROW()-3)/(MATCH(9.99E+307,'Returns (Calc)'!$A:$A)-3),"")</f>
        <v>482.70981132075474</v>
      </c>
      <c r="AJ135" s="152">
        <f>IFERROR('Price History'!O3+(INDEX('Price History'!O:O,MATCH(9.99E+307,'Returns (Calc)'!$A:$A)+1)-'Price History'!O3)*(ROW()-3)/(MATCH(9.99E+307,'Returns (Calc)'!$A:$A)-3),"")</f>
        <v>112.11226415094339</v>
      </c>
      <c r="AK135" s="152">
        <f>IFERROR('Price History'!Q3+(INDEX('Price History'!Q:Q,MATCH(9.99E+307,'Returns (Calc)'!$A:$A)+1)-'Price History'!Q3)*(ROW()-3)/(MATCH(9.99E+307,'Returns (Calc)'!$A:$A)-3),"")</f>
        <v>58.088301886792443</v>
      </c>
      <c r="AL135" s="152">
        <f>IFERROR('Price History'!R3+(INDEX('Price History'!R:R,MATCH(9.99E+307,'Returns (Calc)'!$A:$A)+1)-'Price History'!R3)*(ROW()-3)/(MATCH(9.99E+307,'Returns (Calc)'!$A:$A)-3),"")</f>
        <v>56.571320754716979</v>
      </c>
      <c r="AM135" s="152">
        <f>IFERROR('Price History'!S3+(INDEX('Price History'!S:S,MATCH(9.99E+307,'Returns (Calc)'!$A:$A)+1)-'Price History'!S3)*(ROW()-3)/(MATCH(9.99E+307,'Returns (Calc)'!$A:$A)-3),"")</f>
        <v>135.27754716981133</v>
      </c>
      <c r="AN135" s="152">
        <f>IFERROR('Price History'!T3+(INDEX('Price History'!T:T,MATCH(9.99E+307,'Returns (Calc)'!$A:$A)+1)-'Price History'!T3)*(ROW()-3)/(MATCH(9.99E+307,'Returns (Calc)'!$A:$A)-3),"")</f>
        <v>48.153207547169814</v>
      </c>
      <c r="AO135" s="153">
        <f>IFERROR('Price History'!V3+(INDEX('Price History'!V:V,MATCH(9.99E+307,'Returns (Calc)'!$A:$A)+1)-'Price History'!V3)*(ROW()-3)/(MATCH(9.99E+307,'Returns (Calc)'!$A:$A)-3),"")</f>
        <v>360.00886792452832</v>
      </c>
      <c r="AP135" s="151">
        <f>IFERROR(IF(OR(NOT(ISNUMBER('Price History'!W136)),NOT(ISNUMBER('Price History'!W135)),'Price History'!W135=0),"",'Price History'!W136/'Price History'!W135-1),"")</f>
        <v>1.6527777777777697E-2</v>
      </c>
      <c r="AQ135" s="151">
        <f>IFERROR(IF(OR(NOT(ISNUMBER('Price History'!X136)),NOT(ISNUMBER('Price History'!X135)),'Price History'!X135=0),"",'Price History'!X136/'Price History'!X135-1),"")</f>
        <v>-1.8396846254927768E-2</v>
      </c>
      <c r="AR135" s="151">
        <f>IFERROR(IF(OR(NOT(ISNUMBER('Price History'!Y136)),NOT(ISNUMBER('Price History'!Y135)),'Price History'!Y135=0),"",'Price History'!Y136/'Price History'!Y135-1),"")</f>
        <v>2.3800528900642437E-2</v>
      </c>
      <c r="AS135" s="151">
        <f>IFERROR(IF(OR(NOT(ISNUMBER('Price History'!Z136)),NOT(ISNUMBER('Price History'!Z135)),'Price History'!Z135=0),"",'Price History'!Z136/'Price History'!Z135-1),"")</f>
        <v>-5.8415350846137137E-3</v>
      </c>
      <c r="AT135" s="151">
        <f>IFERROR(IF(OR(NOT(ISNUMBER('Price History'!AA136)),NOT(ISNUMBER('Price History'!AA135)),'Price History'!AA135=0),"",'Price History'!AA136/'Price History'!AA135-1),"")</f>
        <v>5.5977737343465561E-2</v>
      </c>
      <c r="AU135" s="151">
        <f>IFERROR(IF(OR(NOT(ISNUMBER('Price History'!AB136)),NOT(ISNUMBER('Price History'!AB135)),'Price History'!AB135=0),"",'Price History'!AB136/'Price History'!AB135-1),"")</f>
        <v>8.0537690480328994E-3</v>
      </c>
    </row>
    <row r="136" spans="1:47" ht="15" customHeight="1" x14ac:dyDescent="0.2">
      <c r="A136" s="149">
        <f>IF('Price History'!A137="","",'Price History'!A137)</f>
        <v>46122</v>
      </c>
      <c r="B136" s="150">
        <f>IFERROR(IF(OR(NOT(ISNUMBER('Price History'!B137)),NOT(ISNUMBER('Price History'!B136)),'Price History'!B136=0),"",'Price History'!B137/'Price History'!B136-1),"")</f>
        <v>-7.2328338547669957E-2</v>
      </c>
      <c r="C136" s="150">
        <f>IFERROR(IF(OR(NOT(ISNUMBER('Price History'!C137)),NOT(ISNUMBER('Price History'!C136)),'Price History'!C136=0),"",'Price History'!C137/'Price History'!C136-1),"")</f>
        <v>0.16316703504894203</v>
      </c>
      <c r="D136" s="150">
        <f>IFERROR(IF(OR(NOT(ISNUMBER('Price History'!D137)),NOT(ISNUMBER('Price History'!D136)),'Price History'!D136=0),"",'Price History'!D137/'Price History'!D136-1),"")</f>
        <v>0.12226319077293435</v>
      </c>
      <c r="E136" s="150">
        <f>IFERROR(IF(OR(NOT(ISNUMBER('Price History'!E137)),NOT(ISNUMBER('Price History'!E136)),'Price History'!E136=0),"",'Price History'!E137/'Price History'!E136-1),"")</f>
        <v>0.18122368253158094</v>
      </c>
      <c r="F136" s="150">
        <f>IFERROR(IF(OR(NOT(ISNUMBER('Price History'!F137)),NOT(ISNUMBER('Price History'!F136)),'Price History'!F136=0),"",'Price History'!F137/'Price History'!F136-1),"")</f>
        <v>-5.0410903988775346E-2</v>
      </c>
      <c r="G136" s="150">
        <f>IFERROR(IF(OR(NOT(ISNUMBER('Price History'!G137)),NOT(ISNUMBER('Price History'!G136)),'Price History'!G136=0),"",'Price History'!G137/'Price History'!G136-1),"")</f>
        <v>0.14532117367168929</v>
      </c>
      <c r="H136" s="150">
        <f>IFERROR(IF(OR(NOT(ISNUMBER('Price History'!H137)),NOT(ISNUMBER('Price History'!H136)),'Price History'!H136=0),"",'Price History'!H137/'Price History'!H136-1),"")</f>
        <v>0.14842427221584997</v>
      </c>
      <c r="I136" s="150">
        <f>IFERROR(IF(OR(NOT(ISNUMBER('Price History'!I137)),NOT(ISNUMBER('Price History'!I136)),'Price History'!I136=0),"",'Price History'!I137/'Price History'!I136-1),"")</f>
        <v>6.3336911689925834E-2</v>
      </c>
      <c r="J136" s="150">
        <f>IFERROR(IF(OR(NOT(ISNUMBER('Price History'!J137)),NOT(ISNUMBER('Price History'!J136)),'Price History'!J136=0),"",'Price History'!J137/'Price History'!J136-1),"")</f>
        <v>2.5576806314511202E-2</v>
      </c>
      <c r="K136" s="150">
        <f>IFERROR(IF(OR(NOT(ISNUMBER('Price History'!K137)),NOT(ISNUMBER('Price History'!K136)),'Price History'!K136=0),"",'Price History'!K137/'Price History'!K136-1),"")</f>
        <v>-0.13741075037047024</v>
      </c>
      <c r="L136" s="150">
        <f>IFERROR(IF(OR(NOT(ISNUMBER('Price History'!L137)),NOT(ISNUMBER('Price History'!L136)),'Price History'!L136=0),"",'Price History'!L137/'Price History'!L136-1),"")</f>
        <v>9.3081164403865602E-2</v>
      </c>
      <c r="M136" s="150">
        <f>IFERROR(IF(OR(NOT(ISNUMBER('Price History'!M137)),NOT(ISNUMBER('Price History'!M136)),'Price History'!M136=0),"",'Price History'!M137/'Price History'!M136-1),"")</f>
        <v>0.12945590994371492</v>
      </c>
      <c r="N136" s="150">
        <f>IFERROR(IF(OR(NOT(ISNUMBER('Price History'!N137)),NOT(ISNUMBER('Price History'!N136)),'Price History'!N136=0),"",'Price History'!N137/'Price History'!N136-1),"")</f>
        <v>-5.5617606163524957E-3</v>
      </c>
      <c r="O136" s="150">
        <f>IFERROR(IF(OR(NOT(ISNUMBER('Price History'!O137)),NOT(ISNUMBER('Price History'!O136)),'Price History'!O136=0),"",'Price History'!O137/'Price History'!O136-1),"")</f>
        <v>2.9733393583371015E-2</v>
      </c>
      <c r="P136" s="150">
        <f>IFERROR(IF(OR(NOT(ISNUMBER('Price History'!P137)),NOT(ISNUMBER('Price History'!P136)),'Price History'!P136=0),"",'Price History'!P137/'Price History'!P136-1),"")</f>
        <v>5.1594746716696616E-3</v>
      </c>
      <c r="Q136" s="150">
        <f>IFERROR(IF(OR(NOT(ISNUMBER('Price History'!Q137)),NOT(ISNUMBER('Price History'!Q136)),'Price History'!Q136=0),"",'Price History'!Q137/'Price History'!Q136-1),"")</f>
        <v>2.0328381548084362E-2</v>
      </c>
      <c r="R136" s="150">
        <f>IFERROR(IF(OR(NOT(ISNUMBER('Price History'!R137)),NOT(ISNUMBER('Price History'!R136)),'Price History'!R136=0),"",'Price History'!R137/'Price History'!R136-1),"")</f>
        <v>3.6384527001148914E-2</v>
      </c>
      <c r="S136" s="150">
        <f>IFERROR(IF(OR(NOT(ISNUMBER('Price History'!S137)),NOT(ISNUMBER('Price History'!S136)),'Price History'!S136=0),"",'Price History'!S137/'Price History'!S136-1),"")</f>
        <v>7.4925686308795258E-2</v>
      </c>
      <c r="T136" s="150">
        <f>IFERROR(IF(OR(NOT(ISNUMBER('Price History'!T137)),NOT(ISNUMBER('Price History'!T136)),'Price History'!T136=0),"",'Price History'!T137/'Price History'!T136-1),"")</f>
        <v>-4.2896795357053596E-3</v>
      </c>
      <c r="U136" s="150">
        <f>IFERROR(IF(OR(NOT(ISNUMBER('Price History'!U137)),NOT(ISNUMBER('Price History'!U136)),'Price History'!U136=0),"",'Price History'!U137/'Price History'!U136-1),"")</f>
        <v>0</v>
      </c>
      <c r="V136" s="151">
        <f>IFERROR(IF(OR(NOT(ISNUMBER('Price History'!V137)),NOT(ISNUMBER('Price History'!V136)),'Price History'!V136=0),"",'Price History'!V137/'Price History'!V136-1),"")</f>
        <v>1.1848341232227444E-2</v>
      </c>
      <c r="W136" s="152">
        <f>IFERROR('Price History'!B3+(INDEX('Price History'!B:B,MATCH(9.99E+307,'Returns (Calc)'!$A:$A)+1)-'Price History'!B3)*(ROW()-3)/(MATCH(9.99E+307,'Returns (Calc)'!$A:$A)-3),"")</f>
        <v>289.13867924528302</v>
      </c>
      <c r="X136" s="152">
        <f>IFERROR('Price History'!C3+(INDEX('Price History'!C:C,MATCH(9.99E+307,'Returns (Calc)'!$A:$A)+1)-'Price History'!C3)*(ROW()-3)/(MATCH(9.99E+307,'Returns (Calc)'!$A:$A)-3),"")</f>
        <v>188.8496855345912</v>
      </c>
      <c r="Y136" s="152">
        <f>IFERROR('Price History'!D3+(INDEX('Price History'!D:D,MATCH(9.99E+307,'Returns (Calc)'!$A:$A)+1)-'Price History'!D3)*(ROW()-3)/(MATCH(9.99E+307,'Returns (Calc)'!$A:$A)-3),"")</f>
        <v>1584.3866666666665</v>
      </c>
      <c r="Z136" s="152">
        <f>IFERROR('Price History'!E3+(INDEX('Price History'!E:E,MATCH(9.99E+307,'Returns (Calc)'!$A:$A)+1)-'Price History'!E3)*(ROW()-3)/(MATCH(9.99E+307,'Returns (Calc)'!$A:$A)-3),"")</f>
        <v>315.82905660377355</v>
      </c>
      <c r="AA136" s="152">
        <f>IFERROR('Price History'!F3+(INDEX('Price History'!F:F,MATCH(9.99E+307,'Returns (Calc)'!$A:$A)+1)-'Price History'!F3)*(ROW()-3)/(MATCH(9.99E+307,'Returns (Calc)'!$A:$A)-3),"")</f>
        <v>236.82817610062892</v>
      </c>
      <c r="AB136" s="152">
        <f>IFERROR('Price History'!G3+(INDEX('Price History'!G:G,MATCH(9.99E+307,'Returns (Calc)'!$A:$A)+1)-'Price History'!G3)*(ROW()-3)/(MATCH(9.99E+307,'Returns (Calc)'!$A:$A)-3),"")</f>
        <v>170.84220125786163</v>
      </c>
      <c r="AC136" s="152">
        <f>IFERROR('Price History'!H3+(INDEX('Price History'!H:H,MATCH(9.99E+307,'Returns (Calc)'!$A:$A)+1)-'Price History'!H3)*(ROW()-3)/(MATCH(9.99E+307,'Returns (Calc)'!$A:$A)-3),"")</f>
        <v>872.03685534591193</v>
      </c>
      <c r="AD136" s="152">
        <f>IFERROR('Price History'!I3+(INDEX('Price History'!I:I,MATCH(9.99E+307,'Returns (Calc)'!$A:$A)+1)-'Price History'!I3)*(ROW()-3)/(MATCH(9.99E+307,'Returns (Calc)'!$A:$A)-3),"")</f>
        <v>198.94503144654087</v>
      </c>
      <c r="AE136" s="152">
        <f>IFERROR('Price History'!J3+(INDEX('Price History'!J:J,MATCH(9.99E+307,'Returns (Calc)'!$A:$A)+1)-'Price History'!J3)*(ROW()-3)/(MATCH(9.99E+307,'Returns (Calc)'!$A:$A)-3),"")</f>
        <v>126.60383647798743</v>
      </c>
      <c r="AF136" s="152">
        <f>IFERROR('Price History'!K3+(INDEX('Price History'!K:K,MATCH(9.99E+307,'Returns (Calc)'!$A:$A)+1)-'Price History'!K3)*(ROW()-3)/(MATCH(9.99E+307,'Returns (Calc)'!$A:$A)-3),"")</f>
        <v>177.37251572327045</v>
      </c>
      <c r="AG136" s="152">
        <f>IFERROR('Price History'!L3+(INDEX('Price History'!L:L,MATCH(9.99E+307,'Returns (Calc)'!$A:$A)+1)-'Price History'!L3)*(ROW()-3)/(MATCH(9.99E+307,'Returns (Calc)'!$A:$A)-3),"")</f>
        <v>393.20584905660377</v>
      </c>
      <c r="AH136" s="152">
        <f>IFERROR('Price History'!M3+(INDEX('Price History'!M:M,MATCH(9.99E+307,'Returns (Calc)'!$A:$A)+1)-'Price History'!M3)*(ROW()-3)/(MATCH(9.99E+307,'Returns (Calc)'!$A:$A)-3),"")</f>
        <v>209.29723270440252</v>
      </c>
      <c r="AI136" s="152">
        <f>IFERROR('Price History'!N3+(INDEX('Price History'!N:N,MATCH(9.99E+307,'Returns (Calc)'!$A:$A)+1)-'Price History'!N3)*(ROW()-3)/(MATCH(9.99E+307,'Returns (Calc)'!$A:$A)-3),"")</f>
        <v>483.7235220125786</v>
      </c>
      <c r="AJ136" s="152">
        <f>IFERROR('Price History'!O3+(INDEX('Price History'!O:O,MATCH(9.99E+307,'Returns (Calc)'!$A:$A)+1)-'Price History'!O3)*(ROW()-3)/(MATCH(9.99E+307,'Returns (Calc)'!$A:$A)-3),"")</f>
        <v>112.39106918238994</v>
      </c>
      <c r="AK136" s="152">
        <f>IFERROR('Price History'!Q3+(INDEX('Price History'!Q:Q,MATCH(9.99E+307,'Returns (Calc)'!$A:$A)+1)-'Price History'!Q3)*(ROW()-3)/(MATCH(9.99E+307,'Returns (Calc)'!$A:$A)-3),"")</f>
        <v>58.528364779874217</v>
      </c>
      <c r="AL136" s="152">
        <f>IFERROR('Price History'!R3+(INDEX('Price History'!R:R,MATCH(9.99E+307,'Returns (Calc)'!$A:$A)+1)-'Price History'!R3)*(ROW()-3)/(MATCH(9.99E+307,'Returns (Calc)'!$A:$A)-3),"")</f>
        <v>56.738679245283024</v>
      </c>
      <c r="AM136" s="152">
        <f>IFERROR('Price History'!S3+(INDEX('Price History'!S:S,MATCH(9.99E+307,'Returns (Calc)'!$A:$A)+1)-'Price History'!S3)*(ROW()-3)/(MATCH(9.99E+307,'Returns (Calc)'!$A:$A)-3),"")</f>
        <v>135.86578616352202</v>
      </c>
      <c r="AN136" s="152">
        <f>IFERROR('Price History'!T3+(INDEX('Price History'!T:T,MATCH(9.99E+307,'Returns (Calc)'!$A:$A)+1)-'Price History'!T3)*(ROW()-3)/(MATCH(9.99E+307,'Returns (Calc)'!$A:$A)-3),"")</f>
        <v>48.32679245283019</v>
      </c>
      <c r="AO136" s="153">
        <f>IFERROR('Price History'!V3+(INDEX('Price History'!V:V,MATCH(9.99E+307,'Returns (Calc)'!$A:$A)+1)-'Price History'!V3)*(ROW()-3)/(MATCH(9.99E+307,'Returns (Calc)'!$A:$A)-3),"")</f>
        <v>360.95113207547166</v>
      </c>
      <c r="AP136" s="151">
        <f>IFERROR(IF(OR(NOT(ISNUMBER('Price History'!W137)),NOT(ISNUMBER('Price History'!W136)),'Price History'!W136=0),"",'Price History'!W137/'Price History'!W136-1),"")</f>
        <v>2.6711299357835783E-2</v>
      </c>
      <c r="AQ136" s="151">
        <f>IFERROR(IF(OR(NOT(ISNUMBER('Price History'!X137)),NOT(ISNUMBER('Price History'!X136)),'Price History'!X136=0),"",'Price History'!X137/'Price History'!X136-1),"")</f>
        <v>-1.1474469305795543E-3</v>
      </c>
      <c r="AR136" s="151">
        <f>IFERROR(IF(OR(NOT(ISNUMBER('Price History'!Y137)),NOT(ISNUMBER('Price History'!Y136)),'Price History'!Y136=0),"",'Price History'!Y137/'Price History'!Y136-1),"")</f>
        <v>1.9372693726937174E-2</v>
      </c>
      <c r="AS136" s="151">
        <f>IFERROR(IF(OR(NOT(ISNUMBER('Price History'!Z137)),NOT(ISNUMBER('Price History'!Z136)),'Price History'!Z136=0),"",'Price History'!Z137/'Price History'!Z136-1),"")</f>
        <v>9.6720202271998845E-2</v>
      </c>
      <c r="AT136" s="151">
        <f>IFERROR(IF(OR(NOT(ISNUMBER('Price History'!AA137)),NOT(ISNUMBER('Price History'!AA136)),'Price History'!AA136=0),"",'Price History'!AA137/'Price History'!AA136-1),"")</f>
        <v>4.4090816947091049E-2</v>
      </c>
      <c r="AU136" s="151">
        <f>IFERROR(IF(OR(NOT(ISNUMBER('Price History'!AB137)),NOT(ISNUMBER('Price History'!AB136)),'Price History'!AB136=0),"",'Price History'!AB137/'Price History'!AB136-1),"")</f>
        <v>-0.12961259914932743</v>
      </c>
    </row>
    <row r="137" spans="1:47" ht="15" customHeight="1" x14ac:dyDescent="0.2">
      <c r="A137" s="149">
        <f>IF('Price History'!A138="","",'Price History'!A138)</f>
        <v>46129</v>
      </c>
      <c r="B137" s="150">
        <f>IFERROR(IF(OR(NOT(ISNUMBER('Price History'!B138)),NOT(ISNUMBER('Price History'!B137)),'Price History'!B137=0),"",'Price History'!B138/'Price History'!B137-1),"")</f>
        <v>8.4757044597293163E-2</v>
      </c>
      <c r="C137" s="150">
        <f>IFERROR(IF(OR(NOT(ISNUMBER('Price History'!C138)),NOT(ISNUMBER('Price History'!C137)),'Price History'!C137=0),"",'Price History'!C138/'Price History'!C137-1),"")</f>
        <v>0.11455717678995581</v>
      </c>
      <c r="D137" s="150">
        <f>IFERROR(IF(OR(NOT(ISNUMBER('Price History'!D138)),NOT(ISNUMBER('Price History'!D137)),'Price History'!D137=0),"",'Price History'!D138/'Price History'!D137-1),"")</f>
        <v>-1.2497030173437951E-2</v>
      </c>
      <c r="E137" s="150">
        <f>IFERROR(IF(OR(NOT(ISNUMBER('Price History'!E138)),NOT(ISNUMBER('Price History'!E137)),'Price History'!E137=0),"",'Price History'!E138/'Price History'!E137-1),"")</f>
        <v>9.4169434767344518E-2</v>
      </c>
      <c r="F137" s="150">
        <f>IFERROR(IF(OR(NOT(ISNUMBER('Price History'!F138)),NOT(ISNUMBER('Price History'!F137)),'Price History'!F137=0),"",'Price History'!F138/'Price History'!F137-1),"")</f>
        <v>0.11862796833773093</v>
      </c>
      <c r="G137" s="150">
        <f>IFERROR(IF(OR(NOT(ISNUMBER('Price History'!G138)),NOT(ISNUMBER('Price History'!G137)),'Price History'!G137=0),"",'Price History'!G138/'Price History'!G137-1),"")</f>
        <v>3.1158040505452789E-2</v>
      </c>
      <c r="H137" s="150">
        <f>IFERROR(IF(OR(NOT(ISNUMBER('Price History'!H138)),NOT(ISNUMBER('Price History'!H137)),'Price History'!H137=0),"",'Price History'!H138/'Price History'!H137-1),"")</f>
        <v>8.1967992771027065E-2</v>
      </c>
      <c r="I137" s="150">
        <f>IFERROR(IF(OR(NOT(ISNUMBER('Price History'!I138)),NOT(ISNUMBER('Price History'!I137)),'Price History'!I137=0),"",'Price History'!I138/'Price History'!I137-1),"")</f>
        <v>6.9181721572795007E-2</v>
      </c>
      <c r="J137" s="150">
        <f>IFERROR(IF(OR(NOT(ISNUMBER('Price History'!J138)),NOT(ISNUMBER('Price History'!J137)),'Price History'!J137=0),"",'Price History'!J138/'Price History'!J137-1),"")</f>
        <v>5.7648190631243823E-2</v>
      </c>
      <c r="K137" s="150">
        <f>IFERROR(IF(OR(NOT(ISNUMBER('Price History'!K138)),NOT(ISNUMBER('Price History'!K137)),'Price History'!K137=0),"",'Price History'!K138/'Price History'!K137-1),"")</f>
        <v>0.14313602998594388</v>
      </c>
      <c r="L137" s="150">
        <f>IFERROR(IF(OR(NOT(ISNUMBER('Price History'!L138)),NOT(ISNUMBER('Price History'!L137)),'Price History'!L137=0),"",'Price History'!L138/'Price History'!L137-1),"")</f>
        <v>-2.4407441557749987E-4</v>
      </c>
      <c r="M137" s="150">
        <f>IFERROR(IF(OR(NOT(ISNUMBER('Price History'!M138)),NOT(ISNUMBER('Price History'!M137)),'Price History'!M137=0),"",'Price History'!M138/'Price History'!M137-1),"")</f>
        <v>4.1426537392365459E-2</v>
      </c>
      <c r="N137" s="150">
        <f>IFERROR(IF(OR(NOT(ISNUMBER('Price History'!N138)),NOT(ISNUMBER('Price History'!N137)),'Price History'!N137=0),"",'Price History'!N138/'Price History'!N137-1),"")</f>
        <v>1.1300341531620406E-2</v>
      </c>
      <c r="O137" s="150">
        <f>IFERROR(IF(OR(NOT(ISNUMBER('Price History'!O138)),NOT(ISNUMBER('Price History'!O137)),'Price History'!O137=0),"",'Price History'!O138/'Price History'!O137-1),"")</f>
        <v>2.4311040898718606E-2</v>
      </c>
      <c r="P137" s="150">
        <f>IFERROR(IF(OR(NOT(ISNUMBER('Price History'!P138)),NOT(ISNUMBER('Price History'!P137)),'Price History'!P137=0),"",'Price History'!P138/'Price History'!P137-1),"")</f>
        <v>4.5996933537764129E-3</v>
      </c>
      <c r="Q137" s="150">
        <f>IFERROR(IF(OR(NOT(ISNUMBER('Price History'!Q138)),NOT(ISNUMBER('Price History'!Q137)),'Price History'!Q137=0),"",'Price History'!Q138/'Price History'!Q137-1),"")</f>
        <v>2.5747126436781675E-2</v>
      </c>
      <c r="R137" s="150">
        <f>IFERROR(IF(OR(NOT(ISNUMBER('Price History'!R138)),NOT(ISNUMBER('Price History'!R137)),'Price History'!R137=0),"",'Price History'!R138/'Price History'!R137-1),"")</f>
        <v>1.8107908351810975E-2</v>
      </c>
      <c r="S137" s="150">
        <f>IFERROR(IF(OR(NOT(ISNUMBER('Price History'!S138)),NOT(ISNUMBER('Price History'!S137)),'Price History'!S137=0),"",'Price History'!S138/'Price History'!S137-1),"")</f>
        <v>4.0178934526230226E-2</v>
      </c>
      <c r="T137" s="150">
        <f>IFERROR(IF(OR(NOT(ISNUMBER('Price History'!T138)),NOT(ISNUMBER('Price History'!T137)),'Price History'!T137=0),"",'Price History'!T138/'Price History'!T137-1),"")</f>
        <v>5.347187024835276E-2</v>
      </c>
      <c r="U137" s="150">
        <f>IFERROR(IF(OR(NOT(ISNUMBER('Price History'!U138)),NOT(ISNUMBER('Price History'!U137)),'Price History'!U137=0),"",'Price History'!U138/'Price History'!U137-1),"")</f>
        <v>1.5957446808510634E-2</v>
      </c>
      <c r="V137" s="151">
        <f>IFERROR(IF(OR(NOT(ISNUMBER('Price History'!V138)),NOT(ISNUMBER('Price History'!V137)),'Price History'!V137=0),"",'Price History'!V138/'Price History'!V137-1),"")</f>
        <v>4.15938252465613E-2</v>
      </c>
      <c r="W137" s="152">
        <f>IFERROR('Price History'!B3+(INDEX('Price History'!B:B,MATCH(9.99E+307,'Returns (Calc)'!$A:$A)+1)-'Price History'!B3)*(ROW()-3)/(MATCH(9.99E+307,'Returns (Calc)'!$A:$A)-3),"")</f>
        <v>287.336037735849</v>
      </c>
      <c r="X137" s="152">
        <f>IFERROR('Price History'!C3+(INDEX('Price History'!C:C,MATCH(9.99E+307,'Returns (Calc)'!$A:$A)+1)-'Price History'!C3)*(ROW()-3)/(MATCH(9.99E+307,'Returns (Calc)'!$A:$A)-3),"")</f>
        <v>189.92238993710694</v>
      </c>
      <c r="Y137" s="152">
        <f>IFERROR('Price History'!D3+(INDEX('Price History'!D:D,MATCH(9.99E+307,'Returns (Calc)'!$A:$A)+1)-'Price History'!D3)*(ROW()-3)/(MATCH(9.99E+307,'Returns (Calc)'!$A:$A)-3),"")</f>
        <v>1591.9233333333332</v>
      </c>
      <c r="Z137" s="152">
        <f>IFERROR('Price History'!E3+(INDEX('Price History'!E:E,MATCH(9.99E+307,'Returns (Calc)'!$A:$A)+1)-'Price History'!E3)*(ROW()-3)/(MATCH(9.99E+307,'Returns (Calc)'!$A:$A)-3),"")</f>
        <v>317.58716981132079</v>
      </c>
      <c r="AA137" s="152">
        <f>IFERROR('Price History'!F3+(INDEX('Price History'!F:F,MATCH(9.99E+307,'Returns (Calc)'!$A:$A)+1)-'Price History'!F3)*(ROW()-3)/(MATCH(9.99E+307,'Returns (Calc)'!$A:$A)-3),"")</f>
        <v>238.29786163522016</v>
      </c>
      <c r="AB137" s="152">
        <f>IFERROR('Price History'!G3+(INDEX('Price History'!G:G,MATCH(9.99E+307,'Returns (Calc)'!$A:$A)+1)-'Price History'!G3)*(ROW()-3)/(MATCH(9.99E+307,'Returns (Calc)'!$A:$A)-3),"")</f>
        <v>171.79327044025158</v>
      </c>
      <c r="AC137" s="152">
        <f>IFERROR('Price History'!H3+(INDEX('Price History'!H:H,MATCH(9.99E+307,'Returns (Calc)'!$A:$A)+1)-'Price History'!H3)*(ROW()-3)/(MATCH(9.99E+307,'Returns (Calc)'!$A:$A)-3),"")</f>
        <v>878.07389937106916</v>
      </c>
      <c r="AD137" s="152">
        <f>IFERROR('Price History'!I3+(INDEX('Price History'!I:I,MATCH(9.99E+307,'Returns (Calc)'!$A:$A)+1)-'Price History'!I3)*(ROW()-3)/(MATCH(9.99E+307,'Returns (Calc)'!$A:$A)-3),"")</f>
        <v>200.11176100628933</v>
      </c>
      <c r="AE137" s="152">
        <f>IFERROR('Price History'!J3+(INDEX('Price History'!J:J,MATCH(9.99E+307,'Returns (Calc)'!$A:$A)+1)-'Price History'!J3)*(ROW()-3)/(MATCH(9.99E+307,'Returns (Calc)'!$A:$A)-3),"")</f>
        <v>126.71484276729561</v>
      </c>
      <c r="AF137" s="152">
        <f>IFERROR('Price History'!K3+(INDEX('Price History'!K:K,MATCH(9.99E+307,'Returns (Calc)'!$A:$A)+1)-'Price History'!K3)*(ROW()-3)/(MATCH(9.99E+307,'Returns (Calc)'!$A:$A)-3),"")</f>
        <v>178.59088050314466</v>
      </c>
      <c r="AG137" s="152">
        <f>IFERROR('Price History'!L3+(INDEX('Price History'!L:L,MATCH(9.99E+307,'Returns (Calc)'!$A:$A)+1)-'Price History'!L3)*(ROW()-3)/(MATCH(9.99E+307,'Returns (Calc)'!$A:$A)-3),"")</f>
        <v>395.51754716981134</v>
      </c>
      <c r="AH137" s="152">
        <f>IFERROR('Price History'!M3+(INDEX('Price History'!M:M,MATCH(9.99E+307,'Returns (Calc)'!$A:$A)+1)-'Price History'!M3)*(ROW()-3)/(MATCH(9.99E+307,'Returns (Calc)'!$A:$A)-3),"")</f>
        <v>210.58503144654088</v>
      </c>
      <c r="AI137" s="152">
        <f>IFERROR('Price History'!N3+(INDEX('Price History'!N:N,MATCH(9.99E+307,'Returns (Calc)'!$A:$A)+1)-'Price History'!N3)*(ROW()-3)/(MATCH(9.99E+307,'Returns (Calc)'!$A:$A)-3),"")</f>
        <v>484.73723270440252</v>
      </c>
      <c r="AJ137" s="152">
        <f>IFERROR('Price History'!O3+(INDEX('Price History'!O:O,MATCH(9.99E+307,'Returns (Calc)'!$A:$A)+1)-'Price History'!O3)*(ROW()-3)/(MATCH(9.99E+307,'Returns (Calc)'!$A:$A)-3),"")</f>
        <v>112.66987421383648</v>
      </c>
      <c r="AK137" s="152">
        <f>IFERROR('Price History'!Q3+(INDEX('Price History'!Q:Q,MATCH(9.99E+307,'Returns (Calc)'!$A:$A)+1)-'Price History'!Q3)*(ROW()-3)/(MATCH(9.99E+307,'Returns (Calc)'!$A:$A)-3),"")</f>
        <v>58.968427672955976</v>
      </c>
      <c r="AL137" s="152">
        <f>IFERROR('Price History'!R3+(INDEX('Price History'!R:R,MATCH(9.99E+307,'Returns (Calc)'!$A:$A)+1)-'Price History'!R3)*(ROW()-3)/(MATCH(9.99E+307,'Returns (Calc)'!$A:$A)-3),"")</f>
        <v>56.906037735849054</v>
      </c>
      <c r="AM137" s="152">
        <f>IFERROR('Price History'!S3+(INDEX('Price History'!S:S,MATCH(9.99E+307,'Returns (Calc)'!$A:$A)+1)-'Price History'!S3)*(ROW()-3)/(MATCH(9.99E+307,'Returns (Calc)'!$A:$A)-3),"")</f>
        <v>136.45402515723271</v>
      </c>
      <c r="AN137" s="152">
        <f>IFERROR('Price History'!T3+(INDEX('Price History'!T:T,MATCH(9.99E+307,'Returns (Calc)'!$A:$A)+1)-'Price History'!T3)*(ROW()-3)/(MATCH(9.99E+307,'Returns (Calc)'!$A:$A)-3),"")</f>
        <v>48.500377358490567</v>
      </c>
      <c r="AO137" s="153">
        <f>IFERROR('Price History'!V3+(INDEX('Price History'!V:V,MATCH(9.99E+307,'Returns (Calc)'!$A:$A)+1)-'Price History'!V3)*(ROW()-3)/(MATCH(9.99E+307,'Returns (Calc)'!$A:$A)-3),"")</f>
        <v>361.89339622641506</v>
      </c>
      <c r="AP137" s="151">
        <f>IFERROR(IF(OR(NOT(ISNUMBER('Price History'!W138)),NOT(ISNUMBER('Price History'!W137)),'Price History'!W137=0),"",'Price History'!W138/'Price History'!W137-1),"")</f>
        <v>2.0027945971122563E-2</v>
      </c>
      <c r="AQ137" s="151">
        <f>IFERROR(IF(OR(NOT(ISNUMBER('Price History'!X138)),NOT(ISNUMBER('Price History'!X137)),'Price History'!X137=0),"",'Price History'!X138/'Price History'!X137-1),"")</f>
        <v>-2.5081370859659113E-2</v>
      </c>
      <c r="AR137" s="151">
        <f>IFERROR(IF(OR(NOT(ISNUMBER('Price History'!Y138)),NOT(ISNUMBER('Price History'!Y137)),'Price History'!Y137=0),"",'Price History'!Y138/'Price History'!Y137-1),"")</f>
        <v>4.3438914027149611E-3</v>
      </c>
      <c r="AS137" s="151">
        <f>IFERROR(IF(OR(NOT(ISNUMBER('Price History'!Z138)),NOT(ISNUMBER('Price History'!Z137)),'Price History'!Z137=0),"",'Price History'!Z138/'Price History'!Z137-1),"")</f>
        <v>-1.3702633373380624E-2</v>
      </c>
      <c r="AT137" s="151">
        <f>IFERROR(IF(OR(NOT(ISNUMBER('Price History'!AA138)),NOT(ISNUMBER('Price History'!AA137)),'Price History'!AA137=0),"",'Price History'!AA138/'Price History'!AA137-1),"")</f>
        <v>-5.5334433550140782E-2</v>
      </c>
      <c r="AU137" s="151">
        <f>IFERROR(IF(OR(NOT(ISNUMBER('Price History'!AB138)),NOT(ISNUMBER('Price History'!AB137)),'Price History'!AB137=0),"",'Price History'!AB138/'Price History'!AB137-1),"")</f>
        <v>0.10909331044046744</v>
      </c>
    </row>
    <row r="138" spans="1:47" ht="15" customHeight="1" x14ac:dyDescent="0.2">
      <c r="A138" s="149">
        <f>IF('Price History'!A139="","",'Price History'!A139)</f>
        <v>46136</v>
      </c>
      <c r="B138" s="150">
        <f>IFERROR(IF(OR(NOT(ISNUMBER('Price History'!B139)),NOT(ISNUMBER('Price History'!B138)),'Price History'!B138=0),"",'Price History'!B139/'Price History'!B138-1),"")</f>
        <v>4.0499079566373997E-3</v>
      </c>
      <c r="C138" s="150">
        <f>IFERROR(IF(OR(NOT(ISNUMBER('Price History'!C139)),NOT(ISNUMBER('Price History'!C138)),'Price History'!C138=0),"",'Price History'!C139/'Price History'!C138-1),"")</f>
        <v>7.7208792547037719E-2</v>
      </c>
      <c r="D138" s="150">
        <f>IFERROR(IF(OR(NOT(ISNUMBER('Price History'!D139)),NOT(ISNUMBER('Price History'!D138)),'Price History'!D138=0),"",'Price History'!D139/'Price History'!D138-1),"")</f>
        <v>-1.4435569242613466E-3</v>
      </c>
      <c r="E138" s="150">
        <f>IFERROR(IF(OR(NOT(ISNUMBER('Price History'!E139)),NOT(ISNUMBER('Price History'!E138)),'Price History'!E138=0),"",'Price History'!E139/'Price History'!E138-1),"")</f>
        <v>3.9885477342284537E-2</v>
      </c>
      <c r="F138" s="150">
        <f>IFERROR(IF(OR(NOT(ISNUMBER('Price History'!F139)),NOT(ISNUMBER('Price History'!F138)),'Price History'!F138=0),"",'Price History'!F139/'Price History'!F138-1),"")</f>
        <v>5.6986508161147365E-2</v>
      </c>
      <c r="G138" s="150">
        <f>IFERROR(IF(OR(NOT(ISNUMBER('Price History'!G139)),NOT(ISNUMBER('Price History'!G138)),'Price History'!G138=0),"",'Price History'!G139/'Price History'!G138-1),"")</f>
        <v>8.0185775837949613E-2</v>
      </c>
      <c r="H138" s="150">
        <f>IFERROR(IF(OR(NOT(ISNUMBER('Price History'!H139)),NOT(ISNUMBER('Price History'!H138)),'Price History'!H138=0),"",'Price History'!H139/'Price History'!H138-1),"")</f>
        <v>9.1516483516483449E-2</v>
      </c>
      <c r="I138" s="150">
        <f>IFERROR(IF(OR(NOT(ISNUMBER('Price History'!I139)),NOT(ISNUMBER('Price History'!I138)),'Price History'!I138=0),"",'Price History'!I139/'Price History'!I138-1),"")</f>
        <v>3.2700526786601847E-2</v>
      </c>
      <c r="J138" s="150">
        <f>IFERROR(IF(OR(NOT(ISNUMBER('Price History'!J139)),NOT(ISNUMBER('Price History'!J138)),'Price History'!J138=0),"",'Price History'!J139/'Price History'!J138-1),"")</f>
        <v>-2.071088720962766E-2</v>
      </c>
      <c r="K138" s="150">
        <f>IFERROR(IF(OR(NOT(ISNUMBER('Price History'!K139)),NOT(ISNUMBER('Price History'!K138)),'Price History'!K138=0),"",'Price History'!K139/'Price History'!K138-1),"")</f>
        <v>-2.2542523396406722E-2</v>
      </c>
      <c r="L138" s="150">
        <f>IFERROR(IF(OR(NOT(ISNUMBER('Price History'!L139)),NOT(ISNUMBER('Price History'!L138)),'Price History'!L138=0),"",'Price History'!L139/'Price History'!L138-1),"")</f>
        <v>8.6260680862606742E-2</v>
      </c>
      <c r="M138" s="150">
        <f>IFERROR(IF(OR(NOT(ISNUMBER('Price History'!M139)),NOT(ISNUMBER('Price History'!M138)),'Price History'!M138=0),"",'Price History'!M139/'Price History'!M138-1),"")</f>
        <v>5.2441406250000044E-2</v>
      </c>
      <c r="N138" s="150">
        <f>IFERROR(IF(OR(NOT(ISNUMBER('Price History'!N139)),NOT(ISNUMBER('Price History'!N138)),'Price History'!N138=0),"",'Price History'!N139/'Price History'!N138-1),"")</f>
        <v>-2.4728014505892904E-2</v>
      </c>
      <c r="O138" s="150">
        <f>IFERROR(IF(OR(NOT(ISNUMBER('Price History'!O139)),NOT(ISNUMBER('Price History'!O138)),'Price History'!O138=0),"",'Price History'!O139/'Price History'!O138-1),"")</f>
        <v>1.2252591894439169E-2</v>
      </c>
      <c r="P138" s="150">
        <f>IFERROR(IF(OR(NOT(ISNUMBER('Price History'!P139)),NOT(ISNUMBER('Price History'!P138)),'Price History'!P138=0),"",'Price History'!P139/'Price History'!P138-1),"")</f>
        <v>-8.0955540809555249E-3</v>
      </c>
      <c r="Q138" s="150">
        <f>IFERROR(IF(OR(NOT(ISNUMBER('Price History'!Q139)),NOT(ISNUMBER('Price History'!Q138)),'Price History'!Q138=0),"",'Price History'!Q139/'Price History'!Q138-1),"")</f>
        <v>2.2411474675032572E-3</v>
      </c>
      <c r="R138" s="150">
        <f>IFERROR(IF(OR(NOT(ISNUMBER('Price History'!R139)),NOT(ISNUMBER('Price History'!R138)),'Price History'!R138=0),"",'Price History'!R139/'Price History'!R138-1),"")</f>
        <v>5.6261343012702358E-3</v>
      </c>
      <c r="S138" s="150">
        <f>IFERROR(IF(OR(NOT(ISNUMBER('Price History'!S139)),NOT(ISNUMBER('Price History'!S138)),'Price History'!S138=0),"",'Price History'!S139/'Price History'!S138-1),"")</f>
        <v>2.5099695050433857E-2</v>
      </c>
      <c r="T138" s="150">
        <f>IFERROR(IF(OR(NOT(ISNUMBER('Price History'!T139)),NOT(ISNUMBER('Price History'!T138)),'Price History'!T138=0),"",'Price History'!T139/'Price History'!T138-1),"")</f>
        <v>-5.5328361799373837E-3</v>
      </c>
      <c r="U138" s="150">
        <f>IFERROR(IF(OR(NOT(ISNUMBER('Price History'!U139)),NOT(ISNUMBER('Price History'!U138)),'Price History'!U138=0),"",'Price History'!U139/'Price History'!U138-1),"")</f>
        <v>4.9083769633508911E-3</v>
      </c>
      <c r="V138" s="151">
        <f>IFERROR(IF(OR(NOT(ISNUMBER('Price History'!V139)),NOT(ISNUMBER('Price History'!V138)),'Price History'!V138=0),"",'Price History'!V139/'Price History'!V138-1),"")</f>
        <v>-2.3972385838241794E-2</v>
      </c>
      <c r="W138" s="152">
        <f>IFERROR('Price History'!B3+(INDEX('Price History'!B:B,MATCH(9.99E+307,'Returns (Calc)'!$A:$A)+1)-'Price History'!B3)*(ROW()-3)/(MATCH(9.99E+307,'Returns (Calc)'!$A:$A)-3),"")</f>
        <v>285.53339622641511</v>
      </c>
      <c r="X138" s="152">
        <f>IFERROR('Price History'!C3+(INDEX('Price History'!C:C,MATCH(9.99E+307,'Returns (Calc)'!$A:$A)+1)-'Price History'!C3)*(ROW()-3)/(MATCH(9.99E+307,'Returns (Calc)'!$A:$A)-3),"")</f>
        <v>190.99509433962263</v>
      </c>
      <c r="Y138" s="152">
        <f>IFERROR('Price History'!D3+(INDEX('Price History'!D:D,MATCH(9.99E+307,'Returns (Calc)'!$A:$A)+1)-'Price History'!D3)*(ROW()-3)/(MATCH(9.99E+307,'Returns (Calc)'!$A:$A)-3),"")</f>
        <v>1599.46</v>
      </c>
      <c r="Z138" s="152">
        <f>IFERROR('Price History'!E3+(INDEX('Price History'!E:E,MATCH(9.99E+307,'Returns (Calc)'!$A:$A)+1)-'Price History'!E3)*(ROW()-3)/(MATCH(9.99E+307,'Returns (Calc)'!$A:$A)-3),"")</f>
        <v>319.34528301886792</v>
      </c>
      <c r="AA138" s="152">
        <f>IFERROR('Price History'!F3+(INDEX('Price History'!F:F,MATCH(9.99E+307,'Returns (Calc)'!$A:$A)+1)-'Price History'!F3)*(ROW()-3)/(MATCH(9.99E+307,'Returns (Calc)'!$A:$A)-3),"")</f>
        <v>239.76754716981134</v>
      </c>
      <c r="AB138" s="152">
        <f>IFERROR('Price History'!G3+(INDEX('Price History'!G:G,MATCH(9.99E+307,'Returns (Calc)'!$A:$A)+1)-'Price History'!G3)*(ROW()-3)/(MATCH(9.99E+307,'Returns (Calc)'!$A:$A)-3),"")</f>
        <v>172.74433962264152</v>
      </c>
      <c r="AC138" s="152">
        <f>IFERROR('Price History'!H3+(INDEX('Price History'!H:H,MATCH(9.99E+307,'Returns (Calc)'!$A:$A)+1)-'Price History'!H3)*(ROW()-3)/(MATCH(9.99E+307,'Returns (Calc)'!$A:$A)-3),"")</f>
        <v>884.11094339622639</v>
      </c>
      <c r="AD138" s="152">
        <f>IFERROR('Price History'!I3+(INDEX('Price History'!I:I,MATCH(9.99E+307,'Returns (Calc)'!$A:$A)+1)-'Price History'!I3)*(ROW()-3)/(MATCH(9.99E+307,'Returns (Calc)'!$A:$A)-3),"")</f>
        <v>201.27849056603773</v>
      </c>
      <c r="AE138" s="152">
        <f>IFERROR('Price History'!J3+(INDEX('Price History'!J:J,MATCH(9.99E+307,'Returns (Calc)'!$A:$A)+1)-'Price History'!J3)*(ROW()-3)/(MATCH(9.99E+307,'Returns (Calc)'!$A:$A)-3),"")</f>
        <v>126.82584905660379</v>
      </c>
      <c r="AF138" s="152">
        <f>IFERROR('Price History'!K3+(INDEX('Price History'!K:K,MATCH(9.99E+307,'Returns (Calc)'!$A:$A)+1)-'Price History'!K3)*(ROW()-3)/(MATCH(9.99E+307,'Returns (Calc)'!$A:$A)-3),"")</f>
        <v>179.8092452830189</v>
      </c>
      <c r="AG138" s="152">
        <f>IFERROR('Price History'!L3+(INDEX('Price History'!L:L,MATCH(9.99E+307,'Returns (Calc)'!$A:$A)+1)-'Price History'!L3)*(ROW()-3)/(MATCH(9.99E+307,'Returns (Calc)'!$A:$A)-3),"")</f>
        <v>397.82924528301885</v>
      </c>
      <c r="AH138" s="152">
        <f>IFERROR('Price History'!M3+(INDEX('Price History'!M:M,MATCH(9.99E+307,'Returns (Calc)'!$A:$A)+1)-'Price History'!M3)*(ROW()-3)/(MATCH(9.99E+307,'Returns (Calc)'!$A:$A)-3),"")</f>
        <v>211.87283018867925</v>
      </c>
      <c r="AI138" s="152">
        <f>IFERROR('Price History'!N3+(INDEX('Price History'!N:N,MATCH(9.99E+307,'Returns (Calc)'!$A:$A)+1)-'Price History'!N3)*(ROW()-3)/(MATCH(9.99E+307,'Returns (Calc)'!$A:$A)-3),"")</f>
        <v>485.75094339622638</v>
      </c>
      <c r="AJ138" s="152">
        <f>IFERROR('Price History'!O3+(INDEX('Price History'!O:O,MATCH(9.99E+307,'Returns (Calc)'!$A:$A)+1)-'Price History'!O3)*(ROW()-3)/(MATCH(9.99E+307,'Returns (Calc)'!$A:$A)-3),"")</f>
        <v>112.94867924528302</v>
      </c>
      <c r="AK138" s="152">
        <f>IFERROR('Price History'!Q3+(INDEX('Price History'!Q:Q,MATCH(9.99E+307,'Returns (Calc)'!$A:$A)+1)-'Price History'!Q3)*(ROW()-3)/(MATCH(9.99E+307,'Returns (Calc)'!$A:$A)-3),"")</f>
        <v>59.408490566037742</v>
      </c>
      <c r="AL138" s="152">
        <f>IFERROR('Price History'!R3+(INDEX('Price History'!R:R,MATCH(9.99E+307,'Returns (Calc)'!$A:$A)+1)-'Price History'!R3)*(ROW()-3)/(MATCH(9.99E+307,'Returns (Calc)'!$A:$A)-3),"")</f>
        <v>57.073396226415099</v>
      </c>
      <c r="AM138" s="152">
        <f>IFERROR('Price History'!S3+(INDEX('Price History'!S:S,MATCH(9.99E+307,'Returns (Calc)'!$A:$A)+1)-'Price History'!S3)*(ROW()-3)/(MATCH(9.99E+307,'Returns (Calc)'!$A:$A)-3),"")</f>
        <v>137.0422641509434</v>
      </c>
      <c r="AN138" s="152">
        <f>IFERROR('Price History'!T3+(INDEX('Price History'!T:T,MATCH(9.99E+307,'Returns (Calc)'!$A:$A)+1)-'Price History'!T3)*(ROW()-3)/(MATCH(9.99E+307,'Returns (Calc)'!$A:$A)-3),"")</f>
        <v>48.673962264150944</v>
      </c>
      <c r="AO138" s="153">
        <f>IFERROR('Price History'!V3+(INDEX('Price History'!V:V,MATCH(9.99E+307,'Returns (Calc)'!$A:$A)+1)-'Price History'!V3)*(ROW()-3)/(MATCH(9.99E+307,'Returns (Calc)'!$A:$A)-3),"")</f>
        <v>362.83566037735852</v>
      </c>
      <c r="AP138" s="151">
        <f>IFERROR(IF(OR(NOT(ISNUMBER('Price History'!W139)),NOT(ISNUMBER('Price History'!W138)),'Price History'!W138=0),"",'Price History'!W139/'Price History'!W138-1),"")</f>
        <v>-1.0437051532943276E-3</v>
      </c>
      <c r="AQ138" s="151">
        <f>IFERROR(IF(OR(NOT(ISNUMBER('Price History'!X139)),NOT(ISNUMBER('Price History'!X138)),'Price History'!X138=0),"",'Price History'!X139/'Price History'!X138-1),"")</f>
        <v>1.3354281225451681E-2</v>
      </c>
      <c r="AR138" s="151">
        <f>IFERROR(IF(OR(NOT(ISNUMBER('Price History'!Y139)),NOT(ISNUMBER('Price History'!Y138)),'Price History'!Y138=0),"",'Price History'!Y139/'Price History'!Y138-1),"")</f>
        <v>-8.1095692917643181E-3</v>
      </c>
      <c r="AS138" s="151">
        <f>IFERROR(IF(OR(NOT(ISNUMBER('Price History'!Z139)),NOT(ISNUMBER('Price History'!Z138)),'Price History'!Z138=0),"",'Price History'!Z139/'Price History'!Z138-1),"")</f>
        <v>-6.419753086419755E-2</v>
      </c>
      <c r="AT138" s="151">
        <f>IFERROR(IF(OR(NOT(ISNUMBER('Price History'!AA139)),NOT(ISNUMBER('Price History'!AA138)),'Price History'!AA138=0),"",'Price History'!AA139/'Price History'!AA138-1),"")</f>
        <v>-5.0046243962593828E-2</v>
      </c>
      <c r="AU138" s="151">
        <f>IFERROR(IF(OR(NOT(ISNUMBER('Price History'!AB139)),NOT(ISNUMBER('Price History'!AB138)),'Price History'!AB138=0),"",'Price History'!AB139/'Price History'!AB138-1),"")</f>
        <v>-4.0607323608216728E-2</v>
      </c>
    </row>
    <row r="139" spans="1:47" ht="15" customHeight="1" x14ac:dyDescent="0.2">
      <c r="A139" s="149">
        <f>IF('Price History'!A140="","",'Price History'!A140)</f>
        <v>46143</v>
      </c>
      <c r="B139" s="150">
        <f>IFERROR(IF(OR(NOT(ISNUMBER('Price History'!B140)),NOT(ISNUMBER('Price History'!B139)),'Price History'!B139=0),"",'Price History'!B140/'Price History'!B139-1),"")</f>
        <v>2.1471642764015586E-2</v>
      </c>
      <c r="C139" s="150">
        <f>IFERROR(IF(OR(NOT(ISNUMBER('Price History'!C140)),NOT(ISNUMBER('Price History'!C139)),'Price History'!C139=0),"",'Price History'!C140/'Price History'!C139-1),"")</f>
        <v>-2.3797411112995381E-2</v>
      </c>
      <c r="D139" s="150">
        <f>IFERROR(IF(OR(NOT(ISNUMBER('Price History'!D140)),NOT(ISNUMBER('Price History'!D139)),'Price History'!D139=0),"",'Price History'!D140/'Price History'!D139-1),"")</f>
        <v>-1.8903513602819721E-2</v>
      </c>
      <c r="E139" s="150">
        <f>IFERROR(IF(OR(NOT(ISNUMBER('Price History'!E140)),NOT(ISNUMBER('Price History'!E139)),'Price History'!E139=0),"",'Price History'!E140/'Price History'!E139-1),"")</f>
        <v>-3.4890344631158809E-3</v>
      </c>
      <c r="F139" s="150">
        <f>IFERROR(IF(OR(NOT(ISNUMBER('Price History'!F140)),NOT(ISNUMBER('Price History'!F139)),'Price History'!F139=0),"",'Price History'!F140/'Price History'!F139-1),"")</f>
        <v>1.6781219316254425E-2</v>
      </c>
      <c r="G139" s="150">
        <f>IFERROR(IF(OR(NOT(ISNUMBER('Price History'!G140)),NOT(ISNUMBER('Price History'!G139)),'Price History'!G139=0),"",'Price History'!G140/'Price History'!G139-1),"")</f>
        <v>-0.10790509738914211</v>
      </c>
      <c r="H139" s="150">
        <f>IFERROR(IF(OR(NOT(ISNUMBER('Price History'!H140)),NOT(ISNUMBER('Price History'!H139)),'Price History'!H139=0),"",'Price History'!H140/'Price History'!H139-1),"")</f>
        <v>9.1595521907216426E-2</v>
      </c>
      <c r="I139" s="150">
        <f>IFERROR(IF(OR(NOT(ISNUMBER('Price History'!I140)),NOT(ISNUMBER('Price History'!I139)),'Price History'!I139=0),"",'Price History'!I140/'Price History'!I139-1),"")</f>
        <v>-4.7160731472569828E-2</v>
      </c>
      <c r="J139" s="150">
        <f>IFERROR(IF(OR(NOT(ISNUMBER('Price History'!J140)),NOT(ISNUMBER('Price History'!J139)),'Price History'!J139=0),"",'Price History'!J140/'Price History'!J139-1),"")</f>
        <v>-4.7870820234353628E-3</v>
      </c>
      <c r="K139" s="150">
        <f>IFERROR(IF(OR(NOT(ISNUMBER('Price History'!K140)),NOT(ISNUMBER('Price History'!K139)),'Price History'!K139=0),"",'Price History'!K140/'Price History'!K139-1),"")</f>
        <v>6.8488363966734411E-3</v>
      </c>
      <c r="L139" s="150">
        <f>IFERROR(IF(OR(NOT(ISNUMBER('Price History'!L140)),NOT(ISNUMBER('Price History'!L139)),'Price History'!L139=0),"",'Price History'!L140/'Price History'!L139-1),"")</f>
        <v>-1.1911599450618038E-2</v>
      </c>
      <c r="M139" s="150">
        <f>IFERROR(IF(OR(NOT(ISNUMBER('Price History'!M140)),NOT(ISNUMBER('Price History'!M139)),'Price History'!M139=0),"",'Price History'!M140/'Price History'!M139-1),"")</f>
        <v>1.5001082552349221E-2</v>
      </c>
      <c r="N139" s="150">
        <f>IFERROR(IF(OR(NOT(ISNUMBER('Price History'!N140)),NOT(ISNUMBER('Price History'!N139)),'Price History'!N139=0),"",'Price History'!N140/'Price History'!N139-1),"")</f>
        <v>-1.4803969415975282E-2</v>
      </c>
      <c r="O139" s="150">
        <f>IFERROR(IF(OR(NOT(ISNUMBER('Price History'!O140)),NOT(ISNUMBER('Price History'!O139)),'Price History'!O139=0),"",'Price History'!O140/'Price History'!O139-1),"")</f>
        <v>8.379888268156277E-3</v>
      </c>
      <c r="P139" s="150">
        <f>IFERROR(IF(OR(NOT(ISNUMBER('Price History'!P140)),NOT(ISNUMBER('Price History'!P139)),'Price History'!P139=0),"",'Price History'!P140/'Price History'!P139-1),"")</f>
        <v>1.7928819909017957E-2</v>
      </c>
      <c r="Q139" s="150">
        <f>IFERROR(IF(OR(NOT(ISNUMBER('Price History'!Q140)),NOT(ISNUMBER('Price History'!Q139)),'Price History'!Q139=0),"",'Price History'!Q140/'Price History'!Q139-1),"")</f>
        <v>4.0250447227190289E-3</v>
      </c>
      <c r="R139" s="150">
        <f>IFERROR(IF(OR(NOT(ISNUMBER('Price History'!R140)),NOT(ISNUMBER('Price History'!R139)),'Price History'!R139=0),"",'Price History'!R140/'Price History'!R139-1),"")</f>
        <v>7.9408049088613986E-3</v>
      </c>
      <c r="S139" s="150">
        <f>IFERROR(IF(OR(NOT(ISNUMBER('Price History'!S140)),NOT(ISNUMBER('Price History'!S139)),'Price History'!S139=0),"",'Price History'!S140/'Price History'!S139-1),"")</f>
        <v>2.2120518688024449E-2</v>
      </c>
      <c r="T139" s="150">
        <f>IFERROR(IF(OR(NOT(ISNUMBER('Price History'!T140)),NOT(ISNUMBER('Price History'!T139)),'Price History'!T139=0),"",'Price History'!T140/'Price History'!T139-1),"")</f>
        <v>2.564102564102555E-2</v>
      </c>
      <c r="U139" s="150">
        <f>IFERROR(IF(OR(NOT(ISNUMBER('Price History'!U140)),NOT(ISNUMBER('Price History'!U139)),'Price History'!U139=0),"",'Price History'!U140/'Price History'!U139-1),"")</f>
        <v>2.116574405731031E-2</v>
      </c>
      <c r="V139" s="151">
        <f>IFERROR(IF(OR(NOT(ISNUMBER('Price History'!V140)),NOT(ISNUMBER('Price History'!V139)),'Price History'!V139=0),"",'Price History'!V140/'Price History'!V139-1),"")</f>
        <v>6.0121345835631557E-2</v>
      </c>
      <c r="W139" s="152">
        <f>IFERROR('Price History'!B3+(INDEX('Price History'!B:B,MATCH(9.99E+307,'Returns (Calc)'!$A:$A)+1)-'Price History'!B3)*(ROW()-3)/(MATCH(9.99E+307,'Returns (Calc)'!$A:$A)-3),"")</f>
        <v>283.7307547169811</v>
      </c>
      <c r="X139" s="152">
        <f>IFERROR('Price History'!C3+(INDEX('Price History'!C:C,MATCH(9.99E+307,'Returns (Calc)'!$A:$A)+1)-'Price History'!C3)*(ROW()-3)/(MATCH(9.99E+307,'Returns (Calc)'!$A:$A)-3),"")</f>
        <v>192.06779874213836</v>
      </c>
      <c r="Y139" s="152">
        <f>IFERROR('Price History'!D3+(INDEX('Price History'!D:D,MATCH(9.99E+307,'Returns (Calc)'!$A:$A)+1)-'Price History'!D3)*(ROW()-3)/(MATCH(9.99E+307,'Returns (Calc)'!$A:$A)-3),"")</f>
        <v>1606.9966666666667</v>
      </c>
      <c r="Z139" s="152">
        <f>IFERROR('Price History'!E3+(INDEX('Price History'!E:E,MATCH(9.99E+307,'Returns (Calc)'!$A:$A)+1)-'Price History'!E3)*(ROW()-3)/(MATCH(9.99E+307,'Returns (Calc)'!$A:$A)-3),"")</f>
        <v>321.1033962264151</v>
      </c>
      <c r="AA139" s="152">
        <f>IFERROR('Price History'!F3+(INDEX('Price History'!F:F,MATCH(9.99E+307,'Returns (Calc)'!$A:$A)+1)-'Price History'!F3)*(ROW()-3)/(MATCH(9.99E+307,'Returns (Calc)'!$A:$A)-3),"")</f>
        <v>241.23723270440252</v>
      </c>
      <c r="AB139" s="152">
        <f>IFERROR('Price History'!G3+(INDEX('Price History'!G:G,MATCH(9.99E+307,'Returns (Calc)'!$A:$A)+1)-'Price History'!G3)*(ROW()-3)/(MATCH(9.99E+307,'Returns (Calc)'!$A:$A)-3),"")</f>
        <v>173.69540880503143</v>
      </c>
      <c r="AC139" s="152">
        <f>IFERROR('Price History'!H3+(INDEX('Price History'!H:H,MATCH(9.99E+307,'Returns (Calc)'!$A:$A)+1)-'Price History'!H3)*(ROW()-3)/(MATCH(9.99E+307,'Returns (Calc)'!$A:$A)-3),"")</f>
        <v>890.14798742138362</v>
      </c>
      <c r="AD139" s="152">
        <f>IFERROR('Price History'!I3+(INDEX('Price History'!I:I,MATCH(9.99E+307,'Returns (Calc)'!$A:$A)+1)-'Price History'!I3)*(ROW()-3)/(MATCH(9.99E+307,'Returns (Calc)'!$A:$A)-3),"")</f>
        <v>202.44522012578616</v>
      </c>
      <c r="AE139" s="152">
        <f>IFERROR('Price History'!J3+(INDEX('Price History'!J:J,MATCH(9.99E+307,'Returns (Calc)'!$A:$A)+1)-'Price History'!J3)*(ROW()-3)/(MATCH(9.99E+307,'Returns (Calc)'!$A:$A)-3),"")</f>
        <v>126.93685534591195</v>
      </c>
      <c r="AF139" s="152">
        <f>IFERROR('Price History'!K3+(INDEX('Price History'!K:K,MATCH(9.99E+307,'Returns (Calc)'!$A:$A)+1)-'Price History'!K3)*(ROW()-3)/(MATCH(9.99E+307,'Returns (Calc)'!$A:$A)-3),"")</f>
        <v>181.02761006289307</v>
      </c>
      <c r="AG139" s="152">
        <f>IFERROR('Price History'!L3+(INDEX('Price History'!L:L,MATCH(9.99E+307,'Returns (Calc)'!$A:$A)+1)-'Price History'!L3)*(ROW()-3)/(MATCH(9.99E+307,'Returns (Calc)'!$A:$A)-3),"")</f>
        <v>400.14094339622642</v>
      </c>
      <c r="AH139" s="152">
        <f>IFERROR('Price History'!M3+(INDEX('Price History'!M:M,MATCH(9.99E+307,'Returns (Calc)'!$A:$A)+1)-'Price History'!M3)*(ROW()-3)/(MATCH(9.99E+307,'Returns (Calc)'!$A:$A)-3),"")</f>
        <v>213.16062893081764</v>
      </c>
      <c r="AI139" s="152">
        <f>IFERROR('Price History'!N3+(INDEX('Price History'!N:N,MATCH(9.99E+307,'Returns (Calc)'!$A:$A)+1)-'Price History'!N3)*(ROW()-3)/(MATCH(9.99E+307,'Returns (Calc)'!$A:$A)-3),"")</f>
        <v>486.76465408805029</v>
      </c>
      <c r="AJ139" s="152">
        <f>IFERROR('Price History'!O3+(INDEX('Price History'!O:O,MATCH(9.99E+307,'Returns (Calc)'!$A:$A)+1)-'Price History'!O3)*(ROW()-3)/(MATCH(9.99E+307,'Returns (Calc)'!$A:$A)-3),"")</f>
        <v>113.22748427672957</v>
      </c>
      <c r="AK139" s="152">
        <f>IFERROR('Price History'!Q3+(INDEX('Price History'!Q:Q,MATCH(9.99E+307,'Returns (Calc)'!$A:$A)+1)-'Price History'!Q3)*(ROW()-3)/(MATCH(9.99E+307,'Returns (Calc)'!$A:$A)-3),"")</f>
        <v>59.848553459119501</v>
      </c>
      <c r="AL139" s="152">
        <f>IFERROR('Price History'!R3+(INDEX('Price History'!R:R,MATCH(9.99E+307,'Returns (Calc)'!$A:$A)+1)-'Price History'!R3)*(ROW()-3)/(MATCH(9.99E+307,'Returns (Calc)'!$A:$A)-3),"")</f>
        <v>57.240754716981137</v>
      </c>
      <c r="AM139" s="152">
        <f>IFERROR('Price History'!S3+(INDEX('Price History'!S:S,MATCH(9.99E+307,'Returns (Calc)'!$A:$A)+1)-'Price History'!S3)*(ROW()-3)/(MATCH(9.99E+307,'Returns (Calc)'!$A:$A)-3),"")</f>
        <v>137.63050314465409</v>
      </c>
      <c r="AN139" s="152">
        <f>IFERROR('Price History'!T3+(INDEX('Price History'!T:T,MATCH(9.99E+307,'Returns (Calc)'!$A:$A)+1)-'Price History'!T3)*(ROW()-3)/(MATCH(9.99E+307,'Returns (Calc)'!$A:$A)-3),"")</f>
        <v>48.847547169811321</v>
      </c>
      <c r="AO139" s="153">
        <f>IFERROR('Price History'!V3+(INDEX('Price History'!V:V,MATCH(9.99E+307,'Returns (Calc)'!$A:$A)+1)-'Price History'!V3)*(ROW()-3)/(MATCH(9.99E+307,'Returns (Calc)'!$A:$A)-3),"")</f>
        <v>363.77792452830192</v>
      </c>
      <c r="AP139" s="151">
        <f>IFERROR(IF(OR(NOT(ISNUMBER('Price History'!W140)),NOT(ISNUMBER('Price History'!W139)),'Price History'!W139=0),"",'Price History'!W140/'Price History'!W139-1),"")</f>
        <v>1.0121457489878694E-2</v>
      </c>
      <c r="AQ139" s="151">
        <f>IFERROR(IF(OR(NOT(ISNUMBER('Price History'!X140)),NOT(ISNUMBER('Price History'!X139)),'Price History'!X139=0),"",'Price History'!X140/'Price History'!X139-1),"")</f>
        <v>5.1356589147286691E-2</v>
      </c>
      <c r="AR139" s="151">
        <f>IFERROR(IF(OR(NOT(ISNUMBER('Price History'!Y140)),NOT(ISNUMBER('Price History'!Y139)),'Price History'!Y139=0),"",'Price History'!Y140/'Price History'!Y139-1),"")</f>
        <v>-9.08430232558044E-4</v>
      </c>
      <c r="AS139" s="151">
        <f>IFERROR(IF(OR(NOT(ISNUMBER('Price History'!Z140)),NOT(ISNUMBER('Price History'!Z139)),'Price History'!Z139=0),"",'Price History'!Z140/'Price History'!Z139-1),"")</f>
        <v>6.6842568161828986E-3</v>
      </c>
      <c r="AT139" s="151">
        <f>IFERROR(IF(OR(NOT(ISNUMBER('Price History'!AA140)),NOT(ISNUMBER('Price History'!AA139)),'Price History'!AA139=0),"",'Price History'!AA140/'Price History'!AA139-1),"")</f>
        <v>-4.1107745564690212E-3</v>
      </c>
      <c r="AU139" s="151">
        <f>IFERROR(IF(OR(NOT(ISNUMBER('Price History'!AB140)),NOT(ISNUMBER('Price History'!AB139)),'Price History'!AB139=0),"",'Price History'!AB140/'Price History'!AB139-1),"")</f>
        <v>6.4978588717184982E-2</v>
      </c>
    </row>
    <row r="140" spans="1:47" ht="15" customHeight="1" x14ac:dyDescent="0.2">
      <c r="A140" s="149">
        <f>IF('Price History'!A141="","",'Price History'!A141)</f>
        <v>46150</v>
      </c>
      <c r="B140" s="150">
        <f>IFERROR(IF(OR(NOT(ISNUMBER('Price History'!B141)),NOT(ISNUMBER('Price History'!B140)),'Price History'!B140=0),"",'Price History'!B141/'Price History'!B140-1),"")</f>
        <v>9.2936061585098262E-3</v>
      </c>
      <c r="C140" s="150">
        <f>IFERROR(IF(OR(NOT(ISNUMBER('Price History'!C141)),NOT(ISNUMBER('Price History'!C140)),'Price History'!C140=0),"",'Price History'!C141/'Price History'!C140-1),"")</f>
        <v>-0.17909669947886497</v>
      </c>
      <c r="D140" s="150">
        <f>IFERROR(IF(OR(NOT(ISNUMBER('Price History'!D141)),NOT(ISNUMBER('Price History'!D140)),'Price History'!D140=0),"",'Price History'!D141/'Price History'!D140-1),"")</f>
        <v>0.11562048302670536</v>
      </c>
      <c r="E140" s="150">
        <f>IFERROR(IF(OR(NOT(ISNUMBER('Price History'!E141)),NOT(ISNUMBER('Price History'!E140)),'Price History'!E140=0),"",'Price History'!E141/'Price History'!E140-1),"")</f>
        <v>2.0697868286292609E-2</v>
      </c>
      <c r="F140" s="150">
        <f>IFERROR(IF(OR(NOT(ISNUMBER('Price History'!F141)),NOT(ISNUMBER('Price History'!F140)),'Price History'!F140=0),"",'Price History'!F141/'Price History'!F140-1),"")</f>
        <v>0.15828285488543581</v>
      </c>
      <c r="G140" s="150">
        <f>IFERROR(IF(OR(NOT(ISNUMBER('Price History'!G141)),NOT(ISNUMBER('Price History'!G140)),'Price History'!G140=0),"",'Price History'!G141/'Price History'!G140-1),"")</f>
        <v>8.2805876546077517E-2</v>
      </c>
      <c r="H140" s="150">
        <f>IFERROR(IF(OR(NOT(ISNUMBER('Price History'!H141)),NOT(ISNUMBER('Price History'!H140)),'Price History'!H140=0),"",'Price History'!H141/'Price History'!H140-1),"")</f>
        <v>0.37734491727076547</v>
      </c>
      <c r="I140" s="150">
        <f>IFERROR(IF(OR(NOT(ISNUMBER('Price History'!I141)),NOT(ISNUMBER('Price History'!I140)),'Price History'!I140=0),"",'Price History'!I141/'Price History'!I140-1),"")</f>
        <v>8.4393939393939466E-2</v>
      </c>
      <c r="J140" s="150">
        <f>IFERROR(IF(OR(NOT(ISNUMBER('Price History'!J141)),NOT(ISNUMBER('Price History'!J140)),'Price History'!J140=0),"",'Price History'!J141/'Price History'!J140-1),"")</f>
        <v>1.8881470313733884E-2</v>
      </c>
      <c r="K140" s="150">
        <f>IFERROR(IF(OR(NOT(ISNUMBER('Price History'!K141)),NOT(ISNUMBER('Price History'!K140)),'Price History'!K140=0),"",'Price History'!K141/'Price History'!K140-1),"")</f>
        <v>-4.3520510862774864E-2</v>
      </c>
      <c r="L140" s="150">
        <f>IFERROR(IF(OR(NOT(ISNUMBER('Price History'!L141)),NOT(ISNUMBER('Price History'!L140)),'Price History'!L140=0),"",'Price History'!L141/'Price History'!L140-1),"")</f>
        <v>3.5230489284270083E-2</v>
      </c>
      <c r="M140" s="150">
        <f>IFERROR(IF(OR(NOT(ISNUMBER('Price History'!M141)),NOT(ISNUMBER('Price History'!M140)),'Price History'!M140=0),"",'Price History'!M141/'Price History'!M140-1),"")</f>
        <v>3.5531448074110017E-2</v>
      </c>
      <c r="N140" s="150">
        <f>IFERROR(IF(OR(NOT(ISNUMBER('Price History'!N141)),NOT(ISNUMBER('Price History'!N140)),'Price History'!N140=0),"",'Price History'!N141/'Price History'!N140-1),"")</f>
        <v>1.3917720324589489E-2</v>
      </c>
      <c r="O140" s="150">
        <f>IFERROR(IF(OR(NOT(ISNUMBER('Price History'!O141)),NOT(ISNUMBER('Price History'!O140)),'Price History'!O140=0),"",'Price History'!O141/'Price History'!O140-1),"")</f>
        <v>-1.0073029463610883E-3</v>
      </c>
      <c r="P140" s="150">
        <f>IFERROR(IF(OR(NOT(ISNUMBER('Price History'!P141)),NOT(ISNUMBER('Price History'!P140)),'Price History'!P140=0),"",'Price History'!P141/'Price History'!P140-1),"")</f>
        <v>-1.5181388012618258E-2</v>
      </c>
      <c r="Q140" s="150">
        <f>IFERROR(IF(OR(NOT(ISNUMBER('Price History'!Q141)),NOT(ISNUMBER('Price History'!Q140)),'Price History'!Q140=0),"",'Price History'!Q141/'Price History'!Q140-1),"")</f>
        <v>1.9302152932443306E-3</v>
      </c>
      <c r="R140" s="150">
        <f>IFERROR(IF(OR(NOT(ISNUMBER('Price History'!R141)),NOT(ISNUMBER('Price History'!R140)),'Price History'!R140=0),"",'Price History'!R141/'Price History'!R140-1),"")</f>
        <v>1.271262309758292E-2</v>
      </c>
      <c r="S140" s="150">
        <f>IFERROR(IF(OR(NOT(ISNUMBER('Price History'!S141)),NOT(ISNUMBER('Price History'!S140)),'Price History'!S140=0),"",'Price History'!S141/'Price History'!S140-1),"")</f>
        <v>6.9850746268656838E-2</v>
      </c>
      <c r="T140" s="150">
        <f>IFERROR(IF(OR(NOT(ISNUMBER('Price History'!T141)),NOT(ISNUMBER('Price History'!T140)),'Price History'!T140=0),"",'Price History'!T141/'Price History'!T140-1),"")</f>
        <v>2.4528301886792336E-2</v>
      </c>
      <c r="U140" s="150">
        <f>IFERROR(IF(OR(NOT(ISNUMBER('Price History'!U141)),NOT(ISNUMBER('Price History'!U140)),'Price History'!U140=0),"",'Price History'!U141/'Price History'!U140-1),"")</f>
        <v>-7.6530612244897211E-3</v>
      </c>
      <c r="V140" s="151">
        <f>IFERROR(IF(OR(NOT(ISNUMBER('Price History'!V141)),NOT(ISNUMBER('Price History'!V140)),'Price History'!V140=0),"",'Price History'!V141/'Price History'!V140-1),"")</f>
        <v>-2.8156944359429503E-2</v>
      </c>
      <c r="W140" s="152">
        <f>IFERROR('Price History'!B3+(INDEX('Price History'!B:B,MATCH(9.99E+307,'Returns (Calc)'!$A:$A)+1)-'Price History'!B3)*(ROW()-3)/(MATCH(9.99E+307,'Returns (Calc)'!$A:$A)-3),"")</f>
        <v>281.92811320754714</v>
      </c>
      <c r="X140" s="152">
        <f>IFERROR('Price History'!C3+(INDEX('Price History'!C:C,MATCH(9.99E+307,'Returns (Calc)'!$A:$A)+1)-'Price History'!C3)*(ROW()-3)/(MATCH(9.99E+307,'Returns (Calc)'!$A:$A)-3),"")</f>
        <v>193.1405031446541</v>
      </c>
      <c r="Y140" s="152">
        <f>IFERROR('Price History'!D3+(INDEX('Price History'!D:D,MATCH(9.99E+307,'Returns (Calc)'!$A:$A)+1)-'Price History'!D3)*(ROW()-3)/(MATCH(9.99E+307,'Returns (Calc)'!$A:$A)-3),"")</f>
        <v>1614.5333333333333</v>
      </c>
      <c r="Z140" s="152">
        <f>IFERROR('Price History'!E3+(INDEX('Price History'!E:E,MATCH(9.99E+307,'Returns (Calc)'!$A:$A)+1)-'Price History'!E3)*(ROW()-3)/(MATCH(9.99E+307,'Returns (Calc)'!$A:$A)-3),"")</f>
        <v>322.86150943396228</v>
      </c>
      <c r="AA140" s="152">
        <f>IFERROR('Price History'!F3+(INDEX('Price History'!F:F,MATCH(9.99E+307,'Returns (Calc)'!$A:$A)+1)-'Price History'!F3)*(ROW()-3)/(MATCH(9.99E+307,'Returns (Calc)'!$A:$A)-3),"")</f>
        <v>242.70691823899369</v>
      </c>
      <c r="AB140" s="152">
        <f>IFERROR('Price History'!G3+(INDEX('Price History'!G:G,MATCH(9.99E+307,'Returns (Calc)'!$A:$A)+1)-'Price History'!G3)*(ROW()-3)/(MATCH(9.99E+307,'Returns (Calc)'!$A:$A)-3),"")</f>
        <v>174.64647798742138</v>
      </c>
      <c r="AC140" s="152">
        <f>IFERROR('Price History'!H3+(INDEX('Price History'!H:H,MATCH(9.99E+307,'Returns (Calc)'!$A:$A)+1)-'Price History'!H3)*(ROW()-3)/(MATCH(9.99E+307,'Returns (Calc)'!$A:$A)-3),"")</f>
        <v>896.18503144654085</v>
      </c>
      <c r="AD140" s="152">
        <f>IFERROR('Price History'!I3+(INDEX('Price History'!I:I,MATCH(9.99E+307,'Returns (Calc)'!$A:$A)+1)-'Price History'!I3)*(ROW()-3)/(MATCH(9.99E+307,'Returns (Calc)'!$A:$A)-3),"")</f>
        <v>203.6119496855346</v>
      </c>
      <c r="AE140" s="152">
        <f>IFERROR('Price History'!J3+(INDEX('Price History'!J:J,MATCH(9.99E+307,'Returns (Calc)'!$A:$A)+1)-'Price History'!J3)*(ROW()-3)/(MATCH(9.99E+307,'Returns (Calc)'!$A:$A)-3),"")</f>
        <v>127.04786163522013</v>
      </c>
      <c r="AF140" s="152">
        <f>IFERROR('Price History'!K3+(INDEX('Price History'!K:K,MATCH(9.99E+307,'Returns (Calc)'!$A:$A)+1)-'Price History'!K3)*(ROW()-3)/(MATCH(9.99E+307,'Returns (Calc)'!$A:$A)-3),"")</f>
        <v>182.24597484276731</v>
      </c>
      <c r="AG140" s="152">
        <f>IFERROR('Price History'!L3+(INDEX('Price History'!L:L,MATCH(9.99E+307,'Returns (Calc)'!$A:$A)+1)-'Price History'!L3)*(ROW()-3)/(MATCH(9.99E+307,'Returns (Calc)'!$A:$A)-3),"")</f>
        <v>402.45264150943399</v>
      </c>
      <c r="AH140" s="152">
        <f>IFERROR('Price History'!M3+(INDEX('Price History'!M:M,MATCH(9.99E+307,'Returns (Calc)'!$A:$A)+1)-'Price History'!M3)*(ROW()-3)/(MATCH(9.99E+307,'Returns (Calc)'!$A:$A)-3),"")</f>
        <v>214.44842767295597</v>
      </c>
      <c r="AI140" s="152">
        <f>IFERROR('Price History'!N3+(INDEX('Price History'!N:N,MATCH(9.99E+307,'Returns (Calc)'!$A:$A)+1)-'Price History'!N3)*(ROW()-3)/(MATCH(9.99E+307,'Returns (Calc)'!$A:$A)-3),"")</f>
        <v>487.77836477987421</v>
      </c>
      <c r="AJ140" s="152">
        <f>IFERROR('Price History'!O3+(INDEX('Price History'!O:O,MATCH(9.99E+307,'Returns (Calc)'!$A:$A)+1)-'Price History'!O3)*(ROW()-3)/(MATCH(9.99E+307,'Returns (Calc)'!$A:$A)-3),"")</f>
        <v>113.50628930817609</v>
      </c>
      <c r="AK140" s="152">
        <f>IFERROR('Price History'!Q3+(INDEX('Price History'!Q:Q,MATCH(9.99E+307,'Returns (Calc)'!$A:$A)+1)-'Price History'!Q3)*(ROW()-3)/(MATCH(9.99E+307,'Returns (Calc)'!$A:$A)-3),"")</f>
        <v>60.288616352201252</v>
      </c>
      <c r="AL140" s="152">
        <f>IFERROR('Price History'!R3+(INDEX('Price History'!R:R,MATCH(9.99E+307,'Returns (Calc)'!$A:$A)+1)-'Price History'!R3)*(ROW()-3)/(MATCH(9.99E+307,'Returns (Calc)'!$A:$A)-3),"")</f>
        <v>57.408113207547174</v>
      </c>
      <c r="AM140" s="152">
        <f>IFERROR('Price History'!S3+(INDEX('Price History'!S:S,MATCH(9.99E+307,'Returns (Calc)'!$A:$A)+1)-'Price History'!S3)*(ROW()-3)/(MATCH(9.99E+307,'Returns (Calc)'!$A:$A)-3),"")</f>
        <v>138.21874213836477</v>
      </c>
      <c r="AN140" s="152">
        <f>IFERROR('Price History'!T3+(INDEX('Price History'!T:T,MATCH(9.99E+307,'Returns (Calc)'!$A:$A)+1)-'Price History'!T3)*(ROW()-3)/(MATCH(9.99E+307,'Returns (Calc)'!$A:$A)-3),"")</f>
        <v>49.021132075471698</v>
      </c>
      <c r="AO140" s="153">
        <f>IFERROR('Price History'!V3+(INDEX('Price History'!V:V,MATCH(9.99E+307,'Returns (Calc)'!$A:$A)+1)-'Price History'!V3)*(ROW()-3)/(MATCH(9.99E+307,'Returns (Calc)'!$A:$A)-3),"")</f>
        <v>364.72018867924527</v>
      </c>
      <c r="AP140" s="151">
        <f>IFERROR(IF(OR(NOT(ISNUMBER('Price History'!W141)),NOT(ISNUMBER('Price History'!W140)),'Price History'!W140=0),"",'Price History'!W141/'Price History'!W140-1),"")</f>
        <v>-6.7231236666881466E-3</v>
      </c>
      <c r="AQ140" s="151">
        <f>IFERROR(IF(OR(NOT(ISNUMBER('Price History'!X141)),NOT(ISNUMBER('Price History'!X140)),'Price History'!X140=0),"",'Price History'!X141/'Price History'!X140-1),"")</f>
        <v>-3.5207373271889386E-2</v>
      </c>
      <c r="AR140" s="151">
        <f>IFERROR(IF(OR(NOT(ISNUMBER('Price History'!Y141)),NOT(ISNUMBER('Price History'!Y140)),'Price History'!Y140=0),"",'Price History'!Y141/'Price History'!Y140-1),"")</f>
        <v>-1.5275504637206838E-2</v>
      </c>
      <c r="AS140" s="151">
        <f>IFERROR(IF(OR(NOT(ISNUMBER('Price History'!Z141)),NOT(ISNUMBER('Price History'!Z140)),'Price History'!Z140=0),"",'Price History'!Z141/'Price History'!Z140-1),"")</f>
        <v>3.7148348768128558E-2</v>
      </c>
      <c r="AT140" s="151">
        <f>IFERROR(IF(OR(NOT(ISNUMBER('Price History'!AA141)),NOT(ISNUMBER('Price History'!AA140)),'Price History'!AA140=0),"",'Price History'!AA141/'Price History'!AA140-1),"")</f>
        <v>-4.9641538127308316E-2</v>
      </c>
      <c r="AU140" s="151">
        <f>IFERROR(IF(OR(NOT(ISNUMBER('Price History'!AB141)),NOT(ISNUMBER('Price History'!AB140)),'Price History'!AB140=0),"",'Price History'!AB141/'Price History'!AB140-1),"")</f>
        <v>-3.0652680652680564E-2</v>
      </c>
    </row>
    <row r="141" spans="1:47" ht="15" customHeight="1" x14ac:dyDescent="0.2">
      <c r="A141" s="149">
        <f>IF('Price History'!A142="","",'Price History'!A142)</f>
        <v>46157</v>
      </c>
      <c r="B141" s="150">
        <f>IFERROR(IF(OR(NOT(ISNUMBER('Price History'!B142)),NOT(ISNUMBER('Price History'!B141)),'Price History'!B141=0),"",'Price History'!B142/'Price History'!B141-1),"")</f>
        <v>-2.1498577300031574E-2</v>
      </c>
      <c r="C141" s="150">
        <f>IFERROR(IF(OR(NOT(ISNUMBER('Price History'!C142)),NOT(ISNUMBER('Price History'!C141)),'Price History'!C141=0),"",'Price History'!C142/'Price History'!C141-1),"")</f>
        <v>1.4107356986667874E-3</v>
      </c>
      <c r="D141" s="150">
        <f>IFERROR(IF(OR(NOT(ISNUMBER('Price History'!D142)),NOT(ISNUMBER('Price History'!D141)),'Price History'!D141=0),"",'Price History'!D142/'Price History'!D141-1),"")</f>
        <v>-5.6661802812649431E-2</v>
      </c>
      <c r="E141" s="150">
        <f>IFERROR(IF(OR(NOT(ISNUMBER('Price History'!E142)),NOT(ISNUMBER('Price History'!E141)),'Price History'!E141=0),"",'Price History'!E142/'Price History'!E141-1),"")</f>
        <v>-1.1177486348998955E-2</v>
      </c>
      <c r="F141" s="150">
        <f>IFERROR(IF(OR(NOT(ISNUMBER('Price History'!F142)),NOT(ISNUMBER('Price History'!F141)),'Price History'!F141=0),"",'Price History'!F142/'Price History'!F141-1),"")</f>
        <v>0.12566318023343959</v>
      </c>
      <c r="G141" s="150">
        <f>IFERROR(IF(OR(NOT(ISNUMBER('Price History'!G142)),NOT(ISNUMBER('Price History'!G141)),'Price History'!G141=0),"",'Price History'!G142/'Price History'!G141-1),"")</f>
        <v>-3.4697270338392205E-2</v>
      </c>
      <c r="H141" s="150">
        <f>IFERROR(IF(OR(NOT(ISNUMBER('Price History'!H142)),NOT(ISNUMBER('Price History'!H141)),'Price History'!H141=0),"",'Price History'!H142/'Price History'!H141-1),"")</f>
        <v>-2.9663854292219183E-2</v>
      </c>
      <c r="I141" s="150">
        <f>IFERROR(IF(OR(NOT(ISNUMBER('Price History'!I142)),NOT(ISNUMBER('Price History'!I141)),'Price History'!I141=0),"",'Price History'!I142/'Price History'!I141-1),"")</f>
        <v>4.7040193749708914E-2</v>
      </c>
      <c r="J141" s="150">
        <f>IFERROR(IF(OR(NOT(ISNUMBER('Price History'!J142)),NOT(ISNUMBER('Price History'!J141)),'Price History'!J141=0),"",'Price History'!J142/'Price History'!J141-1),"")</f>
        <v>-2.466178128523111E-2</v>
      </c>
      <c r="K141" s="150">
        <f>IFERROR(IF(OR(NOT(ISNUMBER('Price History'!K142)),NOT(ISNUMBER('Price History'!K141)),'Price History'!K141=0),"",'Price History'!K142/'Price History'!K141-1),"")</f>
        <v>-2.7648766328011609E-2</v>
      </c>
      <c r="L141" s="150">
        <f>IFERROR(IF(OR(NOT(ISNUMBER('Price History'!L142)),NOT(ISNUMBER('Price History'!L141)),'Price History'!L141=0),"",'Price History'!L142/'Price History'!L141-1),"")</f>
        <v>-1.7796982569210584E-2</v>
      </c>
      <c r="M141" s="150">
        <f>IFERROR(IF(OR(NOT(ISNUMBER('Price History'!M142)),NOT(ISNUMBER('Price History'!M141)),'Price History'!M141=0),"",'Price History'!M142/'Price History'!M141-1),"")</f>
        <v>9.1077629333176313E-2</v>
      </c>
      <c r="N141" s="150">
        <f>IFERROR(IF(OR(NOT(ISNUMBER('Price History'!N142)),NOT(ISNUMBER('Price History'!N141)),'Price History'!N141=0),"",'Price History'!N142/'Price History'!N141-1),"")</f>
        <v>1.6588339304825173E-2</v>
      </c>
      <c r="O141" s="150">
        <f>IFERROR(IF(OR(NOT(ISNUMBER('Price History'!O142)),NOT(ISNUMBER('Price History'!O141)),'Price History'!O141=0),"",'Price History'!O142/'Price History'!O141-1),"")</f>
        <v>-2.1594823964372845E-2</v>
      </c>
      <c r="P141" s="150">
        <f>IFERROR(IF(OR(NOT(ISNUMBER('Price History'!P142)),NOT(ISNUMBER('Price History'!P141)),'Price History'!P141=0),"",'Price History'!P142/'Price History'!P141-1),"")</f>
        <v>-8.6753420086752575E-3</v>
      </c>
      <c r="Q141" s="150">
        <f>IFERROR(IF(OR(NOT(ISNUMBER('Price History'!Q142)),NOT(ISNUMBER('Price History'!Q141)),'Price History'!Q141=0),"",'Price History'!Q142/'Price History'!Q141-1),"")</f>
        <v>2.9638411381149865E-4</v>
      </c>
      <c r="R141" s="150">
        <f>IFERROR(IF(OR(NOT(ISNUMBER('Price History'!R142)),NOT(ISNUMBER('Price History'!R141)),'Price History'!R141=0),"",'Price History'!R142/'Price History'!R141-1),"")</f>
        <v>2.652050919377702E-3</v>
      </c>
      <c r="S141" s="150">
        <f>IFERROR(IF(OR(NOT(ISNUMBER('Price History'!S142)),NOT(ISNUMBER('Price History'!S141)),'Price History'!S141=0),"",'Price History'!S142/'Price History'!S141-1),"")</f>
        <v>-2.3018973214286031E-3</v>
      </c>
      <c r="T141" s="150">
        <f>IFERROR(IF(OR(NOT(ISNUMBER('Price History'!T142)),NOT(ISNUMBER('Price History'!T141)),'Price History'!T141=0),"",'Price History'!T142/'Price History'!T141-1),"")</f>
        <v>-2.5782688766114115E-2</v>
      </c>
      <c r="U141" s="150">
        <f>IFERROR(IF(OR(NOT(ISNUMBER('Price History'!U142)),NOT(ISNUMBER('Price History'!U141)),'Price History'!U141=0),"",'Price History'!U142/'Price History'!U141-1),"")</f>
        <v>3.2133676092545027E-3</v>
      </c>
      <c r="V141" s="151">
        <f>IFERROR(IF(OR(NOT(ISNUMBER('Price History'!V142)),NOT(ISNUMBER('Price History'!V141)),'Price History'!V141=0),"",'Price History'!V142/'Price History'!V141-1),"")</f>
        <v>2.3965484663349468E-2</v>
      </c>
      <c r="W141" s="152">
        <f>IFERROR('Price History'!B3+(INDEX('Price History'!B:B,MATCH(9.99E+307,'Returns (Calc)'!$A:$A)+1)-'Price History'!B3)*(ROW()-3)/(MATCH(9.99E+307,'Returns (Calc)'!$A:$A)-3),"")</f>
        <v>280.12547169811319</v>
      </c>
      <c r="X141" s="152">
        <f>IFERROR('Price History'!C3+(INDEX('Price History'!C:C,MATCH(9.99E+307,'Returns (Calc)'!$A:$A)+1)-'Price History'!C3)*(ROW()-3)/(MATCH(9.99E+307,'Returns (Calc)'!$A:$A)-3),"")</f>
        <v>194.21320754716982</v>
      </c>
      <c r="Y141" s="152">
        <f>IFERROR('Price History'!D3+(INDEX('Price History'!D:D,MATCH(9.99E+307,'Returns (Calc)'!$A:$A)+1)-'Price History'!D3)*(ROW()-3)/(MATCH(9.99E+307,'Returns (Calc)'!$A:$A)-3),"")</f>
        <v>1622.07</v>
      </c>
      <c r="Z141" s="152">
        <f>IFERROR('Price History'!E3+(INDEX('Price History'!E:E,MATCH(9.99E+307,'Returns (Calc)'!$A:$A)+1)-'Price History'!E3)*(ROW()-3)/(MATCH(9.99E+307,'Returns (Calc)'!$A:$A)-3),"")</f>
        <v>324.61962264150947</v>
      </c>
      <c r="AA141" s="152">
        <f>IFERROR('Price History'!F3+(INDEX('Price History'!F:F,MATCH(9.99E+307,'Returns (Calc)'!$A:$A)+1)-'Price History'!F3)*(ROW()-3)/(MATCH(9.99E+307,'Returns (Calc)'!$A:$A)-3),"")</f>
        <v>244.17660377358493</v>
      </c>
      <c r="AB141" s="152">
        <f>IFERROR('Price History'!G3+(INDEX('Price History'!G:G,MATCH(9.99E+307,'Returns (Calc)'!$A:$A)+1)-'Price History'!G3)*(ROW()-3)/(MATCH(9.99E+307,'Returns (Calc)'!$A:$A)-3),"")</f>
        <v>175.59754716981132</v>
      </c>
      <c r="AC141" s="152">
        <f>IFERROR('Price History'!H3+(INDEX('Price History'!H:H,MATCH(9.99E+307,'Returns (Calc)'!$A:$A)+1)-'Price History'!H3)*(ROW()-3)/(MATCH(9.99E+307,'Returns (Calc)'!$A:$A)-3),"")</f>
        <v>902.22207547169819</v>
      </c>
      <c r="AD141" s="152">
        <f>IFERROR('Price History'!I3+(INDEX('Price History'!I:I,MATCH(9.99E+307,'Returns (Calc)'!$A:$A)+1)-'Price History'!I3)*(ROW()-3)/(MATCH(9.99E+307,'Returns (Calc)'!$A:$A)-3),"")</f>
        <v>204.778679245283</v>
      </c>
      <c r="AE141" s="152">
        <f>IFERROR('Price History'!J3+(INDEX('Price History'!J:J,MATCH(9.99E+307,'Returns (Calc)'!$A:$A)+1)-'Price History'!J3)*(ROW()-3)/(MATCH(9.99E+307,'Returns (Calc)'!$A:$A)-3),"")</f>
        <v>127.15886792452831</v>
      </c>
      <c r="AF141" s="152">
        <f>IFERROR('Price History'!K3+(INDEX('Price History'!K:K,MATCH(9.99E+307,'Returns (Calc)'!$A:$A)+1)-'Price History'!K3)*(ROW()-3)/(MATCH(9.99E+307,'Returns (Calc)'!$A:$A)-3),"")</f>
        <v>183.46433962264152</v>
      </c>
      <c r="AG141" s="152">
        <f>IFERROR('Price History'!L3+(INDEX('Price History'!L:L,MATCH(9.99E+307,'Returns (Calc)'!$A:$A)+1)-'Price History'!L3)*(ROW()-3)/(MATCH(9.99E+307,'Returns (Calc)'!$A:$A)-3),"")</f>
        <v>404.7643396226415</v>
      </c>
      <c r="AH141" s="152">
        <f>IFERROR('Price History'!M3+(INDEX('Price History'!M:M,MATCH(9.99E+307,'Returns (Calc)'!$A:$A)+1)-'Price History'!M3)*(ROW()-3)/(MATCH(9.99E+307,'Returns (Calc)'!$A:$A)-3),"")</f>
        <v>215.73622641509434</v>
      </c>
      <c r="AI141" s="152">
        <f>IFERROR('Price History'!N3+(INDEX('Price History'!N:N,MATCH(9.99E+307,'Returns (Calc)'!$A:$A)+1)-'Price History'!N3)*(ROW()-3)/(MATCH(9.99E+307,'Returns (Calc)'!$A:$A)-3),"")</f>
        <v>488.79207547169813</v>
      </c>
      <c r="AJ141" s="152">
        <f>IFERROR('Price History'!O3+(INDEX('Price History'!O:O,MATCH(9.99E+307,'Returns (Calc)'!$A:$A)+1)-'Price History'!O3)*(ROW()-3)/(MATCH(9.99E+307,'Returns (Calc)'!$A:$A)-3),"")</f>
        <v>113.78509433962265</v>
      </c>
      <c r="AK141" s="152">
        <f>IFERROR('Price History'!Q3+(INDEX('Price History'!Q:Q,MATCH(9.99E+307,'Returns (Calc)'!$A:$A)+1)-'Price History'!Q3)*(ROW()-3)/(MATCH(9.99E+307,'Returns (Calc)'!$A:$A)-3),"")</f>
        <v>60.728679245283026</v>
      </c>
      <c r="AL141" s="152">
        <f>IFERROR('Price History'!R3+(INDEX('Price History'!R:R,MATCH(9.99E+307,'Returns (Calc)'!$A:$A)+1)-'Price History'!R3)*(ROW()-3)/(MATCH(9.99E+307,'Returns (Calc)'!$A:$A)-3),"")</f>
        <v>57.575471698113205</v>
      </c>
      <c r="AM141" s="152">
        <f>IFERROR('Price History'!S3+(INDEX('Price History'!S:S,MATCH(9.99E+307,'Returns (Calc)'!$A:$A)+1)-'Price History'!S3)*(ROW()-3)/(MATCH(9.99E+307,'Returns (Calc)'!$A:$A)-3),"")</f>
        <v>138.80698113207546</v>
      </c>
      <c r="AN141" s="152">
        <f>IFERROR('Price History'!T3+(INDEX('Price History'!T:T,MATCH(9.99E+307,'Returns (Calc)'!$A:$A)+1)-'Price History'!T3)*(ROW()-3)/(MATCH(9.99E+307,'Returns (Calc)'!$A:$A)-3),"")</f>
        <v>49.194716981132075</v>
      </c>
      <c r="AO141" s="153">
        <f>IFERROR('Price History'!V3+(INDEX('Price History'!V:V,MATCH(9.99E+307,'Returns (Calc)'!$A:$A)+1)-'Price History'!V3)*(ROW()-3)/(MATCH(9.99E+307,'Returns (Calc)'!$A:$A)-3),"")</f>
        <v>365.66245283018867</v>
      </c>
      <c r="AP141" s="151">
        <f>IFERROR(IF(OR(NOT(ISNUMBER('Price History'!W142)),NOT(ISNUMBER('Price History'!W141)),'Price History'!W141=0),"",'Price History'!W142/'Price History'!W141-1),"")</f>
        <v>1.9524894240154911E-3</v>
      </c>
      <c r="AQ141" s="151">
        <f>IFERROR(IF(OR(NOT(ISNUMBER('Price History'!X142)),NOT(ISNUMBER('Price History'!X141)),'Price History'!X141=0),"",'Price History'!X142/'Price History'!X141-1),"")</f>
        <v>4.1268628200229251E-2</v>
      </c>
      <c r="AR141" s="151">
        <f>IFERROR(IF(OR(NOT(ISNUMBER('Price History'!Y142)),NOT(ISNUMBER('Price History'!Y141)),'Price History'!Y141=0),"",'Price History'!Y142/'Price History'!Y141-1),"")</f>
        <v>-1.1080332409971749E-3</v>
      </c>
      <c r="AS141" s="151">
        <f>IFERROR(IF(OR(NOT(ISNUMBER('Price History'!Z142)),NOT(ISNUMBER('Price History'!Z141)),'Price History'!Z141=0),"",'Price History'!Z142/'Price History'!Z141-1),"")</f>
        <v>-5.2564188961520153E-2</v>
      </c>
      <c r="AT141" s="151">
        <f>IFERROR(IF(OR(NOT(ISNUMBER('Price History'!AA142)),NOT(ISNUMBER('Price History'!AA141)),'Price History'!AA141=0),"",'Price History'!AA142/'Price History'!AA141-1),"")</f>
        <v>-5.3720425191450261E-3</v>
      </c>
      <c r="AU141" s="151">
        <f>IFERROR(IF(OR(NOT(ISNUMBER('Price History'!AB142)),NOT(ISNUMBER('Price History'!AB141)),'Price History'!AB141=0),"",'Price History'!AB142/'Price History'!AB141-1),"")</f>
        <v>-4.4968137549597165E-2</v>
      </c>
    </row>
    <row r="142" spans="1:47" ht="15" customHeight="1" x14ac:dyDescent="0.2">
      <c r="A142" s="149">
        <f>IF('Price History'!A143="","",'Price History'!A143)</f>
        <v>46164</v>
      </c>
      <c r="B142" s="150">
        <f>IFERROR(IF(OR(NOT(ISNUMBER('Price History'!B143)),NOT(ISNUMBER('Price History'!B142)),'Price History'!B142=0),"",'Price History'!B143/'Price History'!B142-1),"")</f>
        <v>-1.1470113085621958E-2</v>
      </c>
      <c r="C142" s="150">
        <f>IFERROR(IF(OR(NOT(ISNUMBER('Price History'!C143)),NOT(ISNUMBER('Price History'!C142)),'Price History'!C142=0),"",'Price History'!C143/'Price History'!C142-1),"")</f>
        <v>8.494752412481521E-2</v>
      </c>
      <c r="D142" s="150">
        <f>IFERROR(IF(OR(NOT(ISNUMBER('Price History'!D143)),NOT(ISNUMBER('Price History'!D142)),'Price History'!D142=0),"",'Price History'!D143/'Price History'!D142-1),"")</f>
        <v>8.7287564922293281E-2</v>
      </c>
      <c r="E142" s="150">
        <f>IFERROR(IF(OR(NOT(ISNUMBER('Price History'!E143)),NOT(ISNUMBER('Price History'!E142)),'Price History'!E142=0),"",'Price History'!E143/'Price History'!E142-1),"")</f>
        <v>-2.6005899705014657E-2</v>
      </c>
      <c r="F142" s="150">
        <f>IFERROR(IF(OR(NOT(ISNUMBER('Price History'!F143)),NOT(ISNUMBER('Price History'!F142)),'Price History'!F142=0),"",'Price History'!F143/'Price History'!F142-1),"")</f>
        <v>0.11681928359816851</v>
      </c>
      <c r="G142" s="150">
        <f>IFERROR(IF(OR(NOT(ISNUMBER('Price History'!G143)),NOT(ISNUMBER('Price History'!G142)),'Price History'!G142=0),"",'Price History'!G143/'Price History'!G142-1),"")</f>
        <v>4.788888888888887E-2</v>
      </c>
      <c r="H142" s="150">
        <f>IFERROR(IF(OR(NOT(ISNUMBER('Price History'!H143)),NOT(ISNUMBER('Price History'!H142)),'Price History'!H142=0),"",'Price History'!H143/'Price History'!H142-1),"")</f>
        <v>3.63397971154511E-2</v>
      </c>
      <c r="I142" s="150">
        <f>IFERROR(IF(OR(NOT(ISNUMBER('Price History'!I143)),NOT(ISNUMBER('Price History'!I142)),'Price History'!I142=0),"",'Price History'!I143/'Price History'!I142-1),"")</f>
        <v>-4.4348561007072629E-2</v>
      </c>
      <c r="J142" s="150">
        <f>IFERROR(IF(OR(NOT(ISNUMBER('Price History'!J143)),NOT(ISNUMBER('Price History'!J142)),'Price History'!J142=0),"",'Price History'!J143/'Price History'!J142-1),"")</f>
        <v>3.8217020661754253E-2</v>
      </c>
      <c r="K142" s="150">
        <f>IFERROR(IF(OR(NOT(ISNUMBER('Price History'!K143)),NOT(ISNUMBER('Price History'!K142)),'Price History'!K142=0),"",'Price History'!K143/'Price History'!K142-1),"")</f>
        <v>2.1568773789088613E-2</v>
      </c>
      <c r="L142" s="150">
        <f>IFERROR(IF(OR(NOT(ISNUMBER('Price History'!L143)),NOT(ISNUMBER('Price History'!L142)),'Price History'!L142=0),"",'Price History'!L143/'Price History'!L142-1),"")</f>
        <v>4.2253871200270687E-4</v>
      </c>
      <c r="M142" s="150">
        <f>IFERROR(IF(OR(NOT(ISNUMBER('Price History'!M143)),NOT(ISNUMBER('Price History'!M142)),'Price History'!M142=0),"",'Price History'!M143/'Price History'!M142-1),"")</f>
        <v>-0.11721552444911931</v>
      </c>
      <c r="N142" s="150">
        <f>IFERROR(IF(OR(NOT(ISNUMBER('Price History'!N143)),NOT(ISNUMBER('Price History'!N142)),'Price History'!N142=0),"",'Price History'!N143/'Price History'!N142-1),"")</f>
        <v>-5.5612770339855677E-3</v>
      </c>
      <c r="O142" s="150">
        <f>IFERROR(IF(OR(NOT(ISNUMBER('Price History'!O143)),NOT(ISNUMBER('Price History'!O142)),'Price History'!O142=0),"",'Price History'!O143/'Price History'!O142-1),"")</f>
        <v>2.370319477842675E-2</v>
      </c>
      <c r="P142" s="150">
        <f>IFERROR(IF(OR(NOT(ISNUMBER('Price History'!P143)),NOT(ISNUMBER('Price History'!P142)),'Price History'!P142=0),"",'Price History'!P143/'Price History'!P142-1),"")</f>
        <v>3.1773813530797668E-2</v>
      </c>
      <c r="Q142" s="150">
        <f>IFERROR(IF(OR(NOT(ISNUMBER('Price History'!Q143)),NOT(ISNUMBER('Price History'!Q142)),'Price History'!Q142=0),"",'Price History'!Q143/'Price History'!Q142-1),"")</f>
        <v>7.407407407407085E-4</v>
      </c>
      <c r="R142" s="150">
        <f>IFERROR(IF(OR(NOT(ISNUMBER('Price History'!R143)),NOT(ISNUMBER('Price History'!R142)),'Price History'!R142=0),"",'Price History'!R143/'Price History'!R142-1),"")</f>
        <v>7.4061012167165874E-3</v>
      </c>
      <c r="S142" s="150">
        <f>IFERROR(IF(OR(NOT(ISNUMBER('Price History'!S143)),NOT(ISNUMBER('Price History'!S142)),'Price History'!S142=0),"",'Price History'!S143/'Price History'!S142-1),"")</f>
        <v>1.0137733342655331E-2</v>
      </c>
      <c r="T142" s="150">
        <f>IFERROR(IF(OR(NOT(ISNUMBER('Price History'!T143)),NOT(ISNUMBER('Price History'!T142)),'Price History'!T142=0),"",'Price History'!T143/'Price History'!T142-1),"")</f>
        <v>3.969754253308122E-2</v>
      </c>
      <c r="U142" s="150">
        <f>IFERROR(IF(OR(NOT(ISNUMBER('Price History'!U143)),NOT(ISNUMBER('Price History'!U142)),'Price History'!U142=0),"",'Price History'!U143/'Price History'!U142-1),"")</f>
        <v>3.4913516976297299E-2</v>
      </c>
      <c r="V142" s="151">
        <f>IFERROR(IF(OR(NOT(ISNUMBER('Price History'!V143)),NOT(ISNUMBER('Price History'!V142)),'Price History'!V142=0),"",'Price History'!V143/'Price History'!V142-1),"")</f>
        <v>9.5955712747961552E-3</v>
      </c>
      <c r="W142" s="152">
        <f>IFERROR('Price History'!B3+(INDEX('Price History'!B:B,MATCH(9.99E+307,'Returns (Calc)'!$A:$A)+1)-'Price History'!B3)*(ROW()-3)/(MATCH(9.99E+307,'Returns (Calc)'!$A:$A)-3),"")</f>
        <v>278.32283018867923</v>
      </c>
      <c r="X142" s="152">
        <f>IFERROR('Price History'!C3+(INDEX('Price History'!C:C,MATCH(9.99E+307,'Returns (Calc)'!$A:$A)+1)-'Price History'!C3)*(ROW()-3)/(MATCH(9.99E+307,'Returns (Calc)'!$A:$A)-3),"")</f>
        <v>195.28591194968556</v>
      </c>
      <c r="Y142" s="152">
        <f>IFERROR('Price History'!D3+(INDEX('Price History'!D:D,MATCH(9.99E+307,'Returns (Calc)'!$A:$A)+1)-'Price History'!D3)*(ROW()-3)/(MATCH(9.99E+307,'Returns (Calc)'!$A:$A)-3),"")</f>
        <v>1629.6066666666666</v>
      </c>
      <c r="Z142" s="152">
        <f>IFERROR('Price History'!E3+(INDEX('Price History'!E:E,MATCH(9.99E+307,'Returns (Calc)'!$A:$A)+1)-'Price History'!E3)*(ROW()-3)/(MATCH(9.99E+307,'Returns (Calc)'!$A:$A)-3),"")</f>
        <v>326.37773584905665</v>
      </c>
      <c r="AA142" s="152">
        <f>IFERROR('Price History'!F3+(INDEX('Price History'!F:F,MATCH(9.99E+307,'Returns (Calc)'!$A:$A)+1)-'Price History'!F3)*(ROW()-3)/(MATCH(9.99E+307,'Returns (Calc)'!$A:$A)-3),"")</f>
        <v>245.64628930817611</v>
      </c>
      <c r="AB142" s="152">
        <f>IFERROR('Price History'!G3+(INDEX('Price History'!G:G,MATCH(9.99E+307,'Returns (Calc)'!$A:$A)+1)-'Price History'!G3)*(ROW()-3)/(MATCH(9.99E+307,'Returns (Calc)'!$A:$A)-3),"")</f>
        <v>176.54861635220124</v>
      </c>
      <c r="AC142" s="152">
        <f>IFERROR('Price History'!H3+(INDEX('Price History'!H:H,MATCH(9.99E+307,'Returns (Calc)'!$A:$A)+1)-'Price History'!H3)*(ROW()-3)/(MATCH(9.99E+307,'Returns (Calc)'!$A:$A)-3),"")</f>
        <v>908.25911949685531</v>
      </c>
      <c r="AD142" s="152">
        <f>IFERROR('Price History'!I3+(INDEX('Price History'!I:I,MATCH(9.99E+307,'Returns (Calc)'!$A:$A)+1)-'Price History'!I3)*(ROW()-3)/(MATCH(9.99E+307,'Returns (Calc)'!$A:$A)-3),"")</f>
        <v>205.94540880503146</v>
      </c>
      <c r="AE142" s="152">
        <f>IFERROR('Price History'!J3+(INDEX('Price History'!J:J,MATCH(9.99E+307,'Returns (Calc)'!$A:$A)+1)-'Price History'!J3)*(ROW()-3)/(MATCH(9.99E+307,'Returns (Calc)'!$A:$A)-3),"")</f>
        <v>127.26987421383649</v>
      </c>
      <c r="AF142" s="152">
        <f>IFERROR('Price History'!K3+(INDEX('Price History'!K:K,MATCH(9.99E+307,'Returns (Calc)'!$A:$A)+1)-'Price History'!K3)*(ROW()-3)/(MATCH(9.99E+307,'Returns (Calc)'!$A:$A)-3),"")</f>
        <v>184.68270440251572</v>
      </c>
      <c r="AG142" s="152">
        <f>IFERROR('Price History'!L3+(INDEX('Price History'!L:L,MATCH(9.99E+307,'Returns (Calc)'!$A:$A)+1)-'Price History'!L3)*(ROW()-3)/(MATCH(9.99E+307,'Returns (Calc)'!$A:$A)-3),"")</f>
        <v>407.07603773584907</v>
      </c>
      <c r="AH142" s="152">
        <f>IFERROR('Price History'!M3+(INDEX('Price History'!M:M,MATCH(9.99E+307,'Returns (Calc)'!$A:$A)+1)-'Price History'!M3)*(ROW()-3)/(MATCH(9.99E+307,'Returns (Calc)'!$A:$A)-3),"")</f>
        <v>217.0240251572327</v>
      </c>
      <c r="AI142" s="152">
        <f>IFERROR('Price History'!N3+(INDEX('Price History'!N:N,MATCH(9.99E+307,'Returns (Calc)'!$A:$A)+1)-'Price History'!N3)*(ROW()-3)/(MATCH(9.99E+307,'Returns (Calc)'!$A:$A)-3),"")</f>
        <v>489.80578616352199</v>
      </c>
      <c r="AJ142" s="152">
        <f>IFERROR('Price History'!O3+(INDEX('Price History'!O:O,MATCH(9.99E+307,'Returns (Calc)'!$A:$A)+1)-'Price History'!O3)*(ROW()-3)/(MATCH(9.99E+307,'Returns (Calc)'!$A:$A)-3),"")</f>
        <v>114.06389937106918</v>
      </c>
      <c r="AK142" s="152">
        <f>IFERROR('Price History'!Q3+(INDEX('Price History'!Q:Q,MATCH(9.99E+307,'Returns (Calc)'!$A:$A)+1)-'Price History'!Q3)*(ROW()-3)/(MATCH(9.99E+307,'Returns (Calc)'!$A:$A)-3),"")</f>
        <v>61.168742138364777</v>
      </c>
      <c r="AL142" s="152">
        <f>IFERROR('Price History'!R3+(INDEX('Price History'!R:R,MATCH(9.99E+307,'Returns (Calc)'!$A:$A)+1)-'Price History'!R3)*(ROW()-3)/(MATCH(9.99E+307,'Returns (Calc)'!$A:$A)-3),"")</f>
        <v>57.74283018867925</v>
      </c>
      <c r="AM142" s="152">
        <f>IFERROR('Price History'!S3+(INDEX('Price History'!S:S,MATCH(9.99E+307,'Returns (Calc)'!$A:$A)+1)-'Price History'!S3)*(ROW()-3)/(MATCH(9.99E+307,'Returns (Calc)'!$A:$A)-3),"")</f>
        <v>139.39522012578615</v>
      </c>
      <c r="AN142" s="152">
        <f>IFERROR('Price History'!T3+(INDEX('Price History'!T:T,MATCH(9.99E+307,'Returns (Calc)'!$A:$A)+1)-'Price History'!T3)*(ROW()-3)/(MATCH(9.99E+307,'Returns (Calc)'!$A:$A)-3),"")</f>
        <v>49.368301886792452</v>
      </c>
      <c r="AO142" s="153">
        <f>IFERROR('Price History'!V3+(INDEX('Price History'!V:V,MATCH(9.99E+307,'Returns (Calc)'!$A:$A)+1)-'Price History'!V3)*(ROW()-3)/(MATCH(9.99E+307,'Returns (Calc)'!$A:$A)-3),"")</f>
        <v>366.60471698113207</v>
      </c>
      <c r="AP142" s="151">
        <f>IFERROR(IF(OR(NOT(ISNUMBER('Price History'!W143)),NOT(ISNUMBER('Price History'!W142)),'Price History'!W142=0),"",'Price History'!W143/'Price History'!W142-1),"")</f>
        <v>1.8837284832737833E-2</v>
      </c>
      <c r="AQ142" s="151">
        <f>IFERROR(IF(OR(NOT(ISNUMBER('Price History'!X143)),NOT(ISNUMBER('Price History'!X142)),'Price History'!X142=0),"",'Price History'!X143/'Price History'!X142-1),"")</f>
        <v>8.0733944954127779E-3</v>
      </c>
      <c r="AR142" s="151">
        <f>IFERROR(IF(OR(NOT(ISNUMBER('Price History'!Y143)),NOT(ISNUMBER('Price History'!Y142)),'Price History'!Y142=0),"",'Price History'!Y143/'Price History'!Y142-1),"")</f>
        <v>7.7648363838047629E-3</v>
      </c>
      <c r="AS142" s="151">
        <f>IFERROR(IF(OR(NOT(ISNUMBER('Price History'!Z143)),NOT(ISNUMBER('Price History'!Z142)),'Price History'!Z142=0),"",'Price History'!Z143/'Price History'!Z142-1),"")</f>
        <v>7.5681058396756429E-2</v>
      </c>
      <c r="AT142" s="151">
        <f>IFERROR(IF(OR(NOT(ISNUMBER('Price History'!AA143)),NOT(ISNUMBER('Price History'!AA142)),'Price History'!AA142=0),"",'Price History'!AA143/'Price History'!AA142-1),"")</f>
        <v>1.815674557572966E-2</v>
      </c>
      <c r="AU142" s="151">
        <f>IFERROR(IF(OR(NOT(ISNUMBER('Price History'!AB143)),NOT(ISNUMBER('Price History'!AB142)),'Price History'!AB142=0),"",'Price History'!AB143/'Price History'!AB142-1),"")</f>
        <v>8.2462545637667084E-3</v>
      </c>
    </row>
    <row r="143" spans="1:47" ht="15" customHeight="1" x14ac:dyDescent="0.2">
      <c r="A143" s="149">
        <f>IF('Price History'!A144="","",'Price History'!A144)</f>
        <v>46171</v>
      </c>
      <c r="B143" s="150">
        <f>IFERROR(IF(OR(NOT(ISNUMBER('Price History'!B144)),NOT(ISNUMBER('Price History'!B143)),'Price History'!B143=0),"",'Price History'!B144/'Price History'!B143-1),"")</f>
        <v>5.9037424415754103E-2</v>
      </c>
      <c r="C143" s="150">
        <f>IFERROR(IF(OR(NOT(ISNUMBER('Price History'!C144)),NOT(ISNUMBER('Price History'!C143)),'Price History'!C143=0),"",'Price History'!C144/'Price History'!C143-1),"")</f>
        <v>3.5317795234694582E-2</v>
      </c>
      <c r="D143" s="150">
        <f>IFERROR(IF(OR(NOT(ISNUMBER('Price History'!D144)),NOT(ISNUMBER('Price History'!D143)),'Price History'!D143=0),"",'Price History'!D144/'Price History'!D143-1),"")</f>
        <v>-1.2331446722140704E-2</v>
      </c>
      <c r="E143" s="150">
        <f>IFERROR(IF(OR(NOT(ISNUMBER('Price History'!E144)),NOT(ISNUMBER('Price History'!E143)),'Price History'!E143=0),"",'Price History'!E144/'Price History'!E143-1),"")</f>
        <v>7.8792430887020481E-2</v>
      </c>
      <c r="F143" s="150">
        <f>IFERROR(IF(OR(NOT(ISNUMBER('Price History'!F144)),NOT(ISNUMBER('Price History'!F143)),'Price History'!F143=0),"",'Price History'!F144/'Price History'!F143-1),"")</f>
        <v>0.10176644360040998</v>
      </c>
      <c r="G143" s="150">
        <f>IFERROR(IF(OR(NOT(ISNUMBER('Price History'!G144)),NOT(ISNUMBER('Price History'!G143)),'Price History'!G143=0),"",'Price History'!G144/'Price History'!G143-1),"")</f>
        <v>1.7654543526667288E-2</v>
      </c>
      <c r="H143" s="150">
        <f>IFERROR(IF(OR(NOT(ISNUMBER('Price History'!H144)),NOT(ISNUMBER('Price History'!H143)),'Price History'!H143=0),"",'Price History'!H144/'Price History'!H143-1),"")</f>
        <v>0.29294960579586626</v>
      </c>
      <c r="I143" s="150">
        <f>IFERROR(IF(OR(NOT(ISNUMBER('Price History'!I144)),NOT(ISNUMBER('Price History'!I143)),'Price History'!I143=0),"",'Price History'!I144/'Price History'!I143-1),"")</f>
        <v>-1.945633960156401E-2</v>
      </c>
      <c r="J143" s="150">
        <f>IFERROR(IF(OR(NOT(ISNUMBER('Price History'!J144)),NOT(ISNUMBER('Price History'!J143)),'Price History'!J143=0),"",'Price History'!J144/'Price History'!J143-1),"")</f>
        <v>-1.6700299213694314E-2</v>
      </c>
      <c r="K143" s="150">
        <f>IFERROR(IF(OR(NOT(ISNUMBER('Price History'!K144)),NOT(ISNUMBER('Price History'!K143)),'Price History'!K143=0),"",'Price History'!K144/'Price History'!K143-1),"")</f>
        <v>0.14362945645821146</v>
      </c>
      <c r="L143" s="150">
        <f>IFERROR(IF(OR(NOT(ISNUMBER('Price History'!L144)),NOT(ISNUMBER('Price History'!L143)),'Price History'!L143=0),"",'Price History'!L144/'Price History'!L143-1),"")</f>
        <v>3.4434782608695702E-2</v>
      </c>
      <c r="M143" s="150">
        <f>IFERROR(IF(OR(NOT(ISNUMBER('Price History'!M144)),NOT(ISNUMBER('Price History'!M143)),'Price History'!M143=0),"",'Price History'!M144/'Price History'!M143-1),"")</f>
        <v>-3.5868137239925435E-2</v>
      </c>
      <c r="N143" s="150">
        <f>IFERROR(IF(OR(NOT(ISNUMBER('Price History'!N144)),NOT(ISNUMBER('Price History'!N143)),'Price History'!N143=0),"",'Price History'!N144/'Price History'!N143-1),"")</f>
        <v>2.9964098315382603E-2</v>
      </c>
      <c r="O143" s="150">
        <f>IFERROR(IF(OR(NOT(ISNUMBER('Price History'!O144)),NOT(ISNUMBER('Price History'!O143)),'Price History'!O143=0),"",'Price History'!O144/'Price History'!O143-1),"")</f>
        <v>1.677852348993536E-4</v>
      </c>
      <c r="P143" s="150">
        <f>IFERROR(IF(OR(NOT(ISNUMBER('Price History'!P144)),NOT(ISNUMBER('Price History'!P143)),'Price History'!P143=0),"",'Price History'!P144/'Price History'!P143-1),"")</f>
        <v>-5.0890585241730735E-3</v>
      </c>
      <c r="Q143" s="150">
        <f>IFERROR(IF(OR(NOT(ISNUMBER('Price History'!Q144)),NOT(ISNUMBER('Price History'!Q143)),'Price History'!Q143=0),"",'Price History'!Q144/'Price History'!Q143-1),"")</f>
        <v>4.2931162102146647E-3</v>
      </c>
      <c r="R143" s="150">
        <f>IFERROR(IF(OR(NOT(ISNUMBER('Price History'!R144)),NOT(ISNUMBER('Price History'!R143)),'Price History'!R143=0),"",'Price History'!R144/'Price History'!R143-1),"")</f>
        <v>1.5578505163661882E-2</v>
      </c>
      <c r="S143" s="150">
        <f>IFERROR(IF(OR(NOT(ISNUMBER('Price History'!S144)),NOT(ISNUMBER('Price History'!S143)),'Price History'!S143=0),"",'Price History'!S144/'Price History'!S143-1),"")</f>
        <v>3.8967331118494153E-2</v>
      </c>
      <c r="T143" s="150">
        <f>IFERROR(IF(OR(NOT(ISNUMBER('Price History'!T144)),NOT(ISNUMBER('Price History'!T143)),'Price History'!T143=0),"",'Price History'!T144/'Price History'!T143-1),"")</f>
        <v>5.4090909090909189E-2</v>
      </c>
      <c r="U143" s="150">
        <f>IFERROR(IF(OR(NOT(ISNUMBER('Price History'!U144)),NOT(ISNUMBER('Price History'!U143)),'Price History'!U143=0),"",'Price History'!U144/'Price History'!U143-1),"")</f>
        <v>-9.9040544722996948E-3</v>
      </c>
      <c r="V143" s="151">
        <f>IFERROR(IF(OR(NOT(ISNUMBER('Price History'!V144)),NOT(ISNUMBER('Price History'!V143)),'Price History'!V143=0),"",'Price History'!V144/'Price History'!V143-1),"")</f>
        <v>-7.6766076705150343E-3</v>
      </c>
      <c r="W143" s="152">
        <f>IFERROR('Price History'!B3+(INDEX('Price History'!B:B,MATCH(9.99E+307,'Returns (Calc)'!$A:$A)+1)-'Price History'!B3)*(ROW()-3)/(MATCH(9.99E+307,'Returns (Calc)'!$A:$A)-3),"")</f>
        <v>276.52018867924528</v>
      </c>
      <c r="X143" s="152">
        <f>IFERROR('Price History'!C3+(INDEX('Price History'!C:C,MATCH(9.99E+307,'Returns (Calc)'!$A:$A)+1)-'Price History'!C3)*(ROW()-3)/(MATCH(9.99E+307,'Returns (Calc)'!$A:$A)-3),"")</f>
        <v>196.35861635220127</v>
      </c>
      <c r="Y143" s="152">
        <f>IFERROR('Price History'!D3+(INDEX('Price History'!D:D,MATCH(9.99E+307,'Returns (Calc)'!$A:$A)+1)-'Price History'!D3)*(ROW()-3)/(MATCH(9.99E+307,'Returns (Calc)'!$A:$A)-3),"")</f>
        <v>1637.1433333333332</v>
      </c>
      <c r="Z143" s="152">
        <f>IFERROR('Price History'!E3+(INDEX('Price History'!E:E,MATCH(9.99E+307,'Returns (Calc)'!$A:$A)+1)-'Price History'!E3)*(ROW()-3)/(MATCH(9.99E+307,'Returns (Calc)'!$A:$A)-3),"")</f>
        <v>328.13584905660377</v>
      </c>
      <c r="AA143" s="152">
        <f>IFERROR('Price History'!F3+(INDEX('Price History'!F:F,MATCH(9.99E+307,'Returns (Calc)'!$A:$A)+1)-'Price History'!F3)*(ROW()-3)/(MATCH(9.99E+307,'Returns (Calc)'!$A:$A)-3),"")</f>
        <v>247.11597484276729</v>
      </c>
      <c r="AB143" s="152">
        <f>IFERROR('Price History'!G3+(INDEX('Price History'!G:G,MATCH(9.99E+307,'Returns (Calc)'!$A:$A)+1)-'Price History'!G3)*(ROW()-3)/(MATCH(9.99E+307,'Returns (Calc)'!$A:$A)-3),"")</f>
        <v>177.49968553459118</v>
      </c>
      <c r="AC143" s="152">
        <f>IFERROR('Price History'!H3+(INDEX('Price History'!H:H,MATCH(9.99E+307,'Returns (Calc)'!$A:$A)+1)-'Price History'!H3)*(ROW()-3)/(MATCH(9.99E+307,'Returns (Calc)'!$A:$A)-3),"")</f>
        <v>914.29616352201265</v>
      </c>
      <c r="AD143" s="152">
        <f>IFERROR('Price History'!I3+(INDEX('Price History'!I:I,MATCH(9.99E+307,'Returns (Calc)'!$A:$A)+1)-'Price History'!I3)*(ROW()-3)/(MATCH(9.99E+307,'Returns (Calc)'!$A:$A)-3),"")</f>
        <v>207.11213836477987</v>
      </c>
      <c r="AE143" s="152">
        <f>IFERROR('Price History'!J3+(INDEX('Price History'!J:J,MATCH(9.99E+307,'Returns (Calc)'!$A:$A)+1)-'Price History'!J3)*(ROW()-3)/(MATCH(9.99E+307,'Returns (Calc)'!$A:$A)-3),"")</f>
        <v>127.38088050314467</v>
      </c>
      <c r="AF143" s="152">
        <f>IFERROR('Price History'!K3+(INDEX('Price History'!K:K,MATCH(9.99E+307,'Returns (Calc)'!$A:$A)+1)-'Price History'!K3)*(ROW()-3)/(MATCH(9.99E+307,'Returns (Calc)'!$A:$A)-3),"")</f>
        <v>185.90106918238993</v>
      </c>
      <c r="AG143" s="152">
        <f>IFERROR('Price History'!L3+(INDEX('Price History'!L:L,MATCH(9.99E+307,'Returns (Calc)'!$A:$A)+1)-'Price History'!L3)*(ROW()-3)/(MATCH(9.99E+307,'Returns (Calc)'!$A:$A)-3),"")</f>
        <v>409.38773584905664</v>
      </c>
      <c r="AH143" s="152">
        <f>IFERROR('Price History'!M3+(INDEX('Price History'!M:M,MATCH(9.99E+307,'Returns (Calc)'!$A:$A)+1)-'Price History'!M3)*(ROW()-3)/(MATCH(9.99E+307,'Returns (Calc)'!$A:$A)-3),"")</f>
        <v>218.31182389937106</v>
      </c>
      <c r="AI143" s="152">
        <f>IFERROR('Price History'!N3+(INDEX('Price History'!N:N,MATCH(9.99E+307,'Returns (Calc)'!$A:$A)+1)-'Price History'!N3)*(ROW()-3)/(MATCH(9.99E+307,'Returns (Calc)'!$A:$A)-3),"")</f>
        <v>490.8194968553459</v>
      </c>
      <c r="AJ143" s="152">
        <f>IFERROR('Price History'!O3+(INDEX('Price History'!O:O,MATCH(9.99E+307,'Returns (Calc)'!$A:$A)+1)-'Price History'!O3)*(ROW()-3)/(MATCH(9.99E+307,'Returns (Calc)'!$A:$A)-3),"")</f>
        <v>114.34270440251572</v>
      </c>
      <c r="AK143" s="152">
        <f>IFERROR('Price History'!Q3+(INDEX('Price History'!Q:Q,MATCH(9.99E+307,'Returns (Calc)'!$A:$A)+1)-'Price History'!Q3)*(ROW()-3)/(MATCH(9.99E+307,'Returns (Calc)'!$A:$A)-3),"")</f>
        <v>61.608805031446536</v>
      </c>
      <c r="AL143" s="152">
        <f>IFERROR('Price History'!R3+(INDEX('Price History'!R:R,MATCH(9.99E+307,'Returns (Calc)'!$A:$A)+1)-'Price History'!R3)*(ROW()-3)/(MATCH(9.99E+307,'Returns (Calc)'!$A:$A)-3),"")</f>
        <v>57.910188679245287</v>
      </c>
      <c r="AM143" s="152">
        <f>IFERROR('Price History'!S3+(INDEX('Price History'!S:S,MATCH(9.99E+307,'Returns (Calc)'!$A:$A)+1)-'Price History'!S3)*(ROW()-3)/(MATCH(9.99E+307,'Returns (Calc)'!$A:$A)-3),"")</f>
        <v>139.98345911949687</v>
      </c>
      <c r="AN143" s="152">
        <f>IFERROR('Price History'!T3+(INDEX('Price History'!T:T,MATCH(9.99E+307,'Returns (Calc)'!$A:$A)+1)-'Price History'!T3)*(ROW()-3)/(MATCH(9.99E+307,'Returns (Calc)'!$A:$A)-3),"")</f>
        <v>49.541886792452836</v>
      </c>
      <c r="AO143" s="153">
        <f>IFERROR('Price History'!V3+(INDEX('Price History'!V:V,MATCH(9.99E+307,'Returns (Calc)'!$A:$A)+1)-'Price History'!V3)*(ROW()-3)/(MATCH(9.99E+307,'Returns (Calc)'!$A:$A)-3),"")</f>
        <v>367.54698113207547</v>
      </c>
      <c r="AP143" s="151">
        <f>IFERROR(IF(OR(NOT(ISNUMBER('Price History'!W144)),NOT(ISNUMBER('Price History'!W143)),'Price History'!W143=0),"",'Price History'!W144/'Price History'!W143-1),"")</f>
        <v>3.1240038253108615E-3</v>
      </c>
      <c r="AQ143" s="151">
        <f>IFERROR(IF(OR(NOT(ISNUMBER('Price History'!X144)),NOT(ISNUMBER('Price History'!X143)),'Price History'!X143=0),"",'Price History'!X144/'Price History'!X143-1),"")</f>
        <v>-5.369493993447394E-2</v>
      </c>
      <c r="AR143" s="151">
        <f>IFERROR(IF(OR(NOT(ISNUMBER('Price History'!Y144)),NOT(ISNUMBER('Price History'!Y143)),'Price History'!Y143=0),"",'Price History'!Y144/'Price History'!Y143-1),"")</f>
        <v>-5.1366721702440499E-3</v>
      </c>
      <c r="AS143" s="151">
        <f>IFERROR(IF(OR(NOT(ISNUMBER('Price History'!Z144)),NOT(ISNUMBER('Price History'!Z143)),'Price History'!Z143=0),"",'Price History'!Z144/'Price History'!Z143-1),"")</f>
        <v>6.9100046287112526E-2</v>
      </c>
      <c r="AT143" s="151">
        <f>IFERROR(IF(OR(NOT(ISNUMBER('Price History'!AA144)),NOT(ISNUMBER('Price History'!AA143)),'Price History'!AA143=0),"",'Price History'!AA144/'Price History'!AA143-1),"")</f>
        <v>-2.9119638826185068E-2</v>
      </c>
      <c r="AU143" s="151">
        <f>IFERROR(IF(OR(NOT(ISNUMBER('Price History'!AB144)),NOT(ISNUMBER('Price History'!AB143)),'Price History'!AB143=0),"",'Price History'!AB144/'Price History'!AB143-1),"")</f>
        <v>8.8468502216395128E-2</v>
      </c>
    </row>
    <row r="144" spans="1:47" ht="15" customHeight="1" x14ac:dyDescent="0.2">
      <c r="A144" s="149">
        <f>IF('Price History'!A145="","",'Price History'!A145)</f>
        <v>46178</v>
      </c>
      <c r="B144" s="150">
        <f>IFERROR(IF(OR(NOT(ISNUMBER('Price History'!B145)),NOT(ISNUMBER('Price History'!B144)),'Price History'!B144=0),"",'Price History'!B145/'Price History'!B144-1),"")</f>
        <v>-2.9975695382122525E-2</v>
      </c>
      <c r="C144" s="150">
        <f>IFERROR(IF(OR(NOT(ISNUMBER('Price History'!C145)),NOT(ISNUMBER('Price History'!C144)),'Price History'!C144=0),"",'Price History'!C145/'Price History'!C144-1),"")</f>
        <v>-3.2608014046529021E-2</v>
      </c>
      <c r="D144" s="150">
        <f>IFERROR(IF(OR(NOT(ISNUMBER('Price History'!D145)),NOT(ISNUMBER('Price History'!D144)),'Price History'!D144=0),"",'Price History'!D145/'Price History'!D144-1),"")</f>
        <v>1.7967566493654719E-2</v>
      </c>
      <c r="E144" s="150">
        <f>IFERROR(IF(OR(NOT(ISNUMBER('Price History'!E145)),NOT(ISNUMBER('Price History'!E144)),'Price History'!E144=0),"",'Price History'!E145/'Price History'!E144-1),"")</f>
        <v>-0.13661987647389107</v>
      </c>
      <c r="F144" s="150">
        <f>IFERROR(IF(OR(NOT(ISNUMBER('Price History'!F145)),NOT(ISNUMBER('Price History'!F144)),'Price History'!F144=0),"",'Price History'!F145/'Price History'!F144-1),"")</f>
        <v>-8.2024623803009677E-2</v>
      </c>
      <c r="G144" s="150">
        <f>IFERROR(IF(OR(NOT(ISNUMBER('Price History'!G145)),NOT(ISNUMBER('Price History'!G144)),'Price History'!G144=0),"",'Price History'!G145/'Price History'!G144-1),"")</f>
        <v>3.9072675175826355E-3</v>
      </c>
      <c r="H144" s="150">
        <f>IFERROR(IF(OR(NOT(ISNUMBER('Price History'!H145)),NOT(ISNUMBER('Price History'!H144)),'Price History'!H144=0),"",'Price History'!H145/'Price History'!H144-1),"")</f>
        <v>-0.11018179945408668</v>
      </c>
      <c r="I144" s="150">
        <f>IFERROR(IF(OR(NOT(ISNUMBER('Price History'!I145)),NOT(ISNUMBER('Price History'!I144)),'Price History'!I144=0),"",'Price History'!I145/'Price History'!I144-1),"")</f>
        <v>-2.748504699515808E-2</v>
      </c>
      <c r="J144" s="150">
        <f>IFERROR(IF(OR(NOT(ISNUMBER('Price History'!J145)),NOT(ISNUMBER('Price History'!J144)),'Price History'!J144=0),"",'Price History'!J145/'Price History'!J144-1),"")</f>
        <v>7.5012384120018982E-3</v>
      </c>
      <c r="K144" s="150">
        <f>IFERROR(IF(OR(NOT(ISNUMBER('Price History'!K145)),NOT(ISNUMBER('Price History'!K144)),'Price History'!K144=0),"",'Price History'!K145/'Price History'!K144-1),"")</f>
        <v>-0.13421489715088786</v>
      </c>
      <c r="L144" s="150">
        <f>IFERROR(IF(OR(NOT(ISNUMBER('Price History'!L145)),NOT(ISNUMBER('Price History'!L144)),'Price History'!L144=0),"",'Price History'!L145/'Price History'!L144-1),"")</f>
        <v>-7.8537803823615082E-3</v>
      </c>
      <c r="M144" s="150">
        <f>IFERROR(IF(OR(NOT(ISNUMBER('Price History'!M145)),NOT(ISNUMBER('Price History'!M144)),'Price History'!M144=0),"",'Price History'!M145/'Price History'!M144-1),"")</f>
        <v>-4.8166809265772992E-2</v>
      </c>
      <c r="N144" s="150">
        <f>IFERROR(IF(OR(NOT(ISNUMBER('Price History'!N145)),NOT(ISNUMBER('Price History'!N144)),'Price History'!N144=0),"",'Price History'!N145/'Price History'!N144-1),"")</f>
        <v>-1.5864503731510826E-3</v>
      </c>
      <c r="O144" s="150">
        <f>IFERROR(IF(OR(NOT(ISNUMBER('Price History'!O145)),NOT(ISNUMBER('Price History'!O144)),'Price History'!O144=0),"",'Price History'!O145/'Price History'!O144-1),"")</f>
        <v>-2.9357490353967286E-3</v>
      </c>
      <c r="P144" s="150">
        <f>IFERROR(IF(OR(NOT(ISNUMBER('Price History'!P145)),NOT(ISNUMBER('Price History'!P144)),'Price History'!P144=0),"",'Price History'!P145/'Price History'!P144-1),"")</f>
        <v>2.8198570398056955E-3</v>
      </c>
      <c r="Q144" s="150">
        <f>IFERROR(IF(OR(NOT(ISNUMBER('Price History'!Q145)),NOT(ISNUMBER('Price History'!Q144)),'Price History'!Q144=0),"",'Price History'!Q145/'Price History'!Q144-1),"")</f>
        <v>-1.0465801886792581E-2</v>
      </c>
      <c r="R144" s="150">
        <f>IFERROR(IF(OR(NOT(ISNUMBER('Price History'!R145)),NOT(ISNUMBER('Price History'!R144)),'Price History'!R144=0),"",'Price History'!R145/'Price History'!R144-1),"")</f>
        <v>-2.792140641158225E-2</v>
      </c>
      <c r="S144" s="150">
        <f>IFERROR(IF(OR(NOT(ISNUMBER('Price History'!S145)),NOT(ISNUMBER('Price History'!S144)),'Price History'!S144=0),"",'Price History'!S145/'Price History'!S144-1),"")</f>
        <v>-4.1902604756511974E-2</v>
      </c>
      <c r="T144" s="150">
        <f>IFERROR(IF(OR(NOT(ISNUMBER('Price History'!T145)),NOT(ISNUMBER('Price History'!T144)),'Price History'!T144=0),"",'Price History'!T145/'Price History'!T144-1),"")</f>
        <v>-1.1211729193618014E-2</v>
      </c>
      <c r="U144" s="150">
        <f>IFERROR(IF(OR(NOT(ISNUMBER('Price History'!U145)),NOT(ISNUMBER('Price History'!U144)),'Price History'!U144=0),"",'Price History'!U145/'Price History'!U144-1),"")</f>
        <v>-6.251953735542326E-3</v>
      </c>
      <c r="V144" s="151">
        <f>IFERROR(IF(OR(NOT(ISNUMBER('Price History'!V145)),NOT(ISNUMBER('Price History'!V144)),'Price History'!V144=0),"",'Price History'!V145/'Price History'!V144-1),"")</f>
        <v>-8.534151957022118E-3</v>
      </c>
      <c r="W144" s="152">
        <f>IFERROR('Price History'!B3+(INDEX('Price History'!B:B,MATCH(9.99E+307,'Returns (Calc)'!$A:$A)+1)-'Price History'!B3)*(ROW()-3)/(MATCH(9.99E+307,'Returns (Calc)'!$A:$A)-3),"")</f>
        <v>274.71754716981133</v>
      </c>
      <c r="X144" s="152">
        <f>IFERROR('Price History'!C3+(INDEX('Price History'!C:C,MATCH(9.99E+307,'Returns (Calc)'!$A:$A)+1)-'Price History'!C3)*(ROW()-3)/(MATCH(9.99E+307,'Returns (Calc)'!$A:$A)-3),"")</f>
        <v>197.43132075471698</v>
      </c>
      <c r="Y144" s="152">
        <f>IFERROR('Price History'!D3+(INDEX('Price History'!D:D,MATCH(9.99E+307,'Returns (Calc)'!$A:$A)+1)-'Price History'!D3)*(ROW()-3)/(MATCH(9.99E+307,'Returns (Calc)'!$A:$A)-3),"")</f>
        <v>1644.68</v>
      </c>
      <c r="Z144" s="152">
        <f>IFERROR('Price History'!E3+(INDEX('Price History'!E:E,MATCH(9.99E+307,'Returns (Calc)'!$A:$A)+1)-'Price History'!E3)*(ROW()-3)/(MATCH(9.99E+307,'Returns (Calc)'!$A:$A)-3),"")</f>
        <v>329.8939622641509</v>
      </c>
      <c r="AA144" s="152">
        <f>IFERROR('Price History'!F3+(INDEX('Price History'!F:F,MATCH(9.99E+307,'Returns (Calc)'!$A:$A)+1)-'Price History'!F3)*(ROW()-3)/(MATCH(9.99E+307,'Returns (Calc)'!$A:$A)-3),"")</f>
        <v>248.58566037735847</v>
      </c>
      <c r="AB144" s="152">
        <f>IFERROR('Price History'!G3+(INDEX('Price History'!G:G,MATCH(9.99E+307,'Returns (Calc)'!$A:$A)+1)-'Price History'!G3)*(ROW()-3)/(MATCH(9.99E+307,'Returns (Calc)'!$A:$A)-3),"")</f>
        <v>178.45075471698112</v>
      </c>
      <c r="AC144" s="152">
        <f>IFERROR('Price History'!H3+(INDEX('Price History'!H:H,MATCH(9.99E+307,'Returns (Calc)'!$A:$A)+1)-'Price History'!H3)*(ROW()-3)/(MATCH(9.99E+307,'Returns (Calc)'!$A:$A)-3),"")</f>
        <v>920.33320754716976</v>
      </c>
      <c r="AD144" s="152">
        <f>IFERROR('Price History'!I3+(INDEX('Price History'!I:I,MATCH(9.99E+307,'Returns (Calc)'!$A:$A)+1)-'Price History'!I3)*(ROW()-3)/(MATCH(9.99E+307,'Returns (Calc)'!$A:$A)-3),"")</f>
        <v>208.2788679245283</v>
      </c>
      <c r="AE144" s="152">
        <f>IFERROR('Price History'!J3+(INDEX('Price History'!J:J,MATCH(9.99E+307,'Returns (Calc)'!$A:$A)+1)-'Price History'!J3)*(ROW()-3)/(MATCH(9.99E+307,'Returns (Calc)'!$A:$A)-3),"")</f>
        <v>127.49188679245285</v>
      </c>
      <c r="AF144" s="152">
        <f>IFERROR('Price History'!K3+(INDEX('Price History'!K:K,MATCH(9.99E+307,'Returns (Calc)'!$A:$A)+1)-'Price History'!K3)*(ROW()-3)/(MATCH(9.99E+307,'Returns (Calc)'!$A:$A)-3),"")</f>
        <v>187.11943396226417</v>
      </c>
      <c r="AG144" s="152">
        <f>IFERROR('Price History'!L3+(INDEX('Price History'!L:L,MATCH(9.99E+307,'Returns (Calc)'!$A:$A)+1)-'Price History'!L3)*(ROW()-3)/(MATCH(9.99E+307,'Returns (Calc)'!$A:$A)-3),"")</f>
        <v>411.69943396226415</v>
      </c>
      <c r="AH144" s="152">
        <f>IFERROR('Price History'!M3+(INDEX('Price History'!M:M,MATCH(9.99E+307,'Returns (Calc)'!$A:$A)+1)-'Price History'!M3)*(ROW()-3)/(MATCH(9.99E+307,'Returns (Calc)'!$A:$A)-3),"")</f>
        <v>219.59962264150946</v>
      </c>
      <c r="AI144" s="152">
        <f>IFERROR('Price History'!N3+(INDEX('Price History'!N:N,MATCH(9.99E+307,'Returns (Calc)'!$A:$A)+1)-'Price History'!N3)*(ROW()-3)/(MATCH(9.99E+307,'Returns (Calc)'!$A:$A)-3),"")</f>
        <v>491.83320754716976</v>
      </c>
      <c r="AJ144" s="152">
        <f>IFERROR('Price History'!O3+(INDEX('Price History'!O:O,MATCH(9.99E+307,'Returns (Calc)'!$A:$A)+1)-'Price History'!O3)*(ROW()-3)/(MATCH(9.99E+307,'Returns (Calc)'!$A:$A)-3),"")</f>
        <v>114.62150943396227</v>
      </c>
      <c r="AK144" s="152">
        <f>IFERROR('Price History'!Q3+(INDEX('Price History'!Q:Q,MATCH(9.99E+307,'Returns (Calc)'!$A:$A)+1)-'Price History'!Q3)*(ROW()-3)/(MATCH(9.99E+307,'Returns (Calc)'!$A:$A)-3),"")</f>
        <v>62.048867924528302</v>
      </c>
      <c r="AL144" s="152">
        <f>IFERROR('Price History'!R3+(INDEX('Price History'!R:R,MATCH(9.99E+307,'Returns (Calc)'!$A:$A)+1)-'Price History'!R3)*(ROW()-3)/(MATCH(9.99E+307,'Returns (Calc)'!$A:$A)-3),"")</f>
        <v>58.077547169811325</v>
      </c>
      <c r="AM144" s="152">
        <f>IFERROR('Price History'!S3+(INDEX('Price History'!S:S,MATCH(9.99E+307,'Returns (Calc)'!$A:$A)+1)-'Price History'!S3)*(ROW()-3)/(MATCH(9.99E+307,'Returns (Calc)'!$A:$A)-3),"")</f>
        <v>140.57169811320756</v>
      </c>
      <c r="AN144" s="152">
        <f>IFERROR('Price History'!T3+(INDEX('Price History'!T:T,MATCH(9.99E+307,'Returns (Calc)'!$A:$A)+1)-'Price History'!T3)*(ROW()-3)/(MATCH(9.99E+307,'Returns (Calc)'!$A:$A)-3),"")</f>
        <v>49.715471698113213</v>
      </c>
      <c r="AO144" s="153">
        <f>IFERROR('Price History'!V3+(INDEX('Price History'!V:V,MATCH(9.99E+307,'Returns (Calc)'!$A:$A)+1)-'Price History'!V3)*(ROW()-3)/(MATCH(9.99E+307,'Returns (Calc)'!$A:$A)-3),"")</f>
        <v>368.48924528301882</v>
      </c>
      <c r="AP144" s="151">
        <f>IFERROR(IF(OR(NOT(ISNUMBER('Price History'!W145)),NOT(ISNUMBER('Price History'!W144)),'Price History'!W144=0),"",'Price History'!W145/'Price History'!W144-1),"")</f>
        <v>-5.9743231219016035E-3</v>
      </c>
      <c r="AQ144" s="151">
        <f>IFERROR(IF(OR(NOT(ISNUMBER('Price History'!X145)),NOT(ISNUMBER('Price History'!X144)),'Price History'!X144=0),"",'Price History'!X145/'Price History'!X144-1),"")</f>
        <v>2.3466051163685275E-2</v>
      </c>
      <c r="AR144" s="151">
        <f>IFERROR(IF(OR(NOT(ISNUMBER('Price History'!Y145)),NOT(ISNUMBER('Price History'!Y144)),'Price History'!Y144=0),"",'Price History'!Y145/'Price History'!Y144-1),"")</f>
        <v>-2.3971971233633926E-3</v>
      </c>
      <c r="AS144" s="151">
        <f>IFERROR(IF(OR(NOT(ISNUMBER('Price History'!Z145)),NOT(ISNUMBER('Price History'!Z144)),'Price History'!Z144=0),"",'Price History'!Z145/'Price History'!Z144-1),"")</f>
        <v>1.3081395348837122E-2</v>
      </c>
      <c r="AT144" s="151">
        <f>IFERROR(IF(OR(NOT(ISNUMBER('Price History'!AA145)),NOT(ISNUMBER('Price History'!AA144)),'Price History'!AA144=0),"",'Price History'!AA145/'Price History'!AA144-1),"")</f>
        <v>-4.4640781213671099E-2</v>
      </c>
      <c r="AU144" s="151">
        <f>IFERROR(IF(OR(NOT(ISNUMBER('Price History'!AB145)),NOT(ISNUMBER('Price History'!AB144)),'Price History'!AB144=0),"",'Price History'!AB145/'Price History'!AB144-1),"")</f>
        <v>-9.9231386945048961E-3</v>
      </c>
    </row>
    <row r="145" spans="1:47" ht="15" customHeight="1" x14ac:dyDescent="0.2">
      <c r="A145" s="149">
        <f>IF('Price History'!A146="","",'Price History'!A146)</f>
        <v>46185</v>
      </c>
      <c r="B145" s="150">
        <f>IFERROR(IF(OR(NOT(ISNUMBER('Price History'!B146)),NOT(ISNUMBER('Price History'!B145)),'Price History'!B145=0),"",'Price History'!B146/'Price History'!B145-1),"")</f>
        <v>-0.18859370028635059</v>
      </c>
      <c r="C145" s="150">
        <f>IFERROR(IF(OR(NOT(ISNUMBER('Price History'!C146)),NOT(ISNUMBER('Price History'!C145)),'Price History'!C145=0),"",'Price History'!C146/'Price History'!C145-1),"")</f>
        <v>5.8144811045569345E-2</v>
      </c>
      <c r="D145" s="150">
        <f>IFERROR(IF(OR(NOT(ISNUMBER('Price History'!D146)),NOT(ISNUMBER('Price History'!D145)),'Price History'!D145=0),"",'Price History'!D146/'Price History'!D145-1),"")</f>
        <v>0.13510447542723325</v>
      </c>
      <c r="E145" s="150">
        <f>IFERROR(IF(OR(NOT(ISNUMBER('Price History'!E146)),NOT(ISNUMBER('Price History'!E145)),'Price History'!E145=0),"",'Price History'!E146/'Price History'!E145-1),"")</f>
        <v>-9.4948233702721874E-3</v>
      </c>
      <c r="F145" s="150">
        <f>IFERROR(IF(OR(NOT(ISNUMBER('Price History'!F146)),NOT(ISNUMBER('Price History'!F145)),'Price History'!F145=0),"",'Price History'!F146/'Price History'!F145-1),"")</f>
        <v>1.7525035765379116E-2</v>
      </c>
      <c r="G145" s="150">
        <f>IFERROR(IF(OR(NOT(ISNUMBER('Price History'!G146)),NOT(ISNUMBER('Price History'!G145)),'Price History'!G145=0),"",'Price History'!G146/'Price History'!G145-1),"")</f>
        <v>0.31940840685002603</v>
      </c>
      <c r="H145" s="150">
        <f>IFERROR(IF(OR(NOT(ISNUMBER('Price History'!H146)),NOT(ISNUMBER('Price History'!H145)),'Price History'!H145=0),"",'Price History'!H146/'Price History'!H145-1),"")</f>
        <v>0.13610686669444827</v>
      </c>
      <c r="I145" s="150">
        <f>IFERROR(IF(OR(NOT(ISNUMBER('Price History'!I146)),NOT(ISNUMBER('Price History'!I145)),'Price History'!I145=0),"",'Price History'!I146/'Price History'!I145-1),"")</f>
        <v>4.393029726168507E-4</v>
      </c>
      <c r="J145" s="150">
        <f>IFERROR(IF(OR(NOT(ISNUMBER('Price History'!J146)),NOT(ISNUMBER('Price History'!J145)),'Price History'!J145=0),"",'Price History'!J146/'Price History'!J145-1),"")</f>
        <v>2.9079159935379462E-2</v>
      </c>
      <c r="K145" s="150">
        <f>IFERROR(IF(OR(NOT(ISNUMBER('Price History'!K146)),NOT(ISNUMBER('Price History'!K145)),'Price History'!K145=0),"",'Price History'!K146/'Price History'!K145-1),"")</f>
        <v>-5.5633439090976178E-2</v>
      </c>
      <c r="L145" s="150">
        <f>IFERROR(IF(OR(NOT(ISNUMBER('Price History'!L146)),NOT(ISNUMBER('Price History'!L145)),'Price History'!L145=0),"",'Price History'!L146/'Price History'!L145-1),"")</f>
        <v>2.3505773560241305E-2</v>
      </c>
      <c r="M145" s="150">
        <f>IFERROR(IF(OR(NOT(ISNUMBER('Price History'!M146)),NOT(ISNUMBER('Price History'!M145)),'Price History'!M145=0),"",'Price History'!M146/'Price History'!M145-1),"")</f>
        <v>7.8569763957785366E-3</v>
      </c>
      <c r="N145" s="150">
        <f>IFERROR(IF(OR(NOT(ISNUMBER('Price History'!N146)),NOT(ISNUMBER('Price History'!N145)),'Price History'!N145=0),"",'Price History'!N146/'Price History'!N145-1),"")</f>
        <v>-4.2521764429424014E-3</v>
      </c>
      <c r="O145" s="150">
        <f>IFERROR(IF(OR(NOT(ISNUMBER('Price History'!O146)),NOT(ISNUMBER('Price History'!O145)),'Price History'!O145=0),"",'Price History'!O146/'Price History'!O145-1),"")</f>
        <v>4.2904012787078338E-2</v>
      </c>
      <c r="P145" s="150">
        <f>IFERROR(IF(OR(NOT(ISNUMBER('Price History'!P146)),NOT(ISNUMBER('Price History'!P145)),'Price History'!P145=0),"",'Price History'!P146/'Price History'!P145-1),"")</f>
        <v>2.2103060423751097E-2</v>
      </c>
      <c r="Q145" s="150">
        <f>IFERROR(IF(OR(NOT(ISNUMBER('Price History'!Q146)),NOT(ISNUMBER('Price History'!Q145)),'Price History'!Q145=0),"",'Price History'!Q146/'Price History'!Q145-1),"")</f>
        <v>4.468940861015458E-4</v>
      </c>
      <c r="R145" s="150">
        <f>IFERROR(IF(OR(NOT(ISNUMBER('Price History'!R146)),NOT(ISNUMBER('Price History'!R145)),'Price History'!R145=0),"",'Price History'!R146/'Price History'!R145-1),"")</f>
        <v>1.6312056737588732E-2</v>
      </c>
      <c r="S145" s="150">
        <f>IFERROR(IF(OR(NOT(ISNUMBER('Price History'!S146)),NOT(ISNUMBER('Price History'!S145)),'Price History'!S145=0),"",'Price History'!S146/'Price History'!S145-1),"")</f>
        <v>5.6876651369767828E-2</v>
      </c>
      <c r="T145" s="150">
        <f>IFERROR(IF(OR(NOT(ISNUMBER('Price History'!T146)),NOT(ISNUMBER('Price History'!T145)),'Price History'!T145=0),"",'Price History'!T146/'Price History'!T145-1),"")</f>
        <v>6.1055385957260455E-3</v>
      </c>
      <c r="U145" s="150">
        <f>IFERROR(IF(OR(NOT(ISNUMBER('Price History'!U146)),NOT(ISNUMBER('Price History'!U145)),'Price History'!U145=0),"",'Price History'!U146/'Price History'!U145-1),"")</f>
        <v>1.6042780748662944E-2</v>
      </c>
      <c r="V145" s="151">
        <f>IFERROR(IF(OR(NOT(ISNUMBER('Price History'!V146)),NOT(ISNUMBER('Price History'!V145)),'Price History'!V145=0),"",'Price History'!V146/'Price History'!V145-1),"")</f>
        <v>-3.6535901167291662E-3</v>
      </c>
      <c r="W145" s="152">
        <f>IFERROR('Price History'!B3+(INDEX('Price History'!B:B,MATCH(9.99E+307,'Returns (Calc)'!$A:$A)+1)-'Price History'!B3)*(ROW()-3)/(MATCH(9.99E+307,'Returns (Calc)'!$A:$A)-3),"")</f>
        <v>272.91490566037737</v>
      </c>
      <c r="X145" s="152">
        <f>IFERROR('Price History'!C3+(INDEX('Price History'!C:C,MATCH(9.99E+307,'Returns (Calc)'!$A:$A)+1)-'Price History'!C3)*(ROW()-3)/(MATCH(9.99E+307,'Returns (Calc)'!$A:$A)-3),"")</f>
        <v>198.50402515723272</v>
      </c>
      <c r="Y145" s="152">
        <f>IFERROR('Price History'!D3+(INDEX('Price History'!D:D,MATCH(9.99E+307,'Returns (Calc)'!$A:$A)+1)-'Price History'!D3)*(ROW()-3)/(MATCH(9.99E+307,'Returns (Calc)'!$A:$A)-3),"")</f>
        <v>1652.2166666666665</v>
      </c>
      <c r="Z145" s="152">
        <f>IFERROR('Price History'!E3+(INDEX('Price History'!E:E,MATCH(9.99E+307,'Returns (Calc)'!$A:$A)+1)-'Price History'!E3)*(ROW()-3)/(MATCH(9.99E+307,'Returns (Calc)'!$A:$A)-3),"")</f>
        <v>331.65207547169814</v>
      </c>
      <c r="AA145" s="152">
        <f>IFERROR('Price History'!F3+(INDEX('Price History'!F:F,MATCH(9.99E+307,'Returns (Calc)'!$A:$A)+1)-'Price History'!F3)*(ROW()-3)/(MATCH(9.99E+307,'Returns (Calc)'!$A:$A)-3),"")</f>
        <v>250.05534591194964</v>
      </c>
      <c r="AB145" s="152">
        <f>IFERROR('Price History'!G3+(INDEX('Price History'!G:G,MATCH(9.99E+307,'Returns (Calc)'!$A:$A)+1)-'Price History'!G3)*(ROW()-3)/(MATCH(9.99E+307,'Returns (Calc)'!$A:$A)-3),"")</f>
        <v>179.40182389937107</v>
      </c>
      <c r="AC145" s="152">
        <f>IFERROR('Price History'!H3+(INDEX('Price History'!H:H,MATCH(9.99E+307,'Returns (Calc)'!$A:$A)+1)-'Price History'!H3)*(ROW()-3)/(MATCH(9.99E+307,'Returns (Calc)'!$A:$A)-3),"")</f>
        <v>926.37025157232711</v>
      </c>
      <c r="AD145" s="152">
        <f>IFERROR('Price History'!I3+(INDEX('Price History'!I:I,MATCH(9.99E+307,'Returns (Calc)'!$A:$A)+1)-'Price History'!I3)*(ROW()-3)/(MATCH(9.99E+307,'Returns (Calc)'!$A:$A)-3),"")</f>
        <v>209.44559748427673</v>
      </c>
      <c r="AE145" s="152">
        <f>IFERROR('Price History'!J3+(INDEX('Price History'!J:J,MATCH(9.99E+307,'Returns (Calc)'!$A:$A)+1)-'Price History'!J3)*(ROW()-3)/(MATCH(9.99E+307,'Returns (Calc)'!$A:$A)-3),"")</f>
        <v>127.60289308176101</v>
      </c>
      <c r="AF145" s="152">
        <f>IFERROR('Price History'!K3+(INDEX('Price History'!K:K,MATCH(9.99E+307,'Returns (Calc)'!$A:$A)+1)-'Price History'!K3)*(ROW()-3)/(MATCH(9.99E+307,'Returns (Calc)'!$A:$A)-3),"")</f>
        <v>188.33779874213838</v>
      </c>
      <c r="AG145" s="152">
        <f>IFERROR('Price History'!L3+(INDEX('Price History'!L:L,MATCH(9.99E+307,'Returns (Calc)'!$A:$A)+1)-'Price History'!L3)*(ROW()-3)/(MATCH(9.99E+307,'Returns (Calc)'!$A:$A)-3),"")</f>
        <v>414.01113207547166</v>
      </c>
      <c r="AH145" s="152">
        <f>IFERROR('Price History'!M3+(INDEX('Price History'!M:M,MATCH(9.99E+307,'Returns (Calc)'!$A:$A)+1)-'Price History'!M3)*(ROW()-3)/(MATCH(9.99E+307,'Returns (Calc)'!$A:$A)-3),"")</f>
        <v>220.88742138364779</v>
      </c>
      <c r="AI145" s="152">
        <f>IFERROR('Price History'!N3+(INDEX('Price History'!N:N,MATCH(9.99E+307,'Returns (Calc)'!$A:$A)+1)-'Price History'!N3)*(ROW()-3)/(MATCH(9.99E+307,'Returns (Calc)'!$A:$A)-3),"")</f>
        <v>492.84691823899368</v>
      </c>
      <c r="AJ145" s="152">
        <f>IFERROR('Price History'!O3+(INDEX('Price History'!O:O,MATCH(9.99E+307,'Returns (Calc)'!$A:$A)+1)-'Price History'!O3)*(ROW()-3)/(MATCH(9.99E+307,'Returns (Calc)'!$A:$A)-3),"")</f>
        <v>114.9003144654088</v>
      </c>
      <c r="AK145" s="152">
        <f>IFERROR('Price History'!Q3+(INDEX('Price History'!Q:Q,MATCH(9.99E+307,'Returns (Calc)'!$A:$A)+1)-'Price History'!Q3)*(ROW()-3)/(MATCH(9.99E+307,'Returns (Calc)'!$A:$A)-3),"")</f>
        <v>62.488930817610061</v>
      </c>
      <c r="AL145" s="152">
        <f>IFERROR('Price History'!R3+(INDEX('Price History'!R:R,MATCH(9.99E+307,'Returns (Calc)'!$A:$A)+1)-'Price History'!R3)*(ROW()-3)/(MATCH(9.99E+307,'Returns (Calc)'!$A:$A)-3),"")</f>
        <v>58.244905660377356</v>
      </c>
      <c r="AM145" s="152">
        <f>IFERROR('Price History'!S3+(INDEX('Price History'!S:S,MATCH(9.99E+307,'Returns (Calc)'!$A:$A)+1)-'Price History'!S3)*(ROW()-3)/(MATCH(9.99E+307,'Returns (Calc)'!$A:$A)-3),"")</f>
        <v>141.15993710691825</v>
      </c>
      <c r="AN145" s="152">
        <f>IFERROR('Price History'!T3+(INDEX('Price History'!T:T,MATCH(9.99E+307,'Returns (Calc)'!$A:$A)+1)-'Price History'!T3)*(ROW()-3)/(MATCH(9.99E+307,'Returns (Calc)'!$A:$A)-3),"")</f>
        <v>49.889056603773589</v>
      </c>
      <c r="AO145" s="153">
        <f>IFERROR('Price History'!V3+(INDEX('Price History'!V:V,MATCH(9.99E+307,'Returns (Calc)'!$A:$A)+1)-'Price History'!V3)*(ROW()-3)/(MATCH(9.99E+307,'Returns (Calc)'!$A:$A)-3),"")</f>
        <v>369.43150943396222</v>
      </c>
      <c r="AP145" s="151">
        <f>IFERROR(IF(OR(NOT(ISNUMBER('Price History'!W146)),NOT(ISNUMBER('Price History'!W145)),'Price History'!W145=0),"",'Price History'!W146/'Price History'!W145-1),"")</f>
        <v>1.3171355498721171E-2</v>
      </c>
      <c r="AQ145" s="151">
        <f>IFERROR(IF(OR(NOT(ISNUMBER('Price History'!X146)),NOT(ISNUMBER('Price History'!X145)),'Price History'!X145=0),"",'Price History'!X146/'Price History'!X145-1),"")</f>
        <v>6.389776357827337E-3</v>
      </c>
      <c r="AR145" s="151">
        <f>IFERROR(IF(OR(NOT(ISNUMBER('Price History'!Y146)),NOT(ISNUMBER('Price History'!Y145)),'Price History'!Y145=0),"",'Price History'!Y146/'Price History'!Y145-1),"")</f>
        <v>9.4269870609982043E-3</v>
      </c>
      <c r="AS145" s="151">
        <f>IFERROR(IF(OR(NOT(ISNUMBER('Price History'!Z146)),NOT(ISNUMBER('Price History'!Z145)),'Price History'!Z145=0),"",'Price History'!Z146/'Price History'!Z145-1),"")</f>
        <v>2.2253426539271759E-2</v>
      </c>
      <c r="AT145" s="151">
        <f>IFERROR(IF(OR(NOT(ISNUMBER('Price History'!AA146)),NOT(ISNUMBER('Price History'!AA145)),'Price History'!AA145=0),"",'Price History'!AA146/'Price History'!AA145-1),"")</f>
        <v>-2.2389875882209864E-2</v>
      </c>
      <c r="AU145" s="151">
        <f>IFERROR(IF(OR(NOT(ISNUMBER('Price History'!AB146)),NOT(ISNUMBER('Price History'!AB145)),'Price History'!AB145=0),"",'Price History'!AB146/'Price History'!AB145-1),"")</f>
        <v>-7.5719830832512769E-2</v>
      </c>
    </row>
    <row r="146" spans="1:47" ht="15" customHeight="1" x14ac:dyDescent="0.2">
      <c r="A146" s="149">
        <f>IF('Price History'!A147="","",'Price History'!A147)</f>
        <v>46192</v>
      </c>
      <c r="B146" s="150">
        <f>IFERROR(IF(OR(NOT(ISNUMBER('Price History'!B147)),NOT(ISNUMBER('Price History'!B146)),'Price History'!B146=0),"",'Price History'!B147/'Price History'!B146-1),"")</f>
        <v>-4.3427114988726645E-2</v>
      </c>
      <c r="C146" s="150">
        <f>IFERROR(IF(OR(NOT(ISNUMBER('Price History'!C147)),NOT(ISNUMBER('Price History'!C146)),'Price History'!C146=0),"",'Price History'!C147/'Price History'!C146-1),"")</f>
        <v>3.9389855427591103E-2</v>
      </c>
      <c r="D146" s="150">
        <f>IFERROR(IF(OR(NOT(ISNUMBER('Price History'!D147)),NOT(ISNUMBER('Price History'!D146)),'Price History'!D146=0),"",'Price History'!D147/'Price History'!D146-1),"")</f>
        <v>3.5489001364754857E-2</v>
      </c>
      <c r="E146" s="150">
        <f>IFERROR(IF(OR(NOT(ISNUMBER('Price History'!E147)),NOT(ISNUMBER('Price History'!E146)),'Price History'!E146=0),"",'Price History'!E147/'Price History'!E146-1),"")</f>
        <v>7.6634188617800802E-2</v>
      </c>
      <c r="F146" s="150">
        <f>IFERROR(IF(OR(NOT(ISNUMBER('Price History'!F147)),NOT(ISNUMBER('Price History'!F146)),'Price History'!F146=0),"",'Price History'!F147/'Price History'!F146-1),"")</f>
        <v>2.9876977152900608E-3</v>
      </c>
      <c r="G146" s="150">
        <f>IFERROR(IF(OR(NOT(ISNUMBER('Price History'!G147)),NOT(ISNUMBER('Price History'!G146)),'Price History'!G146=0),"",'Price History'!G147/'Price History'!G146-1),"")</f>
        <v>1.9744346116027378E-2</v>
      </c>
      <c r="H146" s="150">
        <f>IFERROR(IF(OR(NOT(ISNUMBER('Price History'!H147)),NOT(ISNUMBER('Price History'!H146)),'Price History'!H146=0),"",'Price History'!H147/'Price History'!H146-1),"")</f>
        <v>0.15523811464552795</v>
      </c>
      <c r="I146" s="150">
        <f>IFERROR(IF(OR(NOT(ISNUMBER('Price History'!I147)),NOT(ISNUMBER('Price History'!I146)),'Price History'!I146=0),"",'Price History'!I147/'Price History'!I146-1),"")</f>
        <v>2.6785714285714191E-2</v>
      </c>
      <c r="J146" s="150">
        <f>IFERROR(IF(OR(NOT(ISNUMBER('Price History'!J147)),NOT(ISNUMBER('Price History'!J146)),'Price History'!J146=0),"",'Price History'!J147/'Price History'!J146-1),"")</f>
        <v>-4.8324346460992373E-2</v>
      </c>
      <c r="K146" s="150">
        <f>IFERROR(IF(OR(NOT(ISNUMBER('Price History'!K147)),NOT(ISNUMBER('Price History'!K146)),'Price History'!K146=0),"",'Price History'!K147/'Price History'!K146-1),"")</f>
        <v>3.7502929916399808E-3</v>
      </c>
      <c r="L146" s="150">
        <f>IFERROR(IF(OR(NOT(ISNUMBER('Price History'!L147)),NOT(ISNUMBER('Price History'!L146)),'Price History'!L146=0),"",'Price History'!L147/'Price History'!L146-1),"")</f>
        <v>9.0066225165562841E-2</v>
      </c>
      <c r="M146" s="150">
        <f>IFERROR(IF(OR(NOT(ISNUMBER('Price History'!M147)),NOT(ISNUMBER('Price History'!M146)),'Price History'!M146=0),"",'Price History'!M147/'Price History'!M146-1),"")</f>
        <v>9.9890991973045296E-2</v>
      </c>
      <c r="N146" s="150">
        <f>IFERROR(IF(OR(NOT(ISNUMBER('Price History'!N147)),NOT(ISNUMBER('Price History'!N146)),'Price History'!N146=0),"",'Price History'!N147/'Price History'!N146-1),"")</f>
        <v>1.5058548535724636E-2</v>
      </c>
      <c r="O146" s="150">
        <f>IFERROR(IF(OR(NOT(ISNUMBER('Price History'!O147)),NOT(ISNUMBER('Price History'!O146)),'Price History'!O146=0),"",'Price History'!O147/'Price History'!O146-1),"")</f>
        <v>-1.9117528434298703E-2</v>
      </c>
      <c r="P146" s="150">
        <f>IFERROR(IF(OR(NOT(ISNUMBER('Price History'!P147)),NOT(ISNUMBER('Price History'!P146)),'Price History'!P146=0),"",'Price History'!P147/'Price History'!P146-1),"")</f>
        <v>-2.7191298784388973E-2</v>
      </c>
      <c r="Q146" s="150">
        <f>IFERROR(IF(OR(NOT(ISNUMBER('Price History'!Q147)),NOT(ISNUMBER('Price History'!Q146)),'Price History'!Q146=0),"",'Price History'!Q147/'Price History'!Q146-1),"")</f>
        <v>8.3382966051221974E-3</v>
      </c>
      <c r="R146" s="150">
        <f>IFERROR(IF(OR(NOT(ISNUMBER('Price History'!R147)),NOT(ISNUMBER('Price History'!R146)),'Price History'!R146=0),"",'Price History'!R147/'Price History'!R146-1),"")</f>
        <v>2.4773203070481475E-2</v>
      </c>
      <c r="S146" s="150">
        <f>IFERROR(IF(OR(NOT(ISNUMBER('Price History'!S147)),NOT(ISNUMBER('Price History'!S146)),'Price History'!S146=0),"",'Price History'!S147/'Price History'!S146-1),"")</f>
        <v>4.8618421052631478E-2</v>
      </c>
      <c r="T146" s="150">
        <f>IFERROR(IF(OR(NOT(ISNUMBER('Price History'!T147)),NOT(ISNUMBER('Price History'!T146)),'Price History'!T146=0),"",'Price History'!T147/'Price History'!T146-1),"")</f>
        <v>-2.232336367576937E-2</v>
      </c>
      <c r="U146" s="150">
        <f>IFERROR(IF(OR(NOT(ISNUMBER('Price History'!U147)),NOT(ISNUMBER('Price History'!U146)),'Price History'!U146=0),"",'Price History'!U147/'Price History'!U146-1),"")</f>
        <v>-2.9102167182662453E-2</v>
      </c>
      <c r="V146" s="151">
        <f>IFERROR(IF(OR(NOT(ISNUMBER('Price History'!V147)),NOT(ISNUMBER('Price History'!V146)),'Price History'!V146=0),"",'Price History'!V147/'Price History'!V146-1),"")</f>
        <v>1.5040865160508288E-2</v>
      </c>
      <c r="W146" s="152">
        <f>IFERROR('Price History'!B3+(INDEX('Price History'!B:B,MATCH(9.99E+307,'Returns (Calc)'!$A:$A)+1)-'Price History'!B3)*(ROW()-3)/(MATCH(9.99E+307,'Returns (Calc)'!$A:$A)-3),"")</f>
        <v>271.11226415094336</v>
      </c>
      <c r="X146" s="152">
        <f>IFERROR('Price History'!C3+(INDEX('Price History'!C:C,MATCH(9.99E+307,'Returns (Calc)'!$A:$A)+1)-'Price History'!C3)*(ROW()-3)/(MATCH(9.99E+307,'Returns (Calc)'!$A:$A)-3),"")</f>
        <v>199.57672955974846</v>
      </c>
      <c r="Y146" s="152">
        <f>IFERROR('Price History'!D3+(INDEX('Price History'!D:D,MATCH(9.99E+307,'Returns (Calc)'!$A:$A)+1)-'Price History'!D3)*(ROW()-3)/(MATCH(9.99E+307,'Returns (Calc)'!$A:$A)-3),"")</f>
        <v>1659.7533333333333</v>
      </c>
      <c r="Z146" s="152">
        <f>IFERROR('Price History'!E3+(INDEX('Price History'!E:E,MATCH(9.99E+307,'Returns (Calc)'!$A:$A)+1)-'Price History'!E3)*(ROW()-3)/(MATCH(9.99E+307,'Returns (Calc)'!$A:$A)-3),"")</f>
        <v>333.41018867924527</v>
      </c>
      <c r="AA146" s="152">
        <f>IFERROR('Price History'!F3+(INDEX('Price History'!F:F,MATCH(9.99E+307,'Returns (Calc)'!$A:$A)+1)-'Price History'!F3)*(ROW()-3)/(MATCH(9.99E+307,'Returns (Calc)'!$A:$A)-3),"")</f>
        <v>251.52503144654088</v>
      </c>
      <c r="AB146" s="152">
        <f>IFERROR('Price History'!G3+(INDEX('Price History'!G:G,MATCH(9.99E+307,'Returns (Calc)'!$A:$A)+1)-'Price History'!G3)*(ROW()-3)/(MATCH(9.99E+307,'Returns (Calc)'!$A:$A)-3),"")</f>
        <v>180.35289308176098</v>
      </c>
      <c r="AC146" s="152">
        <f>IFERROR('Price History'!H3+(INDEX('Price History'!H:H,MATCH(9.99E+307,'Returns (Calc)'!$A:$A)+1)-'Price History'!H3)*(ROW()-3)/(MATCH(9.99E+307,'Returns (Calc)'!$A:$A)-3),"")</f>
        <v>932.40729559748422</v>
      </c>
      <c r="AD146" s="152">
        <f>IFERROR('Price History'!I3+(INDEX('Price History'!I:I,MATCH(9.99E+307,'Returns (Calc)'!$A:$A)+1)-'Price History'!I3)*(ROW()-3)/(MATCH(9.99E+307,'Returns (Calc)'!$A:$A)-3),"")</f>
        <v>210.61232704402516</v>
      </c>
      <c r="AE146" s="152">
        <f>IFERROR('Price History'!J3+(INDEX('Price History'!J:J,MATCH(9.99E+307,'Returns (Calc)'!$A:$A)+1)-'Price History'!J3)*(ROW()-3)/(MATCH(9.99E+307,'Returns (Calc)'!$A:$A)-3),"")</f>
        <v>127.71389937106919</v>
      </c>
      <c r="AF146" s="152">
        <f>IFERROR('Price History'!K3+(INDEX('Price History'!K:K,MATCH(9.99E+307,'Returns (Calc)'!$A:$A)+1)-'Price History'!K3)*(ROW()-3)/(MATCH(9.99E+307,'Returns (Calc)'!$A:$A)-3),"")</f>
        <v>189.55616352201258</v>
      </c>
      <c r="AG146" s="152">
        <f>IFERROR('Price History'!L3+(INDEX('Price History'!L:L,MATCH(9.99E+307,'Returns (Calc)'!$A:$A)+1)-'Price History'!L3)*(ROW()-3)/(MATCH(9.99E+307,'Returns (Calc)'!$A:$A)-3),"")</f>
        <v>416.32283018867923</v>
      </c>
      <c r="AH146" s="152">
        <f>IFERROR('Price History'!M3+(INDEX('Price History'!M:M,MATCH(9.99E+307,'Returns (Calc)'!$A:$A)+1)-'Price History'!M3)*(ROW()-3)/(MATCH(9.99E+307,'Returns (Calc)'!$A:$A)-3),"")</f>
        <v>222.17522012578618</v>
      </c>
      <c r="AI146" s="152">
        <f>IFERROR('Price History'!N3+(INDEX('Price History'!N:N,MATCH(9.99E+307,'Returns (Calc)'!$A:$A)+1)-'Price History'!N3)*(ROW()-3)/(MATCH(9.99E+307,'Returns (Calc)'!$A:$A)-3),"")</f>
        <v>493.8606289308176</v>
      </c>
      <c r="AJ146" s="152">
        <f>IFERROR('Price History'!O3+(INDEX('Price History'!O:O,MATCH(9.99E+307,'Returns (Calc)'!$A:$A)+1)-'Price History'!O3)*(ROW()-3)/(MATCH(9.99E+307,'Returns (Calc)'!$A:$A)-3),"")</f>
        <v>115.17911949685535</v>
      </c>
      <c r="AK146" s="152">
        <f>IFERROR('Price History'!Q3+(INDEX('Price History'!Q:Q,MATCH(9.99E+307,'Returns (Calc)'!$A:$A)+1)-'Price History'!Q3)*(ROW()-3)/(MATCH(9.99E+307,'Returns (Calc)'!$A:$A)-3),"")</f>
        <v>62.92899371069182</v>
      </c>
      <c r="AL146" s="152">
        <f>IFERROR('Price History'!R3+(INDEX('Price History'!R:R,MATCH(9.99E+307,'Returns (Calc)'!$A:$A)+1)-'Price History'!R3)*(ROW()-3)/(MATCH(9.99E+307,'Returns (Calc)'!$A:$A)-3),"")</f>
        <v>58.4122641509434</v>
      </c>
      <c r="AM146" s="152">
        <f>IFERROR('Price History'!S3+(INDEX('Price History'!S:S,MATCH(9.99E+307,'Returns (Calc)'!$A:$A)+1)-'Price History'!S3)*(ROW()-3)/(MATCH(9.99E+307,'Returns (Calc)'!$A:$A)-3),"")</f>
        <v>141.74817610062894</v>
      </c>
      <c r="AN146" s="152">
        <f>IFERROR('Price History'!T3+(INDEX('Price History'!T:T,MATCH(9.99E+307,'Returns (Calc)'!$A:$A)+1)-'Price History'!T3)*(ROW()-3)/(MATCH(9.99E+307,'Returns (Calc)'!$A:$A)-3),"")</f>
        <v>50.062641509433966</v>
      </c>
      <c r="AO146" s="153">
        <f>IFERROR('Price History'!V3+(INDEX('Price History'!V:V,MATCH(9.99E+307,'Returns (Calc)'!$A:$A)+1)-'Price History'!V3)*(ROW()-3)/(MATCH(9.99E+307,'Returns (Calc)'!$A:$A)-3),"")</f>
        <v>370.37377358490562</v>
      </c>
      <c r="AP146" s="151">
        <f>IFERROR(IF(OR(NOT(ISNUMBER('Price History'!W147)),NOT(ISNUMBER('Price History'!W146)),'Price History'!W146=0),"",'Price History'!W147/'Price History'!W146-1),"")</f>
        <v>-7.068029786696961E-3</v>
      </c>
      <c r="AQ146" s="151">
        <f>IFERROR(IF(OR(NOT(ISNUMBER('Price History'!X147)),NOT(ISNUMBER('Price History'!X146)),'Price History'!X146=0),"",'Price History'!X147/'Price History'!X146-1),"")</f>
        <v>-2.2035480859010304E-2</v>
      </c>
      <c r="AR146" s="151">
        <f>IFERROR(IF(OR(NOT(ISNUMBER('Price History'!Y147)),NOT(ISNUMBER('Price History'!Y146)),'Price History'!Y146=0),"",'Price History'!Y147/'Price History'!Y146-1),"")</f>
        <v>1.0986998718183205E-3</v>
      </c>
      <c r="AS146" s="151">
        <f>IFERROR(IF(OR(NOT(ISNUMBER('Price History'!Z147)),NOT(ISNUMBER('Price History'!Z146)),'Price History'!Z146=0),"",'Price History'!Z147/'Price History'!Z146-1),"")</f>
        <v>6.6620879120879106E-2</v>
      </c>
      <c r="AT146" s="151">
        <f>IFERROR(IF(OR(NOT(ISNUMBER('Price History'!AA147)),NOT(ISNUMBER('Price History'!AA146)),'Price History'!AA146=0),"",'Price History'!AA147/'Price History'!AA146-1),"")</f>
        <v>-3.6843415484192232E-2</v>
      </c>
      <c r="AU146" s="151">
        <f>IFERROR(IF(OR(NOT(ISNUMBER('Price History'!AB147)),NOT(ISNUMBER('Price History'!AB146)),'Price History'!AB146=0),"",'Price History'!AB147/'Price History'!AB146-1),"")</f>
        <v>-3.9112448288830315E-2</v>
      </c>
    </row>
    <row r="147" spans="1:47" ht="15" customHeight="1" x14ac:dyDescent="0.2">
      <c r="A147" s="149">
        <f>IF('Price History'!A148="","",'Price History'!A148)</f>
        <v>46199</v>
      </c>
      <c r="B147" s="150">
        <f>IFERROR(IF(OR(NOT(ISNUMBER('Price History'!B148)),NOT(ISNUMBER('Price History'!B147)),'Price History'!B147=0),"",'Price History'!B148/'Price History'!B147-1),"")</f>
        <v>3.8788686206189693E-2</v>
      </c>
      <c r="C147" s="150">
        <f>IFERROR(IF(OR(NOT(ISNUMBER('Price History'!C148)),NOT(ISNUMBER('Price History'!C147)),'Price History'!C147=0),"",'Price History'!C148/'Price History'!C147-1),"")</f>
        <v>-7.1138091589556196E-2</v>
      </c>
      <c r="D147" s="150">
        <f>IFERROR(IF(OR(NOT(ISNUMBER('Price History'!D148)),NOT(ISNUMBER('Price History'!D147)),'Price History'!D147=0),"",'Price History'!D148/'Price History'!D147-1),"")</f>
        <v>-6.9993098760371408E-2</v>
      </c>
      <c r="E147" s="150">
        <f>IFERROR(IF(OR(NOT(ISNUMBER('Price History'!E148)),NOT(ISNUMBER('Price History'!E147)),'Price History'!E147=0),"",'Price History'!E148/'Price History'!E147-1),"")</f>
        <v>-0.11120868398585193</v>
      </c>
      <c r="F147" s="150">
        <f>IFERROR(IF(OR(NOT(ISNUMBER('Price History'!F148)),NOT(ISNUMBER('Price History'!F147)),'Price History'!F147=0),"",'Price History'!F148/'Price History'!F147-1),"")</f>
        <v>2.3713568132702534E-2</v>
      </c>
      <c r="G147" s="150">
        <f>IFERROR(IF(OR(NOT(ISNUMBER('Price History'!G148)),NOT(ISNUMBER('Price History'!G147)),'Price History'!G147=0),"",'Price History'!G148/'Price History'!G147-1),"")</f>
        <v>-4.2079685270181577E-2</v>
      </c>
      <c r="H147" s="150">
        <f>IFERROR(IF(OR(NOT(ISNUMBER('Price History'!H148)),NOT(ISNUMBER('Price History'!H147)),'Price History'!H147=0),"",'Price History'!H148/'Price History'!H147-1),"")</f>
        <v>-1.4640771903827732E-3</v>
      </c>
      <c r="I147" s="150">
        <f>IFERROR(IF(OR(NOT(ISNUMBER('Price History'!I148)),NOT(ISNUMBER('Price History'!I147)),'Price History'!I147=0),"",'Price History'!I148/'Price History'!I147-1),"")</f>
        <v>-8.6196246139225385E-2</v>
      </c>
      <c r="J147" s="150">
        <f>IFERROR(IF(OR(NOT(ISNUMBER('Price History'!J148)),NOT(ISNUMBER('Price History'!J147)),'Price History'!J147=0),"",'Price History'!J148/'Price History'!J147-1),"")</f>
        <v>-4.0163522914724581E-3</v>
      </c>
      <c r="K147" s="150">
        <f>IFERROR(IF(OR(NOT(ISNUMBER('Price History'!K148)),NOT(ISNUMBER('Price History'!K147)),'Price History'!K147=0),"",'Price History'!K148/'Price History'!K147-1),"")</f>
        <v>-0.12096209231727251</v>
      </c>
      <c r="L147" s="150">
        <f>IFERROR(IF(OR(NOT(ISNUMBER('Price History'!L148)),NOT(ISNUMBER('Price History'!L147)),'Price History'!L147=0),"",'Price History'!L148/'Price History'!L147-1),"")</f>
        <v>-6.4420239541746249E-2</v>
      </c>
      <c r="M147" s="150">
        <f>IFERROR(IF(OR(NOT(ISNUMBER('Price History'!M148)),NOT(ISNUMBER('Price History'!M147)),'Price History'!M147=0),"",'Price History'!M148/'Price History'!M147-1),"")</f>
        <v>-8.7365228098627568E-2</v>
      </c>
      <c r="N147" s="150">
        <f>IFERROR(IF(OR(NOT(ISNUMBER('Price History'!N148)),NOT(ISNUMBER('Price History'!N147)),'Price History'!N147=0),"",'Price History'!N148/'Price History'!N147-1),"")</f>
        <v>8.7925957088767381E-2</v>
      </c>
      <c r="O147" s="150">
        <f>IFERROR(IF(OR(NOT(ISNUMBER('Price History'!O148)),NOT(ISNUMBER('Price History'!O147)),'Price History'!O147=0),"",'Price History'!O148/'Price History'!O147-1),"")</f>
        <v>2.409539473684208E-2</v>
      </c>
      <c r="P147" s="150">
        <f>IFERROR(IF(OR(NOT(ISNUMBER('Price History'!P148)),NOT(ISNUMBER('Price History'!P147)),'Price History'!P147=0),"",'Price History'!P148/'Price History'!P147-1),"")</f>
        <v>3.1700098651759268E-2</v>
      </c>
      <c r="Q147" s="150">
        <f>IFERROR(IF(OR(NOT(ISNUMBER('Price History'!Q148)),NOT(ISNUMBER('Price History'!Q147)),'Price History'!Q147=0),"",'Price History'!Q148/'Price History'!Q147-1),"")</f>
        <v>-1.0779681039574829E-2</v>
      </c>
      <c r="R147" s="150">
        <f>IFERROR(IF(OR(NOT(ISNUMBER('Price History'!R148)),NOT(ISNUMBER('Price History'!R147)),'Price History'!R147=0),"",'Price History'!R148/'Price History'!R147-1),"")</f>
        <v>-3.1324480762683016E-2</v>
      </c>
      <c r="S147" s="150">
        <f>IFERROR(IF(OR(NOT(ISNUMBER('Price History'!S148)),NOT(ISNUMBER('Price History'!S147)),'Price History'!S147=0),"",'Price History'!S148/'Price History'!S147-1),"")</f>
        <v>-3.4130121086642817E-2</v>
      </c>
      <c r="T147" s="150">
        <f>IFERROR(IF(OR(NOT(ISNUMBER('Price History'!T148)),NOT(ISNUMBER('Price History'!T147)),'Price History'!T147=0),"",'Price History'!T148/'Price History'!T147-1),"")</f>
        <v>2.0616271336732384E-2</v>
      </c>
      <c r="U147" s="150">
        <f>IFERROR(IF(OR(NOT(ISNUMBER('Price History'!U148)),NOT(ISNUMBER('Price History'!U147)),'Price History'!U147=0),"",'Price History'!U148/'Price History'!U147-1),"")</f>
        <v>1.5306122448979664E-2</v>
      </c>
      <c r="V147" s="151">
        <f>IFERROR(IF(OR(NOT(ISNUMBER('Price History'!V148)),NOT(ISNUMBER('Price History'!V147)),'Price History'!V147=0),"",'Price History'!V148/'Price History'!V147-1),"")</f>
        <v>2.7492881854085827E-2</v>
      </c>
      <c r="W147" s="152">
        <f>IFERROR('Price History'!B3+(INDEX('Price History'!B:B,MATCH(9.99E+307,'Returns (Calc)'!$A:$A)+1)-'Price History'!B3)*(ROW()-3)/(MATCH(9.99E+307,'Returns (Calc)'!$A:$A)-3),"")</f>
        <v>269.30962264150941</v>
      </c>
      <c r="X147" s="152">
        <f>IFERROR('Price History'!C3+(INDEX('Price History'!C:C,MATCH(9.99E+307,'Returns (Calc)'!$A:$A)+1)-'Price History'!C3)*(ROW()-3)/(MATCH(9.99E+307,'Returns (Calc)'!$A:$A)-3),"")</f>
        <v>200.64943396226414</v>
      </c>
      <c r="Y147" s="152">
        <f>IFERROR('Price History'!D3+(INDEX('Price History'!D:D,MATCH(9.99E+307,'Returns (Calc)'!$A:$A)+1)-'Price History'!D3)*(ROW()-3)/(MATCH(9.99E+307,'Returns (Calc)'!$A:$A)-3),"")</f>
        <v>1667.29</v>
      </c>
      <c r="Z147" s="152">
        <f>IFERROR('Price History'!E3+(INDEX('Price History'!E:E,MATCH(9.99E+307,'Returns (Calc)'!$A:$A)+1)-'Price History'!E3)*(ROW()-3)/(MATCH(9.99E+307,'Returns (Calc)'!$A:$A)-3),"")</f>
        <v>335.16830188679251</v>
      </c>
      <c r="AA147" s="152">
        <f>IFERROR('Price History'!F3+(INDEX('Price History'!F:F,MATCH(9.99E+307,'Returns (Calc)'!$A:$A)+1)-'Price History'!F3)*(ROW()-3)/(MATCH(9.99E+307,'Returns (Calc)'!$A:$A)-3),"")</f>
        <v>252.99471698113206</v>
      </c>
      <c r="AB147" s="152">
        <f>IFERROR('Price History'!G3+(INDEX('Price History'!G:G,MATCH(9.99E+307,'Returns (Calc)'!$A:$A)+1)-'Price History'!G3)*(ROW()-3)/(MATCH(9.99E+307,'Returns (Calc)'!$A:$A)-3),"")</f>
        <v>181.30396226415093</v>
      </c>
      <c r="AC147" s="152">
        <f>IFERROR('Price History'!H3+(INDEX('Price History'!H:H,MATCH(9.99E+307,'Returns (Calc)'!$A:$A)+1)-'Price History'!H3)*(ROW()-3)/(MATCH(9.99E+307,'Returns (Calc)'!$A:$A)-3),"")</f>
        <v>938.44433962264156</v>
      </c>
      <c r="AD147" s="152">
        <f>IFERROR('Price History'!I3+(INDEX('Price History'!I:I,MATCH(9.99E+307,'Returns (Calc)'!$A:$A)+1)-'Price History'!I3)*(ROW()-3)/(MATCH(9.99E+307,'Returns (Calc)'!$A:$A)-3),"")</f>
        <v>211.7790566037736</v>
      </c>
      <c r="AE147" s="152">
        <f>IFERROR('Price History'!J3+(INDEX('Price History'!J:J,MATCH(9.99E+307,'Returns (Calc)'!$A:$A)+1)-'Price History'!J3)*(ROW()-3)/(MATCH(9.99E+307,'Returns (Calc)'!$A:$A)-3),"")</f>
        <v>127.82490566037737</v>
      </c>
      <c r="AF147" s="152">
        <f>IFERROR('Price History'!K3+(INDEX('Price History'!K:K,MATCH(9.99E+307,'Returns (Calc)'!$A:$A)+1)-'Price History'!K3)*(ROW()-3)/(MATCH(9.99E+307,'Returns (Calc)'!$A:$A)-3),"")</f>
        <v>190.77452830188682</v>
      </c>
      <c r="AG147" s="152">
        <f>IFERROR('Price History'!L3+(INDEX('Price History'!L:L,MATCH(9.99E+307,'Returns (Calc)'!$A:$A)+1)-'Price History'!L3)*(ROW()-3)/(MATCH(9.99E+307,'Returns (Calc)'!$A:$A)-3),"")</f>
        <v>418.6345283018868</v>
      </c>
      <c r="AH147" s="152">
        <f>IFERROR('Price History'!M3+(INDEX('Price History'!M:M,MATCH(9.99E+307,'Returns (Calc)'!$A:$A)+1)-'Price History'!M3)*(ROW()-3)/(MATCH(9.99E+307,'Returns (Calc)'!$A:$A)-3),"")</f>
        <v>223.46301886792452</v>
      </c>
      <c r="AI147" s="152">
        <f>IFERROR('Price History'!N3+(INDEX('Price History'!N:N,MATCH(9.99E+307,'Returns (Calc)'!$A:$A)+1)-'Price History'!N3)*(ROW()-3)/(MATCH(9.99E+307,'Returns (Calc)'!$A:$A)-3),"")</f>
        <v>494.87433962264151</v>
      </c>
      <c r="AJ147" s="152">
        <f>IFERROR('Price History'!O3+(INDEX('Price History'!O:O,MATCH(9.99E+307,'Returns (Calc)'!$A:$A)+1)-'Price History'!O3)*(ROW()-3)/(MATCH(9.99E+307,'Returns (Calc)'!$A:$A)-3),"")</f>
        <v>115.45792452830189</v>
      </c>
      <c r="AK147" s="152">
        <f>IFERROR('Price History'!Q3+(INDEX('Price History'!Q:Q,MATCH(9.99E+307,'Returns (Calc)'!$A:$A)+1)-'Price History'!Q3)*(ROW()-3)/(MATCH(9.99E+307,'Returns (Calc)'!$A:$A)-3),"")</f>
        <v>63.369056603773586</v>
      </c>
      <c r="AL147" s="152">
        <f>IFERROR('Price History'!R3+(INDEX('Price History'!R:R,MATCH(9.99E+307,'Returns (Calc)'!$A:$A)+1)-'Price History'!R3)*(ROW()-3)/(MATCH(9.99E+307,'Returns (Calc)'!$A:$A)-3),"")</f>
        <v>58.579622641509438</v>
      </c>
      <c r="AM147" s="152">
        <f>IFERROR('Price History'!S3+(INDEX('Price History'!S:S,MATCH(9.99E+307,'Returns (Calc)'!$A:$A)+1)-'Price History'!S3)*(ROW()-3)/(MATCH(9.99E+307,'Returns (Calc)'!$A:$A)-3),"")</f>
        <v>142.33641509433963</v>
      </c>
      <c r="AN147" s="152">
        <f>IFERROR('Price History'!T3+(INDEX('Price History'!T:T,MATCH(9.99E+307,'Returns (Calc)'!$A:$A)+1)-'Price History'!T3)*(ROW()-3)/(MATCH(9.99E+307,'Returns (Calc)'!$A:$A)-3),"")</f>
        <v>50.236226415094343</v>
      </c>
      <c r="AO147" s="153">
        <f>IFERROR('Price History'!V3+(INDEX('Price History'!V:V,MATCH(9.99E+307,'Returns (Calc)'!$A:$A)+1)-'Price History'!V3)*(ROW()-3)/(MATCH(9.99E+307,'Returns (Calc)'!$A:$A)-3),"")</f>
        <v>371.31603773584902</v>
      </c>
      <c r="AP147" s="151">
        <f>IFERROR(IF(OR(NOT(ISNUMBER('Price History'!W148)),NOT(ISNUMBER('Price History'!W147)),'Price History'!W147=0),"",'Price History'!W148/'Price History'!W147-1),"")</f>
        <v>6.3556628956407124E-5</v>
      </c>
      <c r="AQ147" s="151">
        <f>IFERROR(IF(OR(NOT(ISNUMBER('Price History'!X148)),NOT(ISNUMBER('Price History'!X147)),'Price History'!X147=0),"",'Price History'!X148/'Price History'!X147-1),"")</f>
        <v>3.3034179873973724E-2</v>
      </c>
      <c r="AR147" s="151">
        <f>IFERROR(IF(OR(NOT(ISNUMBER('Price History'!Y148)),NOT(ISNUMBER('Price History'!Y147)),'Price History'!Y147=0),"",'Price History'!Y148/'Price History'!Y147-1),"")</f>
        <v>1.0974940552404E-3</v>
      </c>
      <c r="AS147" s="151">
        <f>IFERROR(IF(OR(NOT(ISNUMBER('Price History'!Z148)),NOT(ISNUMBER('Price History'!Z147)),'Price History'!Z147=0),"",'Price History'!Z148/'Price History'!Z147-1),"")</f>
        <v>3.1775805593661666E-2</v>
      </c>
      <c r="AT147" s="151">
        <f>IFERROR(IF(OR(NOT(ISNUMBER('Price History'!AA148)),NOT(ISNUMBER('Price History'!AA147)),'Price History'!AA147=0),"",'Price History'!AA148/'Price History'!AA147-1),"")</f>
        <v>-4.6135952442491468E-2</v>
      </c>
      <c r="AU147" s="151">
        <f>IFERROR(IF(OR(NOT(ISNUMBER('Price History'!AB148)),NOT(ISNUMBER('Price History'!AB147)),'Price History'!AB147=0),"",'Price History'!AB148/'Price History'!AB147-1),"")</f>
        <v>0.11780821917808226</v>
      </c>
    </row>
    <row r="148" spans="1:47" ht="15" customHeight="1" x14ac:dyDescent="0.2">
      <c r="A148" s="149">
        <f>IF('Price History'!A149="","",'Price History'!A149)</f>
        <v>46206</v>
      </c>
      <c r="B148" s="150">
        <f>IFERROR(IF(OR(NOT(ISNUMBER('Price History'!B149)),NOT(ISNUMBER('Price History'!B148)),'Price History'!B148=0),"",'Price History'!B149/'Price History'!B148-1),"")</f>
        <v>8.3806047452276378E-2</v>
      </c>
      <c r="C148" s="150">
        <f>IFERROR(IF(OR(NOT(ISNUMBER('Price History'!C149)),NOT(ISNUMBER('Price History'!C148)),'Price History'!C148=0),"",'Price History'!C149/'Price History'!C148-1),"")</f>
        <v>1.5164974619289451E-2</v>
      </c>
      <c r="D148" s="150">
        <f>IFERROR(IF(OR(NOT(ISNUMBER('Price History'!D149)),NOT(ISNUMBER('Price History'!D148)),'Price History'!D148=0),"",'Price History'!D149/'Price History'!D148-1),"")</f>
        <v>-1.409920214249849E-2</v>
      </c>
      <c r="E148" s="150">
        <f>IFERROR(IF(OR(NOT(ISNUMBER('Price History'!E149)),NOT(ISNUMBER('Price History'!E148)),'Price History'!E148=0),"",'Price History'!E149/'Price History'!E148-1),"")</f>
        <v>-1.2542540344714026E-2</v>
      </c>
      <c r="F148" s="150">
        <f>IFERROR(IF(OR(NOT(ISNUMBER('Price History'!F149)),NOT(ISNUMBER('Price History'!F148)),'Price History'!F148=0),"",'Price History'!F149/'Price History'!F148-1),"")</f>
        <v>0.10674958635248455</v>
      </c>
      <c r="G148" s="150">
        <f>IFERROR(IF(OR(NOT(ISNUMBER('Price History'!G149)),NOT(ISNUMBER('Price History'!G148)),'Price History'!G148=0),"",'Price History'!G149/'Price History'!G148-1),"")</f>
        <v>-5.2665485585440486E-2</v>
      </c>
      <c r="H148" s="150">
        <f>IFERROR(IF(OR(NOT(ISNUMBER('Price History'!H149)),NOT(ISNUMBER('Price History'!H148)),'Price History'!H148=0),"",'Price History'!H149/'Price History'!H148-1),"")</f>
        <v>-0.13845216223855294</v>
      </c>
      <c r="I148" s="150">
        <f>IFERROR(IF(OR(NOT(ISNUMBER('Price History'!I149)),NOT(ISNUMBER('Price History'!I148)),'Price History'!I148=0),"",'Price History'!I149/'Price History'!I148-1),"")</f>
        <v>1.1959856481722264E-2</v>
      </c>
      <c r="J148" s="150">
        <f>IFERROR(IF(OR(NOT(ISNUMBER('Price History'!J149)),NOT(ISNUMBER('Price History'!J148)),'Price History'!J148=0),"",'Price History'!J149/'Price History'!J148-1),"")</f>
        <v>-3.8885288399221896E-3</v>
      </c>
      <c r="K148" s="150">
        <f>IFERROR(IF(OR(NOT(ISNUMBER('Price History'!K149)),NOT(ISNUMBER('Price History'!K148)),'Price History'!K148=0),"",'Price History'!K149/'Price History'!K148-1),"")</f>
        <v>0.14495705304170725</v>
      </c>
      <c r="L148" s="150">
        <f>IFERROR(IF(OR(NOT(ISNUMBER('Price History'!L149)),NOT(ISNUMBER('Price History'!L148)),'Price History'!L148=0),"",'Price History'!L149/'Price History'!L148-1),"")</f>
        <v>4.1976854750807036E-3</v>
      </c>
      <c r="M148" s="150">
        <f>IFERROR(IF(OR(NOT(ISNUMBER('Price History'!M149)),NOT(ISNUMBER('Price History'!M148)),'Price History'!M148=0),"",'Price History'!M149/'Price History'!M148-1),"")</f>
        <v>-1.1254442543109144E-2</v>
      </c>
      <c r="N148" s="150">
        <f>IFERROR(IF(OR(NOT(ISNUMBER('Price History'!N149)),NOT(ISNUMBER('Price History'!N148)),'Price History'!N148=0),"",'Price History'!N149/'Price History'!N148-1),"")</f>
        <v>7.4693694793829035E-2</v>
      </c>
      <c r="O148" s="150">
        <f>IFERROR(IF(OR(NOT(ISNUMBER('Price History'!O149)),NOT(ISNUMBER('Price History'!O148)),'Price History'!O148=0),"",'Price History'!O149/'Price History'!O148-1),"")</f>
        <v>-1.1402874809282926E-2</v>
      </c>
      <c r="P148" s="150">
        <f>IFERROR(IF(OR(NOT(ISNUMBER('Price History'!P149)),NOT(ISNUMBER('Price History'!P148)),'Price History'!P148=0),"",'Price History'!P149/'Price History'!P148-1),"")</f>
        <v>5.8009817045960865E-3</v>
      </c>
      <c r="Q148" s="150">
        <f>IFERROR(IF(OR(NOT(ISNUMBER('Price History'!Q149)),NOT(ISNUMBER('Price History'!Q148)),'Price History'!Q148=0),"",'Price History'!Q149/'Price History'!Q148-1),"")</f>
        <v>7.6130765785940024E-3</v>
      </c>
      <c r="R148" s="150">
        <f>IFERROR(IF(OR(NOT(ISNUMBER('Price History'!R149)),NOT(ISNUMBER('Price History'!R148)),'Price History'!R148=0),"",'Price History'!R149/'Price History'!R148-1),"")</f>
        <v>1.001757469244291E-2</v>
      </c>
      <c r="S148" s="150">
        <f>IFERROR(IF(OR(NOT(ISNUMBER('Price History'!S149)),NOT(ISNUMBER('Price History'!S148)),'Price History'!S148=0),"",'Price History'!S149/'Price History'!S148-1),"")</f>
        <v>-2.1890224098733202E-2</v>
      </c>
      <c r="T148" s="150">
        <f>IFERROR(IF(OR(NOT(ISNUMBER('Price History'!T149)),NOT(ISNUMBER('Price History'!T148)),'Price History'!T148=0),"",'Price History'!T149/'Price History'!T148-1),"")</f>
        <v>1.7593397046046899E-2</v>
      </c>
      <c r="U148" s="150">
        <f>IFERROR(IF(OR(NOT(ISNUMBER('Price History'!U149)),NOT(ISNUMBER('Price History'!U148)),'Price History'!U148=0),"",'Price History'!U149/'Price History'!U148-1),"")</f>
        <v>9.1080402010050854E-3</v>
      </c>
      <c r="V148" s="151">
        <f>IFERROR(IF(OR(NOT(ISNUMBER('Price History'!V149)),NOT(ISNUMBER('Price History'!V148)),'Price History'!V148=0),"",'Price History'!V149/'Price History'!V148-1),"")</f>
        <v>7.7023926581448521E-2</v>
      </c>
      <c r="W148" s="152">
        <f>IFERROR('Price History'!B3+(INDEX('Price History'!B:B,MATCH(9.99E+307,'Returns (Calc)'!$A:$A)+1)-'Price History'!B3)*(ROW()-3)/(MATCH(9.99E+307,'Returns (Calc)'!$A:$A)-3),"")</f>
        <v>267.50698113207545</v>
      </c>
      <c r="X148" s="152">
        <f>IFERROR('Price History'!C3+(INDEX('Price History'!C:C,MATCH(9.99E+307,'Returns (Calc)'!$A:$A)+1)-'Price History'!C3)*(ROW()-3)/(MATCH(9.99E+307,'Returns (Calc)'!$A:$A)-3),"")</f>
        <v>201.72213836477988</v>
      </c>
      <c r="Y148" s="152">
        <f>IFERROR('Price History'!D3+(INDEX('Price History'!D:D,MATCH(9.99E+307,'Returns (Calc)'!$A:$A)+1)-'Price History'!D3)*(ROW()-3)/(MATCH(9.99E+307,'Returns (Calc)'!$A:$A)-3),"")</f>
        <v>1674.8266666666666</v>
      </c>
      <c r="Z148" s="152">
        <f>IFERROR('Price History'!E3+(INDEX('Price History'!E:E,MATCH(9.99E+307,'Returns (Calc)'!$A:$A)+1)-'Price History'!E3)*(ROW()-3)/(MATCH(9.99E+307,'Returns (Calc)'!$A:$A)-3),"")</f>
        <v>336.92641509433963</v>
      </c>
      <c r="AA148" s="152">
        <f>IFERROR('Price History'!F3+(INDEX('Price History'!F:F,MATCH(9.99E+307,'Returns (Calc)'!$A:$A)+1)-'Price History'!F3)*(ROW()-3)/(MATCH(9.99E+307,'Returns (Calc)'!$A:$A)-3),"")</f>
        <v>254.46440251572324</v>
      </c>
      <c r="AB148" s="152">
        <f>IFERROR('Price History'!G3+(INDEX('Price History'!G:G,MATCH(9.99E+307,'Returns (Calc)'!$A:$A)+1)-'Price History'!G3)*(ROW()-3)/(MATCH(9.99E+307,'Returns (Calc)'!$A:$A)-3),"")</f>
        <v>182.2550314465409</v>
      </c>
      <c r="AC148" s="152">
        <f>IFERROR('Price History'!H3+(INDEX('Price History'!H:H,MATCH(9.99E+307,'Returns (Calc)'!$A:$A)+1)-'Price History'!H3)*(ROW()-3)/(MATCH(9.99E+307,'Returns (Calc)'!$A:$A)-3),"")</f>
        <v>944.48138364779868</v>
      </c>
      <c r="AD148" s="152">
        <f>IFERROR('Price History'!I3+(INDEX('Price History'!I:I,MATCH(9.99E+307,'Returns (Calc)'!$A:$A)+1)-'Price History'!I3)*(ROW()-3)/(MATCH(9.99E+307,'Returns (Calc)'!$A:$A)-3),"")</f>
        <v>212.945786163522</v>
      </c>
      <c r="AE148" s="152">
        <f>IFERROR('Price History'!J3+(INDEX('Price History'!J:J,MATCH(9.99E+307,'Returns (Calc)'!$A:$A)+1)-'Price History'!J3)*(ROW()-3)/(MATCH(9.99E+307,'Returns (Calc)'!$A:$A)-3),"")</f>
        <v>127.93591194968555</v>
      </c>
      <c r="AF148" s="152">
        <f>IFERROR('Price History'!K3+(INDEX('Price History'!K:K,MATCH(9.99E+307,'Returns (Calc)'!$A:$A)+1)-'Price History'!K3)*(ROW()-3)/(MATCH(9.99E+307,'Returns (Calc)'!$A:$A)-3),"")</f>
        <v>191.99289308176103</v>
      </c>
      <c r="AG148" s="152">
        <f>IFERROR('Price History'!L3+(INDEX('Price History'!L:L,MATCH(9.99E+307,'Returns (Calc)'!$A:$A)+1)-'Price History'!L3)*(ROW()-3)/(MATCH(9.99E+307,'Returns (Calc)'!$A:$A)-3),"")</f>
        <v>420.94622641509432</v>
      </c>
      <c r="AH148" s="152">
        <f>IFERROR('Price History'!M3+(INDEX('Price History'!M:M,MATCH(9.99E+307,'Returns (Calc)'!$A:$A)+1)-'Price History'!M3)*(ROW()-3)/(MATCH(9.99E+307,'Returns (Calc)'!$A:$A)-3),"")</f>
        <v>224.75081761006288</v>
      </c>
      <c r="AI148" s="152">
        <f>IFERROR('Price History'!N3+(INDEX('Price History'!N:N,MATCH(9.99E+307,'Returns (Calc)'!$A:$A)+1)-'Price History'!N3)*(ROW()-3)/(MATCH(9.99E+307,'Returns (Calc)'!$A:$A)-3),"")</f>
        <v>495.88805031446543</v>
      </c>
      <c r="AJ148" s="152">
        <f>IFERROR('Price History'!O3+(INDEX('Price History'!O:O,MATCH(9.99E+307,'Returns (Calc)'!$A:$A)+1)-'Price History'!O3)*(ROW()-3)/(MATCH(9.99E+307,'Returns (Calc)'!$A:$A)-3),"")</f>
        <v>115.73672955974843</v>
      </c>
      <c r="AK148" s="152">
        <f>IFERROR('Price History'!Q3+(INDEX('Price History'!Q:Q,MATCH(9.99E+307,'Returns (Calc)'!$A:$A)+1)-'Price History'!Q3)*(ROW()-3)/(MATCH(9.99E+307,'Returns (Calc)'!$A:$A)-3),"")</f>
        <v>63.809119496855345</v>
      </c>
      <c r="AL148" s="152">
        <f>IFERROR('Price History'!R3+(INDEX('Price History'!R:R,MATCH(9.99E+307,'Returns (Calc)'!$A:$A)+1)-'Price History'!R3)*(ROW()-3)/(MATCH(9.99E+307,'Returns (Calc)'!$A:$A)-3),"")</f>
        <v>58.746981132075476</v>
      </c>
      <c r="AM148" s="152">
        <f>IFERROR('Price History'!S3+(INDEX('Price History'!S:S,MATCH(9.99E+307,'Returns (Calc)'!$A:$A)+1)-'Price History'!S3)*(ROW()-3)/(MATCH(9.99E+307,'Returns (Calc)'!$A:$A)-3),"")</f>
        <v>142.92465408805032</v>
      </c>
      <c r="AN148" s="152">
        <f>IFERROR('Price History'!T3+(INDEX('Price History'!T:T,MATCH(9.99E+307,'Returns (Calc)'!$A:$A)+1)-'Price History'!T3)*(ROW()-3)/(MATCH(9.99E+307,'Returns (Calc)'!$A:$A)-3),"")</f>
        <v>50.40981132075472</v>
      </c>
      <c r="AO148" s="153">
        <f>IFERROR('Price History'!V3+(INDEX('Price History'!V:V,MATCH(9.99E+307,'Returns (Calc)'!$A:$A)+1)-'Price History'!V3)*(ROW()-3)/(MATCH(9.99E+307,'Returns (Calc)'!$A:$A)-3),"")</f>
        <v>372.25830188679242</v>
      </c>
      <c r="AP148" s="151">
        <f>IFERROR(IF(OR(NOT(ISNUMBER('Price History'!W149)),NOT(ISNUMBER('Price History'!W148)),'Price History'!W148=0),"",'Price History'!W149/'Price History'!W148-1),"")</f>
        <v>7.9440737210041412E-3</v>
      </c>
      <c r="AQ148" s="151">
        <f>IFERROR(IF(OR(NOT(ISNUMBER('Price History'!X149)),NOT(ISNUMBER('Price History'!X148)),'Price History'!X148=0),"",'Price History'!X149/'Price History'!X148-1),"")</f>
        <v>-1.8114602587800399E-2</v>
      </c>
      <c r="AR148" s="151">
        <f>IFERROR(IF(OR(NOT(ISNUMBER('Price History'!Y149)),NOT(ISNUMBER('Price History'!Y148)),'Price History'!Y148=0),"",'Price History'!Y149/'Price History'!Y148-1),"")</f>
        <v>1.6627078384798155E-2</v>
      </c>
      <c r="AS148" s="151">
        <f>IFERROR(IF(OR(NOT(ISNUMBER('Price History'!Z149)),NOT(ISNUMBER('Price History'!Z148)),'Price History'!Z148=0),"",'Price History'!Z149/'Price History'!Z148-1),"")</f>
        <v>2.3091116296738434E-2</v>
      </c>
      <c r="AT148" s="151">
        <f>IFERROR(IF(OR(NOT(ISNUMBER('Price History'!AA149)),NOT(ISNUMBER('Price History'!AA148)),'Price History'!AA148=0),"",'Price History'!AA149/'Price History'!AA148-1),"")</f>
        <v>5.2025470803414242E-2</v>
      </c>
      <c r="AU148" s="151">
        <f>IFERROR(IF(OR(NOT(ISNUMBER('Price History'!AB149)),NOT(ISNUMBER('Price History'!AB148)),'Price History'!AB148=0),"",'Price History'!AB149/'Price History'!AB148-1),"")</f>
        <v>0.12476657329598506</v>
      </c>
    </row>
    <row r="149" spans="1:47" ht="15" customHeight="1" x14ac:dyDescent="0.2">
      <c r="A149" s="149">
        <f>IF('Price History'!A150="","",'Price History'!A150)</f>
        <v>46213</v>
      </c>
      <c r="B149" s="150">
        <f>IFERROR(IF(OR(NOT(ISNUMBER('Price History'!B150)),NOT(ISNUMBER('Price History'!B149)),'Price History'!B149=0),"",'Price History'!B150/'Price History'!B149-1),"")</f>
        <v>1.7840888403422461E-2</v>
      </c>
      <c r="C149" s="150">
        <f>IFERROR(IF(OR(NOT(ISNUMBER('Price History'!C150)),NOT(ISNUMBER('Price History'!C149)),'Price History'!C149=0),"",'Price History'!C150/'Price History'!C149-1),"")</f>
        <v>0.16857303581473837</v>
      </c>
      <c r="D149" s="150">
        <f>IFERROR(IF(OR(NOT(ISNUMBER('Price History'!D150)),NOT(ISNUMBER('Price History'!D149)),'Price History'!D149=0),"",'Price History'!D150/'Price History'!D149-1),"")</f>
        <v>1.5828820110580955E-2</v>
      </c>
      <c r="E149" s="150">
        <f>IFERROR(IF(OR(NOT(ISNUMBER('Price History'!E150)),NOT(ISNUMBER('Price History'!E149)),'Price History'!E149=0),"",'Price History'!E150/'Price History'!E149-1),"")</f>
        <v>0.10964729425498199</v>
      </c>
      <c r="F149" s="150">
        <f>IFERROR(IF(OR(NOT(ISNUMBER('Price History'!F150)),NOT(ISNUMBER('Price History'!F149)),'Price History'!F149=0),"",'Price History'!F150/'Price History'!F149-1),"")</f>
        <v>-3.5055160325806689E-2</v>
      </c>
      <c r="G149" s="150">
        <f>IFERROR(IF(OR(NOT(ISNUMBER('Price History'!G150)),NOT(ISNUMBER('Price History'!G149)),'Price History'!G149=0),"",'Price History'!G150/'Price History'!G149-1),"")</f>
        <v>-1.7086025161509699E-2</v>
      </c>
      <c r="H149" s="150">
        <f>IFERROR(IF(OR(NOT(ISNUMBER('Price History'!H150)),NOT(ISNUMBER('Price History'!H149)),'Price History'!H149=0),"",'Price History'!H150/'Price History'!H149-1),"")</f>
        <v>3.9880665566274232E-3</v>
      </c>
      <c r="I149" s="150">
        <f>IFERROR(IF(OR(NOT(ISNUMBER('Price History'!I150)),NOT(ISNUMBER('Price History'!I149)),'Price History'!I149=0),"",'Price History'!I150/'Price History'!I149-1),"")</f>
        <v>8.2780946508401287E-2</v>
      </c>
      <c r="J149" s="150">
        <f>IFERROR(IF(OR(NOT(ISNUMBER('Price History'!J150)),NOT(ISNUMBER('Price History'!J149)),'Price History'!J149=0),"",'Price History'!J150/'Price History'!J149-1),"")</f>
        <v>1.0337598496349187E-2</v>
      </c>
      <c r="K149" s="150">
        <f>IFERROR(IF(OR(NOT(ISNUMBER('Price History'!K150)),NOT(ISNUMBER('Price History'!K149)),'Price History'!K149=0),"",'Price History'!K150/'Price History'!K149-1),"")</f>
        <v>-1.9412219644238227E-2</v>
      </c>
      <c r="L149" s="150">
        <f>IFERROR(IF(OR(NOT(ISNUMBER('Price History'!L150)),NOT(ISNUMBER('Price History'!L149)),'Price History'!L149=0),"",'Price History'!L150/'Price History'!L149-1),"")</f>
        <v>-1.1547344110862667E-4</v>
      </c>
      <c r="M149" s="150">
        <f>IFERROR(IF(OR(NOT(ISNUMBER('Price History'!M150)),NOT(ISNUMBER('Price History'!M149)),'Price History'!M149=0),"",'Price History'!M150/'Price History'!M149-1),"")</f>
        <v>6.0973174465819069E-2</v>
      </c>
      <c r="N149" s="150">
        <f>IFERROR(IF(OR(NOT(ISNUMBER('Price History'!N150)),NOT(ISNUMBER('Price History'!N149)),'Price History'!N149=0),"",'Price History'!N150/'Price History'!N149-1),"")</f>
        <v>-8.0770396182107351E-2</v>
      </c>
      <c r="O149" s="150">
        <f>IFERROR(IF(OR(NOT(ISNUMBER('Price History'!O150)),NOT(ISNUMBER('Price History'!O149)),'Price History'!O149=0),"",'Price History'!O150/'Price History'!O149-1),"")</f>
        <v>3.5740394768906114E-3</v>
      </c>
      <c r="P149" s="150">
        <f>IFERROR(IF(OR(NOT(ISNUMBER('Price History'!P150)),NOT(ISNUMBER('Price History'!P149)),'Price History'!P149=0),"",'Price History'!P150/'Price History'!P149-1),"")</f>
        <v>2.3450373938396218E-3</v>
      </c>
      <c r="Q149" s="150">
        <f>IFERROR(IF(OR(NOT(ISNUMBER('Price History'!Q150)),NOT(ISNUMBER('Price History'!Q149)),'Price History'!Q149=0),"",'Price History'!Q150/'Price History'!Q149-1),"")</f>
        <v>1.0962962962962841E-2</v>
      </c>
      <c r="R149" s="150">
        <f>IFERROR(IF(OR(NOT(ISNUMBER('Price History'!R150)),NOT(ISNUMBER('Price History'!R149)),'Price History'!R149=0),"",'Price History'!R150/'Price History'!R149-1),"")</f>
        <v>1.8792413433095456E-2</v>
      </c>
      <c r="S149" s="150">
        <f>IFERROR(IF(OR(NOT(ISNUMBER('Price History'!S150)),NOT(ISNUMBER('Price History'!S149)),'Price History'!S149=0),"",'Price History'!S150/'Price History'!S149-1),"")</f>
        <v>1.9391685482799792E-2</v>
      </c>
      <c r="T149" s="150">
        <f>IFERROR(IF(OR(NOT(ISNUMBER('Price History'!T150)),NOT(ISNUMBER('Price History'!T149)),'Price History'!T149=0),"",'Price History'!T150/'Price History'!T149-1),"")</f>
        <v>8.9647812166488983E-3</v>
      </c>
      <c r="U149" s="150">
        <f>IFERROR(IF(OR(NOT(ISNUMBER('Price History'!U150)),NOT(ISNUMBER('Price History'!U149)),'Price History'!U149=0),"",'Price History'!U150/'Price History'!U149-1),"")</f>
        <v>3.1123560535317729E-4</v>
      </c>
      <c r="V149" s="151">
        <f>IFERROR(IF(OR(NOT(ISNUMBER('Price History'!V150)),NOT(ISNUMBER('Price History'!V149)),'Price History'!V149=0),"",'Price History'!V150/'Price History'!V149-1),"")</f>
        <v>-3.6352570132241468E-2</v>
      </c>
      <c r="W149" s="152">
        <f>IFERROR('Price History'!B3+(INDEX('Price History'!B:B,MATCH(9.99E+307,'Returns (Calc)'!$A:$A)+1)-'Price History'!B3)*(ROW()-3)/(MATCH(9.99E+307,'Returns (Calc)'!$A:$A)-3),"")</f>
        <v>265.7043396226415</v>
      </c>
      <c r="X149" s="152">
        <f>IFERROR('Price History'!C3+(INDEX('Price History'!C:C,MATCH(9.99E+307,'Returns (Calc)'!$A:$A)+1)-'Price History'!C3)*(ROW()-3)/(MATCH(9.99E+307,'Returns (Calc)'!$A:$A)-3),"")</f>
        <v>202.79484276729562</v>
      </c>
      <c r="Y149" s="152">
        <f>IFERROR('Price History'!D3+(INDEX('Price History'!D:D,MATCH(9.99E+307,'Returns (Calc)'!$A:$A)+1)-'Price History'!D3)*(ROW()-3)/(MATCH(9.99E+307,'Returns (Calc)'!$A:$A)-3),"")</f>
        <v>1682.3633333333332</v>
      </c>
      <c r="Z149" s="152">
        <f>IFERROR('Price History'!E3+(INDEX('Price History'!E:E,MATCH(9.99E+307,'Returns (Calc)'!$A:$A)+1)-'Price History'!E3)*(ROW()-3)/(MATCH(9.99E+307,'Returns (Calc)'!$A:$A)-3),"")</f>
        <v>338.68452830188681</v>
      </c>
      <c r="AA149" s="152">
        <f>IFERROR('Price History'!F3+(INDEX('Price History'!F:F,MATCH(9.99E+307,'Returns (Calc)'!$A:$A)+1)-'Price History'!F3)*(ROW()-3)/(MATCH(9.99E+307,'Returns (Calc)'!$A:$A)-3),"")</f>
        <v>255.93408805031447</v>
      </c>
      <c r="AB149" s="152">
        <f>IFERROR('Price History'!G3+(INDEX('Price History'!G:G,MATCH(9.99E+307,'Returns (Calc)'!$A:$A)+1)-'Price History'!G3)*(ROW()-3)/(MATCH(9.99E+307,'Returns (Calc)'!$A:$A)-3),"")</f>
        <v>183.20610062893081</v>
      </c>
      <c r="AC149" s="152">
        <f>IFERROR('Price History'!H3+(INDEX('Price History'!H:H,MATCH(9.99E+307,'Returns (Calc)'!$A:$A)+1)-'Price History'!H3)*(ROW()-3)/(MATCH(9.99E+307,'Returns (Calc)'!$A:$A)-3),"")</f>
        <v>950.51842767295602</v>
      </c>
      <c r="AD149" s="152">
        <f>IFERROR('Price History'!I3+(INDEX('Price History'!I:I,MATCH(9.99E+307,'Returns (Calc)'!$A:$A)+1)-'Price History'!I3)*(ROW()-3)/(MATCH(9.99E+307,'Returns (Calc)'!$A:$A)-3),"")</f>
        <v>214.11251572327043</v>
      </c>
      <c r="AE149" s="152">
        <f>IFERROR('Price History'!J3+(INDEX('Price History'!J:J,MATCH(9.99E+307,'Returns (Calc)'!$A:$A)+1)-'Price History'!J3)*(ROW()-3)/(MATCH(9.99E+307,'Returns (Calc)'!$A:$A)-3),"")</f>
        <v>128.04691823899373</v>
      </c>
      <c r="AF149" s="152">
        <f>IFERROR('Price History'!K3+(INDEX('Price History'!K:K,MATCH(9.99E+307,'Returns (Calc)'!$A:$A)+1)-'Price History'!K3)*(ROW()-3)/(MATCH(9.99E+307,'Returns (Calc)'!$A:$A)-3),"")</f>
        <v>193.21125786163523</v>
      </c>
      <c r="AG149" s="152">
        <f>IFERROR('Price History'!L3+(INDEX('Price History'!L:L,MATCH(9.99E+307,'Returns (Calc)'!$A:$A)+1)-'Price History'!L3)*(ROW()-3)/(MATCH(9.99E+307,'Returns (Calc)'!$A:$A)-3),"")</f>
        <v>423.25792452830188</v>
      </c>
      <c r="AH149" s="152">
        <f>IFERROR('Price History'!M3+(INDEX('Price History'!M:M,MATCH(9.99E+307,'Returns (Calc)'!$A:$A)+1)-'Price History'!M3)*(ROW()-3)/(MATCH(9.99E+307,'Returns (Calc)'!$A:$A)-3),"")</f>
        <v>226.03861635220127</v>
      </c>
      <c r="AI149" s="152">
        <f>IFERROR('Price History'!N3+(INDEX('Price History'!N:N,MATCH(9.99E+307,'Returns (Calc)'!$A:$A)+1)-'Price History'!N3)*(ROW()-3)/(MATCH(9.99E+307,'Returns (Calc)'!$A:$A)-3),"")</f>
        <v>496.90176100628929</v>
      </c>
      <c r="AJ149" s="152">
        <f>IFERROR('Price History'!O3+(INDEX('Price History'!O:O,MATCH(9.99E+307,'Returns (Calc)'!$A:$A)+1)-'Price History'!O3)*(ROW()-3)/(MATCH(9.99E+307,'Returns (Calc)'!$A:$A)-3),"")</f>
        <v>116.01553459119496</v>
      </c>
      <c r="AK149" s="152">
        <f>IFERROR('Price History'!Q3+(INDEX('Price History'!Q:Q,MATCH(9.99E+307,'Returns (Calc)'!$A:$A)+1)-'Price History'!Q3)*(ROW()-3)/(MATCH(9.99E+307,'Returns (Calc)'!$A:$A)-3),"")</f>
        <v>64.249182389937104</v>
      </c>
      <c r="AL149" s="152">
        <f>IFERROR('Price History'!R3+(INDEX('Price History'!R:R,MATCH(9.99E+307,'Returns (Calc)'!$A:$A)+1)-'Price History'!R3)*(ROW()-3)/(MATCH(9.99E+307,'Returns (Calc)'!$A:$A)-3),"")</f>
        <v>58.914339622641506</v>
      </c>
      <c r="AM149" s="152">
        <f>IFERROR('Price History'!S3+(INDEX('Price History'!S:S,MATCH(9.99E+307,'Returns (Calc)'!$A:$A)+1)-'Price History'!S3)*(ROW()-3)/(MATCH(9.99E+307,'Returns (Calc)'!$A:$A)-3),"")</f>
        <v>143.51289308176101</v>
      </c>
      <c r="AN149" s="152">
        <f>IFERROR('Price History'!T3+(INDEX('Price History'!T:T,MATCH(9.99E+307,'Returns (Calc)'!$A:$A)+1)-'Price History'!T3)*(ROW()-3)/(MATCH(9.99E+307,'Returns (Calc)'!$A:$A)-3),"")</f>
        <v>50.583396226415097</v>
      </c>
      <c r="AO149" s="153">
        <f>IFERROR('Price History'!V3+(INDEX('Price History'!V:V,MATCH(9.99E+307,'Returns (Calc)'!$A:$A)+1)-'Price History'!V3)*(ROW()-3)/(MATCH(9.99E+307,'Returns (Calc)'!$A:$A)-3),"")</f>
        <v>373.20056603773583</v>
      </c>
      <c r="AP149" s="151">
        <f>IFERROR(IF(OR(NOT(ISNUMBER('Price History'!W150)),NOT(ISNUMBER('Price History'!W149)),'Price History'!W149=0),"",'Price History'!W150/'Price History'!W149-1),"")</f>
        <v>9.8991172761664359E-3</v>
      </c>
      <c r="AQ149" s="151">
        <f>IFERROR(IF(OR(NOT(ISNUMBER('Price History'!X150)),NOT(ISNUMBER('Price History'!X149)),'Price History'!X149=0),"",'Price History'!X150/'Price History'!X149-1),"")</f>
        <v>7.9066265060241392E-3</v>
      </c>
      <c r="AR149" s="151">
        <f>IFERROR(IF(OR(NOT(ISNUMBER('Price History'!Y150)),NOT(ISNUMBER('Price History'!Y149)),'Price History'!Y149=0),"",'Price History'!Y150/'Price History'!Y149-1),"")</f>
        <v>8.9863407620405233E-4</v>
      </c>
      <c r="AS149" s="151">
        <f>IFERROR(IF(OR(NOT(ISNUMBER('Price History'!Z150)),NOT(ISNUMBER('Price History'!Z149)),'Price History'!Z149=0),"",'Price History'!Z150/'Price History'!Z149-1),"")</f>
        <v>-4.715554966184865E-2</v>
      </c>
      <c r="AT149" s="151">
        <f>IFERROR(IF(OR(NOT(ISNUMBER('Price History'!AA150)),NOT(ISNUMBER('Price History'!AA149)),'Price History'!AA149=0),"",'Price History'!AA150/'Price History'!AA149-1),"")</f>
        <v>-5.5119124275595621E-2</v>
      </c>
      <c r="AU149" s="151">
        <f>IFERROR(IF(OR(NOT(ISNUMBER('Price History'!AB150)),NOT(ISNUMBER('Price History'!AB149)),'Price History'!AB149=0),"",'Price History'!AB150/'Price History'!AB149-1),"")</f>
        <v>-1.3593441942513218E-2</v>
      </c>
    </row>
    <row r="150" spans="1:47" ht="15" customHeight="1" x14ac:dyDescent="0.2">
      <c r="A150" s="149">
        <f>IF('Price History'!A151="","",'Price History'!A151)</f>
        <v>46220</v>
      </c>
      <c r="B150" s="150">
        <f>IFERROR(IF(OR(NOT(ISNUMBER('Price History'!B151)),NOT(ISNUMBER('Price History'!B150)),'Price History'!B150=0),"",'Price History'!B151/'Price History'!B150-1),"")</f>
        <v>6.0856734036844884E-2</v>
      </c>
      <c r="C150" s="150">
        <f>IFERROR(IF(OR(NOT(ISNUMBER('Price History'!C151)),NOT(ISNUMBER('Price History'!C150)),'Price History'!C150=0),"",'Price History'!C151/'Price History'!C150-1),"")</f>
        <v>-9.8149336756525374E-2</v>
      </c>
      <c r="D150" s="150">
        <f>IFERROR(IF(OR(NOT(ISNUMBER('Price History'!D151)),NOT(ISNUMBER('Price History'!D150)),'Price History'!D150=0),"",'Price History'!D151/'Price History'!D150-1),"")</f>
        <v>-2.7676880222841316E-2</v>
      </c>
      <c r="E150" s="150">
        <f>IFERROR(IF(OR(NOT(ISNUMBER('Price History'!E151)),NOT(ISNUMBER('Price History'!E150)),'Price History'!E150=0),"",'Price History'!E151/'Price History'!E150-1),"")</f>
        <v>-7.283839294659844E-2</v>
      </c>
      <c r="F150" s="150">
        <f>IFERROR(IF(OR(NOT(ISNUMBER('Price History'!F151)),NOT(ISNUMBER('Price History'!F150)),'Price History'!F150=0),"",'Price History'!F151/'Price History'!F150-1),"")</f>
        <v>8.4944972753499437E-2</v>
      </c>
      <c r="G150" s="150">
        <f>IFERROR(IF(OR(NOT(ISNUMBER('Price History'!G151)),NOT(ISNUMBER('Price History'!G150)),'Price History'!G150=0),"",'Price History'!G151/'Price History'!G150-1),"")</f>
        <v>-8.1077575023782766E-2</v>
      </c>
      <c r="H150" s="150">
        <f>IFERROR(IF(OR(NOT(ISNUMBER('Price History'!H151)),NOT(ISNUMBER('Price History'!H150)),'Price History'!H150=0),"",'Price History'!H151/'Price History'!H150-1),"")</f>
        <v>-0.13310527928111904</v>
      </c>
      <c r="I150" s="150">
        <f>IFERROR(IF(OR(NOT(ISNUMBER('Price History'!I151)),NOT(ISNUMBER('Price History'!I150)),'Price History'!I150=0),"",'Price History'!I151/'Price History'!I150-1),"")</f>
        <v>-3.8629460895975631E-2</v>
      </c>
      <c r="J150" s="150">
        <f>IFERROR(IF(OR(NOT(ISNUMBER('Price History'!J151)),NOT(ISNUMBER('Price History'!J150)),'Price History'!J150=0),"",'Price History'!J151/'Price History'!J150-1),"")</f>
        <v>6.3322839152833543E-2</v>
      </c>
      <c r="K150" s="150">
        <f>IFERROR(IF(OR(NOT(ISNUMBER('Price History'!K151)),NOT(ISNUMBER('Price History'!K150)),'Price History'!K150=0),"",'Price History'!K151/'Price History'!K150-1),"")</f>
        <v>4.4088650524489292E-2</v>
      </c>
      <c r="L150" s="150">
        <f>IFERROR(IF(OR(NOT(ISNUMBER('Price History'!L151)),NOT(ISNUMBER('Price History'!L150)),'Price History'!L150=0),"",'Price History'!L151/'Price History'!L150-1),"")</f>
        <v>-8.2342071832775088E-2</v>
      </c>
      <c r="M150" s="150">
        <f>IFERROR(IF(OR(NOT(ISNUMBER('Price History'!M151)),NOT(ISNUMBER('Price History'!M150)),'Price History'!M150=0),"",'Price History'!M151/'Price History'!M150-1),"")</f>
        <v>-9.1881548403287439E-2</v>
      </c>
      <c r="N150" s="150">
        <f>IFERROR(IF(OR(NOT(ISNUMBER('Price History'!N151)),NOT(ISNUMBER('Price History'!N150)),'Price History'!N150=0),"",'Price History'!N151/'Price History'!N150-1),"")</f>
        <v>5.3565174395853177E-4</v>
      </c>
      <c r="O150" s="150">
        <f>IFERROR(IF(OR(NOT(ISNUMBER('Price History'!O151)),NOT(ISNUMBER('Price History'!O150)),'Price History'!O150=0),"",'Price History'!O151/'Price History'!O150-1),"")</f>
        <v>1.1250505868069638E-2</v>
      </c>
      <c r="P150" s="150">
        <f>IFERROR(IF(OR(NOT(ISNUMBER('Price History'!P151)),NOT(ISNUMBER('Price History'!P150)),'Price History'!P150=0),"",'Price History'!P151/'Price History'!P150-1),"")</f>
        <v>1.4922541890610042E-2</v>
      </c>
      <c r="Q150" s="150">
        <f>IFERROR(IF(OR(NOT(ISNUMBER('Price History'!Q151)),NOT(ISNUMBER('Price History'!Q150)),'Price History'!Q150=0),"",'Price History'!Q151/'Price History'!Q150-1),"")</f>
        <v>-9.2321219226260132E-3</v>
      </c>
      <c r="R150" s="150">
        <f>IFERROR(IF(OR(NOT(ISNUMBER('Price History'!R151)),NOT(ISNUMBER('Price History'!R150)),'Price History'!R150=0),"",'Price History'!R151/'Price History'!R150-1),"")</f>
        <v>-3.2963279248505506E-2</v>
      </c>
      <c r="S150" s="150">
        <f>IFERROR(IF(OR(NOT(ISNUMBER('Price History'!S151)),NOT(ISNUMBER('Price History'!S150)),'Price History'!S150=0),"",'Price History'!S151/'Price History'!S150-1),"")</f>
        <v>-6.410423452768732E-2</v>
      </c>
      <c r="T150" s="150">
        <f>IFERROR(IF(OR(NOT(ISNUMBER('Price History'!T151)),NOT(ISNUMBER('Price History'!T150)),'Price History'!T150=0),"",'Price History'!T151/'Price History'!T150-1),"")</f>
        <v>8.6735773217685441E-3</v>
      </c>
      <c r="U150" s="150">
        <f>IFERROR(IF(OR(NOT(ISNUMBER('Price History'!U151)),NOT(ISNUMBER('Price History'!U150)),'Price History'!U150=0),"",'Price History'!U151/'Price History'!U150-1),"")</f>
        <v>1.5868077162414451E-2</v>
      </c>
      <c r="V150" s="151">
        <f>IFERROR(IF(OR(NOT(ISNUMBER('Price History'!V151)),NOT(ISNUMBER('Price History'!V150)),'Price History'!V150=0),"",'Price History'!V151/'Price History'!V150-1),"")</f>
        <v>2.7503445107946778E-2</v>
      </c>
      <c r="W150" s="152">
        <f>IFERROR('Price History'!B3+(INDEX('Price History'!B:B,MATCH(9.99E+307,'Returns (Calc)'!$A:$A)+1)-'Price History'!B3)*(ROW()-3)/(MATCH(9.99E+307,'Returns (Calc)'!$A:$A)-3),"")</f>
        <v>263.90169811320754</v>
      </c>
      <c r="X150" s="152">
        <f>IFERROR('Price History'!C3+(INDEX('Price History'!C:C,MATCH(9.99E+307,'Returns (Calc)'!$A:$A)+1)-'Price History'!C3)*(ROW()-3)/(MATCH(9.99E+307,'Returns (Calc)'!$A:$A)-3),"")</f>
        <v>203.86754716981133</v>
      </c>
      <c r="Y150" s="152">
        <f>IFERROR('Price History'!D3+(INDEX('Price History'!D:D,MATCH(9.99E+307,'Returns (Calc)'!$A:$A)+1)-'Price History'!D3)*(ROW()-3)/(MATCH(9.99E+307,'Returns (Calc)'!$A:$A)-3),"")</f>
        <v>1689.8999999999999</v>
      </c>
      <c r="Z150" s="152">
        <f>IFERROR('Price History'!E3+(INDEX('Price History'!E:E,MATCH(9.99E+307,'Returns (Calc)'!$A:$A)+1)-'Price History'!E3)*(ROW()-3)/(MATCH(9.99E+307,'Returns (Calc)'!$A:$A)-3),"")</f>
        <v>340.442641509434</v>
      </c>
      <c r="AA150" s="152">
        <f>IFERROR('Price History'!F3+(INDEX('Price History'!F:F,MATCH(9.99E+307,'Returns (Calc)'!$A:$A)+1)-'Price History'!F3)*(ROW()-3)/(MATCH(9.99E+307,'Returns (Calc)'!$A:$A)-3),"")</f>
        <v>257.40377358490565</v>
      </c>
      <c r="AB150" s="152">
        <f>IFERROR('Price History'!G3+(INDEX('Price History'!G:G,MATCH(9.99E+307,'Returns (Calc)'!$A:$A)+1)-'Price History'!G3)*(ROW()-3)/(MATCH(9.99E+307,'Returns (Calc)'!$A:$A)-3),"")</f>
        <v>184.15716981132076</v>
      </c>
      <c r="AC150" s="152">
        <f>IFERROR('Price History'!H3+(INDEX('Price History'!H:H,MATCH(9.99E+307,'Returns (Calc)'!$A:$A)+1)-'Price History'!H3)*(ROW()-3)/(MATCH(9.99E+307,'Returns (Calc)'!$A:$A)-3),"")</f>
        <v>956.55547169811314</v>
      </c>
      <c r="AD150" s="152">
        <f>IFERROR('Price History'!I3+(INDEX('Price History'!I:I,MATCH(9.99E+307,'Returns (Calc)'!$A:$A)+1)-'Price History'!I3)*(ROW()-3)/(MATCH(9.99E+307,'Returns (Calc)'!$A:$A)-3),"")</f>
        <v>215.27924528301887</v>
      </c>
      <c r="AE150" s="152">
        <f>IFERROR('Price History'!J3+(INDEX('Price History'!J:J,MATCH(9.99E+307,'Returns (Calc)'!$A:$A)+1)-'Price History'!J3)*(ROW()-3)/(MATCH(9.99E+307,'Returns (Calc)'!$A:$A)-3),"")</f>
        <v>128.15792452830189</v>
      </c>
      <c r="AF150" s="152">
        <f>IFERROR('Price History'!K3+(INDEX('Price History'!K:K,MATCH(9.99E+307,'Returns (Calc)'!$A:$A)+1)-'Price History'!K3)*(ROW()-3)/(MATCH(9.99E+307,'Returns (Calc)'!$A:$A)-3),"")</f>
        <v>194.42962264150944</v>
      </c>
      <c r="AG150" s="152">
        <f>IFERROR('Price History'!L3+(INDEX('Price History'!L:L,MATCH(9.99E+307,'Returns (Calc)'!$A:$A)+1)-'Price History'!L3)*(ROW()-3)/(MATCH(9.99E+307,'Returns (Calc)'!$A:$A)-3),"")</f>
        <v>425.56962264150945</v>
      </c>
      <c r="AH150" s="152">
        <f>IFERROR('Price History'!M3+(INDEX('Price History'!M:M,MATCH(9.99E+307,'Returns (Calc)'!$A:$A)+1)-'Price History'!M3)*(ROW()-3)/(MATCH(9.99E+307,'Returns (Calc)'!$A:$A)-3),"")</f>
        <v>227.32641509433961</v>
      </c>
      <c r="AI150" s="152">
        <f>IFERROR('Price History'!N3+(INDEX('Price History'!N:N,MATCH(9.99E+307,'Returns (Calc)'!$A:$A)+1)-'Price History'!N3)*(ROW()-3)/(MATCH(9.99E+307,'Returns (Calc)'!$A:$A)-3),"")</f>
        <v>497.91547169811321</v>
      </c>
      <c r="AJ150" s="152">
        <f>IFERROR('Price History'!O3+(INDEX('Price History'!O:O,MATCH(9.99E+307,'Returns (Calc)'!$A:$A)+1)-'Price History'!O3)*(ROW()-3)/(MATCH(9.99E+307,'Returns (Calc)'!$A:$A)-3),"")</f>
        <v>116.2943396226415</v>
      </c>
      <c r="AK150" s="152">
        <f>IFERROR('Price History'!Q3+(INDEX('Price History'!Q:Q,MATCH(9.99E+307,'Returns (Calc)'!$A:$A)+1)-'Price History'!Q3)*(ROW()-3)/(MATCH(9.99E+307,'Returns (Calc)'!$A:$A)-3),"")</f>
        <v>64.689245283018863</v>
      </c>
      <c r="AL150" s="152">
        <f>IFERROR('Price History'!R3+(INDEX('Price History'!R:R,MATCH(9.99E+307,'Returns (Calc)'!$A:$A)+1)-'Price History'!R3)*(ROW()-3)/(MATCH(9.99E+307,'Returns (Calc)'!$A:$A)-3),"")</f>
        <v>59.081698113207551</v>
      </c>
      <c r="AM150" s="152">
        <f>IFERROR('Price History'!S3+(INDEX('Price History'!S:S,MATCH(9.99E+307,'Returns (Calc)'!$A:$A)+1)-'Price History'!S3)*(ROW()-3)/(MATCH(9.99E+307,'Returns (Calc)'!$A:$A)-3),"")</f>
        <v>144.1011320754717</v>
      </c>
      <c r="AN150" s="152">
        <f>IFERROR('Price History'!T3+(INDEX('Price History'!T:T,MATCH(9.99E+307,'Returns (Calc)'!$A:$A)+1)-'Price History'!T3)*(ROW()-3)/(MATCH(9.99E+307,'Returns (Calc)'!$A:$A)-3),"")</f>
        <v>50.756981132075474</v>
      </c>
      <c r="AO150" s="153">
        <f>IFERROR('Price History'!V3+(INDEX('Price History'!V:V,MATCH(9.99E+307,'Returns (Calc)'!$A:$A)+1)-'Price History'!V3)*(ROW()-3)/(MATCH(9.99E+307,'Returns (Calc)'!$A:$A)-3),"")</f>
        <v>374.14283018867923</v>
      </c>
      <c r="AP150" s="151">
        <f>IFERROR(IF(OR(NOT(ISNUMBER('Price History'!W151)),NOT(ISNUMBER('Price History'!W150)),'Price History'!W150=0),"",'Price History'!W151/'Price History'!W150-1),"")</f>
        <v>-5.5565961166259559E-3</v>
      </c>
      <c r="AQ150" s="151">
        <f>IFERROR(IF(OR(NOT(ISNUMBER('Price History'!X151)),NOT(ISNUMBER('Price History'!X150)),'Price History'!X150=0),"",'Price History'!X151/'Price History'!X150-1),"")</f>
        <v>1.3821441912588828E-2</v>
      </c>
      <c r="AR150" s="151">
        <f>IFERROR(IF(OR(NOT(ISNUMBER('Price History'!Y151)),NOT(ISNUMBER('Price History'!Y150)),'Price History'!Y150=0),"",'Price History'!Y151/'Price History'!Y150-1),"")</f>
        <v>-3.5913090321421093E-3</v>
      </c>
      <c r="AS150" s="151">
        <f>IFERROR(IF(OR(NOT(ISNUMBER('Price History'!Z151)),NOT(ISNUMBER('Price History'!Z150)),'Price History'!Z150=0),"",'Price History'!Z151/'Price History'!Z150-1),"")</f>
        <v>-2.9058925042447226E-2</v>
      </c>
      <c r="AT150" s="151">
        <f>IFERROR(IF(OR(NOT(ISNUMBER('Price History'!AA151)),NOT(ISNUMBER('Price History'!AA150)),'Price History'!AA150=0),"",'Price History'!AA151/'Price History'!AA150-1),"")</f>
        <v>-6.0242605969742402E-2</v>
      </c>
      <c r="AU150" s="151">
        <f>IFERROR(IF(OR(NOT(ISNUMBER('Price History'!AB151)),NOT(ISNUMBER('Price History'!AB150)),'Price History'!AB150=0),"",'Price History'!AB151/'Price History'!AB150-1),"")</f>
        <v>2.7666736797811842E-2</v>
      </c>
    </row>
    <row r="151" spans="1:47" ht="15" customHeight="1" x14ac:dyDescent="0.2">
      <c r="A151" s="149">
        <f>IF('Price History'!A152="","",'Price History'!A152)</f>
        <v>46227</v>
      </c>
      <c r="B151" s="150">
        <f>IFERROR(IF(OR(NOT(ISNUMBER('Price History'!B152)),NOT(ISNUMBER('Price History'!B151)),'Price History'!B151=0),"",'Price History'!B152/'Price History'!B151-1),"")</f>
        <v>-5.1169652265542598E-2</v>
      </c>
      <c r="C151" s="150">
        <f>IFERROR(IF(OR(NOT(ISNUMBER('Price History'!C152)),NOT(ISNUMBER('Price History'!C151)),'Price History'!C151=0),"",'Price History'!C152/'Price History'!C151-1),"")</f>
        <v>3.1907953264930899E-2</v>
      </c>
      <c r="D151" s="150">
        <f>IFERROR(IF(OR(NOT(ISNUMBER('Price History'!D152)),NOT(ISNUMBER('Price History'!D151)),'Price History'!D151=0),"",'Price History'!D152/'Price History'!D151-1),"")</f>
        <v>5.4431279077762351E-3</v>
      </c>
      <c r="E151" s="150">
        <f>IFERROR(IF(OR(NOT(ISNUMBER('Price History'!E152)),NOT(ISNUMBER('Price History'!E151)),'Price History'!E151=0),"",'Price History'!E152/'Price History'!E151-1),"")</f>
        <v>2.9905986600389012E-2</v>
      </c>
      <c r="F151" s="150">
        <f>IFERROR(IF(OR(NOT(ISNUMBER('Price History'!F152)),NOT(ISNUMBER('Price History'!F151)),'Price History'!F151=0),"",'Price History'!F152/'Price History'!F151-1),"")</f>
        <v>-9.7498522749655314E-2</v>
      </c>
      <c r="G151" s="150">
        <f>IFERROR(IF(OR(NOT(ISNUMBER('Price History'!G152)),NOT(ISNUMBER('Price History'!G151)),'Price History'!G151=0),"",'Price History'!G152/'Price History'!G151-1),"")</f>
        <v>-1.0493623829466836E-2</v>
      </c>
      <c r="H151" s="150">
        <f>IFERROR(IF(OR(NOT(ISNUMBER('Price History'!H152)),NOT(ISNUMBER('Price History'!H151)),'Price History'!H151=0),"",'Price History'!H152/'Price History'!H151-1),"")</f>
        <v>8.4810648448082837E-2</v>
      </c>
      <c r="I151" s="150">
        <f>IFERROR(IF(OR(NOT(ISNUMBER('Price History'!I152)),NOT(ISNUMBER('Price History'!I151)),'Price History'!I151=0),"",'Price History'!I152/'Price History'!I151-1),"")</f>
        <v>1.9893375456609741E-2</v>
      </c>
      <c r="J151" s="150">
        <f>IFERROR(IF(OR(NOT(ISNUMBER('Price History'!J152)),NOT(ISNUMBER('Price History'!J151)),'Price History'!J151=0),"",'Price History'!J152/'Price History'!J151-1),"")</f>
        <v>-1.440010766435651E-2</v>
      </c>
      <c r="K151" s="150">
        <f>IFERROR(IF(OR(NOT(ISNUMBER('Price History'!K152)),NOT(ISNUMBER('Price History'!K151)),'Price History'!K151=0),"",'Price History'!K152/'Price History'!K151-1),"")</f>
        <v>-7.1460945762199635E-2</v>
      </c>
      <c r="L151" s="150">
        <f>IFERROR(IF(OR(NOT(ISNUMBER('Price History'!L152)),NOT(ISNUMBER('Price History'!L151)),'Price History'!L151=0),"",'Price History'!L152/'Price History'!L151-1),"")</f>
        <v>1.2660458092121685E-2</v>
      </c>
      <c r="M151" s="150">
        <f>IFERROR(IF(OR(NOT(ISNUMBER('Price History'!M152)),NOT(ISNUMBER('Price History'!M151)),'Price History'!M151=0),"",'Price History'!M152/'Price History'!M151-1),"")</f>
        <v>2.7634806038205895E-3</v>
      </c>
      <c r="N151" s="150">
        <f>IFERROR(IF(OR(NOT(ISNUMBER('Price History'!N152)),NOT(ISNUMBER('Price History'!N151)),'Price History'!N151=0),"",'Price History'!N152/'Price History'!N151-1),"")</f>
        <v>-1.7069906311129368E-2</v>
      </c>
      <c r="O151" s="150">
        <f>IFERROR(IF(OR(NOT(ISNUMBER('Price History'!O152)),NOT(ISNUMBER('Price History'!O151)),'Price History'!O151=0),"",'Price History'!O152/'Price History'!O151-1),"")</f>
        <v>-5.6026892908589421E-4</v>
      </c>
      <c r="P151" s="150">
        <f>IFERROR(IF(OR(NOT(ISNUMBER('Price History'!P152)),NOT(ISNUMBER('Price History'!P151)),'Price History'!P151=0),"",'Price History'!P152/'Price History'!P151-1),"")</f>
        <v>7.1646626378418787E-3</v>
      </c>
      <c r="Q151" s="150">
        <f>IFERROR(IF(OR(NOT(ISNUMBER('Price History'!Q152)),NOT(ISNUMBER('Price History'!Q151)),'Price History'!Q151=0),"",'Price History'!Q152/'Price History'!Q151-1),"")</f>
        <v>-1.7748853719864455E-3</v>
      </c>
      <c r="R151" s="150">
        <f>IFERROR(IF(OR(NOT(ISNUMBER('Price History'!R152)),NOT(ISNUMBER('Price History'!R151)),'Price History'!R151=0),"",'Price History'!R152/'Price History'!R151-1),"")</f>
        <v>-9.3606499470151316E-3</v>
      </c>
      <c r="S151" s="150">
        <f>IFERROR(IF(OR(NOT(ISNUMBER('Price History'!S152)),NOT(ISNUMBER('Price History'!S151)),'Price History'!S151=0),"",'Price History'!S152/'Price History'!S151-1),"")</f>
        <v>1.8167896422107921E-2</v>
      </c>
      <c r="T151" s="150">
        <f>IFERROR(IF(OR(NOT(ISNUMBER('Price History'!T152)),NOT(ISNUMBER('Price History'!T151)),'Price History'!T151=0),"",'Price History'!T152/'Price History'!T151-1),"")</f>
        <v>6.9211409395972812E-3</v>
      </c>
      <c r="U151" s="150">
        <f>IFERROR(IF(OR(NOT(ISNUMBER('Price History'!U152)),NOT(ISNUMBER('Price History'!U151)),'Price History'!U151=0),"",'Price History'!U152/'Price History'!U151-1),"")</f>
        <v>1.1638591117917318E-2</v>
      </c>
      <c r="V151" s="151">
        <f>IFERROR(IF(OR(NOT(ISNUMBER('Price History'!V152)),NOT(ISNUMBER('Price History'!V151)),'Price History'!V151=0),"",'Price History'!V152/'Price History'!V151-1),"")</f>
        <v>-7.8792958927074164E-3</v>
      </c>
      <c r="W151" s="152">
        <f>IFERROR('Price History'!B3+(INDEX('Price History'!B:B,MATCH(9.99E+307,'Returns (Calc)'!$A:$A)+1)-'Price History'!B3)*(ROW()-3)/(MATCH(9.99E+307,'Returns (Calc)'!$A:$A)-3),"")</f>
        <v>262.09905660377353</v>
      </c>
      <c r="X151" s="152">
        <f>IFERROR('Price History'!C3+(INDEX('Price History'!C:C,MATCH(9.99E+307,'Returns (Calc)'!$A:$A)+1)-'Price History'!C3)*(ROW()-3)/(MATCH(9.99E+307,'Returns (Calc)'!$A:$A)-3),"")</f>
        <v>204.94025157232707</v>
      </c>
      <c r="Y151" s="152">
        <f>IFERROR('Price History'!D3+(INDEX('Price History'!D:D,MATCH(9.99E+307,'Returns (Calc)'!$A:$A)+1)-'Price History'!D3)*(ROW()-3)/(MATCH(9.99E+307,'Returns (Calc)'!$A:$A)-3),"")</f>
        <v>1697.4366666666667</v>
      </c>
      <c r="Z151" s="152">
        <f>IFERROR('Price History'!E3+(INDEX('Price History'!E:E,MATCH(9.99E+307,'Returns (Calc)'!$A:$A)+1)-'Price History'!E3)*(ROW()-3)/(MATCH(9.99E+307,'Returns (Calc)'!$A:$A)-3),"")</f>
        <v>342.20075471698118</v>
      </c>
      <c r="AA151" s="152">
        <f>IFERROR('Price History'!F3+(INDEX('Price History'!F:F,MATCH(9.99E+307,'Returns (Calc)'!$A:$A)+1)-'Price History'!F3)*(ROW()-3)/(MATCH(9.99E+307,'Returns (Calc)'!$A:$A)-3),"")</f>
        <v>258.87345911949683</v>
      </c>
      <c r="AB151" s="152">
        <f>IFERROR('Price History'!G3+(INDEX('Price History'!G:G,MATCH(9.99E+307,'Returns (Calc)'!$A:$A)+1)-'Price History'!G3)*(ROW()-3)/(MATCH(9.99E+307,'Returns (Calc)'!$A:$A)-3),"")</f>
        <v>185.1082389937107</v>
      </c>
      <c r="AC151" s="152">
        <f>IFERROR('Price History'!H3+(INDEX('Price History'!H:H,MATCH(9.99E+307,'Returns (Calc)'!$A:$A)+1)-'Price History'!H3)*(ROW()-3)/(MATCH(9.99E+307,'Returns (Calc)'!$A:$A)-3),"")</f>
        <v>962.59251572327048</v>
      </c>
      <c r="AD151" s="152">
        <f>IFERROR('Price History'!I3+(INDEX('Price History'!I:I,MATCH(9.99E+307,'Returns (Calc)'!$A:$A)+1)-'Price History'!I3)*(ROW()-3)/(MATCH(9.99E+307,'Returns (Calc)'!$A:$A)-3),"")</f>
        <v>216.4459748427673</v>
      </c>
      <c r="AE151" s="152">
        <f>IFERROR('Price History'!J3+(INDEX('Price History'!J:J,MATCH(9.99E+307,'Returns (Calc)'!$A:$A)+1)-'Price History'!J3)*(ROW()-3)/(MATCH(9.99E+307,'Returns (Calc)'!$A:$A)-3),"")</f>
        <v>128.26893081761006</v>
      </c>
      <c r="AF151" s="152">
        <f>IFERROR('Price History'!K3+(INDEX('Price History'!K:K,MATCH(9.99E+307,'Returns (Calc)'!$A:$A)+1)-'Price History'!K3)*(ROW()-3)/(MATCH(9.99E+307,'Returns (Calc)'!$A:$A)-3),"")</f>
        <v>195.64798742138368</v>
      </c>
      <c r="AG151" s="152">
        <f>IFERROR('Price History'!L3+(INDEX('Price History'!L:L,MATCH(9.99E+307,'Returns (Calc)'!$A:$A)+1)-'Price History'!L3)*(ROW()-3)/(MATCH(9.99E+307,'Returns (Calc)'!$A:$A)-3),"")</f>
        <v>427.88132075471697</v>
      </c>
      <c r="AH151" s="152">
        <f>IFERROR('Price History'!M3+(INDEX('Price History'!M:M,MATCH(9.99E+307,'Returns (Calc)'!$A:$A)+1)-'Price History'!M3)*(ROW()-3)/(MATCH(9.99E+307,'Returns (Calc)'!$A:$A)-3),"")</f>
        <v>228.614213836478</v>
      </c>
      <c r="AI151" s="152">
        <f>IFERROR('Price History'!N3+(INDEX('Price History'!N:N,MATCH(9.99E+307,'Returns (Calc)'!$A:$A)+1)-'Price History'!N3)*(ROW()-3)/(MATCH(9.99E+307,'Returns (Calc)'!$A:$A)-3),"")</f>
        <v>498.92918238993707</v>
      </c>
      <c r="AJ151" s="152">
        <f>IFERROR('Price History'!O3+(INDEX('Price History'!O:O,MATCH(9.99E+307,'Returns (Calc)'!$A:$A)+1)-'Price History'!O3)*(ROW()-3)/(MATCH(9.99E+307,'Returns (Calc)'!$A:$A)-3),"")</f>
        <v>116.57314465408805</v>
      </c>
      <c r="AK151" s="152">
        <f>IFERROR('Price History'!Q3+(INDEX('Price History'!Q:Q,MATCH(9.99E+307,'Returns (Calc)'!$A:$A)+1)-'Price History'!Q3)*(ROW()-3)/(MATCH(9.99E+307,'Returns (Calc)'!$A:$A)-3),"")</f>
        <v>65.129308176100622</v>
      </c>
      <c r="AL151" s="152">
        <f>IFERROR('Price History'!R3+(INDEX('Price History'!R:R,MATCH(9.99E+307,'Returns (Calc)'!$A:$A)+1)-'Price History'!R3)*(ROW()-3)/(MATCH(9.99E+307,'Returns (Calc)'!$A:$A)-3),"")</f>
        <v>59.249056603773589</v>
      </c>
      <c r="AM151" s="152">
        <f>IFERROR('Price History'!S3+(INDEX('Price History'!S:S,MATCH(9.99E+307,'Returns (Calc)'!$A:$A)+1)-'Price History'!S3)*(ROW()-3)/(MATCH(9.99E+307,'Returns (Calc)'!$A:$A)-3),"")</f>
        <v>144.68937106918239</v>
      </c>
      <c r="AN151" s="152">
        <f>IFERROR('Price History'!T3+(INDEX('Price History'!T:T,MATCH(9.99E+307,'Returns (Calc)'!$A:$A)+1)-'Price History'!T3)*(ROW()-3)/(MATCH(9.99E+307,'Returns (Calc)'!$A:$A)-3),"")</f>
        <v>50.930566037735851</v>
      </c>
      <c r="AO151" s="153">
        <f>IFERROR('Price History'!V3+(INDEX('Price History'!V:V,MATCH(9.99E+307,'Returns (Calc)'!$A:$A)+1)-'Price History'!V3)*(ROW()-3)/(MATCH(9.99E+307,'Returns (Calc)'!$A:$A)-3),"")</f>
        <v>375.08509433962263</v>
      </c>
      <c r="AP151" s="151">
        <f>IFERROR(IF(OR(NOT(ISNUMBER('Price History'!W152)),NOT(ISNUMBER('Price History'!W151)),'Price History'!W151=0),"",'Price History'!W152/'Price History'!W151-1),"")</f>
        <v>1.2870416875941704E-2</v>
      </c>
      <c r="AQ151" s="151">
        <f>IFERROR(IF(OR(NOT(ISNUMBER('Price History'!X152)),NOT(ISNUMBER('Price History'!X151)),'Price History'!X151=0),"",'Price History'!X152/'Price History'!X151-1),"")</f>
        <v>-1.8422991893884966E-4</v>
      </c>
      <c r="AR151" s="151">
        <f>IFERROR(IF(OR(NOT(ISNUMBER('Price History'!Y152)),NOT(ISNUMBER('Price History'!Y151)),'Price History'!Y151=0),"",'Price History'!Y152/'Price History'!Y151-1),"")</f>
        <v>4.325103622274229E-3</v>
      </c>
      <c r="AS151" s="151">
        <f>IFERROR(IF(OR(NOT(ISNUMBER('Price History'!Z152)),NOT(ISNUMBER('Price History'!Z151)),'Price History'!Z151=0),"",'Price History'!Z152/'Price History'!Z151-1),"")</f>
        <v>1.4046956970444224E-2</v>
      </c>
      <c r="AT151" s="151">
        <f>IFERROR(IF(OR(NOT(ISNUMBER('Price History'!AA152)),NOT(ISNUMBER('Price History'!AA151)),'Price History'!AA151=0),"",'Price History'!AA152/'Price History'!AA151-1),"")</f>
        <v>1.6533720087019477E-2</v>
      </c>
      <c r="AU151" s="151">
        <f>IFERROR(IF(OR(NOT(ISNUMBER('Price History'!AB152)),NOT(ISNUMBER('Price History'!AB151)),'Price History'!AB151=0),"",'Price History'!AB152/'Price History'!AB151-1),"")</f>
        <v>-4.6780632613368733E-2</v>
      </c>
    </row>
    <row r="152" spans="1:47" ht="15" customHeight="1" x14ac:dyDescent="0.2">
      <c r="A152" s="149">
        <f>IF('Price History'!A153="","",'Price History'!A153)</f>
        <v>46234</v>
      </c>
      <c r="B152" s="150">
        <f>IFERROR(IF(OR(NOT(ISNUMBER('Price History'!B153)),NOT(ISNUMBER('Price History'!B152)),'Price History'!B152=0),"",'Price History'!B153/'Price History'!B152-1),"")</f>
        <v>0.11238949846741586</v>
      </c>
      <c r="C152" s="150">
        <f>IFERROR(IF(OR(NOT(ISNUMBER('Price History'!C153)),NOT(ISNUMBER('Price History'!C152)),'Price History'!C152=0),"",'Price History'!C153/'Price History'!C152-1),"")</f>
        <v>3.6553824932467283E-2</v>
      </c>
      <c r="D152" s="150">
        <f>IFERROR(IF(OR(NOT(ISNUMBER('Price History'!D153)),NOT(ISNUMBER('Price History'!D152)),'Price History'!D152=0),"",'Price History'!D153/'Price History'!D152-1),"")</f>
        <v>-7.1699661503743961E-2</v>
      </c>
      <c r="E152" s="150">
        <f>IFERROR(IF(OR(NOT(ISNUMBER('Price History'!E153)),NOT(ISNUMBER('Price History'!E152)),'Price History'!E152=0),"",'Price History'!E153/'Price History'!E152-1),"")</f>
        <v>1.9253469034441029E-2</v>
      </c>
      <c r="F152" s="150">
        <f>IFERROR(IF(OR(NOT(ISNUMBER('Price History'!F153)),NOT(ISNUMBER('Price History'!F152)),'Price History'!F152=0),"",'Price History'!F153/'Price History'!F152-1),"")</f>
        <v>4.1357485814055073E-2</v>
      </c>
      <c r="G152" s="150">
        <f>IFERROR(IF(OR(NOT(ISNUMBER('Price History'!G153)),NOT(ISNUMBER('Price History'!G152)),'Price History'!G152=0),"",'Price History'!G153/'Price History'!G152-1),"")</f>
        <v>-0.13158645615369979</v>
      </c>
      <c r="H152" s="150">
        <f>IFERROR(IF(OR(NOT(ISNUMBER('Price History'!H153)),NOT(ISNUMBER('Price History'!H152)),'Price History'!H152=0),"",'Price History'!H153/'Price History'!H152-1),"")</f>
        <v>-0.1063249904989414</v>
      </c>
      <c r="I152" s="150">
        <f>IFERROR(IF(OR(NOT(ISNUMBER('Price History'!I153)),NOT(ISNUMBER('Price History'!I152)),'Price History'!I152=0),"",'Price History'!I153/'Price History'!I152-1),"")</f>
        <v>-2.942742364841977E-2</v>
      </c>
      <c r="J152" s="150">
        <f>IFERROR(IF(OR(NOT(ISNUMBER('Price History'!J153)),NOT(ISNUMBER('Price History'!J152)),'Price History'!J152=0),"",'Price History'!J153/'Price History'!J152-1),"")</f>
        <v>-2.0482009967911496E-2</v>
      </c>
      <c r="K152" s="150">
        <f>IFERROR(IF(OR(NOT(ISNUMBER('Price History'!K153)),NOT(ISNUMBER('Price History'!K152)),'Price History'!K152=0),"",'Price History'!K153/'Price History'!K152-1),"")</f>
        <v>1.138952164009055E-3</v>
      </c>
      <c r="L152" s="150">
        <f>IFERROR(IF(OR(NOT(ISNUMBER('Price History'!L153)),NOT(ISNUMBER('Price History'!L152)),'Price History'!L152=0),"",'Price History'!L153/'Price History'!L152-1),"")</f>
        <v>2.0878383416598201E-3</v>
      </c>
      <c r="M152" s="150">
        <f>IFERROR(IF(OR(NOT(ISNUMBER('Price History'!M153)),NOT(ISNUMBER('Price History'!M152)),'Price History'!M152=0),"",'Price History'!M153/'Price History'!M152-1),"")</f>
        <v>-0.16803885769403015</v>
      </c>
      <c r="N152" s="150">
        <f>IFERROR(IF(OR(NOT(ISNUMBER('Price History'!N153)),NOT(ISNUMBER('Price History'!N152)),'Price History'!N152=0),"",'Price History'!N153/'Price History'!N152-1),"")</f>
        <v>-5.4466230936822679E-4</v>
      </c>
      <c r="O152" s="150">
        <f>IFERROR(IF(OR(NOT(ISNUMBER('Price History'!O153)),NOT(ISNUMBER('Price History'!O152)),'Price History'!O152=0),"",'Price History'!O153/'Price History'!O152-1),"")</f>
        <v>0</v>
      </c>
      <c r="P152" s="150">
        <f>IFERROR(IF(OR(NOT(ISNUMBER('Price History'!P153)),NOT(ISNUMBER('Price History'!P152)),'Price History'!P152=0),"",'Price History'!P153/'Price History'!P152-1),"")</f>
        <v>-1.0948905109489093E-2</v>
      </c>
      <c r="Q152" s="150">
        <f>IFERROR(IF(OR(NOT(ISNUMBER('Price History'!Q153)),NOT(ISNUMBER('Price History'!Q152)),'Price History'!Q152=0),"",'Price History'!Q153/'Price History'!Q152-1),"")</f>
        <v>1.2890798636835177E-2</v>
      </c>
      <c r="R152" s="150">
        <f>IFERROR(IF(OR(NOT(ISNUMBER('Price History'!R153)),NOT(ISNUMBER('Price History'!R152)),'Price History'!R152=0),"",'Price History'!R153/'Price History'!R152-1),"")</f>
        <v>4.9919771795328138E-3</v>
      </c>
      <c r="S152" s="150">
        <f>IFERROR(IF(OR(NOT(ISNUMBER('Price History'!S153)),NOT(ISNUMBER('Price History'!S152)),'Price History'!S152=0),"",'Price History'!S153/'Price History'!S152-1),"")</f>
        <v>-1.825391399466747E-2</v>
      </c>
      <c r="T152" s="150">
        <f>IFERROR(IF(OR(NOT(ISNUMBER('Price History'!T153)),NOT(ISNUMBER('Price History'!T152)),'Price History'!T152=0),"",'Price History'!T153/'Price History'!T152-1),"")</f>
        <v>3.33263903353469E-2</v>
      </c>
      <c r="U152" s="150">
        <f>IFERROR(IF(OR(NOT(ISNUMBER('Price History'!U153)),NOT(ISNUMBER('Price History'!U152)),'Price History'!U152=0),"",'Price History'!U153/'Price History'!U152-1),"")</f>
        <v>5.4495912806540314E-3</v>
      </c>
      <c r="V152" s="151">
        <f>IFERROR(IF(OR(NOT(ISNUMBER('Price History'!V153)),NOT(ISNUMBER('Price History'!V152)),'Price History'!V152=0),"",'Price History'!V153/'Price History'!V152-1),"")</f>
        <v>2.9204686267883417E-2</v>
      </c>
      <c r="W152" s="152">
        <f>IFERROR('Price History'!B3+(INDEX('Price History'!B:B,MATCH(9.99E+307,'Returns (Calc)'!$A:$A)+1)-'Price History'!B3)*(ROW()-3)/(MATCH(9.99E+307,'Returns (Calc)'!$A:$A)-3),"")</f>
        <v>260.29641509433964</v>
      </c>
      <c r="X152" s="152">
        <f>IFERROR('Price History'!C3+(INDEX('Price History'!C:C,MATCH(9.99E+307,'Returns (Calc)'!$A:$A)+1)-'Price History'!C3)*(ROW()-3)/(MATCH(9.99E+307,'Returns (Calc)'!$A:$A)-3),"")</f>
        <v>206.01295597484275</v>
      </c>
      <c r="Y152" s="152">
        <f>IFERROR('Price History'!D3+(INDEX('Price History'!D:D,MATCH(9.99E+307,'Returns (Calc)'!$A:$A)+1)-'Price History'!D3)*(ROW()-3)/(MATCH(9.99E+307,'Returns (Calc)'!$A:$A)-3),"")</f>
        <v>1704.9733333333331</v>
      </c>
      <c r="Z152" s="152">
        <f>IFERROR('Price History'!E3+(INDEX('Price History'!E:E,MATCH(9.99E+307,'Returns (Calc)'!$A:$A)+1)-'Price History'!E3)*(ROW()-3)/(MATCH(9.99E+307,'Returns (Calc)'!$A:$A)-3),"")</f>
        <v>343.95886792452836</v>
      </c>
      <c r="AA152" s="152">
        <f>IFERROR('Price History'!F3+(INDEX('Price History'!F:F,MATCH(9.99E+307,'Returns (Calc)'!$A:$A)+1)-'Price History'!F3)*(ROW()-3)/(MATCH(9.99E+307,'Returns (Calc)'!$A:$A)-3),"")</f>
        <v>260.34314465408806</v>
      </c>
      <c r="AB152" s="152">
        <f>IFERROR('Price History'!G3+(INDEX('Price History'!G:G,MATCH(9.99E+307,'Returns (Calc)'!$A:$A)+1)-'Price History'!G3)*(ROW()-3)/(MATCH(9.99E+307,'Returns (Calc)'!$A:$A)-3),"")</f>
        <v>186.05930817610061</v>
      </c>
      <c r="AC152" s="152">
        <f>IFERROR('Price History'!H3+(INDEX('Price History'!H:H,MATCH(9.99E+307,'Returns (Calc)'!$A:$A)+1)-'Price History'!H3)*(ROW()-3)/(MATCH(9.99E+307,'Returns (Calc)'!$A:$A)-3),"")</f>
        <v>968.6295597484276</v>
      </c>
      <c r="AD152" s="152">
        <f>IFERROR('Price History'!I3+(INDEX('Price History'!I:I,MATCH(9.99E+307,'Returns (Calc)'!$A:$A)+1)-'Price History'!I3)*(ROW()-3)/(MATCH(9.99E+307,'Returns (Calc)'!$A:$A)-3),"")</f>
        <v>217.61270440251573</v>
      </c>
      <c r="AE152" s="152">
        <f>IFERROR('Price History'!J3+(INDEX('Price History'!J:J,MATCH(9.99E+307,'Returns (Calc)'!$A:$A)+1)-'Price History'!J3)*(ROW()-3)/(MATCH(9.99E+307,'Returns (Calc)'!$A:$A)-3),"")</f>
        <v>128.37993710691825</v>
      </c>
      <c r="AF152" s="152">
        <f>IFERROR('Price History'!K3+(INDEX('Price History'!K:K,MATCH(9.99E+307,'Returns (Calc)'!$A:$A)+1)-'Price History'!K3)*(ROW()-3)/(MATCH(9.99E+307,'Returns (Calc)'!$A:$A)-3),"")</f>
        <v>196.86635220125785</v>
      </c>
      <c r="AG152" s="152">
        <f>IFERROR('Price History'!L3+(INDEX('Price History'!L:L,MATCH(9.99E+307,'Returns (Calc)'!$A:$A)+1)-'Price History'!L3)*(ROW()-3)/(MATCH(9.99E+307,'Returns (Calc)'!$A:$A)-3),"")</f>
        <v>430.19301886792454</v>
      </c>
      <c r="AH152" s="152">
        <f>IFERROR('Price History'!M3+(INDEX('Price History'!M:M,MATCH(9.99E+307,'Returns (Calc)'!$A:$A)+1)-'Price History'!M3)*(ROW()-3)/(MATCH(9.99E+307,'Returns (Calc)'!$A:$A)-3),"")</f>
        <v>229.90201257861634</v>
      </c>
      <c r="AI152" s="152">
        <f>IFERROR('Price History'!N3+(INDEX('Price History'!N:N,MATCH(9.99E+307,'Returns (Calc)'!$A:$A)+1)-'Price History'!N3)*(ROW()-3)/(MATCH(9.99E+307,'Returns (Calc)'!$A:$A)-3),"")</f>
        <v>499.94289308176099</v>
      </c>
      <c r="AJ152" s="152">
        <f>IFERROR('Price History'!O3+(INDEX('Price History'!O:O,MATCH(9.99E+307,'Returns (Calc)'!$A:$A)+1)-'Price History'!O3)*(ROW()-3)/(MATCH(9.99E+307,'Returns (Calc)'!$A:$A)-3),"")</f>
        <v>116.85194968553459</v>
      </c>
      <c r="AK152" s="152">
        <f>IFERROR('Price History'!Q3+(INDEX('Price History'!Q:Q,MATCH(9.99E+307,'Returns (Calc)'!$A:$A)+1)-'Price History'!Q3)*(ROW()-3)/(MATCH(9.99E+307,'Returns (Calc)'!$A:$A)-3),"")</f>
        <v>65.569371069182395</v>
      </c>
      <c r="AL152" s="152">
        <f>IFERROR('Price History'!R3+(INDEX('Price History'!R:R,MATCH(9.99E+307,'Returns (Calc)'!$A:$A)+1)-'Price History'!R3)*(ROW()-3)/(MATCH(9.99E+307,'Returns (Calc)'!$A:$A)-3),"")</f>
        <v>59.416415094339627</v>
      </c>
      <c r="AM152" s="152">
        <f>IFERROR('Price History'!S3+(INDEX('Price History'!S:S,MATCH(9.99E+307,'Returns (Calc)'!$A:$A)+1)-'Price History'!S3)*(ROW()-3)/(MATCH(9.99E+307,'Returns (Calc)'!$A:$A)-3),"")</f>
        <v>145.27761006289307</v>
      </c>
      <c r="AN152" s="152">
        <f>IFERROR('Price History'!T3+(INDEX('Price History'!T:T,MATCH(9.99E+307,'Returns (Calc)'!$A:$A)+1)-'Price History'!T3)*(ROW()-3)/(MATCH(9.99E+307,'Returns (Calc)'!$A:$A)-3),"")</f>
        <v>51.104150943396228</v>
      </c>
      <c r="AO152" s="153">
        <f>IFERROR('Price History'!V3+(INDEX('Price History'!V:V,MATCH(9.99E+307,'Returns (Calc)'!$A:$A)+1)-'Price History'!V3)*(ROW()-3)/(MATCH(9.99E+307,'Returns (Calc)'!$A:$A)-3),"")</f>
        <v>376.02735849056603</v>
      </c>
      <c r="AP152" s="151">
        <f>IFERROR(IF(OR(NOT(ISNUMBER('Price History'!W153)),NOT(ISNUMBER('Price History'!W152)),'Price History'!W152=0),"",'Price History'!W153/'Price History'!W152-1),"")</f>
        <v>-1.6116035455279176E-3</v>
      </c>
      <c r="AQ152" s="151">
        <f>IFERROR(IF(OR(NOT(ISNUMBER('Price History'!X153)),NOT(ISNUMBER('Price History'!X152)),'Price History'!X152=0),"",'Price History'!X153/'Price History'!X152-1),"")</f>
        <v>-2.174313617099688E-2</v>
      </c>
      <c r="AR152" s="151">
        <f>IFERROR(IF(OR(NOT(ISNUMBER('Price History'!Y153)),NOT(ISNUMBER('Price History'!Y152)),'Price History'!Y152=0),"",'Price History'!Y153/'Price History'!Y152-1),"")</f>
        <v>1.1125067288713542E-2</v>
      </c>
      <c r="AS152" s="151">
        <f>IFERROR(IF(OR(NOT(ISNUMBER('Price History'!Z153)),NOT(ISNUMBER('Price History'!Z152)),'Price History'!Z152=0),"",'Price History'!Z153/'Price History'!Z152-1),"")</f>
        <v>1.7923274814123591E-2</v>
      </c>
      <c r="AT152" s="151">
        <f>IFERROR(IF(OR(NOT(ISNUMBER('Price History'!AA153)),NOT(ISNUMBER('Price History'!AA152)),'Price History'!AA152=0),"",'Price History'!AA153/'Price History'!AA152-1),"")</f>
        <v>2.3113140248252062E-2</v>
      </c>
      <c r="AU152" s="151">
        <f>IFERROR(IF(OR(NOT(ISNUMBER('Price History'!AB153)),NOT(ISNUMBER('Price History'!AB152)),'Price History'!AB152=0),"",'Price History'!AB153/'Price History'!AB152-1),"")</f>
        <v>9.4179553264604809E-2</v>
      </c>
    </row>
    <row r="153" spans="1:47" ht="15" customHeight="1" x14ac:dyDescent="0.2">
      <c r="A153" s="149">
        <f>IF('Price History'!A154="","",'Price History'!A154)</f>
        <v>46241</v>
      </c>
      <c r="B153" s="150">
        <f>IFERROR(IF(OR(NOT(ISNUMBER('Price History'!B154)),NOT(ISNUMBER('Price History'!B153)),'Price History'!B153=0),"",'Price History'!B154/'Price History'!B153-1),"")</f>
        <v>5.9103070963619553E-2</v>
      </c>
      <c r="C153" s="150">
        <f>IFERROR(IF(OR(NOT(ISNUMBER('Price History'!C154)),NOT(ISNUMBER('Price History'!C153)),'Price History'!C153=0),"",'Price History'!C154/'Price History'!C153-1),"")</f>
        <v>4.6132520099805951E-2</v>
      </c>
      <c r="D153" s="150">
        <f>IFERROR(IF(OR(NOT(ISNUMBER('Price History'!D154)),NOT(ISNUMBER('Price History'!D153)),'Price History'!D153=0),"",'Price History'!D154/'Price History'!D153-1),"")</f>
        <v>6.8747697974217425E-2</v>
      </c>
      <c r="E153" s="150">
        <f>IFERROR(IF(OR(NOT(ISNUMBER('Price History'!E154)),NOT(ISNUMBER('Price History'!E153)),'Price History'!E153=0),"",'Price History'!E154/'Price History'!E153-1),"")</f>
        <v>9.8849628123632849E-2</v>
      </c>
      <c r="F153" s="150">
        <f>IFERROR(IF(OR(NOT(ISNUMBER('Price History'!F154)),NOT(ISNUMBER('Price History'!F153)),'Price History'!F153=0),"",'Price History'!F154/'Price History'!F153-1),"")</f>
        <v>0.12344126584931359</v>
      </c>
      <c r="G153" s="150">
        <f>IFERROR(IF(OR(NOT(ISNUMBER('Price History'!G154)),NOT(ISNUMBER('Price History'!G153)),'Price History'!G153=0),"",'Price History'!G154/'Price History'!G153-1),"")</f>
        <v>8.3675592793384546E-2</v>
      </c>
      <c r="H153" s="150">
        <f>IFERROR(IF(OR(NOT(ISNUMBER('Price History'!H154)),NOT(ISNUMBER('Price History'!H153)),'Price History'!H153=0),"",'Price History'!H154/'Price History'!H153-1),"")</f>
        <v>6.6267329258957952E-2</v>
      </c>
      <c r="I153" s="150">
        <f>IFERROR(IF(OR(NOT(ISNUMBER('Price History'!I154)),NOT(ISNUMBER('Price History'!I153)),'Price History'!I153=0),"",'Price History'!I154/'Price History'!I153-1),"")</f>
        <v>0.11559367675659504</v>
      </c>
      <c r="J153" s="150">
        <f>IFERROR(IF(OR(NOT(ISNUMBER('Price History'!J154)),NOT(ISNUMBER('Price History'!J153)),'Price History'!J153=0),"",'Price History'!J154/'Price History'!J153-1),"")</f>
        <v>-3.0738133407681056E-2</v>
      </c>
      <c r="K153" s="150">
        <f>IFERROR(IF(OR(NOT(ISNUMBER('Price History'!K154)),NOT(ISNUMBER('Price History'!K153)),'Price History'!K153=0),"",'Price History'!K154/'Price History'!K153-1),"")</f>
        <v>0.39777344384852897</v>
      </c>
      <c r="L153" s="150">
        <f>IFERROR(IF(OR(NOT(ISNUMBER('Price History'!L154)),NOT(ISNUMBER('Price History'!L153)),'Price History'!L153=0),"",'Price History'!L154/'Price History'!L153-1),"")</f>
        <v>3.9065406652280643E-2</v>
      </c>
      <c r="M153" s="150">
        <f>IFERROR(IF(OR(NOT(ISNUMBER('Price History'!M154)),NOT(ISNUMBER('Price History'!M153)),'Price History'!M153=0),"",'Price History'!M154/'Price History'!M153-1),"")</f>
        <v>0.12761376340524189</v>
      </c>
      <c r="N153" s="150">
        <f>IFERROR(IF(OR(NOT(ISNUMBER('Price History'!N154)),NOT(ISNUMBER('Price History'!N153)),'Price History'!N153=0),"",'Price History'!N154/'Price History'!N153-1),"")</f>
        <v>3.9761056382309645E-2</v>
      </c>
      <c r="O153" s="150">
        <f>IFERROR(IF(OR(NOT(ISNUMBER('Price History'!O154)),NOT(ISNUMBER('Price History'!O153)),'Price History'!O153=0),"",'Price History'!O154/'Price History'!O153-1),"")</f>
        <v>1.2813325858893165E-2</v>
      </c>
      <c r="P153" s="150">
        <f>IFERROR(IF(OR(NOT(ISNUMBER('Price History'!P154)),NOT(ISNUMBER('Price History'!P153)),'Price History'!P153=0),"",'Price History'!P154/'Price History'!P153-1),"")</f>
        <v>4.3154668834826104E-3</v>
      </c>
      <c r="Q153" s="150">
        <f>IFERROR(IF(OR(NOT(ISNUMBER('Price History'!Q154)),NOT(ISNUMBER('Price History'!Q153)),'Price History'!Q153=0),"",'Price History'!Q154/'Price History'!Q153-1),"")</f>
        <v>2.062609713282626E-2</v>
      </c>
      <c r="R153" s="150">
        <f>IFERROR(IF(OR(NOT(ISNUMBER('Price History'!R154)),NOT(ISNUMBER('Price History'!R153)),'Price History'!R153=0),"",'Price History'!R154/'Price History'!R153-1),"")</f>
        <v>3.8140855064750845E-2</v>
      </c>
      <c r="S153" s="150">
        <f>IFERROR(IF(OR(NOT(ISNUMBER('Price History'!S154)),NOT(ISNUMBER('Price History'!S153)),'Price History'!S153=0),"",'Price History'!S154/'Price History'!S153-1),"")</f>
        <v>4.0738161559888519E-2</v>
      </c>
      <c r="T153" s="150">
        <f>IFERROR(IF(OR(NOT(ISNUMBER('Price History'!T154)),NOT(ISNUMBER('Price History'!T153)),'Price History'!T153=0),"",'Price History'!T154/'Price History'!T153-1),"")</f>
        <v>3.5275146139891245E-2</v>
      </c>
      <c r="U153" s="150">
        <f>IFERROR(IF(OR(NOT(ISNUMBER('Price History'!U154)),NOT(ISNUMBER('Price History'!U153)),'Price History'!U153=0),"",'Price History'!U154/'Price History'!U153-1),"")</f>
        <v>1.2646793134598155E-2</v>
      </c>
      <c r="V153" s="151">
        <f>IFERROR(IF(OR(NOT(ISNUMBER('Price History'!V154)),NOT(ISNUMBER('Price History'!V153)),'Price History'!V153=0),"",'Price History'!V154/'Price History'!V153-1),"")</f>
        <v>-9.9055958407443523E-3</v>
      </c>
      <c r="W153" s="152">
        <f>IFERROR('Price History'!B3+(INDEX('Price History'!B:B,MATCH(9.99E+307,'Returns (Calc)'!$A:$A)+1)-'Price History'!B3)*(ROW()-3)/(MATCH(9.99E+307,'Returns (Calc)'!$A:$A)-3),"")</f>
        <v>258.49377358490563</v>
      </c>
      <c r="X153" s="152">
        <f>IFERROR('Price History'!C3+(INDEX('Price History'!C:C,MATCH(9.99E+307,'Returns (Calc)'!$A:$A)+1)-'Price History'!C3)*(ROW()-3)/(MATCH(9.99E+307,'Returns (Calc)'!$A:$A)-3),"")</f>
        <v>207.08566037735849</v>
      </c>
      <c r="Y153" s="152">
        <f>IFERROR('Price History'!D3+(INDEX('Price History'!D:D,MATCH(9.99E+307,'Returns (Calc)'!$A:$A)+1)-'Price History'!D3)*(ROW()-3)/(MATCH(9.99E+307,'Returns (Calc)'!$A:$A)-3),"")</f>
        <v>1712.51</v>
      </c>
      <c r="Z153" s="152">
        <f>IFERROR('Price History'!E3+(INDEX('Price History'!E:E,MATCH(9.99E+307,'Returns (Calc)'!$A:$A)+1)-'Price History'!E3)*(ROW()-3)/(MATCH(9.99E+307,'Returns (Calc)'!$A:$A)-3),"")</f>
        <v>345.71698113207549</v>
      </c>
      <c r="AA153" s="152">
        <f>IFERROR('Price History'!F3+(INDEX('Price History'!F:F,MATCH(9.99E+307,'Returns (Calc)'!$A:$A)+1)-'Price History'!F3)*(ROW()-3)/(MATCH(9.99E+307,'Returns (Calc)'!$A:$A)-3),"")</f>
        <v>261.81283018867924</v>
      </c>
      <c r="AB153" s="152">
        <f>IFERROR('Price History'!G3+(INDEX('Price History'!G:G,MATCH(9.99E+307,'Returns (Calc)'!$A:$A)+1)-'Price History'!G3)*(ROW()-3)/(MATCH(9.99E+307,'Returns (Calc)'!$A:$A)-3),"")</f>
        <v>187.01037735849056</v>
      </c>
      <c r="AC153" s="152">
        <f>IFERROR('Price History'!H3+(INDEX('Price History'!H:H,MATCH(9.99E+307,'Returns (Calc)'!$A:$A)+1)-'Price History'!H3)*(ROW()-3)/(MATCH(9.99E+307,'Returns (Calc)'!$A:$A)-3),"")</f>
        <v>974.66660377358494</v>
      </c>
      <c r="AD153" s="152">
        <f>IFERROR('Price History'!I3+(INDEX('Price History'!I:I,MATCH(9.99E+307,'Returns (Calc)'!$A:$A)+1)-'Price History'!I3)*(ROW()-3)/(MATCH(9.99E+307,'Returns (Calc)'!$A:$A)-3),"")</f>
        <v>218.77943396226416</v>
      </c>
      <c r="AE153" s="152">
        <f>IFERROR('Price History'!J3+(INDEX('Price History'!J:J,MATCH(9.99E+307,'Returns (Calc)'!$A:$A)+1)-'Price History'!J3)*(ROW()-3)/(MATCH(9.99E+307,'Returns (Calc)'!$A:$A)-3),"")</f>
        <v>128.49094339622641</v>
      </c>
      <c r="AF153" s="152">
        <f>IFERROR('Price History'!K3+(INDEX('Price History'!K:K,MATCH(9.99E+307,'Returns (Calc)'!$A:$A)+1)-'Price History'!K3)*(ROW()-3)/(MATCH(9.99E+307,'Returns (Calc)'!$A:$A)-3),"")</f>
        <v>198.08471698113209</v>
      </c>
      <c r="AG153" s="152">
        <f>IFERROR('Price History'!L3+(INDEX('Price History'!L:L,MATCH(9.99E+307,'Returns (Calc)'!$A:$A)+1)-'Price History'!L3)*(ROW()-3)/(MATCH(9.99E+307,'Returns (Calc)'!$A:$A)-3),"")</f>
        <v>432.50471698113205</v>
      </c>
      <c r="AH153" s="152">
        <f>IFERROR('Price History'!M3+(INDEX('Price History'!M:M,MATCH(9.99E+307,'Returns (Calc)'!$A:$A)+1)-'Price History'!M3)*(ROW()-3)/(MATCH(9.99E+307,'Returns (Calc)'!$A:$A)-3),"")</f>
        <v>231.18981132075473</v>
      </c>
      <c r="AI153" s="152">
        <f>IFERROR('Price History'!N3+(INDEX('Price History'!N:N,MATCH(9.99E+307,'Returns (Calc)'!$A:$A)+1)-'Price History'!N3)*(ROW()-3)/(MATCH(9.99E+307,'Returns (Calc)'!$A:$A)-3),"")</f>
        <v>500.9566037735849</v>
      </c>
      <c r="AJ153" s="152">
        <f>IFERROR('Price History'!O3+(INDEX('Price History'!O:O,MATCH(9.99E+307,'Returns (Calc)'!$A:$A)+1)-'Price History'!O3)*(ROW()-3)/(MATCH(9.99E+307,'Returns (Calc)'!$A:$A)-3),"")</f>
        <v>117.13075471698113</v>
      </c>
      <c r="AK153" s="152">
        <f>IFERROR('Price History'!Q3+(INDEX('Price History'!Q:Q,MATCH(9.99E+307,'Returns (Calc)'!$A:$A)+1)-'Price History'!Q3)*(ROW()-3)/(MATCH(9.99E+307,'Returns (Calc)'!$A:$A)-3),"")</f>
        <v>66.009433962264154</v>
      </c>
      <c r="AL153" s="152">
        <f>IFERROR('Price History'!R3+(INDEX('Price History'!R:R,MATCH(9.99E+307,'Returns (Calc)'!$A:$A)+1)-'Price History'!R3)*(ROW()-3)/(MATCH(9.99E+307,'Returns (Calc)'!$A:$A)-3),"")</f>
        <v>59.583773584905664</v>
      </c>
      <c r="AM153" s="152">
        <f>IFERROR('Price History'!S3+(INDEX('Price History'!S:S,MATCH(9.99E+307,'Returns (Calc)'!$A:$A)+1)-'Price History'!S3)*(ROW()-3)/(MATCH(9.99E+307,'Returns (Calc)'!$A:$A)-3),"")</f>
        <v>145.86584905660376</v>
      </c>
      <c r="AN153" s="152">
        <f>IFERROR('Price History'!T3+(INDEX('Price History'!T:T,MATCH(9.99E+307,'Returns (Calc)'!$A:$A)+1)-'Price History'!T3)*(ROW()-3)/(MATCH(9.99E+307,'Returns (Calc)'!$A:$A)-3),"")</f>
        <v>51.277735849056612</v>
      </c>
      <c r="AO153" s="153">
        <f>IFERROR('Price History'!V3+(INDEX('Price History'!V:V,MATCH(9.99E+307,'Returns (Calc)'!$A:$A)+1)-'Price History'!V3)*(ROW()-3)/(MATCH(9.99E+307,'Returns (Calc)'!$A:$A)-3),"")</f>
        <v>376.96962264150943</v>
      </c>
      <c r="AP153" s="151">
        <f>IFERROR(IF(OR(NOT(ISNUMBER('Price History'!W154)),NOT(ISNUMBER('Price History'!W153)),'Price History'!W153=0),"",'Price History'!W154/'Price History'!W153-1),"")</f>
        <v>2.2660954864344829E-2</v>
      </c>
      <c r="AQ153" s="151">
        <f>IFERROR(IF(OR(NOT(ISNUMBER('Price History'!X154)),NOT(ISNUMBER('Price History'!X153)),'Price History'!X153=0),"",'Price History'!X154/'Price History'!X153-1),"")</f>
        <v>-2.6181955170465288E-2</v>
      </c>
      <c r="AR153" s="151">
        <f>IFERROR(IF(OR(NOT(ISNUMBER('Price History'!Y154)),NOT(ISNUMBER('Price History'!Y153)),'Price History'!Y153=0),"",'Price History'!Y154/'Price History'!Y153-1),"")</f>
        <v>9.0505767524400316E-3</v>
      </c>
      <c r="AS153" s="151">
        <f>IFERROR(IF(OR(NOT(ISNUMBER('Price History'!Z154)),NOT(ISNUMBER('Price History'!Z153)),'Price History'!Z153=0),"",'Price History'!Z154/'Price History'!Z153-1),"")</f>
        <v>2.7800149970838905E-2</v>
      </c>
      <c r="AT153" s="151">
        <f>IFERROR(IF(OR(NOT(ISNUMBER('Price History'!AA154)),NOT(ISNUMBER('Price History'!AA153)),'Price History'!AA153=0),"",'Price History'!AA154/'Price History'!AA153-1),"")</f>
        <v>3.3886487240273322E-2</v>
      </c>
      <c r="AU153" s="151">
        <f>IFERROR(IF(OR(NOT(ISNUMBER('Price History'!AB154)),NOT(ISNUMBER('Price History'!AB153)),'Price History'!AB153=0),"",'Price History'!AB154/'Price History'!AB153-1),"")</f>
        <v>0.13097458042987542</v>
      </c>
    </row>
    <row r="154" spans="1:47" ht="15" customHeight="1" x14ac:dyDescent="0.2">
      <c r="A154" s="149">
        <f>IF('Price History'!A155="","",'Price History'!A155)</f>
        <v>46248</v>
      </c>
      <c r="B154" s="150">
        <f>IFERROR(IF(OR(NOT(ISNUMBER('Price History'!B155)),NOT(ISNUMBER('Price History'!B154)),'Price History'!B154=0),"",'Price History'!B155/'Price History'!B154-1),"")</f>
        <v>-4.4870102937294432E-3</v>
      </c>
      <c r="C154" s="150">
        <f>IFERROR(IF(OR(NOT(ISNUMBER('Price History'!C155)),NOT(ISNUMBER('Price History'!C154)),'Price History'!C154=0),"",'Price History'!C155/'Price History'!C154-1),"")</f>
        <v>5.3797636084168099E-2</v>
      </c>
      <c r="D154" s="150">
        <f>IFERROR(IF(OR(NOT(ISNUMBER('Price History'!D155)),NOT(ISNUMBER('Price History'!D154)),'Price History'!D154=0),"",'Price History'!D155/'Price History'!D154-1),"")</f>
        <v>5.9213436033521027E-2</v>
      </c>
      <c r="E154" s="150">
        <f>IFERROR(IF(OR(NOT(ISNUMBER('Price History'!E155)),NOT(ISNUMBER('Price History'!E154)),'Price History'!E154=0),"",'Price History'!E155/'Price History'!E154-1),"")</f>
        <v>-8.1268443486814501E-2</v>
      </c>
      <c r="F154" s="150">
        <f>IFERROR(IF(OR(NOT(ISNUMBER('Price History'!F155)),NOT(ISNUMBER('Price History'!F154)),'Price History'!F154=0),"",'Price History'!F155/'Price History'!F154-1),"")</f>
        <v>1.1799272455927712E-2</v>
      </c>
      <c r="G154" s="150">
        <f>IFERROR(IF(OR(NOT(ISNUMBER('Price History'!G155)),NOT(ISNUMBER('Price History'!G154)),'Price History'!G154=0),"",'Price History'!G155/'Price History'!G154-1),"")</f>
        <v>2.8298549699327991E-2</v>
      </c>
      <c r="H154" s="150">
        <f>IFERROR(IF(OR(NOT(ISNUMBER('Price History'!H155)),NOT(ISNUMBER('Price History'!H154)),'Price History'!H154=0),"",'Price History'!H155/'Price History'!H154-1),"")</f>
        <v>0.10721651834041723</v>
      </c>
      <c r="I154" s="150">
        <f>IFERROR(IF(OR(NOT(ISNUMBER('Price History'!I155)),NOT(ISNUMBER('Price History'!I154)),'Price History'!I154=0),"",'Price History'!I155/'Price History'!I154-1),"")</f>
        <v>5.3640874346252421E-3</v>
      </c>
      <c r="J154" s="150">
        <f>IFERROR(IF(OR(NOT(ISNUMBER('Price History'!J155)),NOT(ISNUMBER('Price History'!J154)),'Price History'!J154=0),"",'Price History'!J155/'Price History'!J154-1),"")</f>
        <v>6.1843808428014846E-3</v>
      </c>
      <c r="K154" s="150">
        <f>IFERROR(IF(OR(NOT(ISNUMBER('Price History'!K155)),NOT(ISNUMBER('Price History'!K154)),'Price History'!K154=0),"",'Price History'!K155/'Price History'!K154-1),"")</f>
        <v>1.1801639439567468E-2</v>
      </c>
      <c r="L154" s="150">
        <f>IFERROR(IF(OR(NOT(ISNUMBER('Price History'!L155)),NOT(ISNUMBER('Price History'!L154)),'Price History'!L154=0),"",'Price History'!L155/'Price History'!L154-1),"")</f>
        <v>1.5014799961806435E-2</v>
      </c>
      <c r="M154" s="150">
        <f>IFERROR(IF(OR(NOT(ISNUMBER('Price History'!M155)),NOT(ISNUMBER('Price History'!M154)),'Price History'!M154=0),"",'Price History'!M155/'Price History'!M154-1),"")</f>
        <v>7.8728013806778518E-2</v>
      </c>
      <c r="N154" s="150">
        <f>IFERROR(IF(OR(NOT(ISNUMBER('Price History'!N155)),NOT(ISNUMBER('Price History'!N154)),'Price History'!N154=0),"",'Price History'!N155/'Price History'!N154-1),"")</f>
        <v>1.9513375128510146E-2</v>
      </c>
      <c r="O154" s="150">
        <f>IFERROR(IF(OR(NOT(ISNUMBER('Price History'!O155)),NOT(ISNUMBER('Price History'!O154)),'Price History'!O154=0),"",'Price History'!O155/'Price History'!O154-1),"")</f>
        <v>1.4548904878627367E-2</v>
      </c>
      <c r="P154" s="150">
        <f>IFERROR(IF(OR(NOT(ISNUMBER('Price History'!P155)),NOT(ISNUMBER('Price History'!P154)),'Price History'!P154=0),"",'Price History'!P155/'Price History'!P154-1),"")</f>
        <v>2.2231909328683575E-2</v>
      </c>
      <c r="Q154" s="150">
        <f>IFERROR(IF(OR(NOT(ISNUMBER('Price History'!Q155)),NOT(ISNUMBER('Price History'!Q154)),'Price History'!Q154=0),"",'Price History'!Q155/'Price History'!Q154-1),"")</f>
        <v>4.1565142611439398E-3</v>
      </c>
      <c r="R154" s="150">
        <f>IFERROR(IF(OR(NOT(ISNUMBER('Price History'!R155)),NOT(ISNUMBER('Price History'!R154)),'Price History'!R154=0),"",'Price History'!R155/'Price History'!R154-1),"")</f>
        <v>1.3157894736842035E-2</v>
      </c>
      <c r="S154" s="150">
        <f>IFERROR(IF(OR(NOT(ISNUMBER('Price History'!S155)),NOT(ISNUMBER('Price History'!S154)),'Price History'!S154=0),"",'Price History'!S155/'Price History'!S154-1),"")</f>
        <v>2.415523586483781E-2</v>
      </c>
      <c r="T154" s="150">
        <f>IFERROR(IF(OR(NOT(ISNUMBER('Price History'!T155)),NOT(ISNUMBER('Price History'!T154)),'Price History'!T154=0),"",'Price History'!T155/'Price History'!T154-1),"")</f>
        <v>4.3613707165109039E-2</v>
      </c>
      <c r="U154" s="150">
        <f>IFERROR(IF(OR(NOT(ISNUMBER('Price History'!U155)),NOT(ISNUMBER('Price History'!U154)),'Price History'!U154=0),"",'Price History'!U155/'Price History'!U154-1),"")</f>
        <v>1.8435920309247678E-2</v>
      </c>
      <c r="V154" s="151">
        <f>IFERROR(IF(OR(NOT(ISNUMBER('Price History'!V155)),NOT(ISNUMBER('Price History'!V154)),'Price History'!V154=0),"",'Price History'!V155/'Price History'!V154-1),"")</f>
        <v>6.4118508691926035E-3</v>
      </c>
      <c r="W154" s="152">
        <f>IFERROR('Price History'!B3+(INDEX('Price History'!B:B,MATCH(9.99E+307,'Returns (Calc)'!$A:$A)+1)-'Price History'!B3)*(ROW()-3)/(MATCH(9.99E+307,'Returns (Calc)'!$A:$A)-3),"")</f>
        <v>256.69113207547167</v>
      </c>
      <c r="X154" s="152">
        <f>IFERROR('Price History'!C3+(INDEX('Price History'!C:C,MATCH(9.99E+307,'Returns (Calc)'!$A:$A)+1)-'Price History'!C3)*(ROW()-3)/(MATCH(9.99E+307,'Returns (Calc)'!$A:$A)-3),"")</f>
        <v>208.15836477987423</v>
      </c>
      <c r="Y154" s="152">
        <f>IFERROR('Price History'!D3+(INDEX('Price History'!D:D,MATCH(9.99E+307,'Returns (Calc)'!$A:$A)+1)-'Price History'!D3)*(ROW()-3)/(MATCH(9.99E+307,'Returns (Calc)'!$A:$A)-3),"")</f>
        <v>1720.0466666666666</v>
      </c>
      <c r="Z154" s="152">
        <f>IFERROR('Price History'!E3+(INDEX('Price History'!E:E,MATCH(9.99E+307,'Returns (Calc)'!$A:$A)+1)-'Price History'!E3)*(ROW()-3)/(MATCH(9.99E+307,'Returns (Calc)'!$A:$A)-3),"")</f>
        <v>347.47509433962267</v>
      </c>
      <c r="AA154" s="152">
        <f>IFERROR('Price History'!F3+(INDEX('Price History'!F:F,MATCH(9.99E+307,'Returns (Calc)'!$A:$A)+1)-'Price History'!F3)*(ROW()-3)/(MATCH(9.99E+307,'Returns (Calc)'!$A:$A)-3),"")</f>
        <v>263.28251572327042</v>
      </c>
      <c r="AB154" s="152">
        <f>IFERROR('Price History'!G3+(INDEX('Price History'!G:G,MATCH(9.99E+307,'Returns (Calc)'!$A:$A)+1)-'Price History'!G3)*(ROW()-3)/(MATCH(9.99E+307,'Returns (Calc)'!$A:$A)-3),"")</f>
        <v>187.9614465408805</v>
      </c>
      <c r="AC154" s="152">
        <f>IFERROR('Price History'!H3+(INDEX('Price History'!H:H,MATCH(9.99E+307,'Returns (Calc)'!$A:$A)+1)-'Price History'!H3)*(ROW()-3)/(MATCH(9.99E+307,'Returns (Calc)'!$A:$A)-3),"")</f>
        <v>980.70364779874205</v>
      </c>
      <c r="AD154" s="152">
        <f>IFERROR('Price History'!I3+(INDEX('Price History'!I:I,MATCH(9.99E+307,'Returns (Calc)'!$A:$A)+1)-'Price History'!I3)*(ROW()-3)/(MATCH(9.99E+307,'Returns (Calc)'!$A:$A)-3),"")</f>
        <v>219.94616352201257</v>
      </c>
      <c r="AE154" s="152">
        <f>IFERROR('Price History'!J3+(INDEX('Price History'!J:J,MATCH(9.99E+307,'Returns (Calc)'!$A:$A)+1)-'Price History'!J3)*(ROW()-3)/(MATCH(9.99E+307,'Returns (Calc)'!$A:$A)-3),"")</f>
        <v>128.60194968553461</v>
      </c>
      <c r="AF154" s="152">
        <f>IFERROR('Price History'!K3+(INDEX('Price History'!K:K,MATCH(9.99E+307,'Returns (Calc)'!$A:$A)+1)-'Price History'!K3)*(ROW()-3)/(MATCH(9.99E+307,'Returns (Calc)'!$A:$A)-3),"")</f>
        <v>199.3030817610063</v>
      </c>
      <c r="AG154" s="152">
        <f>IFERROR('Price History'!L3+(INDEX('Price History'!L:L,MATCH(9.99E+307,'Returns (Calc)'!$A:$A)+1)-'Price History'!L3)*(ROW()-3)/(MATCH(9.99E+307,'Returns (Calc)'!$A:$A)-3),"")</f>
        <v>434.81641509433962</v>
      </c>
      <c r="AH154" s="152">
        <f>IFERROR('Price History'!M3+(INDEX('Price History'!M:M,MATCH(9.99E+307,'Returns (Calc)'!$A:$A)+1)-'Price History'!M3)*(ROW()-3)/(MATCH(9.99E+307,'Returns (Calc)'!$A:$A)-3),"")</f>
        <v>232.47761006289309</v>
      </c>
      <c r="AI154" s="152">
        <f>IFERROR('Price History'!N3+(INDEX('Price History'!N:N,MATCH(9.99E+307,'Returns (Calc)'!$A:$A)+1)-'Price History'!N3)*(ROW()-3)/(MATCH(9.99E+307,'Returns (Calc)'!$A:$A)-3),"")</f>
        <v>501.97031446540882</v>
      </c>
      <c r="AJ154" s="152">
        <f>IFERROR('Price History'!O3+(INDEX('Price History'!O:O,MATCH(9.99E+307,'Returns (Calc)'!$A:$A)+1)-'Price History'!O3)*(ROW()-3)/(MATCH(9.99E+307,'Returns (Calc)'!$A:$A)-3),"")</f>
        <v>117.40955974842768</v>
      </c>
      <c r="AK154" s="152">
        <f>IFERROR('Price History'!Q3+(INDEX('Price History'!Q:Q,MATCH(9.99E+307,'Returns (Calc)'!$A:$A)+1)-'Price History'!Q3)*(ROW()-3)/(MATCH(9.99E+307,'Returns (Calc)'!$A:$A)-3),"")</f>
        <v>66.449496855345913</v>
      </c>
      <c r="AL154" s="152">
        <f>IFERROR('Price History'!R3+(INDEX('Price History'!R:R,MATCH(9.99E+307,'Returns (Calc)'!$A:$A)+1)-'Price History'!R3)*(ROW()-3)/(MATCH(9.99E+307,'Returns (Calc)'!$A:$A)-3),"")</f>
        <v>59.751132075471702</v>
      </c>
      <c r="AM154" s="152">
        <f>IFERROR('Price History'!S3+(INDEX('Price History'!S:S,MATCH(9.99E+307,'Returns (Calc)'!$A:$A)+1)-'Price History'!S3)*(ROW()-3)/(MATCH(9.99E+307,'Returns (Calc)'!$A:$A)-3),"")</f>
        <v>146.45408805031448</v>
      </c>
      <c r="AN154" s="152">
        <f>IFERROR('Price History'!T3+(INDEX('Price History'!T:T,MATCH(9.99E+307,'Returns (Calc)'!$A:$A)+1)-'Price History'!T3)*(ROW()-3)/(MATCH(9.99E+307,'Returns (Calc)'!$A:$A)-3),"")</f>
        <v>51.451320754716981</v>
      </c>
      <c r="AO154" s="153">
        <f>IFERROR('Price History'!V3+(INDEX('Price History'!V:V,MATCH(9.99E+307,'Returns (Calc)'!$A:$A)+1)-'Price History'!V3)*(ROW()-3)/(MATCH(9.99E+307,'Returns (Calc)'!$A:$A)-3),"")</f>
        <v>377.91188679245283</v>
      </c>
      <c r="AP154" s="151">
        <f>IFERROR(IF(OR(NOT(ISNUMBER('Price History'!W155)),NOT(ISNUMBER('Price History'!W154)),'Price History'!W154=0),"",'Price History'!W155/'Price History'!W154-1),"")</f>
        <v>5.3423992229237882E-3</v>
      </c>
      <c r="AQ154" s="151">
        <f>IFERROR(IF(OR(NOT(ISNUMBER('Price History'!X155)),NOT(ISNUMBER('Price History'!X154)),'Price History'!X154=0),"",'Price History'!X155/'Price History'!X154-1),"")</f>
        <v>3.9651837524177891E-2</v>
      </c>
      <c r="AR154" s="151">
        <f>IFERROR(IF(OR(NOT(ISNUMBER('Price History'!Y155)),NOT(ISNUMBER('Price History'!Y154)),'Price History'!Y154=0),"",'Price History'!Y155/'Price History'!Y154-1),"")</f>
        <v>7.7383046078085549E-3</v>
      </c>
      <c r="AS154" s="151">
        <f>IFERROR(IF(OR(NOT(ISNUMBER('Price History'!Z155)),NOT(ISNUMBER('Price History'!Z154)),'Price History'!Z154=0),"",'Price History'!Z155/'Price History'!Z154-1),"")</f>
        <v>-4.5936013834846356E-3</v>
      </c>
      <c r="AT154" s="151">
        <f>IFERROR(IF(OR(NOT(ISNUMBER('Price History'!AA155)),NOT(ISNUMBER('Price History'!AA154)),'Price History'!AA154=0),"",'Price History'!AA155/'Price History'!AA154-1),"")</f>
        <v>5.4221742649042337E-2</v>
      </c>
      <c r="AU154" s="151">
        <f>IFERROR(IF(OR(NOT(ISNUMBER('Price History'!AB155)),NOT(ISNUMBER('Price History'!AB154)),'Price History'!AB154=0),"",'Price History'!AB155/'Price History'!AB154-1),"")</f>
        <v>5.7621382392502252E-2</v>
      </c>
    </row>
    <row r="155" spans="1:47" ht="15" customHeight="1" x14ac:dyDescent="0.2">
      <c r="A155" s="149">
        <f>IF('Price History'!A156="","",'Price History'!A156)</f>
        <v>46255</v>
      </c>
      <c r="B155" s="150">
        <f>IFERROR(IF(OR(NOT(ISNUMBER('Price History'!B156)),NOT(ISNUMBER('Price History'!B155)),'Price History'!B155=0),"",'Price History'!B156/'Price History'!B155-1),"")</f>
        <v>4.2724036057874448E-2</v>
      </c>
      <c r="C155" s="150">
        <f>IFERROR(IF(OR(NOT(ISNUMBER('Price History'!C156)),NOT(ISNUMBER('Price History'!C155)),'Price History'!C155=0),"",'Price History'!C156/'Price History'!C155-1),"")</f>
        <v>-5.1151795594004512E-2</v>
      </c>
      <c r="D155" s="150">
        <f>IFERROR(IF(OR(NOT(ISNUMBER('Price History'!D156)),NOT(ISNUMBER('Price History'!D155)),'Price History'!D155=0),"",'Price History'!D156/'Price History'!D155-1),"")</f>
        <v>-4.3555594117391849E-2</v>
      </c>
      <c r="E155" s="150">
        <f>IFERROR(IF(OR(NOT(ISNUMBER('Price History'!E156)),NOT(ISNUMBER('Price History'!E155)),'Price History'!E155=0),"",'Price History'!E156/'Price History'!E155-1),"")</f>
        <v>-6.2455389007851525E-2</v>
      </c>
      <c r="F155" s="150">
        <f>IFERROR(IF(OR(NOT(ISNUMBER('Price History'!F156)),NOT(ISNUMBER('Price History'!F155)),'Price History'!F155=0),"",'Price History'!F156/'Price History'!F155-1),"")</f>
        <v>-0.11523392486748096</v>
      </c>
      <c r="G155" s="150">
        <f>IFERROR(IF(OR(NOT(ISNUMBER('Price History'!G156)),NOT(ISNUMBER('Price History'!G155)),'Price History'!G155=0),"",'Price History'!G156/'Price History'!G155-1),"")</f>
        <v>-9.5827804806132955E-2</v>
      </c>
      <c r="H155" s="150">
        <f>IFERROR(IF(OR(NOT(ISNUMBER('Price History'!H156)),NOT(ISNUMBER('Price History'!H155)),'Price History'!H155=0),"",'Price History'!H156/'Price History'!H155-1),"")</f>
        <v>-5.0223329148055829E-3</v>
      </c>
      <c r="I155" s="150">
        <f>IFERROR(IF(OR(NOT(ISNUMBER('Price History'!I156)),NOT(ISNUMBER('Price History'!I155)),'Price History'!I155=0),"",'Price History'!I156/'Price History'!I155-1),"")</f>
        <v>-4.637410519763463E-2</v>
      </c>
      <c r="J155" s="150">
        <f>IFERROR(IF(OR(NOT(ISNUMBER('Price History'!J156)),NOT(ISNUMBER('Price History'!J155)),'Price History'!J155=0),"",'Price History'!J156/'Price History'!J155-1),"")</f>
        <v>5.4316752429961479E-3</v>
      </c>
      <c r="K155" s="150">
        <f>IFERROR(IF(OR(NOT(ISNUMBER('Price History'!K156)),NOT(ISNUMBER('Price History'!K155)),'Price History'!K155=0),"",'Price History'!K156/'Price History'!K155-1),"")</f>
        <v>3.3900252815444842E-2</v>
      </c>
      <c r="L155" s="150">
        <f>IFERROR(IF(OR(NOT(ISNUMBER('Price History'!L156)),NOT(ISNUMBER('Price History'!L155)),'Price History'!L155=0),"",'Price History'!L156/'Price History'!L155-1),"")</f>
        <v>-1.7356129912278639E-2</v>
      </c>
      <c r="M155" s="150">
        <f>IFERROR(IF(OR(NOT(ISNUMBER('Price History'!M156)),NOT(ISNUMBER('Price History'!M155)),'Price History'!M155=0),"",'Price History'!M156/'Price History'!M155-1),"")</f>
        <v>-0.10852027096027506</v>
      </c>
      <c r="N155" s="150">
        <f>IFERROR(IF(OR(NOT(ISNUMBER('Price History'!N156)),NOT(ISNUMBER('Price History'!N155)),'Price History'!N155=0),"",'Price History'!N156/'Price History'!N155-1),"")</f>
        <v>8.3638161146811552E-2</v>
      </c>
      <c r="O155" s="150">
        <f>IFERROR(IF(OR(NOT(ISNUMBER('Price History'!O156)),NOT(ISNUMBER('Price History'!O155)),'Price History'!O155=0),"",'Price History'!O156/'Price History'!O155-1),"")</f>
        <v>-1.7691528329826123E-2</v>
      </c>
      <c r="P155" s="150">
        <f>IFERROR(IF(OR(NOT(ISNUMBER('Price History'!P156)),NOT(ISNUMBER('Price History'!P155)),'Price History'!P155=0),"",'Price History'!P156/'Price History'!P155-1),"")</f>
        <v>-8.5287846481876262E-3</v>
      </c>
      <c r="Q155" s="150">
        <f>IFERROR(IF(OR(NOT(ISNUMBER('Price History'!Q156)),NOT(ISNUMBER('Price History'!Q155)),'Price History'!Q155=0),"",'Price History'!Q156/'Price History'!Q155-1),"")</f>
        <v>-1.0562375107051269E-2</v>
      </c>
      <c r="R155" s="150">
        <f>IFERROR(IF(OR(NOT(ISNUMBER('Price History'!R156)),NOT(ISNUMBER('Price History'!R155)),'Price History'!R155=0),"",'Price History'!R156/'Price History'!R155-1),"")</f>
        <v>-1.1469050430089389E-2</v>
      </c>
      <c r="S155" s="150">
        <f>IFERROR(IF(OR(NOT(ISNUMBER('Price History'!S156)),NOT(ISNUMBER('Price History'!S155)),'Price History'!S155=0),"",'Price History'!S156/'Price History'!S155-1),"")</f>
        <v>-2.9857572193910831E-2</v>
      </c>
      <c r="T155" s="150">
        <f>IFERROR(IF(OR(NOT(ISNUMBER('Price History'!T156)),NOT(ISNUMBER('Price History'!T155)),'Price History'!T155=0),"",'Price History'!T156/'Price History'!T155-1),"")</f>
        <v>3.2462686567164223E-2</v>
      </c>
      <c r="U155" s="150">
        <f>IFERROR(IF(OR(NOT(ISNUMBER('Price History'!U156)),NOT(ISNUMBER('Price History'!U155)),'Price History'!U155=0),"",'Price History'!U156/'Price History'!U155-1),"")</f>
        <v>1.6934306569343027E-2</v>
      </c>
      <c r="V155" s="151">
        <f>IFERROR(IF(OR(NOT(ISNUMBER('Price History'!V156)),NOT(ISNUMBER('Price History'!V155)),'Price History'!V155=0),"",'Price History'!V156/'Price History'!V155-1),"")</f>
        <v>1.8920774406151475E-2</v>
      </c>
      <c r="W155" s="152">
        <f>IFERROR('Price History'!B3+(INDEX('Price History'!B:B,MATCH(9.99E+307,'Returns (Calc)'!$A:$A)+1)-'Price History'!B3)*(ROW()-3)/(MATCH(9.99E+307,'Returns (Calc)'!$A:$A)-3),"")</f>
        <v>254.88849056603772</v>
      </c>
      <c r="X155" s="152">
        <f>IFERROR('Price History'!C3+(INDEX('Price History'!C:C,MATCH(9.99E+307,'Returns (Calc)'!$A:$A)+1)-'Price History'!C3)*(ROW()-3)/(MATCH(9.99E+307,'Returns (Calc)'!$A:$A)-3),"")</f>
        <v>209.23106918238994</v>
      </c>
      <c r="Y155" s="152">
        <f>IFERROR('Price History'!D3+(INDEX('Price History'!D:D,MATCH(9.99E+307,'Returns (Calc)'!$A:$A)+1)-'Price History'!D3)*(ROW()-3)/(MATCH(9.99E+307,'Returns (Calc)'!$A:$A)-3),"")</f>
        <v>1727.5833333333333</v>
      </c>
      <c r="Z155" s="152">
        <f>IFERROR('Price History'!E3+(INDEX('Price History'!E:E,MATCH(9.99E+307,'Returns (Calc)'!$A:$A)+1)-'Price History'!E3)*(ROW()-3)/(MATCH(9.99E+307,'Returns (Calc)'!$A:$A)-3),"")</f>
        <v>349.2332075471698</v>
      </c>
      <c r="AA155" s="152">
        <f>IFERROR('Price History'!F3+(INDEX('Price History'!F:F,MATCH(9.99E+307,'Returns (Calc)'!$A:$A)+1)-'Price History'!F3)*(ROW()-3)/(MATCH(9.99E+307,'Returns (Calc)'!$A:$A)-3),"")</f>
        <v>264.75220125786166</v>
      </c>
      <c r="AB155" s="152">
        <f>IFERROR('Price History'!G3+(INDEX('Price History'!G:G,MATCH(9.99E+307,'Returns (Calc)'!$A:$A)+1)-'Price History'!G3)*(ROW()-3)/(MATCH(9.99E+307,'Returns (Calc)'!$A:$A)-3),"")</f>
        <v>188.91251572327042</v>
      </c>
      <c r="AC155" s="152">
        <f>IFERROR('Price History'!H3+(INDEX('Price History'!H:H,MATCH(9.99E+307,'Returns (Calc)'!$A:$A)+1)-'Price History'!H3)*(ROW()-3)/(MATCH(9.99E+307,'Returns (Calc)'!$A:$A)-3),"")</f>
        <v>986.7406918238994</v>
      </c>
      <c r="AD155" s="152">
        <f>IFERROR('Price History'!I3+(INDEX('Price History'!I:I,MATCH(9.99E+307,'Returns (Calc)'!$A:$A)+1)-'Price History'!I3)*(ROW()-3)/(MATCH(9.99E+307,'Returns (Calc)'!$A:$A)-3),"")</f>
        <v>221.112893081761</v>
      </c>
      <c r="AE155" s="152">
        <f>IFERROR('Price History'!J3+(INDEX('Price History'!J:J,MATCH(9.99E+307,'Returns (Calc)'!$A:$A)+1)-'Price History'!J3)*(ROW()-3)/(MATCH(9.99E+307,'Returns (Calc)'!$A:$A)-3),"")</f>
        <v>128.71295597484277</v>
      </c>
      <c r="AF155" s="152">
        <f>IFERROR('Price History'!K3+(INDEX('Price History'!K:K,MATCH(9.99E+307,'Returns (Calc)'!$A:$A)+1)-'Price History'!K3)*(ROW()-3)/(MATCH(9.99E+307,'Returns (Calc)'!$A:$A)-3),"")</f>
        <v>200.5214465408805</v>
      </c>
      <c r="AG155" s="152">
        <f>IFERROR('Price History'!L3+(INDEX('Price History'!L:L,MATCH(9.99E+307,'Returns (Calc)'!$A:$A)+1)-'Price History'!L3)*(ROW()-3)/(MATCH(9.99E+307,'Returns (Calc)'!$A:$A)-3),"")</f>
        <v>437.12811320754719</v>
      </c>
      <c r="AH155" s="152">
        <f>IFERROR('Price History'!M3+(INDEX('Price History'!M:M,MATCH(9.99E+307,'Returns (Calc)'!$A:$A)+1)-'Price History'!M3)*(ROW()-3)/(MATCH(9.99E+307,'Returns (Calc)'!$A:$A)-3),"")</f>
        <v>233.76540880503143</v>
      </c>
      <c r="AI155" s="152">
        <f>IFERROR('Price History'!N3+(INDEX('Price History'!N:N,MATCH(9.99E+307,'Returns (Calc)'!$A:$A)+1)-'Price History'!N3)*(ROW()-3)/(MATCH(9.99E+307,'Returns (Calc)'!$A:$A)-3),"")</f>
        <v>502.98402515723268</v>
      </c>
      <c r="AJ155" s="152">
        <f>IFERROR('Price History'!O3+(INDEX('Price History'!O:O,MATCH(9.99E+307,'Returns (Calc)'!$A:$A)+1)-'Price History'!O3)*(ROW()-3)/(MATCH(9.99E+307,'Returns (Calc)'!$A:$A)-3),"")</f>
        <v>117.68836477987421</v>
      </c>
      <c r="AK155" s="152">
        <f>IFERROR('Price History'!Q3+(INDEX('Price History'!Q:Q,MATCH(9.99E+307,'Returns (Calc)'!$A:$A)+1)-'Price History'!Q3)*(ROW()-3)/(MATCH(9.99E+307,'Returns (Calc)'!$A:$A)-3),"")</f>
        <v>66.889559748427672</v>
      </c>
      <c r="AL155" s="152">
        <f>IFERROR('Price History'!R3+(INDEX('Price History'!R:R,MATCH(9.99E+307,'Returns (Calc)'!$A:$A)+1)-'Price History'!R3)*(ROW()-3)/(MATCH(9.99E+307,'Returns (Calc)'!$A:$A)-3),"")</f>
        <v>59.91849056603774</v>
      </c>
      <c r="AM155" s="152">
        <f>IFERROR('Price History'!S3+(INDEX('Price History'!S:S,MATCH(9.99E+307,'Returns (Calc)'!$A:$A)+1)-'Price History'!S3)*(ROW()-3)/(MATCH(9.99E+307,'Returns (Calc)'!$A:$A)-3),"")</f>
        <v>147.04232704402514</v>
      </c>
      <c r="AN155" s="152">
        <f>IFERROR('Price History'!T3+(INDEX('Price History'!T:T,MATCH(9.99E+307,'Returns (Calc)'!$A:$A)+1)-'Price History'!T3)*(ROW()-3)/(MATCH(9.99E+307,'Returns (Calc)'!$A:$A)-3),"")</f>
        <v>51.624905660377365</v>
      </c>
      <c r="AO155" s="153">
        <f>IFERROR('Price History'!V3+(INDEX('Price History'!V:V,MATCH(9.99E+307,'Returns (Calc)'!$A:$A)+1)-'Price History'!V3)*(ROW()-3)/(MATCH(9.99E+307,'Returns (Calc)'!$A:$A)-3),"")</f>
        <v>378.85415094339623</v>
      </c>
      <c r="AP155" s="151">
        <f>IFERROR(IF(OR(NOT(ISNUMBER('Price History'!W156)),NOT(ISNUMBER('Price History'!W155)),'Price History'!W155=0),"",'Price History'!W156/'Price History'!W155-1),"")</f>
        <v>-9.2995169082125129E-3</v>
      </c>
      <c r="AQ155" s="151">
        <f>IFERROR(IF(OR(NOT(ISNUMBER('Price History'!X156)),NOT(ISNUMBER('Price History'!X155)),'Price History'!X155=0),"",'Price History'!X156/'Price History'!X155-1),"")</f>
        <v>-9.6744186046512359E-3</v>
      </c>
      <c r="AR155" s="151">
        <f>IFERROR(IF(OR(NOT(ISNUMBER('Price History'!Y156)),NOT(ISNUMBER('Price History'!Y155)),'Price History'!Y155=0),"",'Price History'!Y156/'Price History'!Y155-1),"")</f>
        <v>-1.7452006980801515E-3</v>
      </c>
      <c r="AS155" s="151">
        <f>IFERROR(IF(OR(NOT(ISNUMBER('Price History'!Z156)),NOT(ISNUMBER('Price History'!Z155)),'Price History'!Z155=0),"",'Price History'!Z156/'Price History'!Z155-1),"")</f>
        <v>-5.4318909821380101E-2</v>
      </c>
      <c r="AT155" s="151">
        <f>IFERROR(IF(OR(NOT(ISNUMBER('Price History'!AA156)),NOT(ISNUMBER('Price History'!AA155)),'Price History'!AA155=0),"",'Price History'!AA156/'Price History'!AA155-1),"")</f>
        <v>1.8295803480041117E-2</v>
      </c>
      <c r="AU155" s="151">
        <f>IFERROR(IF(OR(NOT(ISNUMBER('Price History'!AB156)),NOT(ISNUMBER('Price History'!AB155)),'Price History'!AB155=0),"",'Price History'!AB156/'Price History'!AB155-1),"")</f>
        <v>1.7025641025641081E-2</v>
      </c>
    </row>
    <row r="156" spans="1:47" ht="15" customHeight="1" x14ac:dyDescent="0.2">
      <c r="A156" s="149">
        <f>IF('Price History'!A157="","",'Price History'!A157)</f>
        <v>46262</v>
      </c>
      <c r="B156" s="150">
        <f>IFERROR(IF(OR(NOT(ISNUMBER('Price History'!B157)),NOT(ISNUMBER('Price History'!B156)),'Price History'!B156=0),"",'Price History'!B157/'Price History'!B156-1),"")</f>
        <v>5.8917544496912333E-2</v>
      </c>
      <c r="C156" s="150">
        <f>IFERROR(IF(OR(NOT(ISNUMBER('Price History'!C157)),NOT(ISNUMBER('Price History'!C156)),'Price History'!C156=0),"",'Price History'!C157/'Price History'!C156-1),"")</f>
        <v>3.5674529552080614E-2</v>
      </c>
      <c r="D156" s="150">
        <f>IFERROR(IF(OR(NOT(ISNUMBER('Price History'!D157)),NOT(ISNUMBER('Price History'!D156)),'Price History'!D156=0),"",'Price History'!D157/'Price History'!D156-1),"")</f>
        <v>-3.8327210051254057E-2</v>
      </c>
      <c r="E156" s="150">
        <f>IFERROR(IF(OR(NOT(ISNUMBER('Price History'!E157)),NOT(ISNUMBER('Price History'!E156)),'Price History'!E156=0),"",'Price History'!E157/'Price History'!E156-1),"")</f>
        <v>9.2446571319815263E-4</v>
      </c>
      <c r="F156" s="150">
        <f>IFERROR(IF(OR(NOT(ISNUMBER('Price History'!F157)),NOT(ISNUMBER('Price History'!F156)),'Price History'!F156=0),"",'Price History'!F157/'Price History'!F156-1),"")</f>
        <v>0.13779630112008334</v>
      </c>
      <c r="G156" s="150">
        <f>IFERROR(IF(OR(NOT(ISNUMBER('Price History'!G157)),NOT(ISNUMBER('Price History'!G156)),'Price History'!G156=0),"",'Price History'!G157/'Price History'!G156-1),"")</f>
        <v>-4.5926409043969829E-2</v>
      </c>
      <c r="H156" s="150">
        <f>IFERROR(IF(OR(NOT(ISNUMBER('Price History'!H157)),NOT(ISNUMBER('Price History'!H156)),'Price History'!H156=0),"",'Price History'!H157/'Price History'!H156-1),"")</f>
        <v>-3.5085541695111577E-2</v>
      </c>
      <c r="I156" s="150">
        <f>IFERROR(IF(OR(NOT(ISNUMBER('Price History'!I157)),NOT(ISNUMBER('Price History'!I156)),'Price History'!I156=0),"",'Price History'!I157/'Price History'!I156-1),"")</f>
        <v>1.3194703468854874E-2</v>
      </c>
      <c r="J156" s="150">
        <f>IFERROR(IF(OR(NOT(ISNUMBER('Price History'!J157)),NOT(ISNUMBER('Price History'!J156)),'Price History'!J156=0),"",'Price History'!J157/'Price History'!J156-1),"")</f>
        <v>-7.7480807506398186E-3</v>
      </c>
      <c r="K156" s="150">
        <f>IFERROR(IF(OR(NOT(ISNUMBER('Price History'!K157)),NOT(ISNUMBER('Price History'!K156)),'Price History'!K156=0),"",'Price History'!K157/'Price History'!K156-1),"")</f>
        <v>3.528954095809711E-2</v>
      </c>
      <c r="L156" s="150">
        <f>IFERROR(IF(OR(NOT(ISNUMBER('Price History'!L157)),NOT(ISNUMBER('Price History'!L156)),'Price History'!L156=0),"",'Price History'!L157/'Price History'!L156-1),"")</f>
        <v>-3.4224445348587373E-3</v>
      </c>
      <c r="M156" s="150">
        <f>IFERROR(IF(OR(NOT(ISNUMBER('Price History'!M157)),NOT(ISNUMBER('Price History'!M156)),'Price History'!M156=0),"",'Price History'!M157/'Price History'!M156-1),"")</f>
        <v>-1.8595593569819435E-2</v>
      </c>
      <c r="N156" s="150">
        <f>IFERROR(IF(OR(NOT(ISNUMBER('Price History'!N157)),NOT(ISNUMBER('Price History'!N156)),'Price History'!N156=0),"",'Price History'!N157/'Price History'!N156-1),"")</f>
        <v>-1.1604780585712793E-2</v>
      </c>
      <c r="O156" s="150">
        <f>IFERROR(IF(OR(NOT(ISNUMBER('Price History'!O157)),NOT(ISNUMBER('Price History'!O156)),'Price History'!O156=0),"",'Price History'!O157/'Price History'!O156-1),"")</f>
        <v>-6.9819105046018404E-3</v>
      </c>
      <c r="P156" s="150">
        <f>IFERROR(IF(OR(NOT(ISNUMBER('Price History'!P157)),NOT(ISNUMBER('Price History'!P156)),'Price History'!P156=0),"",'Price History'!P157/'Price History'!P156-1),"")</f>
        <v>-1.7818740399384581E-3</v>
      </c>
      <c r="Q156" s="150">
        <f>IFERROR(IF(OR(NOT(ISNUMBER('Price History'!Q157)),NOT(ISNUMBER('Price History'!Q156)),'Price History'!Q156=0),"",'Price History'!Q157/'Price History'!Q156-1),"")</f>
        <v>4.0392383150607003E-3</v>
      </c>
      <c r="R156" s="150">
        <f>IFERROR(IF(OR(NOT(ISNUMBER('Price History'!R157)),NOT(ISNUMBER('Price History'!R156)),'Price History'!R156=0),"",'Price History'!R157/'Price History'!R156-1),"")</f>
        <v>5.2891997952568826E-3</v>
      </c>
      <c r="S156" s="150">
        <f>IFERROR(IF(OR(NOT(ISNUMBER('Price History'!S157)),NOT(ISNUMBER('Price History'!S156)),'Price History'!S156=0),"",'Price History'!S157/'Price History'!S156-1),"")</f>
        <v>-1.3132197454374106E-2</v>
      </c>
      <c r="T156" s="150">
        <f>IFERROR(IF(OR(NOT(ISNUMBER('Price History'!T157)),NOT(ISNUMBER('Price History'!T156)),'Price History'!T156=0),"",'Price History'!T157/'Price History'!T156-1),"")</f>
        <v>3.7947235272857149E-3</v>
      </c>
      <c r="U156" s="150">
        <f>IFERROR(IF(OR(NOT(ISNUMBER('Price History'!U157)),NOT(ISNUMBER('Price History'!U156)),'Price History'!U156=0),"",'Price History'!U157/'Price History'!U156-1),"")</f>
        <v>-6.0292850990525393E-3</v>
      </c>
      <c r="V156" s="151">
        <f>IFERROR(IF(OR(NOT(ISNUMBER('Price History'!V157)),NOT(ISNUMBER('Price History'!V156)),'Price History'!V156=0),"",'Price History'!V157/'Price History'!V156-1),"")</f>
        <v>2.8460543337645472E-2</v>
      </c>
      <c r="W156" s="152">
        <f>IFERROR('Price History'!B3+(INDEX('Price History'!B:B,MATCH(9.99E+307,'Returns (Calc)'!$A:$A)+1)-'Price History'!B3)*(ROW()-3)/(MATCH(9.99E+307,'Returns (Calc)'!$A:$A)-3),"")</f>
        <v>253.08584905660376</v>
      </c>
      <c r="X156" s="152">
        <f>IFERROR('Price History'!C3+(INDEX('Price History'!C:C,MATCH(9.99E+307,'Returns (Calc)'!$A:$A)+1)-'Price History'!C3)*(ROW()-3)/(MATCH(9.99E+307,'Returns (Calc)'!$A:$A)-3),"")</f>
        <v>210.30377358490566</v>
      </c>
      <c r="Y156" s="152">
        <f>IFERROR('Price History'!D3+(INDEX('Price History'!D:D,MATCH(9.99E+307,'Returns (Calc)'!$A:$A)+1)-'Price History'!D3)*(ROW()-3)/(MATCH(9.99E+307,'Returns (Calc)'!$A:$A)-3),"")</f>
        <v>1735.12</v>
      </c>
      <c r="Z156" s="152">
        <f>IFERROR('Price History'!E3+(INDEX('Price History'!E:E,MATCH(9.99E+307,'Returns (Calc)'!$A:$A)+1)-'Price History'!E3)*(ROW()-3)/(MATCH(9.99E+307,'Returns (Calc)'!$A:$A)-3),"")</f>
        <v>350.99132075471698</v>
      </c>
      <c r="AA156" s="152">
        <f>IFERROR('Price History'!F3+(INDEX('Price History'!F:F,MATCH(9.99E+307,'Returns (Calc)'!$A:$A)+1)-'Price History'!F3)*(ROW()-3)/(MATCH(9.99E+307,'Returns (Calc)'!$A:$A)-3),"")</f>
        <v>266.22188679245284</v>
      </c>
      <c r="AB156" s="152">
        <f>IFERROR('Price History'!G3+(INDEX('Price History'!G:G,MATCH(9.99E+307,'Returns (Calc)'!$A:$A)+1)-'Price History'!G3)*(ROW()-3)/(MATCH(9.99E+307,'Returns (Calc)'!$A:$A)-3),"")</f>
        <v>189.86358490566036</v>
      </c>
      <c r="AC156" s="152">
        <f>IFERROR('Price History'!H3+(INDEX('Price History'!H:H,MATCH(9.99E+307,'Returns (Calc)'!$A:$A)+1)-'Price History'!H3)*(ROW()-3)/(MATCH(9.99E+307,'Returns (Calc)'!$A:$A)-3),"")</f>
        <v>992.77773584905651</v>
      </c>
      <c r="AD156" s="152">
        <f>IFERROR('Price History'!I3+(INDEX('Price History'!I:I,MATCH(9.99E+307,'Returns (Calc)'!$A:$A)+1)-'Price History'!I3)*(ROW()-3)/(MATCH(9.99E+307,'Returns (Calc)'!$A:$A)-3),"")</f>
        <v>222.27962264150943</v>
      </c>
      <c r="AE156" s="152">
        <f>IFERROR('Price History'!J3+(INDEX('Price History'!J:J,MATCH(9.99E+307,'Returns (Calc)'!$A:$A)+1)-'Price History'!J3)*(ROW()-3)/(MATCH(9.99E+307,'Returns (Calc)'!$A:$A)-3),"")</f>
        <v>128.82396226415096</v>
      </c>
      <c r="AF156" s="152">
        <f>IFERROR('Price History'!K3+(INDEX('Price History'!K:K,MATCH(9.99E+307,'Returns (Calc)'!$A:$A)+1)-'Price History'!K3)*(ROW()-3)/(MATCH(9.99E+307,'Returns (Calc)'!$A:$A)-3),"")</f>
        <v>201.73981132075474</v>
      </c>
      <c r="AG156" s="152">
        <f>IFERROR('Price History'!L3+(INDEX('Price History'!L:L,MATCH(9.99E+307,'Returns (Calc)'!$A:$A)+1)-'Price History'!L3)*(ROW()-3)/(MATCH(9.99E+307,'Returns (Calc)'!$A:$A)-3),"")</f>
        <v>439.4398113207547</v>
      </c>
      <c r="AH156" s="152">
        <f>IFERROR('Price History'!M3+(INDEX('Price History'!M:M,MATCH(9.99E+307,'Returns (Calc)'!$A:$A)+1)-'Price History'!M3)*(ROW()-3)/(MATCH(9.99E+307,'Returns (Calc)'!$A:$A)-3),"")</f>
        <v>235.05320754716982</v>
      </c>
      <c r="AI156" s="152">
        <f>IFERROR('Price History'!N3+(INDEX('Price History'!N:N,MATCH(9.99E+307,'Returns (Calc)'!$A:$A)+1)-'Price History'!N3)*(ROW()-3)/(MATCH(9.99E+307,'Returns (Calc)'!$A:$A)-3),"")</f>
        <v>503.9977358490566</v>
      </c>
      <c r="AJ156" s="152">
        <f>IFERROR('Price History'!O3+(INDEX('Price History'!O:O,MATCH(9.99E+307,'Returns (Calc)'!$A:$A)+1)-'Price History'!O3)*(ROW()-3)/(MATCH(9.99E+307,'Returns (Calc)'!$A:$A)-3),"")</f>
        <v>117.96716981132076</v>
      </c>
      <c r="AK156" s="152">
        <f>IFERROR('Price History'!Q3+(INDEX('Price History'!Q:Q,MATCH(9.99E+307,'Returns (Calc)'!$A:$A)+1)-'Price History'!Q3)*(ROW()-3)/(MATCH(9.99E+307,'Returns (Calc)'!$A:$A)-3),"")</f>
        <v>67.329622641509431</v>
      </c>
      <c r="AL156" s="152">
        <f>IFERROR('Price History'!R3+(INDEX('Price History'!R:R,MATCH(9.99E+307,'Returns (Calc)'!$A:$A)+1)-'Price History'!R3)*(ROW()-3)/(MATCH(9.99E+307,'Returns (Calc)'!$A:$A)-3),"")</f>
        <v>60.085849056603777</v>
      </c>
      <c r="AM156" s="152">
        <f>IFERROR('Price History'!S3+(INDEX('Price History'!S:S,MATCH(9.99E+307,'Returns (Calc)'!$A:$A)+1)-'Price History'!S3)*(ROW()-3)/(MATCH(9.99E+307,'Returns (Calc)'!$A:$A)-3),"")</f>
        <v>147.63056603773586</v>
      </c>
      <c r="AN156" s="152">
        <f>IFERROR('Price History'!T3+(INDEX('Price History'!T:T,MATCH(9.99E+307,'Returns (Calc)'!$A:$A)+1)-'Price History'!T3)*(ROW()-3)/(MATCH(9.99E+307,'Returns (Calc)'!$A:$A)-3),"")</f>
        <v>51.798490566037742</v>
      </c>
      <c r="AO156" s="153">
        <f>IFERROR('Price History'!V3+(INDEX('Price History'!V:V,MATCH(9.99E+307,'Returns (Calc)'!$A:$A)+1)-'Price History'!V3)*(ROW()-3)/(MATCH(9.99E+307,'Returns (Calc)'!$A:$A)-3),"")</f>
        <v>379.79641509433964</v>
      </c>
      <c r="AP156" s="151">
        <f>IFERROR(IF(OR(NOT(ISNUMBER('Price History'!W157)),NOT(ISNUMBER('Price History'!W156)),'Price History'!W156=0),"",'Price History'!W157/'Price History'!W156-1),"")</f>
        <v>-4.3886383030597997E-3</v>
      </c>
      <c r="AQ156" s="151">
        <f>IFERROR(IF(OR(NOT(ISNUMBER('Price History'!X157)),NOT(ISNUMBER('Price History'!X156)),'Price History'!X156=0),"",'Price History'!X157/'Price History'!X156-1),"")</f>
        <v>7.7024234454254881E-3</v>
      </c>
      <c r="AR156" s="151">
        <f>IFERROR(IF(OR(NOT(ISNUMBER('Price History'!Y157)),NOT(ISNUMBER('Price History'!Y156)),'Price History'!Y156=0),"",'Price History'!Y157/'Price History'!Y156-1),"")</f>
        <v>-2.2727272727273151E-3</v>
      </c>
      <c r="AS156" s="151">
        <f>IFERROR(IF(OR(NOT(ISNUMBER('Price History'!Z157)),NOT(ISNUMBER('Price History'!Z156)),'Price History'!Z156=0),"",'Price History'!Z157/'Price History'!Z156-1),"")</f>
        <v>-1.6620260068318182E-2</v>
      </c>
      <c r="AT156" s="151">
        <f>IFERROR(IF(OR(NOT(ISNUMBER('Price History'!AA157)),NOT(ISNUMBER('Price History'!AA156)),'Price History'!AA156=0),"",'Price History'!AA157/'Price History'!AA156-1),"")</f>
        <v>2.6762156049754848E-2</v>
      </c>
      <c r="AU156" s="151">
        <f>IFERROR(IF(OR(NOT(ISNUMBER('Price History'!AB157)),NOT(ISNUMBER('Price History'!AB156)),'Price History'!AB156=0),"",'Price History'!AB157/'Price History'!AB156-1),"")</f>
        <v>0.11613553852359826</v>
      </c>
    </row>
    <row r="157" spans="1:47" ht="15" customHeight="1" x14ac:dyDescent="0.2">
      <c r="A157" s="149">
        <f>IF('Price History'!A158="","",'Price History'!A158)</f>
        <v>46269</v>
      </c>
      <c r="B157" s="150">
        <f>IFERROR(IF(OR(NOT(ISNUMBER('Price History'!B158)),NOT(ISNUMBER('Price History'!B157)),'Price History'!B157=0),"",'Price History'!B158/'Price History'!B157-1),"")</f>
        <v>-8.579171240395167E-2</v>
      </c>
      <c r="C157" s="150">
        <f>IFERROR(IF(OR(NOT(ISNUMBER('Price History'!C158)),NOT(ISNUMBER('Price History'!C157)),'Price History'!C157=0),"",'Price History'!C158/'Price History'!C157-1),"")</f>
        <v>-8.1891698229091814E-3</v>
      </c>
      <c r="D157" s="150">
        <f>IFERROR(IF(OR(NOT(ISNUMBER('Price History'!D158)),NOT(ISNUMBER('Price History'!D157)),'Price History'!D157=0),"",'Price History'!D158/'Price History'!D157-1),"")</f>
        <v>1.1036694651447965E-2</v>
      </c>
      <c r="E157" s="150">
        <f>IFERROR(IF(OR(NOT(ISNUMBER('Price History'!E158)),NOT(ISNUMBER('Price History'!E157)),'Price History'!E157=0),"",'Price History'!E158/'Price History'!E157-1),"")</f>
        <v>-2.9528414647397638E-2</v>
      </c>
      <c r="F157" s="150">
        <f>IFERROR(IF(OR(NOT(ISNUMBER('Price History'!F158)),NOT(ISNUMBER('Price History'!F157)),'Price History'!F157=0),"",'Price History'!F158/'Price History'!F157-1),"")</f>
        <v>-2.4267399267399292E-2</v>
      </c>
      <c r="G157" s="150">
        <f>IFERROR(IF(OR(NOT(ISNUMBER('Price History'!G158)),NOT(ISNUMBER('Price History'!G157)),'Price History'!G157=0),"",'Price History'!G158/'Price History'!G157-1),"")</f>
        <v>5.7308875469978426E-2</v>
      </c>
      <c r="H157" s="150">
        <f>IFERROR(IF(OR(NOT(ISNUMBER('Price History'!H158)),NOT(ISNUMBER('Price History'!H157)),'Price History'!H157=0),"",'Price History'!H158/'Price History'!H157-1),"")</f>
        <v>8.9756233518427209E-2</v>
      </c>
      <c r="I157" s="150">
        <f>IFERROR(IF(OR(NOT(ISNUMBER('Price History'!I158)),NOT(ISNUMBER('Price History'!I157)),'Price History'!I157=0),"",'Price History'!I158/'Price History'!I157-1),"")</f>
        <v>5.8856012148543524E-2</v>
      </c>
      <c r="J157" s="150">
        <f>IFERROR(IF(OR(NOT(ISNUMBER('Price History'!J158)),NOT(ISNUMBER('Price History'!J157)),'Price History'!J157=0),"",'Price History'!J158/'Price History'!J157-1),"")</f>
        <v>-2.3855577047066534E-2</v>
      </c>
      <c r="K157" s="150">
        <f>IFERROR(IF(OR(NOT(ISNUMBER('Price History'!K158)),NOT(ISNUMBER('Price History'!K157)),'Price History'!K157=0),"",'Price History'!K158/'Price History'!K157-1),"")</f>
        <v>-6.4200976971388601E-2</v>
      </c>
      <c r="L157" s="150">
        <f>IFERROR(IF(OR(NOT(ISNUMBER('Price History'!L158)),NOT(ISNUMBER('Price History'!L157)),'Price History'!L157=0),"",'Price History'!L158/'Price History'!L157-1),"")</f>
        <v>2.728146013448618E-2</v>
      </c>
      <c r="M157" s="150">
        <f>IFERROR(IF(OR(NOT(ISNUMBER('Price History'!M158)),NOT(ISNUMBER('Price History'!M157)),'Price History'!M157=0),"",'Price History'!M158/'Price History'!M157-1),"")</f>
        <v>9.1199128472492452E-2</v>
      </c>
      <c r="N157" s="150">
        <f>IFERROR(IF(OR(NOT(ISNUMBER('Price History'!N158)),NOT(ISNUMBER('Price History'!N157)),'Price History'!N157=0),"",'Price History'!N158/'Price History'!N157-1),"")</f>
        <v>8.1781092506783004E-3</v>
      </c>
      <c r="O157" s="150">
        <f>IFERROR(IF(OR(NOT(ISNUMBER('Price History'!O158)),NOT(ISNUMBER('Price History'!O157)),'Price History'!O157=0),"",'Price History'!O158/'Price History'!O157-1),"")</f>
        <v>1.0866091403004097E-2</v>
      </c>
      <c r="P157" s="150">
        <f>IFERROR(IF(OR(NOT(ISNUMBER('Price History'!P158)),NOT(ISNUMBER('Price History'!P157)),'Price History'!P157=0),"",'Price History'!P158/'Price History'!P157-1),"")</f>
        <v>2.7699125938691616E-3</v>
      </c>
      <c r="Q157" s="150">
        <f>IFERROR(IF(OR(NOT(ISNUMBER('Price History'!Q158)),NOT(ISNUMBER('Price History'!Q157)),'Price History'!Q157=0),"",'Price History'!Q158/'Price History'!Q157-1),"")</f>
        <v>4.310344827587187E-4</v>
      </c>
      <c r="R157" s="150">
        <f>IFERROR(IF(OR(NOT(ISNUMBER('Price History'!R158)),NOT(ISNUMBER('Price History'!R157)),'Price History'!R157=0),"",'Price History'!R158/'Price History'!R157-1),"")</f>
        <v>6.7888662593347249E-3</v>
      </c>
      <c r="S157" s="150">
        <f>IFERROR(IF(OR(NOT(ISNUMBER('Price History'!S158)),NOT(ISNUMBER('Price History'!S157)),'Price History'!S157=0),"",'Price History'!S158/'Price History'!S157-1),"")</f>
        <v>2.0062781493107584E-2</v>
      </c>
      <c r="T157" s="150">
        <f>IFERROR(IF(OR(NOT(ISNUMBER('Price History'!T158)),NOT(ISNUMBER('Price History'!T157)),'Price History'!T157=0),"",'Price History'!T158/'Price History'!T157-1),"")</f>
        <v>-6.6606660666066464E-3</v>
      </c>
      <c r="U157" s="150">
        <f>IFERROR(IF(OR(NOT(ISNUMBER('Price History'!U158)),NOT(ISNUMBER('Price History'!U157)),'Price History'!U157=0),"",'Price History'!U158/'Price History'!U157-1),"")</f>
        <v>-2.8885037550546722E-3</v>
      </c>
      <c r="V157" s="151">
        <f>IFERROR(IF(OR(NOT(ISNUMBER('Price History'!V158)),NOT(ISNUMBER('Price History'!V157)),'Price History'!V157=0),"",'Price History'!V158/'Price History'!V157-1),"")</f>
        <v>-1.7112159329140564E-2</v>
      </c>
      <c r="W157" s="152">
        <f>IFERROR('Price History'!B3+(INDEX('Price History'!B:B,MATCH(9.99E+307,'Returns (Calc)'!$A:$A)+1)-'Price History'!B3)*(ROW()-3)/(MATCH(9.99E+307,'Returns (Calc)'!$A:$A)-3),"")</f>
        <v>251.28320754716975</v>
      </c>
      <c r="X157" s="152">
        <f>IFERROR('Price History'!C3+(INDEX('Price History'!C:C,MATCH(9.99E+307,'Returns (Calc)'!$A:$A)+1)-'Price History'!C3)*(ROW()-3)/(MATCH(9.99E+307,'Returns (Calc)'!$A:$A)-3),"")</f>
        <v>211.3764779874214</v>
      </c>
      <c r="Y157" s="152">
        <f>IFERROR('Price History'!D3+(INDEX('Price History'!D:D,MATCH(9.99E+307,'Returns (Calc)'!$A:$A)+1)-'Price History'!D3)*(ROW()-3)/(MATCH(9.99E+307,'Returns (Calc)'!$A:$A)-3),"")</f>
        <v>1742.6566666666665</v>
      </c>
      <c r="Z157" s="152">
        <f>IFERROR('Price History'!E3+(INDEX('Price History'!E:E,MATCH(9.99E+307,'Returns (Calc)'!$A:$A)+1)-'Price History'!E3)*(ROW()-3)/(MATCH(9.99E+307,'Returns (Calc)'!$A:$A)-3),"")</f>
        <v>352.74943396226416</v>
      </c>
      <c r="AA157" s="152">
        <f>IFERROR('Price History'!F3+(INDEX('Price History'!F:F,MATCH(9.99E+307,'Returns (Calc)'!$A:$A)+1)-'Price History'!F3)*(ROW()-3)/(MATCH(9.99E+307,'Returns (Calc)'!$A:$A)-3),"")</f>
        <v>267.69157232704401</v>
      </c>
      <c r="AB157" s="152">
        <f>IFERROR('Price History'!G3+(INDEX('Price History'!G:G,MATCH(9.99E+307,'Returns (Calc)'!$A:$A)+1)-'Price History'!G3)*(ROW()-3)/(MATCH(9.99E+307,'Returns (Calc)'!$A:$A)-3),"")</f>
        <v>190.8146540880503</v>
      </c>
      <c r="AC157" s="152">
        <f>IFERROR('Price History'!H3+(INDEX('Price History'!H:H,MATCH(9.99E+307,'Returns (Calc)'!$A:$A)+1)-'Price History'!H3)*(ROW()-3)/(MATCH(9.99E+307,'Returns (Calc)'!$A:$A)-3),"")</f>
        <v>998.81477987421385</v>
      </c>
      <c r="AD157" s="152">
        <f>IFERROR('Price History'!I3+(INDEX('Price History'!I:I,MATCH(9.99E+307,'Returns (Calc)'!$A:$A)+1)-'Price History'!I3)*(ROW()-3)/(MATCH(9.99E+307,'Returns (Calc)'!$A:$A)-3),"")</f>
        <v>223.44635220125787</v>
      </c>
      <c r="AE157" s="152">
        <f>IFERROR('Price History'!J3+(INDEX('Price History'!J:J,MATCH(9.99E+307,'Returns (Calc)'!$A:$A)+1)-'Price History'!J3)*(ROW()-3)/(MATCH(9.99E+307,'Returns (Calc)'!$A:$A)-3),"")</f>
        <v>128.93496855345913</v>
      </c>
      <c r="AF157" s="152">
        <f>IFERROR('Price History'!K3+(INDEX('Price History'!K:K,MATCH(9.99E+307,'Returns (Calc)'!$A:$A)+1)-'Price History'!K3)*(ROW()-3)/(MATCH(9.99E+307,'Returns (Calc)'!$A:$A)-3),"")</f>
        <v>202.95817610062895</v>
      </c>
      <c r="AG157" s="152">
        <f>IFERROR('Price History'!L3+(INDEX('Price History'!L:L,MATCH(9.99E+307,'Returns (Calc)'!$A:$A)+1)-'Price History'!L3)*(ROW()-3)/(MATCH(9.99E+307,'Returns (Calc)'!$A:$A)-3),"")</f>
        <v>441.75150943396227</v>
      </c>
      <c r="AH157" s="152">
        <f>IFERROR('Price History'!M3+(INDEX('Price History'!M:M,MATCH(9.99E+307,'Returns (Calc)'!$A:$A)+1)-'Price History'!M3)*(ROW()-3)/(MATCH(9.99E+307,'Returns (Calc)'!$A:$A)-3),"")</f>
        <v>236.34100628930818</v>
      </c>
      <c r="AI157" s="152">
        <f>IFERROR('Price History'!N3+(INDEX('Price History'!N:N,MATCH(9.99E+307,'Returns (Calc)'!$A:$A)+1)-'Price History'!N3)*(ROW()-3)/(MATCH(9.99E+307,'Returns (Calc)'!$A:$A)-3),"")</f>
        <v>505.01144654088046</v>
      </c>
      <c r="AJ157" s="152">
        <f>IFERROR('Price History'!O3+(INDEX('Price History'!O:O,MATCH(9.99E+307,'Returns (Calc)'!$A:$A)+1)-'Price History'!O3)*(ROW()-3)/(MATCH(9.99E+307,'Returns (Calc)'!$A:$A)-3),"")</f>
        <v>118.2459748427673</v>
      </c>
      <c r="AK157" s="152">
        <f>IFERROR('Price History'!Q3+(INDEX('Price History'!Q:Q,MATCH(9.99E+307,'Returns (Calc)'!$A:$A)+1)-'Price History'!Q3)*(ROW()-3)/(MATCH(9.99E+307,'Returns (Calc)'!$A:$A)-3),"")</f>
        <v>67.76968553459119</v>
      </c>
      <c r="AL157" s="152">
        <f>IFERROR('Price History'!R3+(INDEX('Price History'!R:R,MATCH(9.99E+307,'Returns (Calc)'!$A:$A)+1)-'Price History'!R3)*(ROW()-3)/(MATCH(9.99E+307,'Returns (Calc)'!$A:$A)-3),"")</f>
        <v>60.253207547169822</v>
      </c>
      <c r="AM157" s="152">
        <f>IFERROR('Price History'!S3+(INDEX('Price History'!S:S,MATCH(9.99E+307,'Returns (Calc)'!$A:$A)+1)-'Price History'!S3)*(ROW()-3)/(MATCH(9.99E+307,'Returns (Calc)'!$A:$A)-3),"")</f>
        <v>148.21880503144655</v>
      </c>
      <c r="AN157" s="152">
        <f>IFERROR('Price History'!T3+(INDEX('Price History'!T:T,MATCH(9.99E+307,'Returns (Calc)'!$A:$A)+1)-'Price History'!T3)*(ROW()-3)/(MATCH(9.99E+307,'Returns (Calc)'!$A:$A)-3),"")</f>
        <v>51.972075471698119</v>
      </c>
      <c r="AO157" s="153">
        <f>IFERROR('Price History'!V3+(INDEX('Price History'!V:V,MATCH(9.99E+307,'Returns (Calc)'!$A:$A)+1)-'Price History'!V3)*(ROW()-3)/(MATCH(9.99E+307,'Returns (Calc)'!$A:$A)-3),"")</f>
        <v>380.73867924528304</v>
      </c>
      <c r="AP157" s="151">
        <f>IFERROR(IF(OR(NOT(ISNUMBER('Price History'!W158)),NOT(ISNUMBER('Price History'!W157)),'Price History'!W157=0),"",'Price History'!W158/'Price History'!W157-1),"")</f>
        <v>-1.224439818783285E-4</v>
      </c>
      <c r="AQ157" s="151">
        <f>IFERROR(IF(OR(NOT(ISNUMBER('Price History'!X158)),NOT(ISNUMBER('Price History'!X157)),'Price History'!X157=0),"",'Price History'!X158/'Price History'!X157-1),"")</f>
        <v>6.5249813571961468E-3</v>
      </c>
      <c r="AR157" s="151">
        <f>IFERROR(IF(OR(NOT(ISNUMBER('Price History'!Y158)),NOT(ISNUMBER('Price History'!Y157)),'Price History'!Y157=0),"",'Price History'!Y158/'Price History'!Y157-1),"")</f>
        <v>-3.5044681969511604E-3</v>
      </c>
      <c r="AS157" s="151">
        <f>IFERROR(IF(OR(NOT(ISNUMBER('Price History'!Z158)),NOT(ISNUMBER('Price History'!Z157)),'Price History'!Z157=0),"",'Price History'!Z158/'Price History'!Z157-1),"")</f>
        <v>-1.5937883122190355E-2</v>
      </c>
      <c r="AT157" s="151">
        <f>IFERROR(IF(OR(NOT(ISNUMBER('Price History'!AA158)),NOT(ISNUMBER('Price History'!AA157)),'Price History'!AA157=0),"",'Price History'!AA158/'Price History'!AA157-1),"")</f>
        <v>-4.2462065589818909E-2</v>
      </c>
      <c r="AU157" s="151">
        <f>IFERROR(IF(OR(NOT(ISNUMBER('Price History'!AB158)),NOT(ISNUMBER('Price History'!AB157)),'Price History'!AB157=0),"",'Price History'!AB158/'Price History'!AB157-1),"")</f>
        <v>-5.7826448371824934E-3</v>
      </c>
    </row>
    <row r="158" spans="1:47" ht="15" customHeight="1" x14ac:dyDescent="0.2">
      <c r="A158" s="149">
        <f>IF('Price History'!A159="","",'Price History'!A159)</f>
        <v>46276</v>
      </c>
      <c r="B158" s="150">
        <f>IFERROR(IF(OR(NOT(ISNUMBER('Price History'!B159)),NOT(ISNUMBER('Price History'!B158)),'Price History'!B158=0),"",'Price History'!B159/'Price History'!B158-1),"")</f>
        <v>-5.3581479118982367E-2</v>
      </c>
      <c r="C158" s="150">
        <f>IFERROR(IF(OR(NOT(ISNUMBER('Price History'!C159)),NOT(ISNUMBER('Price History'!C158)),'Price History'!C158=0),"",'Price History'!C159/'Price History'!C158-1),"")</f>
        <v>2.9982454329652297E-2</v>
      </c>
      <c r="D158" s="150">
        <f>IFERROR(IF(OR(NOT(ISNUMBER('Price History'!D159)),NOT(ISNUMBER('Price History'!D158)),'Price History'!D158=0),"",'Price History'!D159/'Price History'!D158-1),"")</f>
        <v>-9.6683149841388927E-3</v>
      </c>
      <c r="E158" s="150">
        <f>IFERROR(IF(OR(NOT(ISNUMBER('Price History'!E159)),NOT(ISNUMBER('Price History'!E158)),'Price History'!E158=0),"",'Price History'!E159/'Price History'!E158-1),"")</f>
        <v>1.1420573827851666E-2</v>
      </c>
      <c r="F158" s="150">
        <f>IFERROR(IF(OR(NOT(ISNUMBER('Price History'!F159)),NOT(ISNUMBER('Price History'!F158)),'Price History'!F158=0),"",'Price History'!F159/'Price History'!F158-1),"")</f>
        <v>-2.9845143125293183E-2</v>
      </c>
      <c r="G158" s="150">
        <f>IFERROR(IF(OR(NOT(ISNUMBER('Price History'!G159)),NOT(ISNUMBER('Price History'!G158)),'Price History'!G158=0),"",'Price History'!G159/'Price History'!G158-1),"")</f>
        <v>-2.6724137931034564E-2</v>
      </c>
      <c r="H158" s="150">
        <f>IFERROR(IF(OR(NOT(ISNUMBER('Price History'!H159)),NOT(ISNUMBER('Price History'!H158)),'Price History'!H158=0),"",'Price History'!H159/'Price History'!H158-1),"")</f>
        <v>-4.065552484285706E-2</v>
      </c>
      <c r="I158" s="150">
        <f>IFERROR(IF(OR(NOT(ISNUMBER('Price History'!I159)),NOT(ISNUMBER('Price History'!I158)),'Price History'!I158=0),"",'Price History'!I159/'Price History'!I158-1),"")</f>
        <v>-5.1325510647544537E-2</v>
      </c>
      <c r="J158" s="150">
        <f>IFERROR(IF(OR(NOT(ISNUMBER('Price History'!J159)),NOT(ISNUMBER('Price History'!J158)),'Price History'!J158=0),"",'Price History'!J159/'Price History'!J158-1),"")</f>
        <v>-1.1595479230882E-2</v>
      </c>
      <c r="K158" s="150">
        <f>IFERROR(IF(OR(NOT(ISNUMBER('Price History'!K159)),NOT(ISNUMBER('Price History'!K158)),'Price History'!K158=0),"",'Price History'!K159/'Price History'!K158-1),"")</f>
        <v>-4.0727356163597905E-2</v>
      </c>
      <c r="L158" s="150">
        <f>IFERROR(IF(OR(NOT(ISNUMBER('Price History'!L159)),NOT(ISNUMBER('Price History'!L158)),'Price History'!L158=0),"",'Price History'!L159/'Price History'!L158-1),"")</f>
        <v>1.0099121002431266E-2</v>
      </c>
      <c r="M158" s="150">
        <f>IFERROR(IF(OR(NOT(ISNUMBER('Price History'!M159)),NOT(ISNUMBER('Price History'!M158)),'Price History'!M158=0),"",'Price History'!M159/'Price History'!M158-1),"")</f>
        <v>-8.364829209156377E-2</v>
      </c>
      <c r="N158" s="150">
        <f>IFERROR(IF(OR(NOT(ISNUMBER('Price History'!N159)),NOT(ISNUMBER('Price History'!N158)),'Price History'!N158=0),"",'Price History'!N159/'Price History'!N158-1),"")</f>
        <v>-5.6178129348861017E-2</v>
      </c>
      <c r="O158" s="150">
        <f>IFERROR(IF(OR(NOT(ISNUMBER('Price History'!O159)),NOT(ISNUMBER('Price History'!O158)),'Price History'!O158=0),"",'Price History'!O159/'Price History'!O158-1),"")</f>
        <v>-1.5965855200758772E-2</v>
      </c>
      <c r="P158" s="150">
        <f>IFERROR(IF(OR(NOT(ISNUMBER('Price History'!P159)),NOT(ISNUMBER('Price History'!P158)),'Price History'!P158=0),"",'Price History'!P159/'Price History'!P158-1),"")</f>
        <v>-1.1540114173470006E-2</v>
      </c>
      <c r="Q158" s="150">
        <f>IFERROR(IF(OR(NOT(ISNUMBER('Price History'!Q159)),NOT(ISNUMBER('Price History'!Q158)),'Price History'!Q158=0),"",'Price History'!Q159/'Price History'!Q158-1),"")</f>
        <v>-6.8935803532957918E-3</v>
      </c>
      <c r="R158" s="150">
        <f>IFERROR(IF(OR(NOT(ISNUMBER('Price History'!R159)),NOT(ISNUMBER('Price History'!R158)),'Price History'!R158=0),"",'Price History'!R159/'Price History'!R158-1),"")</f>
        <v>-1.5171948752529252E-3</v>
      </c>
      <c r="S158" s="150">
        <f>IFERROR(IF(OR(NOT(ISNUMBER('Price History'!S159)),NOT(ISNUMBER('Price History'!S158)),'Price History'!S158=0),"",'Price History'!S159/'Price History'!S158-1),"")</f>
        <v>-9.4327000267594441E-3</v>
      </c>
      <c r="T158" s="150">
        <f>IFERROR(IF(OR(NOT(ISNUMBER('Price History'!T159)),NOT(ISNUMBER('Price History'!T158)),'Price History'!T158=0),"",'Price History'!T159/'Price History'!T158-1),"")</f>
        <v>-2.3559260601667242E-2</v>
      </c>
      <c r="U158" s="150">
        <f>IFERROR(IF(OR(NOT(ISNUMBER('Price History'!U159)),NOT(ISNUMBER('Price History'!U158)),'Price History'!U158=0),"",'Price History'!U159/'Price History'!U158-1),"")</f>
        <v>-1.9409038238702214E-2</v>
      </c>
      <c r="V158" s="151">
        <f>IFERROR(IF(OR(NOT(ISNUMBER('Price History'!V159)),NOT(ISNUMBER('Price History'!V158)),'Price History'!V158=0),"",'Price History'!V159/'Price History'!V158-1),"")</f>
        <v>-1.2317700695870126E-2</v>
      </c>
      <c r="W158" s="153">
        <f>IFERROR('Price History'!B3+(INDEX('Price History'!B:B,MATCH(9.99E+307,'Returns (Calc)'!$A:$A)+1)-'Price History'!B3)*(ROW()-3)/(MATCH(9.99E+307,'Returns (Calc)'!$A:$A)-3),"")</f>
        <v>249.48056603773585</v>
      </c>
      <c r="X158" s="153">
        <f>IFERROR('Price History'!C3+(INDEX('Price History'!C:C,MATCH(9.99E+307,'Returns (Calc)'!$A:$A)+1)-'Price History'!C3)*(ROW()-3)/(MATCH(9.99E+307,'Returns (Calc)'!$A:$A)-3),"")</f>
        <v>212.44918238993711</v>
      </c>
      <c r="Y158" s="153">
        <f>IFERROR('Price History'!D3+(INDEX('Price History'!D:D,MATCH(9.99E+307,'Returns (Calc)'!$A:$A)+1)-'Price History'!D3)*(ROW()-3)/(MATCH(9.99E+307,'Returns (Calc)'!$A:$A)-3),"")</f>
        <v>1750.1933333333334</v>
      </c>
      <c r="Z158" s="153">
        <f>IFERROR('Price History'!E3+(INDEX('Price History'!E:E,MATCH(9.99E+307,'Returns (Calc)'!$A:$A)+1)-'Price History'!E3)*(ROW()-3)/(MATCH(9.99E+307,'Returns (Calc)'!$A:$A)-3),"")</f>
        <v>354.50754716981135</v>
      </c>
      <c r="AA158" s="153">
        <f>IFERROR('Price History'!F3+(INDEX('Price History'!F:F,MATCH(9.99E+307,'Returns (Calc)'!$A:$A)+1)-'Price History'!F3)*(ROW()-3)/(MATCH(9.99E+307,'Returns (Calc)'!$A:$A)-3),"")</f>
        <v>269.16125786163525</v>
      </c>
      <c r="AB158" s="153">
        <f>IFERROR('Price History'!G3+(INDEX('Price History'!G:G,MATCH(9.99E+307,'Returns (Calc)'!$A:$A)+1)-'Price History'!G3)*(ROW()-3)/(MATCH(9.99E+307,'Returns (Calc)'!$A:$A)-3),"")</f>
        <v>191.76572327044025</v>
      </c>
      <c r="AC158" s="153">
        <f>IFERROR('Price History'!H3+(INDEX('Price History'!H:H,MATCH(9.99E+307,'Returns (Calc)'!$A:$A)+1)-'Price History'!H3)*(ROW()-3)/(MATCH(9.99E+307,'Returns (Calc)'!$A:$A)-3),"")</f>
        <v>1004.8518238993712</v>
      </c>
      <c r="AD158" s="153">
        <f>IFERROR('Price History'!I3+(INDEX('Price History'!I:I,MATCH(9.99E+307,'Returns (Calc)'!$A:$A)+1)-'Price History'!I3)*(ROW()-3)/(MATCH(9.99E+307,'Returns (Calc)'!$A:$A)-3),"")</f>
        <v>224.6130817610063</v>
      </c>
      <c r="AE158" s="153">
        <f>IFERROR('Price History'!J3+(INDEX('Price History'!J:J,MATCH(9.99E+307,'Returns (Calc)'!$A:$A)+1)-'Price History'!J3)*(ROW()-3)/(MATCH(9.99E+307,'Returns (Calc)'!$A:$A)-3),"")</f>
        <v>129.04597484276729</v>
      </c>
      <c r="AF158" s="153">
        <f>IFERROR('Price History'!K3+(INDEX('Price History'!K:K,MATCH(9.99E+307,'Returns (Calc)'!$A:$A)+1)-'Price History'!K3)*(ROW()-3)/(MATCH(9.99E+307,'Returns (Calc)'!$A:$A)-3),"")</f>
        <v>204.17654088050315</v>
      </c>
      <c r="AG158" s="153">
        <f>IFERROR('Price History'!L3+(INDEX('Price History'!L:L,MATCH(9.99E+307,'Returns (Calc)'!$A:$A)+1)-'Price History'!L3)*(ROW()-3)/(MATCH(9.99E+307,'Returns (Calc)'!$A:$A)-3),"")</f>
        <v>444.06320754716984</v>
      </c>
      <c r="AH158" s="153">
        <f>IFERROR('Price History'!M3+(INDEX('Price History'!M:M,MATCH(9.99E+307,'Returns (Calc)'!$A:$A)+1)-'Price History'!M3)*(ROW()-3)/(MATCH(9.99E+307,'Returns (Calc)'!$A:$A)-3),"")</f>
        <v>237.62880503144655</v>
      </c>
      <c r="AI158" s="153">
        <f>IFERROR('Price History'!N3+(INDEX('Price History'!N:N,MATCH(9.99E+307,'Returns (Calc)'!$A:$A)+1)-'Price History'!N3)*(ROW()-3)/(MATCH(9.99E+307,'Returns (Calc)'!$A:$A)-3),"")</f>
        <v>506.02515723270437</v>
      </c>
      <c r="AJ158" s="153">
        <f>IFERROR('Price History'!O3+(INDEX('Price History'!O:O,MATCH(9.99E+307,'Returns (Calc)'!$A:$A)+1)-'Price History'!O3)*(ROW()-3)/(MATCH(9.99E+307,'Returns (Calc)'!$A:$A)-3),"")</f>
        <v>118.52477987421383</v>
      </c>
      <c r="AK158" s="153">
        <f>IFERROR('Price History'!Q3+(INDEX('Price History'!Q:Q,MATCH(9.99E+307,'Returns (Calc)'!$A:$A)+1)-'Price History'!Q3)*(ROW()-3)/(MATCH(9.99E+307,'Returns (Calc)'!$A:$A)-3),"")</f>
        <v>68.209748427672963</v>
      </c>
      <c r="AL158" s="153">
        <f>IFERROR('Price History'!R3+(INDEX('Price History'!R:R,MATCH(9.99E+307,'Returns (Calc)'!$A:$A)+1)-'Price History'!R3)*(ROW()-3)/(MATCH(9.99E+307,'Returns (Calc)'!$A:$A)-3),"")</f>
        <v>60.420566037735853</v>
      </c>
      <c r="AM158" s="153">
        <f>IFERROR('Price History'!S3+(INDEX('Price History'!S:S,MATCH(9.99E+307,'Returns (Calc)'!$A:$A)+1)-'Price History'!S3)*(ROW()-3)/(MATCH(9.99E+307,'Returns (Calc)'!$A:$A)-3),"")</f>
        <v>148.80704402515724</v>
      </c>
      <c r="AN158" s="153">
        <f>IFERROR('Price History'!T3+(INDEX('Price History'!T:T,MATCH(9.99E+307,'Returns (Calc)'!$A:$A)+1)-'Price History'!T3)*(ROW()-3)/(MATCH(9.99E+307,'Returns (Calc)'!$A:$A)-3),"")</f>
        <v>52.145660377358496</v>
      </c>
      <c r="AO158" s="153">
        <f>IFERROR('Price History'!V3+(INDEX('Price History'!V:V,MATCH(9.99E+307,'Returns (Calc)'!$A:$A)+1)-'Price History'!V3)*(ROW()-3)/(MATCH(9.99E+307,'Returns (Calc)'!$A:$A)-3),"")</f>
        <v>381.68094339622644</v>
      </c>
      <c r="AP158" s="151">
        <f>IFERROR(IF(OR(NOT(ISNUMBER('Price History'!W159)),NOT(ISNUMBER('Price History'!W158)),'Price History'!W158=0),"",'Price History'!W159/'Price History'!W158-1),"")</f>
        <v>-7.959833455792209E-3</v>
      </c>
      <c r="AQ158" s="151">
        <f>IFERROR(IF(OR(NOT(ISNUMBER('Price History'!X159)),NOT(ISNUMBER('Price History'!X158)),'Price History'!X158=0),"",'Price History'!X159/'Price History'!X158-1),"")</f>
        <v>-1.1668827560659456E-2</v>
      </c>
      <c r="AR158" s="151">
        <f>IFERROR(IF(OR(NOT(ISNUMBER('Price History'!Y159)),NOT(ISNUMBER('Price History'!Y158)),'Price History'!Y158=0),"",'Price History'!Y159/'Price History'!Y158-1),"")</f>
        <v>-9.8470195181993292E-3</v>
      </c>
      <c r="AS158" s="151">
        <f>IFERROR(IF(OR(NOT(ISNUMBER('Price History'!Z159)),NOT(ISNUMBER('Price History'!Z158)),'Price History'!Z158=0),"",'Price History'!Z159/'Price History'!Z158-1),"")</f>
        <v>-3.9926435690555206E-2</v>
      </c>
      <c r="AT158" s="151">
        <f>IFERROR(IF(OR(NOT(ISNUMBER('Price History'!AA159)),NOT(ISNUMBER('Price History'!AA158)),'Price History'!AA158=0),"",'Price History'!AA159/'Price History'!AA158-1),"")</f>
        <v>-1.0862619808306606E-2</v>
      </c>
      <c r="AU158" s="151">
        <f>IFERROR(IF(OR(NOT(ISNUMBER('Price History'!AB159)),NOT(ISNUMBER('Price History'!AB158)),'Price History'!AB158=0),"",'Price History'!AB159/'Price History'!AB158-1),"")</f>
        <v>-4.6130357337598626E-2</v>
      </c>
    </row>
    <row r="159" spans="1:47" ht="15" customHeight="1" x14ac:dyDescent="0.2">
      <c r="A159" s="149">
        <f>IF('Price History'!A160="","",'Price History'!A160)</f>
        <v>46283</v>
      </c>
      <c r="B159" s="150">
        <f>IFERROR(IF(OR(NOT(ISNUMBER('Price History'!B160)),NOT(ISNUMBER('Price History'!B159)),'Price History'!B159=0),"",'Price History'!B160/'Price History'!B159-1),"")</f>
        <v>-1.312294334535935E-2</v>
      </c>
      <c r="C159" s="150">
        <f>IFERROR(IF(OR(NOT(ISNUMBER('Price History'!C160)),NOT(ISNUMBER('Price History'!C159)),'Price History'!C159=0),"",'Price History'!C160/'Price History'!C159-1),"")</f>
        <v>-1.0020542111328634E-3</v>
      </c>
      <c r="D159" s="150">
        <f>IFERROR(IF(OR(NOT(ISNUMBER('Price History'!D160)),NOT(ISNUMBER('Price History'!D159)),'Price History'!D159=0),"",'Price History'!D160/'Price History'!D159-1),"")</f>
        <v>-1.0822587293175423E-2</v>
      </c>
      <c r="E159" s="150">
        <f>IFERROR(IF(OR(NOT(ISNUMBER('Price History'!E160)),NOT(ISNUMBER('Price History'!E159)),'Price History'!E159=0),"",'Price History'!E160/'Price History'!E159-1),"")</f>
        <v>-1.2094207511139432E-2</v>
      </c>
      <c r="F159" s="150">
        <f>IFERROR(IF(OR(NOT(ISNUMBER('Price History'!F160)),NOT(ISNUMBER('Price History'!F159)),'Price History'!F159=0),"",'Price History'!F160/'Price History'!F159-1),"")</f>
        <v>0.14951146367418011</v>
      </c>
      <c r="G159" s="150">
        <f>IFERROR(IF(OR(NOT(ISNUMBER('Price History'!G160)),NOT(ISNUMBER('Price History'!G159)),'Price History'!G159=0),"",'Price History'!G160/'Price History'!G159-1),"")</f>
        <v>-2.020593445527008E-2</v>
      </c>
      <c r="H159" s="150">
        <f>IFERROR(IF(OR(NOT(ISNUMBER('Price History'!H160)),NOT(ISNUMBER('Price History'!H159)),'Price History'!H159=0),"",'Price History'!H160/'Price History'!H159-1),"")</f>
        <v>4.1568402272214477E-2</v>
      </c>
      <c r="I159" s="150">
        <f>IFERROR(IF(OR(NOT(ISNUMBER('Price History'!I160)),NOT(ISNUMBER('Price History'!I159)),'Price History'!I159=0),"",'Price History'!I160/'Price History'!I159-1),"")</f>
        <v>1.8232626322781664E-2</v>
      </c>
      <c r="J159" s="150">
        <f>IFERROR(IF(OR(NOT(ISNUMBER('Price History'!J160)),NOT(ISNUMBER('Price History'!J159)),'Price History'!J159=0),"",'Price History'!J160/'Price History'!J159-1),"")</f>
        <v>1.1880011880012198E-3</v>
      </c>
      <c r="K159" s="150">
        <f>IFERROR(IF(OR(NOT(ISNUMBER('Price History'!K160)),NOT(ISNUMBER('Price History'!K159)),'Price History'!K159=0),"",'Price History'!K160/'Price History'!K159-1),"")</f>
        <v>6.2249596364288617E-2</v>
      </c>
      <c r="L159" s="150">
        <f>IFERROR(IF(OR(NOT(ISNUMBER('Price History'!L160)),NOT(ISNUMBER('Price History'!L159)),'Price History'!L159=0),"",'Price History'!L160/'Price History'!L159-1),"")</f>
        <v>5.9942603221625479E-3</v>
      </c>
      <c r="M159" s="150">
        <f>IFERROR(IF(OR(NOT(ISNUMBER('Price History'!M160)),NOT(ISNUMBER('Price History'!M159)),'Price History'!M159=0),"",'Price History'!M160/'Price History'!M159-1),"")</f>
        <v>-2.9610894941634269E-2</v>
      </c>
      <c r="N159" s="150">
        <f>IFERROR(IF(OR(NOT(ISNUMBER('Price History'!N160)),NOT(ISNUMBER('Price History'!N159)),'Price History'!N159=0),"",'Price History'!N160/'Price History'!N159-1),"")</f>
        <v>-1.3774639143256384E-2</v>
      </c>
      <c r="O159" s="150">
        <f>IFERROR(IF(OR(NOT(ISNUMBER('Price History'!O160)),NOT(ISNUMBER('Price History'!O159)),'Price History'!O159=0),"",'Price History'!O160/'Price History'!O159-1),"")</f>
        <v>-2.0401606425702878E-2</v>
      </c>
      <c r="P159" s="150">
        <f>IFERROR(IF(OR(NOT(ISNUMBER('Price History'!P160)),NOT(ISNUMBER('Price History'!P159)),'Price History'!P159=0),"",'Price History'!P160/'Price History'!P159-1),"")</f>
        <v>-1.7325964106067127E-2</v>
      </c>
      <c r="Q159" s="150">
        <f>IFERROR(IF(OR(NOT(ISNUMBER('Price History'!Q160)),NOT(ISNUMBER('Price History'!Q159)),'Price History'!Q159=0),"",'Price History'!Q160/'Price History'!Q159-1),"")</f>
        <v>-2.3138105567608314E-3</v>
      </c>
      <c r="R159" s="150">
        <f>IFERROR(IF(OR(NOT(ISNUMBER('Price History'!R160)),NOT(ISNUMBER('Price History'!R159)),'Price History'!R159=0),"",'Price History'!R160/'Price History'!R159-1),"")</f>
        <v>7.5975012662503616E-3</v>
      </c>
      <c r="S159" s="150">
        <f>IFERROR(IF(OR(NOT(ISNUMBER('Price History'!S160)),NOT(ISNUMBER('Price History'!S159)),'Price History'!S159=0),"",'Price History'!S160/'Price History'!S159-1),"")</f>
        <v>6.0782062537989567E-3</v>
      </c>
      <c r="T159" s="150">
        <f>IFERROR(IF(OR(NOT(ISNUMBER('Price History'!T160)),NOT(ISNUMBER('Price History'!T159)),'Price History'!T159=0),"",'Price History'!T160/'Price History'!T159-1),"")</f>
        <v>-1.6332590942836012E-2</v>
      </c>
      <c r="U159" s="150">
        <f>IFERROR(IF(OR(NOT(ISNUMBER('Price History'!U160)),NOT(ISNUMBER('Price History'!U159)),'Price History'!U159=0),"",'Price History'!U160/'Price History'!U159-1),"")</f>
        <v>-1.2998522895125708E-2</v>
      </c>
      <c r="V159" s="151">
        <f>IFERROR(IF(OR(NOT(ISNUMBER('Price History'!V160)),NOT(ISNUMBER('Price History'!V159)),'Price History'!V159=0),"",'Price History'!V160/'Price History'!V159-1),"")</f>
        <v>-5.8307463895261868E-3</v>
      </c>
      <c r="W159" s="153">
        <f>IFERROR('Price History'!B3+(INDEX('Price History'!B:B,MATCH(9.99E+307,'Returns (Calc)'!$A:$A)+1)-'Price History'!B3)*(ROW()-3)/(MATCH(9.99E+307,'Returns (Calc)'!$A:$A)-3),"")</f>
        <v>247.67792452830184</v>
      </c>
      <c r="X159" s="153">
        <f>IFERROR('Price History'!C3+(INDEX('Price History'!C:C,MATCH(9.99E+307,'Returns (Calc)'!$A:$A)+1)-'Price History'!C3)*(ROW()-3)/(MATCH(9.99E+307,'Returns (Calc)'!$A:$A)-3),"")</f>
        <v>213.52188679245285</v>
      </c>
      <c r="Y159" s="153">
        <f>IFERROR('Price History'!D3+(INDEX('Price History'!D:D,MATCH(9.99E+307,'Returns (Calc)'!$A:$A)+1)-'Price History'!D3)*(ROW()-3)/(MATCH(9.99E+307,'Returns (Calc)'!$A:$A)-3),"")</f>
        <v>1757.7299999999998</v>
      </c>
      <c r="Z159" s="153">
        <f>IFERROR('Price History'!E3+(INDEX('Price History'!E:E,MATCH(9.99E+307,'Returns (Calc)'!$A:$A)+1)-'Price History'!E3)*(ROW()-3)/(MATCH(9.99E+307,'Returns (Calc)'!$A:$A)-3),"")</f>
        <v>356.26566037735853</v>
      </c>
      <c r="AA159" s="153">
        <f>IFERROR('Price History'!F3+(INDEX('Price History'!F:F,MATCH(9.99E+307,'Returns (Calc)'!$A:$A)+1)-'Price History'!F3)*(ROW()-3)/(MATCH(9.99E+307,'Returns (Calc)'!$A:$A)-3),"")</f>
        <v>270.63094339622643</v>
      </c>
      <c r="AB159" s="153">
        <f>IFERROR('Price History'!G3+(INDEX('Price History'!G:G,MATCH(9.99E+307,'Returns (Calc)'!$A:$A)+1)-'Price History'!G3)*(ROW()-3)/(MATCH(9.99E+307,'Returns (Calc)'!$A:$A)-3),"")</f>
        <v>192.71679245283019</v>
      </c>
      <c r="AC159" s="153">
        <f>IFERROR('Price History'!H3+(INDEX('Price History'!H:H,MATCH(9.99E+307,'Returns (Calc)'!$A:$A)+1)-'Price History'!H3)*(ROW()-3)/(MATCH(9.99E+307,'Returns (Calc)'!$A:$A)-3),"")</f>
        <v>1010.8888679245283</v>
      </c>
      <c r="AD159" s="153">
        <f>IFERROR('Price History'!I3+(INDEX('Price History'!I:I,MATCH(9.99E+307,'Returns (Calc)'!$A:$A)+1)-'Price History'!I3)*(ROW()-3)/(MATCH(9.99E+307,'Returns (Calc)'!$A:$A)-3),"")</f>
        <v>225.7798113207547</v>
      </c>
      <c r="AE159" s="153">
        <f>IFERROR('Price History'!J3+(INDEX('Price History'!J:J,MATCH(9.99E+307,'Returns (Calc)'!$A:$A)+1)-'Price History'!J3)*(ROW()-3)/(MATCH(9.99E+307,'Returns (Calc)'!$A:$A)-3),"")</f>
        <v>129.15698113207549</v>
      </c>
      <c r="AF159" s="153">
        <f>IFERROR('Price History'!K3+(INDEX('Price History'!K:K,MATCH(9.99E+307,'Returns (Calc)'!$A:$A)+1)-'Price History'!K3)*(ROW()-3)/(MATCH(9.99E+307,'Returns (Calc)'!$A:$A)-3),"")</f>
        <v>205.39490566037736</v>
      </c>
      <c r="AG159" s="153">
        <f>IFERROR('Price History'!L3+(INDEX('Price History'!L:L,MATCH(9.99E+307,'Returns (Calc)'!$A:$A)+1)-'Price History'!L3)*(ROW()-3)/(MATCH(9.99E+307,'Returns (Calc)'!$A:$A)-3),"")</f>
        <v>446.37490566037735</v>
      </c>
      <c r="AH159" s="153">
        <f>IFERROR('Price History'!M3+(INDEX('Price History'!M:M,MATCH(9.99E+307,'Returns (Calc)'!$A:$A)+1)-'Price History'!M3)*(ROW()-3)/(MATCH(9.99E+307,'Returns (Calc)'!$A:$A)-3),"")</f>
        <v>238.91660377358491</v>
      </c>
      <c r="AI159" s="153">
        <f>IFERROR('Price History'!N3+(INDEX('Price History'!N:N,MATCH(9.99E+307,'Returns (Calc)'!$A:$A)+1)-'Price History'!N3)*(ROW()-3)/(MATCH(9.99E+307,'Returns (Calc)'!$A:$A)-3),"")</f>
        <v>507.03886792452829</v>
      </c>
      <c r="AJ159" s="153">
        <f>IFERROR('Price History'!O3+(INDEX('Price History'!O:O,MATCH(9.99E+307,'Returns (Calc)'!$A:$A)+1)-'Price History'!O3)*(ROW()-3)/(MATCH(9.99E+307,'Returns (Calc)'!$A:$A)-3),"")</f>
        <v>118.80358490566039</v>
      </c>
      <c r="AK159" s="153">
        <f>IFERROR('Price History'!Q3+(INDEX('Price History'!Q:Q,MATCH(9.99E+307,'Returns (Calc)'!$A:$A)+1)-'Price History'!Q3)*(ROW()-3)/(MATCH(9.99E+307,'Returns (Calc)'!$A:$A)-3),"")</f>
        <v>68.649811320754722</v>
      </c>
      <c r="AL159" s="153">
        <f>IFERROR('Price History'!R3+(INDEX('Price History'!R:R,MATCH(9.99E+307,'Returns (Calc)'!$A:$A)+1)-'Price History'!R3)*(ROW()-3)/(MATCH(9.99E+307,'Returns (Calc)'!$A:$A)-3),"")</f>
        <v>60.587924528301883</v>
      </c>
      <c r="AM159" s="153">
        <f>IFERROR('Price History'!S3+(INDEX('Price History'!S:S,MATCH(9.99E+307,'Returns (Calc)'!$A:$A)+1)-'Price History'!S3)*(ROW()-3)/(MATCH(9.99E+307,'Returns (Calc)'!$A:$A)-3),"")</f>
        <v>149.39528301886793</v>
      </c>
      <c r="AN159" s="153">
        <f>IFERROR('Price History'!T3+(INDEX('Price History'!T:T,MATCH(9.99E+307,'Returns (Calc)'!$A:$A)+1)-'Price History'!T3)*(ROW()-3)/(MATCH(9.99E+307,'Returns (Calc)'!$A:$A)-3),"")</f>
        <v>52.319245283018873</v>
      </c>
      <c r="AO159" s="153">
        <f>IFERROR('Price History'!V3+(INDEX('Price History'!V:V,MATCH(9.99E+307,'Returns (Calc)'!$A:$A)+1)-'Price History'!V3)*(ROW()-3)/(MATCH(9.99E+307,'Returns (Calc)'!$A:$A)-3),"")</f>
        <v>382.62320754716978</v>
      </c>
      <c r="AP159" s="151">
        <f>IFERROR(IF(OR(NOT(ISNUMBER('Price History'!W160)),NOT(ISNUMBER('Price History'!W159)),'Price History'!W159=0),"",'Price History'!W160/'Price History'!W159-1),"")</f>
        <v>-1.7034933958770648E-2</v>
      </c>
      <c r="AQ159" s="151">
        <f>IFERROR(IF(OR(NOT(ISNUMBER('Price History'!X160)),NOT(ISNUMBER('Price History'!X159)),'Price History'!X159=0),"",'Price History'!X160/'Price History'!X159-1),"")</f>
        <v>-1.0307346326836497E-2</v>
      </c>
      <c r="AR159" s="151">
        <f>IFERROR(IF(OR(NOT(ISNUMBER('Price History'!Y160)),NOT(ISNUMBER('Price History'!Y159)),'Price History'!Y159=0),"",'Price History'!Y160/'Price History'!Y159-1),"")</f>
        <v>-7.2811223583733042E-3</v>
      </c>
      <c r="AS159" s="151">
        <f>IFERROR(IF(OR(NOT(ISNUMBER('Price History'!Z160)),NOT(ISNUMBER('Price History'!Z159)),'Price History'!Z159=0),"",'Price History'!Z160/'Price History'!Z159-1),"")</f>
        <v>-2.9011926095285356E-2</v>
      </c>
      <c r="AT159" s="151">
        <f>IFERROR(IF(OR(NOT(ISNUMBER('Price History'!AA160)),NOT(ISNUMBER('Price History'!AA159)),'Price History'!AA159=0),"",'Price History'!AA160/'Price History'!AA159-1),"")</f>
        <v>-7.2480620155038755E-2</v>
      </c>
      <c r="AU159" s="151">
        <f>IFERROR(IF(OR(NOT(ISNUMBER('Price History'!AB160)),NOT(ISNUMBER('Price History'!AB159)),'Price History'!AB159=0),"",'Price History'!AB160/'Price History'!AB159-1),"")</f>
        <v>-8.3460365853658125E-3</v>
      </c>
    </row>
    <row r="160" spans="1:47" ht="15" customHeight="1" x14ac:dyDescent="0.2">
      <c r="A160" s="149">
        <f>IF('Price History'!A161="","",'Price History'!A161)</f>
        <v>46290</v>
      </c>
      <c r="B160" s="150">
        <f>IFERROR(IF(OR(NOT(ISNUMBER('Price History'!B161)),NOT(ISNUMBER('Price History'!B160)),'Price History'!B160=0),"",'Price History'!B161/'Price History'!B160-1),"")</f>
        <v>-5.4033424393379326E-2</v>
      </c>
      <c r="C160" s="150">
        <f>IFERROR(IF(OR(NOT(ISNUMBER('Price History'!C161)),NOT(ISNUMBER('Price History'!C160)),'Price History'!C160=0),"",'Price History'!C161/'Price History'!C160-1),"")</f>
        <v>3.5909524048347574E-2</v>
      </c>
      <c r="D160" s="150">
        <f>IFERROR(IF(OR(NOT(ISNUMBER('Price History'!D161)),NOT(ISNUMBER('Price History'!D160)),'Price History'!D160=0),"",'Price History'!D161/'Price History'!D160-1),"")</f>
        <v>3.810895756940802E-2</v>
      </c>
      <c r="E160" s="150">
        <f>IFERROR(IF(OR(NOT(ISNUMBER('Price History'!E161)),NOT(ISNUMBER('Price History'!E160)),'Price History'!E160=0),"",'Price History'!E161/'Price History'!E160-1),"")</f>
        <v>-1.1625952487673619E-2</v>
      </c>
      <c r="F160" s="150">
        <f>IFERROR(IF(OR(NOT(ISNUMBER('Price History'!F161)),NOT(ISNUMBER('Price History'!F160)),'Price History'!F160=0),"",'Price History'!F161/'Price History'!F160-1),"")</f>
        <v>6.0929938985903487E-2</v>
      </c>
      <c r="G160" s="150">
        <f>IFERROR(IF(OR(NOT(ISNUMBER('Price History'!G161)),NOT(ISNUMBER('Price History'!G160)),'Price History'!G160=0),"",'Price History'!G161/'Price History'!G160-1),"")</f>
        <v>6.175490140685902E-2</v>
      </c>
      <c r="H160" s="150">
        <f>IFERROR(IF(OR(NOT(ISNUMBER('Price History'!H161)),NOT(ISNUMBER('Price History'!H160)),'Price History'!H160=0),"",'Price History'!H161/'Price History'!H160-1),"")</f>
        <v>6.5445953927938616E-2</v>
      </c>
      <c r="I160" s="150">
        <f>IFERROR(IF(OR(NOT(ISNUMBER('Price History'!I161)),NOT(ISNUMBER('Price History'!I160)),'Price History'!I160=0),"",'Price History'!I161/'Price History'!I160-1),"")</f>
        <v>1.2597291582309822E-2</v>
      </c>
      <c r="J160" s="150">
        <f>IFERROR(IF(OR(NOT(ISNUMBER('Price History'!J161)),NOT(ISNUMBER('Price History'!J160)),'Price History'!J160=0),"",'Price History'!J161/'Price History'!J160-1),"")</f>
        <v>-1.3274992583802936E-2</v>
      </c>
      <c r="K160" s="150">
        <f>IFERROR(IF(OR(NOT(ISNUMBER('Price History'!K161)),NOT(ISNUMBER('Price History'!K160)),'Price History'!K160=0),"",'Price History'!K161/'Price History'!K160-1),"")</f>
        <v>6.772123395631624E-2</v>
      </c>
      <c r="L160" s="150">
        <f>IFERROR(IF(OR(NOT(ISNUMBER('Price History'!L161)),NOT(ISNUMBER('Price History'!L160)),'Price History'!L160=0),"",'Price History'!L161/'Price History'!L160-1),"")</f>
        <v>3.667149791796076E-2</v>
      </c>
      <c r="M160" s="150">
        <f>IFERROR(IF(OR(NOT(ISNUMBER('Price History'!M161)),NOT(ISNUMBER('Price History'!M160)),'Price History'!M160=0),"",'Price History'!M161/'Price History'!M160-1),"")</f>
        <v>1.5598059264605668E-2</v>
      </c>
      <c r="N160" s="150">
        <f>IFERROR(IF(OR(NOT(ISNUMBER('Price History'!N161)),NOT(ISNUMBER('Price History'!N160)),'Price History'!N160=0),"",'Price History'!N161/'Price History'!N160-1),"")</f>
        <v>3.5114293583035083E-2</v>
      </c>
      <c r="O160" s="150">
        <f>IFERROR(IF(OR(NOT(ISNUMBER('Price History'!O161)),NOT(ISNUMBER('Price History'!O160)),'Price History'!O160=0),"",'Price History'!O161/'Price History'!O160-1),"")</f>
        <v>-1.2709084945883853E-2</v>
      </c>
      <c r="P160" s="150">
        <f>IFERROR(IF(OR(NOT(ISNUMBER('Price History'!P161)),NOT(ISNUMBER('Price History'!P160)),'Price History'!P160=0),"",'Price History'!P161/'Price History'!P160-1),"")</f>
        <v>-2.2181496461071926E-2</v>
      </c>
      <c r="Q160" s="150">
        <f>IFERROR(IF(OR(NOT(ISNUMBER('Price History'!Q161)),NOT(ISNUMBER('Price History'!Q160)),'Price History'!Q160=0),"",'Price History'!Q161/'Price History'!Q160-1),"")</f>
        <v>8.5519640527613738E-3</v>
      </c>
      <c r="R160" s="150">
        <f>IFERROR(IF(OR(NOT(ISNUMBER('Price History'!R161)),NOT(ISNUMBER('Price History'!R160)),'Price History'!R160=0),"",'Price History'!R161/'Price History'!R160-1),"")</f>
        <v>1.6588471849865893E-2</v>
      </c>
      <c r="S160" s="150">
        <f>IFERROR(IF(OR(NOT(ISNUMBER('Price History'!S161)),NOT(ISNUMBER('Price History'!S160)),'Price History'!S160=0),"",'Price History'!S161/'Price History'!S160-1),"")</f>
        <v>2.6515405786399882E-2</v>
      </c>
      <c r="T160" s="150">
        <f>IFERROR(IF(OR(NOT(ISNUMBER('Price History'!T161)),NOT(ISNUMBER('Price History'!T160)),'Price History'!T160=0),"",'Price History'!T161/'Price History'!T160-1),"")</f>
        <v>-2.6415094339622636E-2</v>
      </c>
      <c r="U160" s="150">
        <f>IFERROR(IF(OR(NOT(ISNUMBER('Price History'!U161)),NOT(ISNUMBER('Price History'!U160)),'Price History'!U160=0),"",'Price History'!U161/'Price History'!U160-1),"")</f>
        <v>-5.986231667165387E-3</v>
      </c>
      <c r="V160" s="151">
        <f>IFERROR(IF(OR(NOT(ISNUMBER('Price History'!V161)),NOT(ISNUMBER('Price History'!V160)),'Price History'!V160=0),"",'Price History'!V161/'Price History'!V160-1),"")</f>
        <v>-2.4708789269326514E-3</v>
      </c>
      <c r="W160" s="153">
        <f>IFERROR('Price History'!B3+(INDEX('Price History'!B:B,MATCH(9.99E+307,'Returns (Calc)'!$A:$A)+1)-'Price History'!B3)*(ROW()-3)/(MATCH(9.99E+307,'Returns (Calc)'!$A:$A)-3),"")</f>
        <v>245.87528301886789</v>
      </c>
      <c r="X160" s="153">
        <f>IFERROR('Price History'!C3+(INDEX('Price History'!C:C,MATCH(9.99E+307,'Returns (Calc)'!$A:$A)+1)-'Price History'!C3)*(ROW()-3)/(MATCH(9.99E+307,'Returns (Calc)'!$A:$A)-3),"")</f>
        <v>214.59459119496856</v>
      </c>
      <c r="Y160" s="153">
        <f>IFERROR('Price History'!D3+(INDEX('Price History'!D:D,MATCH(9.99E+307,'Returns (Calc)'!$A:$A)+1)-'Price History'!D3)*(ROW()-3)/(MATCH(9.99E+307,'Returns (Calc)'!$A:$A)-3),"")</f>
        <v>1765.2666666666667</v>
      </c>
      <c r="Z160" s="153">
        <f>IFERROR('Price History'!E3+(INDEX('Price History'!E:E,MATCH(9.99E+307,'Returns (Calc)'!$A:$A)+1)-'Price History'!E3)*(ROW()-3)/(MATCH(9.99E+307,'Returns (Calc)'!$A:$A)-3),"")</f>
        <v>358.02377358490571</v>
      </c>
      <c r="AA160" s="153">
        <f>IFERROR('Price History'!F3+(INDEX('Price History'!F:F,MATCH(9.99E+307,'Returns (Calc)'!$A:$A)+1)-'Price History'!F3)*(ROW()-3)/(MATCH(9.99E+307,'Returns (Calc)'!$A:$A)-3),"")</f>
        <v>272.10062893081761</v>
      </c>
      <c r="AB160" s="153">
        <f>IFERROR('Price History'!G3+(INDEX('Price History'!G:G,MATCH(9.99E+307,'Returns (Calc)'!$A:$A)+1)-'Price History'!G3)*(ROW()-3)/(MATCH(9.99E+307,'Returns (Calc)'!$A:$A)-3),"")</f>
        <v>193.66786163522013</v>
      </c>
      <c r="AC160" s="153">
        <f>IFERROR('Price History'!H3+(INDEX('Price History'!H:H,MATCH(9.99E+307,'Returns (Calc)'!$A:$A)+1)-'Price History'!H3)*(ROW()-3)/(MATCH(9.99E+307,'Returns (Calc)'!$A:$A)-3),"")</f>
        <v>1016.9259119496857</v>
      </c>
      <c r="AD160" s="153">
        <f>IFERROR('Price History'!I3+(INDEX('Price History'!I:I,MATCH(9.99E+307,'Returns (Calc)'!$A:$A)+1)-'Price History'!I3)*(ROW()-3)/(MATCH(9.99E+307,'Returns (Calc)'!$A:$A)-3),"")</f>
        <v>226.94654088050316</v>
      </c>
      <c r="AE160" s="153">
        <f>IFERROR('Price History'!J3+(INDEX('Price History'!J:J,MATCH(9.99E+307,'Returns (Calc)'!$A:$A)+1)-'Price History'!J3)*(ROW()-3)/(MATCH(9.99E+307,'Returns (Calc)'!$A:$A)-3),"")</f>
        <v>129.26798742138365</v>
      </c>
      <c r="AF160" s="153">
        <f>IFERROR('Price History'!K3+(INDEX('Price History'!K:K,MATCH(9.99E+307,'Returns (Calc)'!$A:$A)+1)-'Price History'!K3)*(ROW()-3)/(MATCH(9.99E+307,'Returns (Calc)'!$A:$A)-3),"")</f>
        <v>206.6132704402516</v>
      </c>
      <c r="AG160" s="153">
        <f>IFERROR('Price History'!L3+(INDEX('Price History'!L:L,MATCH(9.99E+307,'Returns (Calc)'!$A:$A)+1)-'Price History'!L3)*(ROW()-3)/(MATCH(9.99E+307,'Returns (Calc)'!$A:$A)-3),"")</f>
        <v>448.68660377358492</v>
      </c>
      <c r="AH160" s="153">
        <f>IFERROR('Price History'!M3+(INDEX('Price History'!M:M,MATCH(9.99E+307,'Returns (Calc)'!$A:$A)+1)-'Price History'!M3)*(ROW()-3)/(MATCH(9.99E+307,'Returns (Calc)'!$A:$A)-3),"")</f>
        <v>240.20440251572327</v>
      </c>
      <c r="AI160" s="153">
        <f>IFERROR('Price History'!N3+(INDEX('Price History'!N:N,MATCH(9.99E+307,'Returns (Calc)'!$A:$A)+1)-'Price History'!N3)*(ROW()-3)/(MATCH(9.99E+307,'Returns (Calc)'!$A:$A)-3),"")</f>
        <v>508.05257861635221</v>
      </c>
      <c r="AJ160" s="153">
        <f>IFERROR('Price History'!O3+(INDEX('Price History'!O:O,MATCH(9.99E+307,'Returns (Calc)'!$A:$A)+1)-'Price History'!O3)*(ROW()-3)/(MATCH(9.99E+307,'Returns (Calc)'!$A:$A)-3),"")</f>
        <v>119.08238993710691</v>
      </c>
      <c r="AK160" s="153">
        <f>IFERROR('Price History'!Q3+(INDEX('Price History'!Q:Q,MATCH(9.99E+307,'Returns (Calc)'!$A:$A)+1)-'Price History'!Q3)*(ROW()-3)/(MATCH(9.99E+307,'Returns (Calc)'!$A:$A)-3),"")</f>
        <v>69.089874213836467</v>
      </c>
      <c r="AL160" s="153">
        <f>IFERROR('Price History'!R3+(INDEX('Price History'!R:R,MATCH(9.99E+307,'Returns (Calc)'!$A:$A)+1)-'Price History'!R3)*(ROW()-3)/(MATCH(9.99E+307,'Returns (Calc)'!$A:$A)-3),"")</f>
        <v>60.755283018867928</v>
      </c>
      <c r="AM160" s="153">
        <f>IFERROR('Price History'!S3+(INDEX('Price History'!S:S,MATCH(9.99E+307,'Returns (Calc)'!$A:$A)+1)-'Price History'!S3)*(ROW()-3)/(MATCH(9.99E+307,'Returns (Calc)'!$A:$A)-3),"")</f>
        <v>149.98352201257862</v>
      </c>
      <c r="AN160" s="153">
        <f>IFERROR('Price History'!T3+(INDEX('Price History'!T:T,MATCH(9.99E+307,'Returns (Calc)'!$A:$A)+1)-'Price History'!T3)*(ROW()-3)/(MATCH(9.99E+307,'Returns (Calc)'!$A:$A)-3),"")</f>
        <v>52.49283018867925</v>
      </c>
      <c r="AO160" s="153">
        <f>IFERROR('Price History'!V3+(INDEX('Price History'!V:V,MATCH(9.99E+307,'Returns (Calc)'!$A:$A)+1)-'Price History'!V3)*(ROW()-3)/(MATCH(9.99E+307,'Returns (Calc)'!$A:$A)-3),"")</f>
        <v>383.56547169811319</v>
      </c>
      <c r="AP160" s="151">
        <f>IFERROR(IF(OR(NOT(ISNUMBER('Price History'!W161)),NOT(ISNUMBER('Price History'!W160)),'Price History'!W160=0),"",'Price History'!W161/'Price History'!W160-1),"")</f>
        <v>-9.9208840889111194E-3</v>
      </c>
      <c r="AQ160" s="151">
        <f>IFERROR(IF(OR(NOT(ISNUMBER('Price History'!X161)),NOT(ISNUMBER('Price History'!X160)),'Price History'!X160=0),"",'Price History'!X161/'Price History'!X160-1),"")</f>
        <v>-3.2380231016852834E-2</v>
      </c>
      <c r="AR160" s="151">
        <f>IFERROR(IF(OR(NOT(ISNUMBER('Price History'!Y161)),NOT(ISNUMBER('Price History'!Y160)),'Price History'!Y160=0),"",'Price History'!Y161/'Price History'!Y160-1),"")</f>
        <v>9.302325581395321E-3</v>
      </c>
      <c r="AS160" s="151">
        <f>IFERROR(IF(OR(NOT(ISNUMBER('Price History'!Z161)),NOT(ISNUMBER('Price History'!Z160)),'Price History'!Z160=0),"",'Price History'!Z161/'Price History'!Z160-1),"")</f>
        <v>4.0792948738346047E-2</v>
      </c>
      <c r="AT160" s="151">
        <f>IFERROR(IF(OR(NOT(ISNUMBER('Price History'!AA161)),NOT(ISNUMBER('Price History'!AA160)),'Price History'!AA160=0),"",'Price History'!AA161/'Price History'!AA160-1),"")</f>
        <v>-8.9148906532943162E-3</v>
      </c>
      <c r="AU160" s="151">
        <f>IFERROR(IF(OR(NOT(ISNUMBER('Price History'!AB161)),NOT(ISNUMBER('Price History'!AB160)),'Price History'!AB160=0),"",'Price History'!AB161/'Price History'!AB160-1),"")</f>
        <v>7.8667230313977266E-2</v>
      </c>
    </row>
    <row r="161" spans="1:47" ht="15" customHeight="1" x14ac:dyDescent="0.2">
      <c r="A161" s="149">
        <f>IF('Price History'!A162="","",'Price History'!A162)</f>
        <v>46297</v>
      </c>
      <c r="B161" s="150">
        <f>IFERROR(IF(OR(NOT(ISNUMBER('Price History'!B162)),NOT(ISNUMBER('Price History'!B161)),'Price History'!B161=0),"",'Price History'!B162/'Price History'!B161-1),"")</f>
        <v>9.4279526054275031E-3</v>
      </c>
      <c r="C161" s="150">
        <f>IFERROR(IF(OR(NOT(ISNUMBER('Price History'!C162)),NOT(ISNUMBER('Price History'!C161)),'Price History'!C161=0),"",'Price History'!C162/'Price History'!C161-1),"")</f>
        <v>3.8731541999514896E-3</v>
      </c>
      <c r="D161" s="150">
        <f>IFERROR(IF(OR(NOT(ISNUMBER('Price History'!D162)),NOT(ISNUMBER('Price History'!D161)),'Price History'!D161=0),"",'Price History'!D162/'Price History'!D161-1),"")</f>
        <v>7.0742112687363079E-2</v>
      </c>
      <c r="E161" s="150">
        <f>IFERROR(IF(OR(NOT(ISNUMBER('Price History'!E162)),NOT(ISNUMBER('Price History'!E161)),'Price History'!E161=0),"",'Price History'!E162/'Price History'!E161-1),"")</f>
        <v>6.6041211983787207E-3</v>
      </c>
      <c r="F161" s="150">
        <f>IFERROR(IF(OR(NOT(ISNUMBER('Price History'!F162)),NOT(ISNUMBER('Price History'!F161)),'Price History'!F161=0),"",'Price History'!F162/'Price History'!F161-1),"")</f>
        <v>7.103478364335869E-2</v>
      </c>
      <c r="G161" s="150">
        <f>IFERROR(IF(OR(NOT(ISNUMBER('Price History'!G162)),NOT(ISNUMBER('Price History'!G161)),'Price History'!G161=0),"",'Price History'!G162/'Price History'!G161-1),"")</f>
        <v>0.10094721157939546</v>
      </c>
      <c r="H161" s="150">
        <f>IFERROR(IF(OR(NOT(ISNUMBER('Price History'!H162)),NOT(ISNUMBER('Price History'!H161)),'Price History'!H161=0),"",'Price History'!H162/'Price History'!H161-1),"")</f>
        <v>-6.828177551095771E-3</v>
      </c>
      <c r="I161" s="150">
        <f>IFERROR(IF(OR(NOT(ISNUMBER('Price History'!I162)),NOT(ISNUMBER('Price History'!I161)),'Price History'!I161=0),"",'Price History'!I162/'Price History'!I161-1),"")</f>
        <v>3.9454391966943669E-2</v>
      </c>
      <c r="J161" s="150">
        <f>IFERROR(IF(OR(NOT(ISNUMBER('Price History'!J162)),NOT(ISNUMBER('Price History'!J161)),'Price History'!J161=0),"",'Price History'!J162/'Price History'!J161-1),"")</f>
        <v>-3.1116121758737458E-2</v>
      </c>
      <c r="K161" s="150">
        <f>IFERROR(IF(OR(NOT(ISNUMBER('Price History'!K162)),NOT(ISNUMBER('Price History'!K161)),'Price History'!K161=0),"",'Price History'!K162/'Price History'!K161-1),"")</f>
        <v>-4.8505298676648767E-3</v>
      </c>
      <c r="L161" s="150">
        <f>IFERROR(IF(OR(NOT(ISNUMBER('Price History'!L162)),NOT(ISNUMBER('Price History'!L161)),'Price History'!L161=0),"",'Price History'!L162/'Price History'!L161-1),"")</f>
        <v>4.9199973369432382E-2</v>
      </c>
      <c r="M161" s="150">
        <f>IFERROR(IF(OR(NOT(ISNUMBER('Price History'!M162)),NOT(ISNUMBER('Price History'!M161)),'Price History'!M161=0),"",'Price History'!M162/'Price History'!M161-1),"")</f>
        <v>-4.3430195830701512E-3</v>
      </c>
      <c r="N161" s="150">
        <f>IFERROR(IF(OR(NOT(ISNUMBER('Price History'!N162)),NOT(ISNUMBER('Price History'!N161)),'Price History'!N161=0),"",'Price History'!N162/'Price History'!N161-1),"")</f>
        <v>-4.0783747315608521E-2</v>
      </c>
      <c r="O161" s="150">
        <f>IFERROR(IF(OR(NOT(ISNUMBER('Price History'!O162)),NOT(ISNUMBER('Price History'!O161)),'Price History'!O161=0),"",'Price History'!O162/'Price History'!O161-1),"")</f>
        <v>-3.1558840627854412E-3</v>
      </c>
      <c r="P161" s="150">
        <f>IFERROR(IF(OR(NOT(ISNUMBER('Price History'!P162)),NOT(ISNUMBER('Price History'!P161)),'Price History'!P161=0),"",'Price History'!P162/'Price History'!P161-1),"")</f>
        <v>-1.0857622956116919E-2</v>
      </c>
      <c r="Q161" s="150">
        <f>IFERROR(IF(OR(NOT(ISNUMBER('Price History'!Q162)),NOT(ISNUMBER('Price History'!Q161)),'Price History'!Q161=0),"",'Price History'!Q162/'Price History'!Q161-1),"")</f>
        <v>-2.2995113538372136E-3</v>
      </c>
      <c r="R161" s="150">
        <f>IFERROR(IF(OR(NOT(ISNUMBER('Price History'!R162)),NOT(ISNUMBER('Price History'!R161)),'Price History'!R161=0),"",'Price History'!R162/'Price History'!R161-1),"")</f>
        <v>6.0985660128562991E-3</v>
      </c>
      <c r="S161" s="150">
        <f>IFERROR(IF(OR(NOT(ISNUMBER('Price History'!S162)),NOT(ISNUMBER('Price History'!S161)),'Price History'!S161=0),"",'Price History'!S162/'Price History'!S161-1),"")</f>
        <v>2.0272037666753118E-3</v>
      </c>
      <c r="T161" s="150">
        <f>IFERROR(IF(OR(NOT(ISNUMBER('Price History'!T162)),NOT(ISNUMBER('Price History'!T161)),'Price History'!T161=0),"",'Price History'!T162/'Price History'!T161-1),"")</f>
        <v>4.2635658914729202E-3</v>
      </c>
      <c r="U161" s="150">
        <f>IFERROR(IF(OR(NOT(ISNUMBER('Price History'!U162)),NOT(ISNUMBER('Price History'!U161)),'Price History'!U161=0),"",'Price History'!U162/'Price History'!U161-1),"")</f>
        <v>-1.4754591990364441E-2</v>
      </c>
      <c r="V161" s="151">
        <f>IFERROR(IF(OR(NOT(ISNUMBER('Price History'!V162)),NOT(ISNUMBER('Price History'!V161)),'Price History'!V161=0),"",'Price History'!V162/'Price History'!V161-1),"")</f>
        <v>-1.8291687081495867E-2</v>
      </c>
      <c r="W161" s="153">
        <f>IFERROR('Price History'!B3+(INDEX('Price History'!B:B,MATCH(9.99E+307,'Returns (Calc)'!$A:$A)+1)-'Price History'!B3)*(ROW()-3)/(MATCH(9.99E+307,'Returns (Calc)'!$A:$A)-3),"")</f>
        <v>244.07264150943394</v>
      </c>
      <c r="X161" s="153">
        <f>IFERROR('Price History'!C3+(INDEX('Price History'!C:C,MATCH(9.99E+307,'Returns (Calc)'!$A:$A)+1)-'Price History'!C3)*(ROW()-3)/(MATCH(9.99E+307,'Returns (Calc)'!$A:$A)-3),"")</f>
        <v>215.66729559748427</v>
      </c>
      <c r="Y161" s="153">
        <f>IFERROR('Price History'!D3+(INDEX('Price History'!D:D,MATCH(9.99E+307,'Returns (Calc)'!$A:$A)+1)-'Price History'!D3)*(ROW()-3)/(MATCH(9.99E+307,'Returns (Calc)'!$A:$A)-3),"")</f>
        <v>1772.8033333333333</v>
      </c>
      <c r="Z161" s="153">
        <f>IFERROR('Price History'!E3+(INDEX('Price History'!E:E,MATCH(9.99E+307,'Returns (Calc)'!$A:$A)+1)-'Price History'!E3)*(ROW()-3)/(MATCH(9.99E+307,'Returns (Calc)'!$A:$A)-3),"")</f>
        <v>359.78188679245284</v>
      </c>
      <c r="AA161" s="153">
        <f>IFERROR('Price History'!F3+(INDEX('Price History'!F:F,MATCH(9.99E+307,'Returns (Calc)'!$A:$A)+1)-'Price History'!F3)*(ROW()-3)/(MATCH(9.99E+307,'Returns (Calc)'!$A:$A)-3),"")</f>
        <v>273.57031446540884</v>
      </c>
      <c r="AB161" s="153">
        <f>IFERROR('Price History'!G3+(INDEX('Price History'!G:G,MATCH(9.99E+307,'Returns (Calc)'!$A:$A)+1)-'Price History'!G3)*(ROW()-3)/(MATCH(9.99E+307,'Returns (Calc)'!$A:$A)-3),"")</f>
        <v>194.61893081761005</v>
      </c>
      <c r="AC161" s="153">
        <f>IFERROR('Price History'!H3+(INDEX('Price History'!H:H,MATCH(9.99E+307,'Returns (Calc)'!$A:$A)+1)-'Price History'!H3)*(ROW()-3)/(MATCH(9.99E+307,'Returns (Calc)'!$A:$A)-3),"")</f>
        <v>1022.9629559748428</v>
      </c>
      <c r="AD161" s="153">
        <f>IFERROR('Price History'!I3+(INDEX('Price History'!I:I,MATCH(9.99E+307,'Returns (Calc)'!$A:$A)+1)-'Price History'!I3)*(ROW()-3)/(MATCH(9.99E+307,'Returns (Calc)'!$A:$A)-3),"")</f>
        <v>228.11327044025157</v>
      </c>
      <c r="AE161" s="153">
        <f>IFERROR('Price History'!J3+(INDEX('Price History'!J:J,MATCH(9.99E+307,'Returns (Calc)'!$A:$A)+1)-'Price History'!J3)*(ROW()-3)/(MATCH(9.99E+307,'Returns (Calc)'!$A:$A)-3),"")</f>
        <v>129.37899371069182</v>
      </c>
      <c r="AF161" s="153">
        <f>IFERROR('Price History'!K3+(INDEX('Price History'!K:K,MATCH(9.99E+307,'Returns (Calc)'!$A:$A)+1)-'Price History'!K3)*(ROW()-3)/(MATCH(9.99E+307,'Returns (Calc)'!$A:$A)-3),"")</f>
        <v>207.83163522012578</v>
      </c>
      <c r="AG161" s="153">
        <f>IFERROR('Price History'!L3+(INDEX('Price History'!L:L,MATCH(9.99E+307,'Returns (Calc)'!$A:$A)+1)-'Price History'!L3)*(ROW()-3)/(MATCH(9.99E+307,'Returns (Calc)'!$A:$A)-3),"")</f>
        <v>450.99830188679249</v>
      </c>
      <c r="AH161" s="153">
        <f>IFERROR('Price History'!M3+(INDEX('Price History'!M:M,MATCH(9.99E+307,'Returns (Calc)'!$A:$A)+1)-'Price History'!M3)*(ROW()-3)/(MATCH(9.99E+307,'Returns (Calc)'!$A:$A)-3),"")</f>
        <v>241.49220125786164</v>
      </c>
      <c r="AI161" s="153">
        <f>IFERROR('Price History'!N3+(INDEX('Price History'!N:N,MATCH(9.99E+307,'Returns (Calc)'!$A:$A)+1)-'Price History'!N3)*(ROW()-3)/(MATCH(9.99E+307,'Returns (Calc)'!$A:$A)-3),"")</f>
        <v>509.06628930817612</v>
      </c>
      <c r="AJ161" s="153">
        <f>IFERROR('Price History'!O3+(INDEX('Price History'!O:O,MATCH(9.99E+307,'Returns (Calc)'!$A:$A)+1)-'Price History'!O3)*(ROW()-3)/(MATCH(9.99E+307,'Returns (Calc)'!$A:$A)-3),"")</f>
        <v>119.36119496855346</v>
      </c>
      <c r="AK161" s="153">
        <f>IFERROR('Price History'!Q3+(INDEX('Price History'!Q:Q,MATCH(9.99E+307,'Returns (Calc)'!$A:$A)+1)-'Price History'!Q3)*(ROW()-3)/(MATCH(9.99E+307,'Returns (Calc)'!$A:$A)-3),"")</f>
        <v>69.52993710691824</v>
      </c>
      <c r="AL161" s="153">
        <f>IFERROR('Price History'!R3+(INDEX('Price History'!R:R,MATCH(9.99E+307,'Returns (Calc)'!$A:$A)+1)-'Price History'!R3)*(ROW()-3)/(MATCH(9.99E+307,'Returns (Calc)'!$A:$A)-3),"")</f>
        <v>60.922641509433966</v>
      </c>
      <c r="AM161" s="153">
        <f>IFERROR('Price History'!S3+(INDEX('Price History'!S:S,MATCH(9.99E+307,'Returns (Calc)'!$A:$A)+1)-'Price History'!S3)*(ROW()-3)/(MATCH(9.99E+307,'Returns (Calc)'!$A:$A)-3),"")</f>
        <v>150.57176100628931</v>
      </c>
      <c r="AN161" s="153">
        <f>IFERROR('Price History'!T3+(INDEX('Price History'!T:T,MATCH(9.99E+307,'Returns (Calc)'!$A:$A)+1)-'Price History'!T3)*(ROW()-3)/(MATCH(9.99E+307,'Returns (Calc)'!$A:$A)-3),"")</f>
        <v>52.666415094339627</v>
      </c>
      <c r="AO161" s="153">
        <f>IFERROR('Price History'!V3+(INDEX('Price History'!V:V,MATCH(9.99E+307,'Returns (Calc)'!$A:$A)+1)-'Price History'!V3)*(ROW()-3)/(MATCH(9.99E+307,'Returns (Calc)'!$A:$A)-3),"")</f>
        <v>384.50773584905659</v>
      </c>
      <c r="AP161" s="151">
        <f>IFERROR(IF(OR(NOT(ISNUMBER('Price History'!W162)),NOT(ISNUMBER('Price History'!W161)),'Price History'!W161=0),"",'Price History'!W162/'Price History'!W161-1),"")</f>
        <v>-7.7371892440385448E-3</v>
      </c>
      <c r="AQ161" s="151">
        <f>IFERROR(IF(OR(NOT(ISNUMBER('Price History'!X162)),NOT(ISNUMBER('Price History'!X161)),'Price History'!X161=0),"",'Price History'!X162/'Price History'!X161-1),"")</f>
        <v>1.36986301369868E-3</v>
      </c>
      <c r="AR161" s="151">
        <f>IFERROR(IF(OR(NOT(ISNUMBER('Price History'!Y162)),NOT(ISNUMBER('Price History'!Y161)),'Price History'!Y161=0),"",'Price History'!Y162/'Price History'!Y161-1),"")</f>
        <v>-5.6717476072314366E-3</v>
      </c>
      <c r="AS161" s="151">
        <f>IFERROR(IF(OR(NOT(ISNUMBER('Price History'!Z162)),NOT(ISNUMBER('Price History'!Z161)),'Price History'!Z161=0),"",'Price History'!Z162/'Price History'!Z161-1),"")</f>
        <v>-5.3593812100644955E-2</v>
      </c>
      <c r="AT161" s="151">
        <f>IFERROR(IF(OR(NOT(ISNUMBER('Price History'!AA162)),NOT(ISNUMBER('Price History'!AA161)),'Price History'!AA161=0),"",'Price History'!AA162/'Price History'!AA161-1),"")</f>
        <v>-5.7484188334504638E-2</v>
      </c>
      <c r="AU161" s="151">
        <f>IFERROR(IF(OR(NOT(ISNUMBER('Price History'!AB162)),NOT(ISNUMBER('Price History'!AB161)),'Price History'!AB161=0),"",'Price History'!AB162/'Price History'!AB161-1),"")</f>
        <v>-2.618640444634468E-2</v>
      </c>
    </row>
    <row r="162" spans="1:47" ht="15" customHeight="1" x14ac:dyDescent="0.2">
      <c r="A162" s="149">
        <f>IF('Price History'!A163="","",'Price History'!A163)</f>
        <v>46304</v>
      </c>
      <c r="B162" s="150">
        <f>IFERROR(IF(OR(NOT(ISNUMBER('Price History'!B163)),NOT(ISNUMBER('Price History'!B162)),'Price History'!B162=0),"",'Price History'!B163/'Price History'!B162-1),"")</f>
        <v>1.9268795489923995E-2</v>
      </c>
      <c r="C162" s="150">
        <f>IFERROR(IF(OR(NOT(ISNUMBER('Price History'!C163)),NOT(ISNUMBER('Price History'!C162)),'Price History'!C162=0),"",'Price History'!C163/'Price History'!C162-1),"")</f>
        <v>4.5285748734024578E-2</v>
      </c>
      <c r="D162" s="150">
        <f>IFERROR(IF(OR(NOT(ISNUMBER('Price History'!D163)),NOT(ISNUMBER('Price History'!D162)),'Price History'!D162=0),"",'Price History'!D163/'Price History'!D162-1),"")</f>
        <v>-4.65750196807172E-2</v>
      </c>
      <c r="E162" s="150">
        <f>IFERROR(IF(OR(NOT(ISNUMBER('Price History'!E163)),NOT(ISNUMBER('Price History'!E162)),'Price History'!E162=0),"",'Price History'!E163/'Price History'!E162-1),"")</f>
        <v>1.8021062116348574E-2</v>
      </c>
      <c r="F162" s="150">
        <f>IFERROR(IF(OR(NOT(ISNUMBER('Price History'!F163)),NOT(ISNUMBER('Price History'!F162)),'Price History'!F162=0),"",'Price History'!F163/'Price History'!F162-1),"")</f>
        <v>1.8515775440675508E-2</v>
      </c>
      <c r="G162" s="150">
        <f>IFERROR(IF(OR(NOT(ISNUMBER('Price History'!G163)),NOT(ISNUMBER('Price History'!G162)),'Price History'!G162=0),"",'Price History'!G163/'Price History'!G162-1),"")</f>
        <v>-5.4715065977089195E-2</v>
      </c>
      <c r="H162" s="150">
        <f>IFERROR(IF(OR(NOT(ISNUMBER('Price History'!H163)),NOT(ISNUMBER('Price History'!H162)),'Price History'!H162=0),"",'Price History'!H163/'Price History'!H162-1),"")</f>
        <v>-4.2692740652531924E-2</v>
      </c>
      <c r="I162" s="150">
        <f>IFERROR(IF(OR(NOT(ISNUMBER('Price History'!I163)),NOT(ISNUMBER('Price History'!I162)),'Price History'!I162=0),"",'Price History'!I163/'Price History'!I162-1),"")</f>
        <v>-1.9961530241504488E-2</v>
      </c>
      <c r="J162" s="150">
        <f>IFERROR(IF(OR(NOT(ISNUMBER('Price History'!J163)),NOT(ISNUMBER('Price History'!J162)),'Price History'!J162=0),"",'Price History'!J163/'Price History'!J162-1),"")</f>
        <v>4.4992630517415311E-3</v>
      </c>
      <c r="K162" s="150">
        <f>IFERROR(IF(OR(NOT(ISNUMBER('Price History'!K163)),NOT(ISNUMBER('Price History'!K162)),'Price History'!K162=0),"",'Price History'!K163/'Price History'!K162-1),"")</f>
        <v>0.10754966887417217</v>
      </c>
      <c r="L162" s="150">
        <f>IFERROR(IF(OR(NOT(ISNUMBER('Price History'!L163)),NOT(ISNUMBER('Price History'!L162)),'Price History'!L162=0),"",'Price History'!L163/'Price History'!L162-1),"")</f>
        <v>-4.1181945090739802E-2</v>
      </c>
      <c r="M162" s="150">
        <f>IFERROR(IF(OR(NOT(ISNUMBER('Price History'!M163)),NOT(ISNUMBER('Price History'!M162)),'Price History'!M162=0),"",'Price History'!M163/'Price History'!M162-1),"")</f>
        <v>-3.7274962328495587E-2</v>
      </c>
      <c r="N162" s="150">
        <f>IFERROR(IF(OR(NOT(ISNUMBER('Price History'!N163)),NOT(ISNUMBER('Price History'!N162)),'Price History'!N162=0),"",'Price History'!N163/'Price History'!N162-1),"")</f>
        <v>1.0599726586491665E-2</v>
      </c>
      <c r="O162" s="150">
        <f>IFERROR(IF(OR(NOT(ISNUMBER('Price History'!O163)),NOT(ISNUMBER('Price History'!O162)),'Price History'!O162=0),"",'Price History'!O163/'Price History'!O162-1),"")</f>
        <v>-3.2491877030742522E-3</v>
      </c>
      <c r="P162" s="150">
        <f>IFERROR(IF(OR(NOT(ISNUMBER('Price History'!P163)),NOT(ISNUMBER('Price History'!P162)),'Price History'!P162=0),"",'Price History'!P163/'Price History'!P162-1),"")</f>
        <v>8.5592943482521999E-3</v>
      </c>
      <c r="Q162" s="150">
        <f>IFERROR(IF(OR(NOT(ISNUMBER('Price History'!Q163)),NOT(ISNUMBER('Price History'!Q162)),'Price History'!Q162=0),"",'Price History'!Q163/'Price History'!Q162-1),"")</f>
        <v>7.9227888216650832E-3</v>
      </c>
      <c r="R162" s="150">
        <f>IFERROR(IF(OR(NOT(ISNUMBER('Price History'!R163)),NOT(ISNUMBER('Price History'!R162)),'Price History'!R162=0),"",'Price History'!R163/'Price History'!R162-1),"")</f>
        <v>8.1913499344699048E-4</v>
      </c>
      <c r="S162" s="150">
        <f>IFERROR(IF(OR(NOT(ISNUMBER('Price History'!S163)),NOT(ISNUMBER('Price History'!S162)),'Price History'!S162=0),"",'Price History'!S163/'Price History'!S162-1),"")</f>
        <v>-1.3509103961365176E-2</v>
      </c>
      <c r="T162" s="150">
        <f>IFERROR(IF(OR(NOT(ISNUMBER('Price History'!T163)),NOT(ISNUMBER('Price History'!T162)),'Price History'!T162=0),"",'Price History'!T163/'Price History'!T162-1),"")</f>
        <v>1.9683519876495525E-2</v>
      </c>
      <c r="U162" s="150">
        <f>IFERROR(IF(OR(NOT(ISNUMBER('Price History'!U163)),NOT(ISNUMBER('Price History'!U162)),'Price History'!U162=0),"",'Price History'!U163/'Price History'!U162-1),"")</f>
        <v>9.7799511002445438E-3</v>
      </c>
      <c r="V162" s="151">
        <f>IFERROR(IF(OR(NOT(ISNUMBER('Price History'!V163)),NOT(ISNUMBER('Price History'!V162)),'Price History'!V162=0),"",'Price History'!V163/'Price History'!V162-1),"")</f>
        <v>6.8735096767038151E-2</v>
      </c>
      <c r="W162" s="153">
        <f>IFERROR('Price History'!B3+(INDEX('Price History'!B:B,MATCH(9.99E+307,'Returns (Calc)'!$A:$A)+1)-'Price History'!B3)*(ROW()-3)/(MATCH(9.99E+307,'Returns (Calc)'!$A:$A)-3),"")</f>
        <v>242.26999999999998</v>
      </c>
      <c r="X162" s="153">
        <f>IFERROR('Price History'!C3+(INDEX('Price History'!C:C,MATCH(9.99E+307,'Returns (Calc)'!$A:$A)+1)-'Price History'!C3)*(ROW()-3)/(MATCH(9.99E+307,'Returns (Calc)'!$A:$A)-3),"")</f>
        <v>216.74</v>
      </c>
      <c r="Y162" s="153">
        <f>IFERROR('Price History'!D3+(INDEX('Price History'!D:D,MATCH(9.99E+307,'Returns (Calc)'!$A:$A)+1)-'Price History'!D3)*(ROW()-3)/(MATCH(9.99E+307,'Returns (Calc)'!$A:$A)-3),"")</f>
        <v>1780.34</v>
      </c>
      <c r="Z162" s="153">
        <f>IFERROR('Price History'!E3+(INDEX('Price History'!E:E,MATCH(9.99E+307,'Returns (Calc)'!$A:$A)+1)-'Price History'!E3)*(ROW()-3)/(MATCH(9.99E+307,'Returns (Calc)'!$A:$A)-3),"")</f>
        <v>361.54</v>
      </c>
      <c r="AA162" s="153">
        <f>IFERROR('Price History'!F3+(INDEX('Price History'!F:F,MATCH(9.99E+307,'Returns (Calc)'!$A:$A)+1)-'Price History'!F3)*(ROW()-3)/(MATCH(9.99E+307,'Returns (Calc)'!$A:$A)-3),"")</f>
        <v>275.04000000000002</v>
      </c>
      <c r="AB162" s="153">
        <f>IFERROR('Price History'!G3+(INDEX('Price History'!G:G,MATCH(9.99E+307,'Returns (Calc)'!$A:$A)+1)-'Price History'!G3)*(ROW()-3)/(MATCH(9.99E+307,'Returns (Calc)'!$A:$A)-3),"")</f>
        <v>195.57</v>
      </c>
      <c r="AC162" s="153">
        <f>IFERROR('Price History'!H3+(INDEX('Price History'!H:H,MATCH(9.99E+307,'Returns (Calc)'!$A:$A)+1)-'Price History'!H3)*(ROW()-3)/(MATCH(9.99E+307,'Returns (Calc)'!$A:$A)-3),"")</f>
        <v>1029</v>
      </c>
      <c r="AD162" s="153">
        <f>IFERROR('Price History'!I3+(INDEX('Price History'!I:I,MATCH(9.99E+307,'Returns (Calc)'!$A:$A)+1)-'Price History'!I3)*(ROW()-3)/(MATCH(9.99E+307,'Returns (Calc)'!$A:$A)-3),"")</f>
        <v>229.28</v>
      </c>
      <c r="AE162" s="153">
        <f>IFERROR('Price History'!J3+(INDEX('Price History'!J:J,MATCH(9.99E+307,'Returns (Calc)'!$A:$A)+1)-'Price History'!J3)*(ROW()-3)/(MATCH(9.99E+307,'Returns (Calc)'!$A:$A)-3),"")</f>
        <v>129.49</v>
      </c>
      <c r="AF162" s="153">
        <f>IFERROR('Price History'!K3+(INDEX('Price History'!K:K,MATCH(9.99E+307,'Returns (Calc)'!$A:$A)+1)-'Price History'!K3)*(ROW()-3)/(MATCH(9.99E+307,'Returns (Calc)'!$A:$A)-3),"")</f>
        <v>209.05</v>
      </c>
      <c r="AG162" s="153">
        <f>IFERROR('Price History'!L3+(INDEX('Price History'!L:L,MATCH(9.99E+307,'Returns (Calc)'!$A:$A)+1)-'Price History'!L3)*(ROW()-3)/(MATCH(9.99E+307,'Returns (Calc)'!$A:$A)-3),"")</f>
        <v>453.31</v>
      </c>
      <c r="AH162" s="153">
        <f>IFERROR('Price History'!M3+(INDEX('Price History'!M:M,MATCH(9.99E+307,'Returns (Calc)'!$A:$A)+1)-'Price History'!M3)*(ROW()-3)/(MATCH(9.99E+307,'Returns (Calc)'!$A:$A)-3),"")</f>
        <v>242.78</v>
      </c>
      <c r="AI162" s="153">
        <f>IFERROR('Price History'!N3+(INDEX('Price History'!N:N,MATCH(9.99E+307,'Returns (Calc)'!$A:$A)+1)-'Price History'!N3)*(ROW()-3)/(MATCH(9.99E+307,'Returns (Calc)'!$A:$A)-3),"")</f>
        <v>510.08</v>
      </c>
      <c r="AJ162" s="153">
        <f>IFERROR('Price History'!O3+(INDEX('Price History'!O:O,MATCH(9.99E+307,'Returns (Calc)'!$A:$A)+1)-'Price History'!O3)*(ROW()-3)/(MATCH(9.99E+307,'Returns (Calc)'!$A:$A)-3),"")</f>
        <v>119.64</v>
      </c>
      <c r="AK162" s="153">
        <f>IFERROR('Price History'!Q3+(INDEX('Price History'!Q:Q,MATCH(9.99E+307,'Returns (Calc)'!$A:$A)+1)-'Price History'!Q3)*(ROW()-3)/(MATCH(9.99E+307,'Returns (Calc)'!$A:$A)-3),"")</f>
        <v>69.97</v>
      </c>
      <c r="AL162" s="153">
        <f>IFERROR('Price History'!R3+(INDEX('Price History'!R:R,MATCH(9.99E+307,'Returns (Calc)'!$A:$A)+1)-'Price History'!R3)*(ROW()-3)/(MATCH(9.99E+307,'Returns (Calc)'!$A:$A)-3),"")</f>
        <v>61.09</v>
      </c>
      <c r="AM162" s="153">
        <f>IFERROR('Price History'!S3+(INDEX('Price History'!S:S,MATCH(9.99E+307,'Returns (Calc)'!$A:$A)+1)-'Price History'!S3)*(ROW()-3)/(MATCH(9.99E+307,'Returns (Calc)'!$A:$A)-3),"")</f>
        <v>151.16</v>
      </c>
      <c r="AN162" s="153">
        <f>IFERROR('Price History'!T3+(INDEX('Price History'!T:T,MATCH(9.99E+307,'Returns (Calc)'!$A:$A)+1)-'Price History'!T3)*(ROW()-3)/(MATCH(9.99E+307,'Returns (Calc)'!$A:$A)-3),"")</f>
        <v>52.84</v>
      </c>
      <c r="AO162" s="153">
        <f>IFERROR('Price History'!V3+(INDEX('Price History'!V:V,MATCH(9.99E+307,'Returns (Calc)'!$A:$A)+1)-'Price History'!V3)*(ROW()-3)/(MATCH(9.99E+307,'Returns (Calc)'!$A:$A)-3),"")</f>
        <v>385.45</v>
      </c>
      <c r="AP162" s="151">
        <f>IFERROR(IF(OR(NOT(ISNUMBER('Price History'!W163)),NOT(ISNUMBER('Price History'!W162)),'Price History'!W162=0),"",'Price History'!W163/'Price History'!W162-1),"")</f>
        <v>1.4636328774127572E-2</v>
      </c>
      <c r="AQ162" s="151">
        <f>IFERROR(IF(OR(NOT(ISNUMBER('Price History'!X163)),NOT(ISNUMBER('Price History'!X162)),'Price History'!X162=0),"",'Price History'!X163/'Price History'!X162-1),"")</f>
        <v>1.7783857729138042E-2</v>
      </c>
      <c r="AR162" s="151">
        <f>IFERROR(IF(OR(NOT(ISNUMBER('Price History'!Y163)),NOT(ISNUMBER('Price History'!Y162)),'Price History'!Y162=0),"",'Price History'!Y163/'Price History'!Y162-1),"")</f>
        <v>1.1942959001782549E-2</v>
      </c>
      <c r="AS162" s="151">
        <f>IFERROR(IF(OR(NOT(ISNUMBER('Price History'!Z163)),NOT(ISNUMBER('Price History'!Z162)),'Price History'!Z162=0),"",'Price History'!Z163/'Price History'!Z162-1),"")</f>
        <v>-4.3933324718956612E-3</v>
      </c>
      <c r="AT162" s="151">
        <f>IFERROR(IF(OR(NOT(ISNUMBER('Price History'!AA163)),NOT(ISNUMBER('Price History'!AA162)),'Price History'!AA162=0),"",'Price History'!AA163/'Price History'!AA162-1),"")</f>
        <v>4.8314941843125458E-2</v>
      </c>
      <c r="AU162" s="151">
        <f>IFERROR(IF(OR(NOT(ISNUMBER('Price History'!AB163)),NOT(ISNUMBER('Price History'!AB162)),'Price History'!AB162=0),"",'Price History'!AB163/'Price History'!AB162-1),"")</f>
        <v>8.3415651410383207E-2</v>
      </c>
    </row>
    <row r="163" spans="1:47" ht="15" customHeight="1" x14ac:dyDescent="0.2">
      <c r="A163" s="149" t="str">
        <f>IF('Price History'!A164="","",'Price History'!A164)</f>
        <v/>
      </c>
      <c r="B163" s="150" t="str">
        <f>IFERROR(IF(OR(NOT(ISNUMBER('Price History'!B164)),NOT(ISNUMBER('Price History'!B163)),'Price History'!B163=0),"",'Price History'!B164/'Price History'!B163-1),"")</f>
        <v/>
      </c>
      <c r="C163" s="150" t="str">
        <f>IFERROR(IF(OR(NOT(ISNUMBER('Price History'!C164)),NOT(ISNUMBER('Price History'!C163)),'Price History'!C163=0),"",'Price History'!C164/'Price History'!C163-1),"")</f>
        <v/>
      </c>
      <c r="D163" s="150" t="str">
        <f>IFERROR(IF(OR(NOT(ISNUMBER('Price History'!D164)),NOT(ISNUMBER('Price History'!D163)),'Price History'!D163=0),"",'Price History'!D164/'Price History'!D163-1),"")</f>
        <v/>
      </c>
      <c r="E163" s="150" t="str">
        <f>IFERROR(IF(OR(NOT(ISNUMBER('Price History'!E164)),NOT(ISNUMBER('Price History'!E163)),'Price History'!E163=0),"",'Price History'!E164/'Price History'!E163-1),"")</f>
        <v/>
      </c>
      <c r="F163" s="150" t="str">
        <f>IFERROR(IF(OR(NOT(ISNUMBER('Price History'!F164)),NOT(ISNUMBER('Price History'!F163)),'Price History'!F163=0),"",'Price History'!F164/'Price History'!F163-1),"")</f>
        <v/>
      </c>
      <c r="G163" s="150" t="str">
        <f>IFERROR(IF(OR(NOT(ISNUMBER('Price History'!G164)),NOT(ISNUMBER('Price History'!G163)),'Price History'!G163=0),"",'Price History'!G164/'Price History'!G163-1),"")</f>
        <v/>
      </c>
      <c r="H163" s="150" t="str">
        <f>IFERROR(IF(OR(NOT(ISNUMBER('Price History'!H164)),NOT(ISNUMBER('Price History'!H163)),'Price History'!H163=0),"",'Price History'!H164/'Price History'!H163-1),"")</f>
        <v/>
      </c>
      <c r="I163" s="150" t="str">
        <f>IFERROR(IF(OR(NOT(ISNUMBER('Price History'!I164)),NOT(ISNUMBER('Price History'!I163)),'Price History'!I163=0),"",'Price History'!I164/'Price History'!I163-1),"")</f>
        <v/>
      </c>
      <c r="J163" s="150" t="str">
        <f>IFERROR(IF(OR(NOT(ISNUMBER('Price History'!J164)),NOT(ISNUMBER('Price History'!J163)),'Price History'!J163=0),"",'Price History'!J164/'Price History'!J163-1),"")</f>
        <v/>
      </c>
      <c r="K163" s="150" t="str">
        <f>IFERROR(IF(OR(NOT(ISNUMBER('Price History'!K164)),NOT(ISNUMBER('Price History'!K163)),'Price History'!K163=0),"",'Price History'!K164/'Price History'!K163-1),"")</f>
        <v/>
      </c>
      <c r="L163" s="150" t="str">
        <f>IFERROR(IF(OR(NOT(ISNUMBER('Price History'!L164)),NOT(ISNUMBER('Price History'!L163)),'Price History'!L163=0),"",'Price History'!L164/'Price History'!L163-1),"")</f>
        <v/>
      </c>
      <c r="M163" s="150" t="str">
        <f>IFERROR(IF(OR(NOT(ISNUMBER('Price History'!M164)),NOT(ISNUMBER('Price History'!M163)),'Price History'!M163=0),"",'Price History'!M164/'Price History'!M163-1),"")</f>
        <v/>
      </c>
      <c r="N163" s="150" t="str">
        <f>IFERROR(IF(OR(NOT(ISNUMBER('Price History'!N164)),NOT(ISNUMBER('Price History'!N163)),'Price History'!N163=0),"",'Price History'!N164/'Price History'!N163-1),"")</f>
        <v/>
      </c>
      <c r="O163" s="150" t="str">
        <f>IFERROR(IF(OR(NOT(ISNUMBER('Price History'!O164)),NOT(ISNUMBER('Price History'!O163)),'Price History'!O163=0),"",'Price History'!O164/'Price History'!O163-1),"")</f>
        <v/>
      </c>
      <c r="P163" s="150" t="str">
        <f>IFERROR(IF(OR(NOT(ISNUMBER('Price History'!P164)),NOT(ISNUMBER('Price History'!P163)),'Price History'!P163=0),"",'Price History'!P164/'Price History'!P163-1),"")</f>
        <v/>
      </c>
      <c r="Q163" s="150" t="str">
        <f>IFERROR(IF(OR(NOT(ISNUMBER('Price History'!Q164)),NOT(ISNUMBER('Price History'!Q163)),'Price History'!Q163=0),"",'Price History'!Q164/'Price History'!Q163-1),"")</f>
        <v/>
      </c>
      <c r="R163" s="150" t="str">
        <f>IFERROR(IF(OR(NOT(ISNUMBER('Price History'!R164)),NOT(ISNUMBER('Price History'!R163)),'Price History'!R163=0),"",'Price History'!R164/'Price History'!R163-1),"")</f>
        <v/>
      </c>
      <c r="S163" s="150" t="str">
        <f>IFERROR(IF(OR(NOT(ISNUMBER('Price History'!S164)),NOT(ISNUMBER('Price History'!S163)),'Price History'!S163=0),"",'Price History'!S164/'Price History'!S163-1),"")</f>
        <v/>
      </c>
      <c r="T163" s="150" t="str">
        <f>IFERROR(IF(OR(NOT(ISNUMBER('Price History'!T164)),NOT(ISNUMBER('Price History'!T163)),'Price History'!T163=0),"",'Price History'!T164/'Price History'!T163-1),"")</f>
        <v/>
      </c>
      <c r="U163" s="150" t="str">
        <f>IFERROR(IF(OR(NOT(ISNUMBER('Price History'!U164)),NOT(ISNUMBER('Price History'!U163)),'Price History'!U163=0),"",'Price History'!U164/'Price History'!U163-1),"")</f>
        <v/>
      </c>
      <c r="V163" s="151" t="str">
        <f>IFERROR(IF(OR(NOT(ISNUMBER('Price History'!V164)),NOT(ISNUMBER('Price History'!V163)),'Price History'!V163=0),"",'Price History'!V164/'Price History'!V163-1),"")</f>
        <v/>
      </c>
      <c r="W163" s="153">
        <f>IFERROR('Price History'!B3+(INDEX('Price History'!B:B,MATCH(9.99E+307,'Returns (Calc)'!$A:$A)+1)-'Price History'!B3)*(ROW()-3)/(MATCH(9.99E+307,'Returns (Calc)'!$A:$A)-3),"")</f>
        <v>240.46735849056603</v>
      </c>
      <c r="X163" s="153">
        <f>IFERROR('Price History'!C3+(INDEX('Price History'!C:C,MATCH(9.99E+307,'Returns (Calc)'!$A:$A)+1)-'Price History'!C3)*(ROW()-3)/(MATCH(9.99E+307,'Returns (Calc)'!$A:$A)-3),"")</f>
        <v>217.81270440251572</v>
      </c>
      <c r="Y163" s="153">
        <f>IFERROR('Price History'!D3+(INDEX('Price History'!D:D,MATCH(9.99E+307,'Returns (Calc)'!$A:$A)+1)-'Price History'!D3)*(ROW()-3)/(MATCH(9.99E+307,'Returns (Calc)'!$A:$A)-3),"")</f>
        <v>1787.8766666666666</v>
      </c>
      <c r="Z163" s="153">
        <f>IFERROR('Price History'!E3+(INDEX('Price History'!E:E,MATCH(9.99E+307,'Returns (Calc)'!$A:$A)+1)-'Price History'!E3)*(ROW()-3)/(MATCH(9.99E+307,'Returns (Calc)'!$A:$A)-3),"")</f>
        <v>363.2981132075472</v>
      </c>
      <c r="AA163" s="153">
        <f>IFERROR('Price History'!F3+(INDEX('Price History'!F:F,MATCH(9.99E+307,'Returns (Calc)'!$A:$A)+1)-'Price History'!F3)*(ROW()-3)/(MATCH(9.99E+307,'Returns (Calc)'!$A:$A)-3),"")</f>
        <v>276.5096855345912</v>
      </c>
      <c r="AB163" s="153">
        <f>IFERROR('Price History'!G3+(INDEX('Price History'!G:G,MATCH(9.99E+307,'Returns (Calc)'!$A:$A)+1)-'Price History'!G3)*(ROW()-3)/(MATCH(9.99E+307,'Returns (Calc)'!$A:$A)-3),"")</f>
        <v>196.52106918238994</v>
      </c>
      <c r="AC163" s="153">
        <f>IFERROR('Price History'!H3+(INDEX('Price History'!H:H,MATCH(9.99E+307,'Returns (Calc)'!$A:$A)+1)-'Price History'!H3)*(ROW()-3)/(MATCH(9.99E+307,'Returns (Calc)'!$A:$A)-3),"")</f>
        <v>1035.0370440251572</v>
      </c>
      <c r="AD163" s="153">
        <f>IFERROR('Price History'!I3+(INDEX('Price History'!I:I,MATCH(9.99E+307,'Returns (Calc)'!$A:$A)+1)-'Price History'!I3)*(ROW()-3)/(MATCH(9.99E+307,'Returns (Calc)'!$A:$A)-3),"")</f>
        <v>230.44672955974843</v>
      </c>
      <c r="AE163" s="153">
        <f>IFERROR('Price History'!J3+(INDEX('Price History'!J:J,MATCH(9.99E+307,'Returns (Calc)'!$A:$A)+1)-'Price History'!J3)*(ROW()-3)/(MATCH(9.99E+307,'Returns (Calc)'!$A:$A)-3),"")</f>
        <v>129.60100628930817</v>
      </c>
      <c r="AF163" s="153">
        <f>IFERROR('Price History'!K3+(INDEX('Price History'!K:K,MATCH(9.99E+307,'Returns (Calc)'!$A:$A)+1)-'Price History'!K3)*(ROW()-3)/(MATCH(9.99E+307,'Returns (Calc)'!$A:$A)-3),"")</f>
        <v>210.26836477987422</v>
      </c>
      <c r="AG163" s="153">
        <f>IFERROR('Price History'!L3+(INDEX('Price History'!L:L,MATCH(9.99E+307,'Returns (Calc)'!$A:$A)+1)-'Price History'!L3)*(ROW()-3)/(MATCH(9.99E+307,'Returns (Calc)'!$A:$A)-3),"")</f>
        <v>455.62169811320751</v>
      </c>
      <c r="AH163" s="153">
        <f>IFERROR('Price History'!M3+(INDEX('Price History'!M:M,MATCH(9.99E+307,'Returns (Calc)'!$A:$A)+1)-'Price History'!M3)*(ROW()-3)/(MATCH(9.99E+307,'Returns (Calc)'!$A:$A)-3),"")</f>
        <v>244.06779874213836</v>
      </c>
      <c r="AI163" s="153">
        <f>IFERROR('Price History'!N3+(INDEX('Price History'!N:N,MATCH(9.99E+307,'Returns (Calc)'!$A:$A)+1)-'Price History'!N3)*(ROW()-3)/(MATCH(9.99E+307,'Returns (Calc)'!$A:$A)-3),"")</f>
        <v>511.0937106918239</v>
      </c>
      <c r="AJ163" s="153">
        <f>IFERROR('Price History'!O3+(INDEX('Price History'!O:O,MATCH(9.99E+307,'Returns (Calc)'!$A:$A)+1)-'Price History'!O3)*(ROW()-3)/(MATCH(9.99E+307,'Returns (Calc)'!$A:$A)-3),"")</f>
        <v>119.91880503144654</v>
      </c>
      <c r="AK163" s="153">
        <f>IFERROR('Price History'!Q3+(INDEX('Price History'!Q:Q,MATCH(9.99E+307,'Returns (Calc)'!$A:$A)+1)-'Price History'!Q3)*(ROW()-3)/(MATCH(9.99E+307,'Returns (Calc)'!$A:$A)-3),"")</f>
        <v>70.410062893081772</v>
      </c>
      <c r="AL163" s="153">
        <f>IFERROR('Price History'!R3+(INDEX('Price History'!R:R,MATCH(9.99E+307,'Returns (Calc)'!$A:$A)+1)-'Price History'!R3)*(ROW()-3)/(MATCH(9.99E+307,'Returns (Calc)'!$A:$A)-3),"")</f>
        <v>61.257358490566041</v>
      </c>
      <c r="AM163" s="153">
        <f>IFERROR('Price History'!S3+(INDEX('Price History'!S:S,MATCH(9.99E+307,'Returns (Calc)'!$A:$A)+1)-'Price History'!S3)*(ROW()-3)/(MATCH(9.99E+307,'Returns (Calc)'!$A:$A)-3),"")</f>
        <v>151.74823899371069</v>
      </c>
      <c r="AN163" s="153">
        <f>IFERROR('Price History'!T3+(INDEX('Price History'!T:T,MATCH(9.99E+307,'Returns (Calc)'!$A:$A)+1)-'Price History'!T3)*(ROW()-3)/(MATCH(9.99E+307,'Returns (Calc)'!$A:$A)-3),"")</f>
        <v>53.01358490566038</v>
      </c>
      <c r="AO163" s="153">
        <f>IFERROR('Price History'!V3+(INDEX('Price History'!V:V,MATCH(9.99E+307,'Returns (Calc)'!$A:$A)+1)-'Price History'!V3)*(ROW()-3)/(MATCH(9.99E+307,'Returns (Calc)'!$A:$A)-3),"")</f>
        <v>386.39226415094333</v>
      </c>
      <c r="AP163" s="151" t="str">
        <f>IFERROR(IF(OR(NOT(ISNUMBER('Price History'!W164)),NOT(ISNUMBER('Price History'!W163)),'Price History'!W163=0),"",'Price History'!W164/'Price History'!W163-1),"")</f>
        <v/>
      </c>
      <c r="AQ163" s="151" t="str">
        <f>IFERROR(IF(OR(NOT(ISNUMBER('Price History'!X164)),NOT(ISNUMBER('Price History'!X163)),'Price History'!X163=0),"",'Price History'!X164/'Price History'!X163-1),"")</f>
        <v/>
      </c>
      <c r="AR163" s="151" t="str">
        <f>IFERROR(IF(OR(NOT(ISNUMBER('Price History'!Y164)),NOT(ISNUMBER('Price History'!Y163)),'Price History'!Y163=0),"",'Price History'!Y164/'Price History'!Y163-1),"")</f>
        <v/>
      </c>
      <c r="AS163" s="151" t="str">
        <f>IFERROR(IF(OR(NOT(ISNUMBER('Price History'!Z164)),NOT(ISNUMBER('Price History'!Z163)),'Price History'!Z163=0),"",'Price History'!Z164/'Price History'!Z163-1),"")</f>
        <v/>
      </c>
      <c r="AT163" s="151" t="str">
        <f>IFERROR(IF(OR(NOT(ISNUMBER('Price History'!AA164)),NOT(ISNUMBER('Price History'!AA163)),'Price History'!AA163=0),"",'Price History'!AA164/'Price History'!AA163-1),"")</f>
        <v/>
      </c>
      <c r="AU163" s="151" t="str">
        <f>IFERROR(IF(OR(NOT(ISNUMBER('Price History'!AB164)),NOT(ISNUMBER('Price History'!AB163)),'Price History'!AB163=0),"",'Price History'!AB164/'Price History'!AB163-1),"")</f>
        <v/>
      </c>
    </row>
  </sheetData>
  <mergeCells count="1">
    <mergeCell ref="A1:U1"/>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32"/>
  <sheetViews>
    <sheetView showGridLines="0" zoomScaleNormal="100" workbookViewId="0">
      <pane xSplit="1" ySplit="5" topLeftCell="B17" activePane="bottomRight" state="frozen"/>
      <selection pane="topRight" activeCell="B1" sqref="B1"/>
      <selection pane="bottomLeft" activeCell="A17" sqref="A17"/>
      <selection pane="bottomRight" activeCell="S33" sqref="S33"/>
    </sheetView>
  </sheetViews>
  <sheetFormatPr baseColWidth="10" defaultColWidth="8.6640625" defaultRowHeight="15" x14ac:dyDescent="0.2"/>
  <cols>
    <col min="1" max="1" width="10" customWidth="1"/>
    <col min="2" max="2" width="6.83203125" style="27" customWidth="1"/>
    <col min="3" max="21" width="8.6640625" style="27"/>
    <col min="22" max="22" width="9" style="27" customWidth="1"/>
  </cols>
  <sheetData>
    <row r="1" spans="1:33" ht="15" customHeight="1" x14ac:dyDescent="0.2">
      <c r="A1" s="239" t="s">
        <v>471</v>
      </c>
      <c r="B1" s="239"/>
      <c r="C1" s="239"/>
      <c r="D1" s="239"/>
      <c r="E1" s="239"/>
      <c r="F1" s="239"/>
      <c r="G1" s="239"/>
      <c r="H1" s="239"/>
      <c r="I1" s="239"/>
      <c r="J1" s="239"/>
      <c r="K1" s="239"/>
      <c r="L1" s="239"/>
      <c r="M1" s="239"/>
      <c r="N1" s="239"/>
      <c r="O1" s="239"/>
      <c r="P1" s="239"/>
      <c r="Q1" s="239"/>
      <c r="R1" s="239"/>
      <c r="S1" s="239"/>
      <c r="T1" s="239"/>
      <c r="U1" s="239"/>
      <c r="V1" s="239"/>
      <c r="W1" s="239"/>
      <c r="X1" s="239"/>
      <c r="Y1" s="239"/>
      <c r="Z1" s="239"/>
      <c r="AA1" s="239"/>
      <c r="AB1" s="239"/>
      <c r="AC1" s="239"/>
      <c r="AD1" s="239"/>
      <c r="AE1" s="239"/>
      <c r="AF1" s="239"/>
      <c r="AG1" s="239"/>
    </row>
    <row r="2" spans="1:33" ht="15" customHeight="1" x14ac:dyDescent="0.2">
      <c r="A2" s="154" t="s">
        <v>472</v>
      </c>
      <c r="J2" s="155">
        <f>COUNTIF(AG6:AG32,"&gt;1")</f>
        <v>11</v>
      </c>
    </row>
    <row r="3" spans="1:33" ht="15" customHeight="1" x14ac:dyDescent="0.2">
      <c r="A3" s="154" t="s">
        <v>473</v>
      </c>
      <c r="J3" s="155" t="str">
        <f>IF(J2&gt;0,"REVIEW REQUIRED","OK")</f>
        <v>REVIEW REQUIRED</v>
      </c>
    </row>
    <row r="5" spans="1:33" ht="27.75" customHeight="1" x14ac:dyDescent="0.2">
      <c r="A5" s="156" t="s">
        <v>82</v>
      </c>
      <c r="B5" s="156" t="str">
        <f>'Returns (Calc)'!B2</f>
        <v>ADBE</v>
      </c>
      <c r="C5" s="156" t="str">
        <f>'Returns (Calc)'!C2</f>
        <v>ANET</v>
      </c>
      <c r="D5" s="156" t="str">
        <f>'Returns (Calc)'!D2</f>
        <v>ASML</v>
      </c>
      <c r="E5" s="156" t="str">
        <f>'Returns (Calc)'!E2</f>
        <v>AVGO</v>
      </c>
      <c r="F5" s="156" t="str">
        <f>'Returns (Calc)'!F2</f>
        <v>CRWD</v>
      </c>
      <c r="G5" s="156" t="str">
        <f>'Returns (Calc)'!G2</f>
        <v>KLAC</v>
      </c>
      <c r="H5" s="156" t="str">
        <f>'Returns (Calc)'!H2</f>
        <v>MU</v>
      </c>
      <c r="I5" s="156" t="str">
        <f>'Returns (Calc)'!I2</f>
        <v>NVDA</v>
      </c>
      <c r="J5" s="156" t="str">
        <f>'Returns (Calc)'!J2</f>
        <v>PLD</v>
      </c>
      <c r="K5" s="156" t="str">
        <f>'Returns (Calc)'!K2</f>
        <v>PLTR</v>
      </c>
      <c r="L5" s="156" t="str">
        <f>'Returns (Calc)'!L2</f>
        <v>TSM</v>
      </c>
      <c r="M5" s="156" t="str">
        <f>'Returns (Calc)'!M2</f>
        <v>VRT</v>
      </c>
      <c r="N5" s="156" t="str">
        <f>'Returns (Calc)'!N2</f>
        <v>VRTX</v>
      </c>
      <c r="O5" s="156" t="str">
        <f>'Returns (Calc)'!O2</f>
        <v>AVUV</v>
      </c>
      <c r="P5" s="156" t="str">
        <f>'Returns (Calc)'!P2</f>
        <v>DVY</v>
      </c>
      <c r="Q5" s="156" t="str">
        <f>'Returns (Calc)'!Q2</f>
        <v>HELO</v>
      </c>
      <c r="R5" s="156" t="str">
        <f>'Returns (Calc)'!R2</f>
        <v>JEPQ</v>
      </c>
      <c r="S5" s="156" t="str">
        <f>'Returns (Calc)'!S2</f>
        <v>SPMO</v>
      </c>
      <c r="T5" s="156" t="str">
        <f>'Returns (Calc)'!T2</f>
        <v>VFLO</v>
      </c>
      <c r="U5" s="156" t="str">
        <f>'Returns (Calc)'!U2</f>
        <v>SCHD</v>
      </c>
      <c r="V5" s="156" t="str">
        <f>'Returns (Calc)'!V2</f>
        <v>V</v>
      </c>
      <c r="W5" s="156" t="str">
        <f>'Returns (Calc)'!AP2</f>
        <v>VYM</v>
      </c>
      <c r="X5" s="156" t="str">
        <f>'Returns (Calc)'!AQ2</f>
        <v>MLPI</v>
      </c>
      <c r="Y5" s="156" t="str">
        <f>'Returns (Calc)'!AR2</f>
        <v>JEPI</v>
      </c>
      <c r="Z5" s="156" t="str">
        <f>'Returns (Calc)'!AS2</f>
        <v>GE</v>
      </c>
      <c r="AA5" s="156" t="str">
        <f>'Returns (Calc)'!AT2</f>
        <v>NFLX</v>
      </c>
      <c r="AB5" s="156" t="str">
        <f>'Returns (Calc)'!AU2</f>
        <v>VEEV</v>
      </c>
      <c r="AC5" s="157"/>
      <c r="AD5" s="157"/>
      <c r="AE5" s="157"/>
      <c r="AF5" s="157"/>
      <c r="AG5" s="156" t="s">
        <v>474</v>
      </c>
    </row>
    <row r="6" spans="1:33" ht="15" customHeight="1" x14ac:dyDescent="0.2">
      <c r="A6" s="158" t="str">
        <f>'Returns (Calc)'!B2</f>
        <v>ADBE</v>
      </c>
      <c r="B6" s="159">
        <v>1</v>
      </c>
      <c r="C6" s="159">
        <f>IFERROR(ROUND(CORREL('Returns (Calc)'!$B$3:$B$500,'Returns (Calc)'!$C$3:$C$500),2),"")</f>
        <v>0.2</v>
      </c>
      <c r="D6" s="159">
        <f>IFERROR(ROUND(CORREL('Returns (Calc)'!$B$3:$B$500,'Returns (Calc)'!$D$3:$D$500),2),"")</f>
        <v>0.01</v>
      </c>
      <c r="E6" s="159">
        <f>IFERROR(ROUND(CORREL('Returns (Calc)'!$B$3:$B$500,'Returns (Calc)'!$E$3:$E$500),2),"")</f>
        <v>0.17</v>
      </c>
      <c r="F6" s="159">
        <f>IFERROR(ROUND(CORREL('Returns (Calc)'!$B$3:$B$500,'Returns (Calc)'!$F$3:$F$500),2),"")</f>
        <v>0.4</v>
      </c>
      <c r="G6" s="159">
        <f>IFERROR(ROUND(CORREL('Returns (Calc)'!$B$3:$B$500,'Returns (Calc)'!$G$3:$G$500),2),"")</f>
        <v>-0.06</v>
      </c>
      <c r="H6" s="159">
        <f>IFERROR(ROUND(CORREL('Returns (Calc)'!$B$3:$B$500,'Returns (Calc)'!$H$3:$H$500),2),"")</f>
        <v>0.04</v>
      </c>
      <c r="I6" s="159">
        <f>IFERROR(ROUND(CORREL('Returns (Calc)'!$B$3:$B$500,'Returns (Calc)'!$I$3:$I$500),2),"")</f>
        <v>0.21</v>
      </c>
      <c r="J6" s="159">
        <f>IFERROR(ROUND(CORREL('Returns (Calc)'!$B$3:$B$500,'Returns (Calc)'!$J$3:$J$500),2),"")</f>
        <v>0.18</v>
      </c>
      <c r="K6" s="159">
        <f>IFERROR(ROUND(CORREL('Returns (Calc)'!$B$3:$B$500,'Returns (Calc)'!$K$3:$K$500),2),"")</f>
        <v>0.38</v>
      </c>
      <c r="L6" s="159">
        <f>IFERROR(ROUND(CORREL('Returns (Calc)'!$B$3:$B$500,'Returns (Calc)'!$L$3:$L$500),2),"")</f>
        <v>0.15</v>
      </c>
      <c r="M6" s="159">
        <f>IFERROR(ROUND(CORREL('Returns (Calc)'!$B$3:$B$500,'Returns (Calc)'!$M$3:$M$500),2),"")</f>
        <v>0.05</v>
      </c>
      <c r="N6" s="159">
        <f>IFERROR(ROUND(CORREL('Returns (Calc)'!$B$3:$B$500,'Returns (Calc)'!$N$3:$N$500),2),"")</f>
        <v>0.14000000000000001</v>
      </c>
      <c r="O6" s="159">
        <f>IFERROR(ROUND(CORREL('Returns (Calc)'!$B$3:$B$500,'Returns (Calc)'!$O$3:$O$500),2),"")</f>
        <v>0.16</v>
      </c>
      <c r="P6" s="159">
        <f>IFERROR(ROUND(CORREL('Returns (Calc)'!$B$3:$B$500,'Returns (Calc)'!$P$3:$P$500),2),"")</f>
        <v>0.14000000000000001</v>
      </c>
      <c r="Q6" s="159">
        <f>IFERROR(ROUND(CORREL('Returns (Calc)'!$B$3:$B$500,'Returns (Calc)'!$Q$3:$Q$500),2),"")</f>
        <v>0.44</v>
      </c>
      <c r="R6" s="159">
        <f>IFERROR(ROUND(CORREL('Returns (Calc)'!$B$3:$B$500,'Returns (Calc)'!$R$3:$R$500),2),"")</f>
        <v>0.34</v>
      </c>
      <c r="S6" s="159">
        <f>IFERROR(ROUND(CORREL('Returns (Calc)'!$B$3:$B$500,'Returns (Calc)'!$S$3:$S$500),2),"")</f>
        <v>0.23</v>
      </c>
      <c r="T6" s="159">
        <f>IFERROR(ROUND(CORREL('Returns (Calc)'!$B$3:$B$500,'Returns (Calc)'!$T$3:$T$500),2),"")</f>
        <v>0.42</v>
      </c>
      <c r="U6" s="159">
        <f>IFERROR(ROUND(CORREL('Returns (Calc)'!$B$3:$B$500,'Returns (Calc)'!$U$3:$U$500),2),"")</f>
        <v>0.22</v>
      </c>
      <c r="V6" s="159">
        <f>IFERROR(ROUND(CORREL('Returns (Calc)'!$B$3:$B$500,'Returns (Calc)'!$V$3:$V$500),2),"")</f>
        <v>0.4</v>
      </c>
      <c r="W6" s="159">
        <f>IFERROR(ROUND(CORREL('Returns (Calc)'!$B$3:$B$500,'Returns (Calc)'!$AP$3:$AP$500),2),"")</f>
        <v>0.22</v>
      </c>
      <c r="X6" s="159">
        <f>IFERROR(ROUND(CORREL('Returns (Calc)'!$B$3:$B$500,'Returns (Calc)'!$AQ$3:$AQ$500),2),"")</f>
        <v>-0.23</v>
      </c>
      <c r="Y6" s="159">
        <f>IFERROR(ROUND(CORREL('Returns (Calc)'!$B$3:$B$500,'Returns (Calc)'!$AR$3:$AR$500),2),"")</f>
        <v>0.33</v>
      </c>
      <c r="Z6" s="159">
        <f>IFERROR(ROUND(CORREL('Returns (Calc)'!$B$3:$B$500,'Returns (Calc)'!$AS$3:$AS$500),2),"")</f>
        <v>0.09</v>
      </c>
      <c r="AA6" s="159">
        <f>IFERROR(ROUND(CORREL('Returns (Calc)'!$B$3:$B$500,'Returns (Calc)'!$AT$3:$AT$500),2),"")</f>
        <v>0.22</v>
      </c>
      <c r="AB6" s="159">
        <f>IFERROR(ROUND(CORREL('Returns (Calc)'!$B$3:$B$500,'Returns (Calc)'!$AU$3:$AU$500),2),"")</f>
        <v>0.52</v>
      </c>
      <c r="AG6" s="160">
        <f t="shared" ref="AG6:AG32" si="0">COUNTIF(B6:AB6,"&gt;0.7")-1</f>
        <v>0</v>
      </c>
    </row>
    <row r="7" spans="1:33" ht="15" customHeight="1" x14ac:dyDescent="0.2">
      <c r="A7" s="158" t="str">
        <f>'Returns (Calc)'!C2</f>
        <v>ANET</v>
      </c>
      <c r="B7" s="159">
        <f>IFERROR(ROUND(CORREL('Returns (Calc)'!$C$3:$C$500,'Returns (Calc)'!$B$3:$B$500),2),"")</f>
        <v>0.2</v>
      </c>
      <c r="C7" s="159">
        <v>1</v>
      </c>
      <c r="D7" s="159">
        <f>IFERROR(ROUND(CORREL('Returns (Calc)'!$C$3:$C$500,'Returns (Calc)'!$D$3:$D$500),2),"")</f>
        <v>0.39</v>
      </c>
      <c r="E7" s="159">
        <f>IFERROR(ROUND(CORREL('Returns (Calc)'!$C$3:$C$500,'Returns (Calc)'!$E$3:$E$500),2),"")</f>
        <v>0.59</v>
      </c>
      <c r="F7" s="159">
        <f>IFERROR(ROUND(CORREL('Returns (Calc)'!$C$3:$C$500,'Returns (Calc)'!$F$3:$F$500),2),"")</f>
        <v>0.37</v>
      </c>
      <c r="G7" s="159">
        <f>IFERROR(ROUND(CORREL('Returns (Calc)'!$C$3:$C$500,'Returns (Calc)'!$G$3:$G$500),2),"")</f>
        <v>0.43</v>
      </c>
      <c r="H7" s="159">
        <f>IFERROR(ROUND(CORREL('Returns (Calc)'!$C$3:$C$500,'Returns (Calc)'!$H$3:$H$500),2),"")</f>
        <v>0.34</v>
      </c>
      <c r="I7" s="159">
        <f>IFERROR(ROUND(CORREL('Returns (Calc)'!$C$3:$C$500,'Returns (Calc)'!$I$3:$I$500),2),"")</f>
        <v>0.52</v>
      </c>
      <c r="J7" s="159">
        <f>IFERROR(ROUND(CORREL('Returns (Calc)'!$C$3:$C$500,'Returns (Calc)'!$J$3:$J$500),2),"")</f>
        <v>0.18</v>
      </c>
      <c r="K7" s="159">
        <f>IFERROR(ROUND(CORREL('Returns (Calc)'!$C$3:$C$500,'Returns (Calc)'!$K$3:$K$500),2),"")</f>
        <v>0.34</v>
      </c>
      <c r="L7" s="159">
        <f>IFERROR(ROUND(CORREL('Returns (Calc)'!$C$3:$C$500,'Returns (Calc)'!$L$3:$L$500),2),"")</f>
        <v>0.55000000000000004</v>
      </c>
      <c r="M7" s="159">
        <f>IFERROR(ROUND(CORREL('Returns (Calc)'!$C$3:$C$500,'Returns (Calc)'!$M$3:$M$500),2),"")</f>
        <v>0.57999999999999996</v>
      </c>
      <c r="N7" s="159">
        <f>IFERROR(ROUND(CORREL('Returns (Calc)'!$C$3:$C$500,'Returns (Calc)'!$N$3:$N$500),2),"")</f>
        <v>0.05</v>
      </c>
      <c r="O7" s="159">
        <f>IFERROR(ROUND(CORREL('Returns (Calc)'!$C$3:$C$500,'Returns (Calc)'!$O$3:$O$500),2),"")</f>
        <v>0.35</v>
      </c>
      <c r="P7" s="159">
        <f>IFERROR(ROUND(CORREL('Returns (Calc)'!$C$3:$C$500,'Returns (Calc)'!$P$3:$P$500),2),"")</f>
        <v>0.24</v>
      </c>
      <c r="Q7" s="159">
        <f>IFERROR(ROUND(CORREL('Returns (Calc)'!$C$3:$C$500,'Returns (Calc)'!$Q$3:$Q$500),2),"")</f>
        <v>0.65</v>
      </c>
      <c r="R7" s="159">
        <f>IFERROR(ROUND(CORREL('Returns (Calc)'!$C$3:$C$500,'Returns (Calc)'!$R$3:$R$500),2),"")</f>
        <v>0.67</v>
      </c>
      <c r="S7" s="159">
        <f>IFERROR(ROUND(CORREL('Returns (Calc)'!$C$3:$C$500,'Returns (Calc)'!$S$3:$S$500),2),"")</f>
        <v>0.64</v>
      </c>
      <c r="T7" s="159">
        <f>IFERROR(ROUND(CORREL('Returns (Calc)'!$C$3:$C$500,'Returns (Calc)'!$T$3:$T$500),2),"")</f>
        <v>0.34</v>
      </c>
      <c r="U7" s="159">
        <f>IFERROR(ROUND(CORREL('Returns (Calc)'!$C$3:$C$500,'Returns (Calc)'!$U$3:$U$500),2),"")</f>
        <v>0.27</v>
      </c>
      <c r="V7" s="159">
        <f>IFERROR(ROUND(CORREL('Returns (Calc)'!$C$3:$C$500,'Returns (Calc)'!$V$3:$V$500),2),"")</f>
        <v>0.25</v>
      </c>
      <c r="W7" s="159">
        <f>IFERROR(ROUND(CORREL('Returns (Calc)'!$C$3:$C$500,'Returns (Calc)'!$AP$3:$AP$500),2),"")</f>
        <v>0.46</v>
      </c>
      <c r="X7" s="159">
        <f>IFERROR(ROUND(CORREL('Returns (Calc)'!$C$3:$C$500,'Returns (Calc)'!$AQ$3:$AQ$500),2),"")</f>
        <v>-0.03</v>
      </c>
      <c r="Y7" s="159">
        <f>IFERROR(ROUND(CORREL('Returns (Calc)'!$C$3:$C$500,'Returns (Calc)'!$AR$3:$AR$500),2),"")</f>
        <v>0.51</v>
      </c>
      <c r="Z7" s="159">
        <f>IFERROR(ROUND(CORREL('Returns (Calc)'!$C$3:$C$500,'Returns (Calc)'!$AS$3:$AS$500),2),"")</f>
        <v>0.34</v>
      </c>
      <c r="AA7" s="159">
        <f>IFERROR(ROUND(CORREL('Returns (Calc)'!$C$3:$C$500,'Returns (Calc)'!$AT$3:$AT$500),2),"")</f>
        <v>0.39</v>
      </c>
      <c r="AB7" s="159">
        <f>IFERROR(ROUND(CORREL('Returns (Calc)'!$C$3:$C$500,'Returns (Calc)'!$AU$3:$AU$500),2),"")</f>
        <v>0.13</v>
      </c>
      <c r="AG7" s="160">
        <f t="shared" si="0"/>
        <v>0</v>
      </c>
    </row>
    <row r="8" spans="1:33" ht="15" customHeight="1" x14ac:dyDescent="0.2">
      <c r="A8" s="158" t="str">
        <f>'Returns (Calc)'!D2</f>
        <v>ASML</v>
      </c>
      <c r="B8" s="159">
        <f>IFERROR(ROUND(CORREL('Returns (Calc)'!$D$3:$D$500,'Returns (Calc)'!$B$3:$B$500),2),"")</f>
        <v>0.01</v>
      </c>
      <c r="C8" s="159">
        <f>IFERROR(ROUND(CORREL('Returns (Calc)'!$D$3:$D$500,'Returns (Calc)'!$C$3:$C$500),2),"")</f>
        <v>0.39</v>
      </c>
      <c r="D8" s="159">
        <v>1</v>
      </c>
      <c r="E8" s="159">
        <f>IFERROR(ROUND(CORREL('Returns (Calc)'!$D$3:$D$500,'Returns (Calc)'!$E$3:$E$500),2),"")</f>
        <v>0.49</v>
      </c>
      <c r="F8" s="159">
        <f>IFERROR(ROUND(CORREL('Returns (Calc)'!$D$3:$D$500,'Returns (Calc)'!$F$3:$F$500),2),"")</f>
        <v>0.32</v>
      </c>
      <c r="G8" s="159">
        <f>IFERROR(ROUND(CORREL('Returns (Calc)'!$D$3:$D$500,'Returns (Calc)'!$G$3:$G$500),2),"")</f>
        <v>0.78</v>
      </c>
      <c r="H8" s="159">
        <f>IFERROR(ROUND(CORREL('Returns (Calc)'!$D$3:$D$500,'Returns (Calc)'!$H$3:$H$500),2),"")</f>
        <v>0.6</v>
      </c>
      <c r="I8" s="159">
        <f>IFERROR(ROUND(CORREL('Returns (Calc)'!$D$3:$D$500,'Returns (Calc)'!$I$3:$I$500),2),"")</f>
        <v>0.49</v>
      </c>
      <c r="J8" s="159">
        <f>IFERROR(ROUND(CORREL('Returns (Calc)'!$D$3:$D$500,'Returns (Calc)'!$J$3:$J$500),2),"")</f>
        <v>0.27</v>
      </c>
      <c r="K8" s="159">
        <f>IFERROR(ROUND(CORREL('Returns (Calc)'!$D$3:$D$500,'Returns (Calc)'!$K$3:$K$500),2),"")</f>
        <v>0.2</v>
      </c>
      <c r="L8" s="159">
        <f>IFERROR(ROUND(CORREL('Returns (Calc)'!$D$3:$D$500,'Returns (Calc)'!$L$3:$L$500),2),"")</f>
        <v>0.64</v>
      </c>
      <c r="M8" s="159">
        <f>IFERROR(ROUND(CORREL('Returns (Calc)'!$D$3:$D$500,'Returns (Calc)'!$M$3:$M$500),2),"")</f>
        <v>0.43</v>
      </c>
      <c r="N8" s="159">
        <f>IFERROR(ROUND(CORREL('Returns (Calc)'!$D$3:$D$500,'Returns (Calc)'!$N$3:$N$500),2),"")</f>
        <v>0.11</v>
      </c>
      <c r="O8" s="159">
        <f>IFERROR(ROUND(CORREL('Returns (Calc)'!$D$3:$D$500,'Returns (Calc)'!$O$3:$O$500),2),"")</f>
        <v>0.38</v>
      </c>
      <c r="P8" s="159">
        <f>IFERROR(ROUND(CORREL('Returns (Calc)'!$D$3:$D$500,'Returns (Calc)'!$P$3:$P$500),2),"")</f>
        <v>0.23</v>
      </c>
      <c r="Q8" s="159">
        <f>IFERROR(ROUND(CORREL('Returns (Calc)'!$D$3:$D$500,'Returns (Calc)'!$Q$3:$Q$500),2),"")</f>
        <v>0.51</v>
      </c>
      <c r="R8" s="159">
        <f>IFERROR(ROUND(CORREL('Returns (Calc)'!$D$3:$D$500,'Returns (Calc)'!$R$3:$R$500),2),"")</f>
        <v>0.61</v>
      </c>
      <c r="S8" s="159">
        <f>IFERROR(ROUND(CORREL('Returns (Calc)'!$D$3:$D$500,'Returns (Calc)'!$S$3:$S$500),2),"")</f>
        <v>0.61</v>
      </c>
      <c r="T8" s="159">
        <f>IFERROR(ROUND(CORREL('Returns (Calc)'!$D$3:$D$500,'Returns (Calc)'!$T$3:$T$500),2),"")</f>
        <v>0.3</v>
      </c>
      <c r="U8" s="159">
        <f>IFERROR(ROUND(CORREL('Returns (Calc)'!$D$3:$D$500,'Returns (Calc)'!$U$3:$U$500),2),"")</f>
        <v>0.26</v>
      </c>
      <c r="V8" s="159">
        <f>IFERROR(ROUND(CORREL('Returns (Calc)'!$D$3:$D$500,'Returns (Calc)'!$V$3:$V$500),2),"")</f>
        <v>0.02</v>
      </c>
      <c r="W8" s="159">
        <f>IFERROR(ROUND(CORREL('Returns (Calc)'!$D$3:$D$500,'Returns (Calc)'!$AP$3:$AP$500),2),"")</f>
        <v>0.41</v>
      </c>
      <c r="X8" s="159">
        <f>IFERROR(ROUND(CORREL('Returns (Calc)'!$D$3:$D$500,'Returns (Calc)'!$AQ$3:$AQ$500),2),"")</f>
        <v>-0.19</v>
      </c>
      <c r="Y8" s="159">
        <f>IFERROR(ROUND(CORREL('Returns (Calc)'!$D$3:$D$500,'Returns (Calc)'!$AR$3:$AR$500),2),"")</f>
        <v>0.42</v>
      </c>
      <c r="Z8" s="159">
        <f>IFERROR(ROUND(CORREL('Returns (Calc)'!$D$3:$D$500,'Returns (Calc)'!$AS$3:$AS$500),2),"")</f>
        <v>0.39</v>
      </c>
      <c r="AA8" s="159">
        <f>IFERROR(ROUND(CORREL('Returns (Calc)'!$D$3:$D$500,'Returns (Calc)'!$AT$3:$AT$500),2),"")</f>
        <v>0.21</v>
      </c>
      <c r="AB8" s="159">
        <f>IFERROR(ROUND(CORREL('Returns (Calc)'!$D$3:$D$500,'Returns (Calc)'!$AU$3:$AU$500),2),"")</f>
        <v>0.02</v>
      </c>
      <c r="AG8" s="160">
        <f t="shared" si="0"/>
        <v>1</v>
      </c>
    </row>
    <row r="9" spans="1:33" ht="15" customHeight="1" x14ac:dyDescent="0.2">
      <c r="A9" s="158" t="str">
        <f>'Returns (Calc)'!E2</f>
        <v>AVGO</v>
      </c>
      <c r="B9" s="159">
        <f>IFERROR(ROUND(CORREL('Returns (Calc)'!$E$3:$E$500,'Returns (Calc)'!$B$3:$B$500),2),"")</f>
        <v>0.17</v>
      </c>
      <c r="C9" s="159">
        <f>IFERROR(ROUND(CORREL('Returns (Calc)'!$E$3:$E$500,'Returns (Calc)'!$C$3:$C$500),2),"")</f>
        <v>0.59</v>
      </c>
      <c r="D9" s="159">
        <f>IFERROR(ROUND(CORREL('Returns (Calc)'!$E$3:$E$500,'Returns (Calc)'!$D$3:$D$500),2),"")</f>
        <v>0.49</v>
      </c>
      <c r="E9" s="159">
        <v>1</v>
      </c>
      <c r="F9" s="159">
        <f>IFERROR(ROUND(CORREL('Returns (Calc)'!$E$3:$E$500,'Returns (Calc)'!$F$3:$F$500),2),"")</f>
        <v>0.4</v>
      </c>
      <c r="G9" s="159">
        <f>IFERROR(ROUND(CORREL('Returns (Calc)'!$E$3:$E$500,'Returns (Calc)'!$G$3:$G$500),2),"")</f>
        <v>0.53</v>
      </c>
      <c r="H9" s="159">
        <f>IFERROR(ROUND(CORREL('Returns (Calc)'!$E$3:$E$500,'Returns (Calc)'!$H$3:$H$500),2),"")</f>
        <v>0.48</v>
      </c>
      <c r="I9" s="159">
        <f>IFERROR(ROUND(CORREL('Returns (Calc)'!$E$3:$E$500,'Returns (Calc)'!$I$3:$I$500),2),"")</f>
        <v>0.62</v>
      </c>
      <c r="J9" s="159">
        <f>IFERROR(ROUND(CORREL('Returns (Calc)'!$E$3:$E$500,'Returns (Calc)'!$J$3:$J$500),2),"")</f>
        <v>0.22</v>
      </c>
      <c r="K9" s="159">
        <f>IFERROR(ROUND(CORREL('Returns (Calc)'!$E$3:$E$500,'Returns (Calc)'!$K$3:$K$500),2),"")</f>
        <v>0.37</v>
      </c>
      <c r="L9" s="159">
        <f>IFERROR(ROUND(CORREL('Returns (Calc)'!$E$3:$E$500,'Returns (Calc)'!$L$3:$L$500),2),"")</f>
        <v>0.62</v>
      </c>
      <c r="M9" s="159">
        <f>IFERROR(ROUND(CORREL('Returns (Calc)'!$E$3:$E$500,'Returns (Calc)'!$M$3:$M$500),2),"")</f>
        <v>0.52</v>
      </c>
      <c r="N9" s="159">
        <f>IFERROR(ROUND(CORREL('Returns (Calc)'!$E$3:$E$500,'Returns (Calc)'!$N$3:$N$500),2),"")</f>
        <v>0.14000000000000001</v>
      </c>
      <c r="O9" s="159">
        <f>IFERROR(ROUND(CORREL('Returns (Calc)'!$E$3:$E$500,'Returns (Calc)'!$O$3:$O$500),2),"")</f>
        <v>0.28999999999999998</v>
      </c>
      <c r="P9" s="159">
        <f>IFERROR(ROUND(CORREL('Returns (Calc)'!$E$3:$E$500,'Returns (Calc)'!$P$3:$P$500),2),"")</f>
        <v>0.11</v>
      </c>
      <c r="Q9" s="159">
        <f>IFERROR(ROUND(CORREL('Returns (Calc)'!$E$3:$E$500,'Returns (Calc)'!$Q$3:$Q$500),2),"")</f>
        <v>0.67</v>
      </c>
      <c r="R9" s="159">
        <f>IFERROR(ROUND(CORREL('Returns (Calc)'!$E$3:$E$500,'Returns (Calc)'!$R$3:$R$500),2),"")</f>
        <v>0.73</v>
      </c>
      <c r="S9" s="159">
        <f>IFERROR(ROUND(CORREL('Returns (Calc)'!$E$3:$E$500,'Returns (Calc)'!$S$3:$S$500),2),"")</f>
        <v>0.73</v>
      </c>
      <c r="T9" s="159">
        <f>IFERROR(ROUND(CORREL('Returns (Calc)'!$E$3:$E$500,'Returns (Calc)'!$T$3:$T$500),2),"")</f>
        <v>0.27</v>
      </c>
      <c r="U9" s="159">
        <f>IFERROR(ROUND(CORREL('Returns (Calc)'!$E$3:$E$500,'Returns (Calc)'!$U$3:$U$500),2),"")</f>
        <v>0.16</v>
      </c>
      <c r="V9" s="159">
        <f>IFERROR(ROUND(CORREL('Returns (Calc)'!$E$3:$E$500,'Returns (Calc)'!$V$3:$V$500),2),"")</f>
        <v>0.19</v>
      </c>
      <c r="W9" s="159">
        <f>IFERROR(ROUND(CORREL('Returns (Calc)'!$E$3:$E$500,'Returns (Calc)'!$AP$3:$AP$500),2),"")</f>
        <v>0.45</v>
      </c>
      <c r="X9" s="159">
        <f>IFERROR(ROUND(CORREL('Returns (Calc)'!$E$3:$E$500,'Returns (Calc)'!$AQ$3:$AQ$500),2),"")</f>
        <v>-0.44</v>
      </c>
      <c r="Y9" s="159">
        <f>IFERROR(ROUND(CORREL('Returns (Calc)'!$E$3:$E$500,'Returns (Calc)'!$AR$3:$AR$500),2),"")</f>
        <v>0.44</v>
      </c>
      <c r="Z9" s="159">
        <f>IFERROR(ROUND(CORREL('Returns (Calc)'!$E$3:$E$500,'Returns (Calc)'!$AS$3:$AS$500),2),"")</f>
        <v>0.36</v>
      </c>
      <c r="AA9" s="159">
        <f>IFERROR(ROUND(CORREL('Returns (Calc)'!$E$3:$E$500,'Returns (Calc)'!$AT$3:$AT$500),2),"")</f>
        <v>0.3</v>
      </c>
      <c r="AB9" s="159">
        <f>IFERROR(ROUND(CORREL('Returns (Calc)'!$E$3:$E$500,'Returns (Calc)'!$AU$3:$AU$500),2),"")</f>
        <v>0.1</v>
      </c>
      <c r="AG9" s="160">
        <f t="shared" si="0"/>
        <v>2</v>
      </c>
    </row>
    <row r="10" spans="1:33" ht="15" customHeight="1" x14ac:dyDescent="0.2">
      <c r="A10" s="158" t="str">
        <f>'Returns (Calc)'!F2</f>
        <v>CRWD</v>
      </c>
      <c r="B10" s="159">
        <f>IFERROR(ROUND(CORREL('Returns (Calc)'!$F$3:$F$500,'Returns (Calc)'!$B$3:$B$500),2),"")</f>
        <v>0.4</v>
      </c>
      <c r="C10" s="159">
        <f>IFERROR(ROUND(CORREL('Returns (Calc)'!$F$3:$F$500,'Returns (Calc)'!$C$3:$C$500),2),"")</f>
        <v>0.37</v>
      </c>
      <c r="D10" s="159">
        <f>IFERROR(ROUND(CORREL('Returns (Calc)'!$F$3:$F$500,'Returns (Calc)'!$D$3:$D$500),2),"")</f>
        <v>0.32</v>
      </c>
      <c r="E10" s="159">
        <f>IFERROR(ROUND(CORREL('Returns (Calc)'!$F$3:$F$500,'Returns (Calc)'!$E$3:$E$500),2),"")</f>
        <v>0.4</v>
      </c>
      <c r="F10" s="159">
        <v>1</v>
      </c>
      <c r="G10" s="159">
        <f>IFERROR(ROUND(CORREL('Returns (Calc)'!$F$3:$F$500,'Returns (Calc)'!$G$3:$G$500),2),"")</f>
        <v>0.33</v>
      </c>
      <c r="H10" s="159">
        <f>IFERROR(ROUND(CORREL('Returns (Calc)'!$F$3:$F$500,'Returns (Calc)'!$H$3:$H$500),2),"")</f>
        <v>0.32</v>
      </c>
      <c r="I10" s="159">
        <f>IFERROR(ROUND(CORREL('Returns (Calc)'!$F$3:$F$500,'Returns (Calc)'!$I$3:$I$500),2),"")</f>
        <v>0.46</v>
      </c>
      <c r="J10" s="159">
        <f>IFERROR(ROUND(CORREL('Returns (Calc)'!$F$3:$F$500,'Returns (Calc)'!$J$3:$J$500),2),"")</f>
        <v>0.1</v>
      </c>
      <c r="K10" s="159">
        <f>IFERROR(ROUND(CORREL('Returns (Calc)'!$F$3:$F$500,'Returns (Calc)'!$K$3:$K$500),2),"")</f>
        <v>0.5</v>
      </c>
      <c r="L10" s="159">
        <f>IFERROR(ROUND(CORREL('Returns (Calc)'!$F$3:$F$500,'Returns (Calc)'!$L$3:$L$500),2),"")</f>
        <v>0.38</v>
      </c>
      <c r="M10" s="159">
        <f>IFERROR(ROUND(CORREL('Returns (Calc)'!$F$3:$F$500,'Returns (Calc)'!$M$3:$M$500),2),"")</f>
        <v>0.4</v>
      </c>
      <c r="N10" s="159">
        <f>IFERROR(ROUND(CORREL('Returns (Calc)'!$F$3:$F$500,'Returns (Calc)'!$N$3:$N$500),2),"")</f>
        <v>0.17</v>
      </c>
      <c r="O10" s="159">
        <f>IFERROR(ROUND(CORREL('Returns (Calc)'!$F$3:$F$500,'Returns (Calc)'!$O$3:$O$500),2),"")</f>
        <v>0.19</v>
      </c>
      <c r="P10" s="159">
        <f>IFERROR(ROUND(CORREL('Returns (Calc)'!$F$3:$F$500,'Returns (Calc)'!$P$3:$P$500),2),"")</f>
        <v>0.1</v>
      </c>
      <c r="Q10" s="159">
        <f>IFERROR(ROUND(CORREL('Returns (Calc)'!$F$3:$F$500,'Returns (Calc)'!$Q$3:$Q$500),2),"")</f>
        <v>0.47</v>
      </c>
      <c r="R10" s="159">
        <f>IFERROR(ROUND(CORREL('Returns (Calc)'!$F$3:$F$500,'Returns (Calc)'!$R$3:$R$500),2),"")</f>
        <v>0.55000000000000004</v>
      </c>
      <c r="S10" s="159">
        <f>IFERROR(ROUND(CORREL('Returns (Calc)'!$F$3:$F$500,'Returns (Calc)'!$S$3:$S$500),2),"")</f>
        <v>0.52</v>
      </c>
      <c r="T10" s="159">
        <f>IFERROR(ROUND(CORREL('Returns (Calc)'!$F$3:$F$500,'Returns (Calc)'!$T$3:$T$500),2),"")</f>
        <v>0.28999999999999998</v>
      </c>
      <c r="U10" s="159">
        <f>IFERROR(ROUND(CORREL('Returns (Calc)'!$F$3:$F$500,'Returns (Calc)'!$U$3:$U$500),2),"")</f>
        <v>0.11</v>
      </c>
      <c r="V10" s="159">
        <f>IFERROR(ROUND(CORREL('Returns (Calc)'!$F$3:$F$500,'Returns (Calc)'!$V$3:$V$500),2),"")</f>
        <v>0.27</v>
      </c>
      <c r="W10" s="159">
        <f>IFERROR(ROUND(CORREL('Returns (Calc)'!$F$3:$F$500,'Returns (Calc)'!$AP$3:$AP$500),2),"")</f>
        <v>0.24</v>
      </c>
      <c r="X10" s="159">
        <f>IFERROR(ROUND(CORREL('Returns (Calc)'!$F$3:$F$500,'Returns (Calc)'!$AQ$3:$AQ$500),2),"")</f>
        <v>-0.3</v>
      </c>
      <c r="Y10" s="159">
        <f>IFERROR(ROUND(CORREL('Returns (Calc)'!$F$3:$F$500,'Returns (Calc)'!$AR$3:$AR$500),2),"")</f>
        <v>0.28999999999999998</v>
      </c>
      <c r="Z10" s="159">
        <f>IFERROR(ROUND(CORREL('Returns (Calc)'!$F$3:$F$500,'Returns (Calc)'!$AS$3:$AS$500),2),"")</f>
        <v>0.24</v>
      </c>
      <c r="AA10" s="159">
        <f>IFERROR(ROUND(CORREL('Returns (Calc)'!$F$3:$F$500,'Returns (Calc)'!$AT$3:$AT$500),2),"")</f>
        <v>0.24</v>
      </c>
      <c r="AB10" s="159">
        <f>IFERROR(ROUND(CORREL('Returns (Calc)'!$F$3:$F$500,'Returns (Calc)'!$AU$3:$AU$500),2),"")</f>
        <v>0.36</v>
      </c>
      <c r="AG10" s="160">
        <f t="shared" si="0"/>
        <v>0</v>
      </c>
    </row>
    <row r="11" spans="1:33" ht="15" customHeight="1" x14ac:dyDescent="0.2">
      <c r="A11" s="158" t="str">
        <f>'Returns (Calc)'!G2</f>
        <v>KLAC</v>
      </c>
      <c r="B11" s="159">
        <f>IFERROR(ROUND(CORREL('Returns (Calc)'!$G$3:$G$500,'Returns (Calc)'!$B$3:$B$500),2),"")</f>
        <v>-0.06</v>
      </c>
      <c r="C11" s="159">
        <f>IFERROR(ROUND(CORREL('Returns (Calc)'!$G$3:$G$500,'Returns (Calc)'!$C$3:$C$500),2),"")</f>
        <v>0.43</v>
      </c>
      <c r="D11" s="159">
        <f>IFERROR(ROUND(CORREL('Returns (Calc)'!$G$3:$G$500,'Returns (Calc)'!$D$3:$D$500),2),"")</f>
        <v>0.78</v>
      </c>
      <c r="E11" s="159">
        <f>IFERROR(ROUND(CORREL('Returns (Calc)'!$G$3:$G$500,'Returns (Calc)'!$E$3:$E$500),2),"")</f>
        <v>0.53</v>
      </c>
      <c r="F11" s="159">
        <f>IFERROR(ROUND(CORREL('Returns (Calc)'!$G$3:$G$500,'Returns (Calc)'!$F$3:$F$500),2),"")</f>
        <v>0.33</v>
      </c>
      <c r="G11" s="159">
        <v>1</v>
      </c>
      <c r="H11" s="159">
        <f>IFERROR(ROUND(CORREL('Returns (Calc)'!$G$3:$G$500,'Returns (Calc)'!$H$3:$H$500),2),"")</f>
        <v>0.59</v>
      </c>
      <c r="I11" s="159">
        <f>IFERROR(ROUND(CORREL('Returns (Calc)'!$G$3:$G$500,'Returns (Calc)'!$I$3:$I$500),2),"")</f>
        <v>0.52</v>
      </c>
      <c r="J11" s="159">
        <f>IFERROR(ROUND(CORREL('Returns (Calc)'!$G$3:$G$500,'Returns (Calc)'!$J$3:$J$500),2),"")</f>
        <v>0.27</v>
      </c>
      <c r="K11" s="159">
        <f>IFERROR(ROUND(CORREL('Returns (Calc)'!$G$3:$G$500,'Returns (Calc)'!$K$3:$K$500),2),"")</f>
        <v>0.24</v>
      </c>
      <c r="L11" s="159">
        <f>IFERROR(ROUND(CORREL('Returns (Calc)'!$G$3:$G$500,'Returns (Calc)'!$L$3:$L$500),2),"")</f>
        <v>0.62</v>
      </c>
      <c r="M11" s="159">
        <f>IFERROR(ROUND(CORREL('Returns (Calc)'!$G$3:$G$500,'Returns (Calc)'!$M$3:$M$500),2),"")</f>
        <v>0.51</v>
      </c>
      <c r="N11" s="159">
        <f>IFERROR(ROUND(CORREL('Returns (Calc)'!$G$3:$G$500,'Returns (Calc)'!$N$3:$N$500),2),"")</f>
        <v>0.16</v>
      </c>
      <c r="O11" s="159">
        <f>IFERROR(ROUND(CORREL('Returns (Calc)'!$G$3:$G$500,'Returns (Calc)'!$O$3:$O$500),2),"")</f>
        <v>0.43</v>
      </c>
      <c r="P11" s="159">
        <f>IFERROR(ROUND(CORREL('Returns (Calc)'!$G$3:$G$500,'Returns (Calc)'!$P$3:$P$500),2),"")</f>
        <v>0.25</v>
      </c>
      <c r="Q11" s="159">
        <f>IFERROR(ROUND(CORREL('Returns (Calc)'!$G$3:$G$500,'Returns (Calc)'!$Q$3:$Q$500),2),"")</f>
        <v>0.52</v>
      </c>
      <c r="R11" s="159">
        <f>IFERROR(ROUND(CORREL('Returns (Calc)'!$G$3:$G$500,'Returns (Calc)'!$R$3:$R$500),2),"")</f>
        <v>0.61</v>
      </c>
      <c r="S11" s="159">
        <f>IFERROR(ROUND(CORREL('Returns (Calc)'!$G$3:$G$500,'Returns (Calc)'!$S$3:$S$500),2),"")</f>
        <v>0.67</v>
      </c>
      <c r="T11" s="159">
        <f>IFERROR(ROUND(CORREL('Returns (Calc)'!$G$3:$G$500,'Returns (Calc)'!$T$3:$T$500),2),"")</f>
        <v>0.3</v>
      </c>
      <c r="U11" s="159">
        <f>IFERROR(ROUND(CORREL('Returns (Calc)'!$G$3:$G$500,'Returns (Calc)'!$U$3:$U$500),2),"")</f>
        <v>0.28000000000000003</v>
      </c>
      <c r="V11" s="159">
        <f>IFERROR(ROUND(CORREL('Returns (Calc)'!$G$3:$G$500,'Returns (Calc)'!$V$3:$V$500),2),"")</f>
        <v>0</v>
      </c>
      <c r="W11" s="159">
        <f>IFERROR(ROUND(CORREL('Returns (Calc)'!$G$3:$G$500,'Returns (Calc)'!$AP$3:$AP$500),2),"")</f>
        <v>0.45</v>
      </c>
      <c r="X11" s="159">
        <f>IFERROR(ROUND(CORREL('Returns (Calc)'!$G$3:$G$500,'Returns (Calc)'!$AQ$3:$AQ$500),2),"")</f>
        <v>-0.18</v>
      </c>
      <c r="Y11" s="159">
        <f>IFERROR(ROUND(CORREL('Returns (Calc)'!$G$3:$G$500,'Returns (Calc)'!$AR$3:$AR$500),2),"")</f>
        <v>0.44</v>
      </c>
      <c r="Z11" s="159">
        <f>IFERROR(ROUND(CORREL('Returns (Calc)'!$G$3:$G$500,'Returns (Calc)'!$AS$3:$AS$500),2),"")</f>
        <v>0.39</v>
      </c>
      <c r="AA11" s="159">
        <f>IFERROR(ROUND(CORREL('Returns (Calc)'!$G$3:$G$500,'Returns (Calc)'!$AT$3:$AT$500),2),"")</f>
        <v>0.1</v>
      </c>
      <c r="AB11" s="159">
        <f>IFERROR(ROUND(CORREL('Returns (Calc)'!$G$3:$G$500,'Returns (Calc)'!$AU$3:$AU$500),2),"")</f>
        <v>0.01</v>
      </c>
      <c r="AG11" s="160">
        <f t="shared" si="0"/>
        <v>1</v>
      </c>
    </row>
    <row r="12" spans="1:33" ht="15" customHeight="1" x14ac:dyDescent="0.2">
      <c r="A12" s="158" t="str">
        <f>'Returns (Calc)'!H2</f>
        <v>MU</v>
      </c>
      <c r="B12" s="159">
        <f>IFERROR(ROUND(CORREL('Returns (Calc)'!$H$3:$H$500,'Returns (Calc)'!$B$3:$B$500),2),"")</f>
        <v>0.04</v>
      </c>
      <c r="C12" s="159">
        <f>IFERROR(ROUND(CORREL('Returns (Calc)'!$H$3:$H$500,'Returns (Calc)'!$C$3:$C$500),2),"")</f>
        <v>0.34</v>
      </c>
      <c r="D12" s="159">
        <f>IFERROR(ROUND(CORREL('Returns (Calc)'!$H$3:$H$500,'Returns (Calc)'!$D$3:$D$500),2),"")</f>
        <v>0.6</v>
      </c>
      <c r="E12" s="159">
        <f>IFERROR(ROUND(CORREL('Returns (Calc)'!$H$3:$H$500,'Returns (Calc)'!$E$3:$E$500),2),"")</f>
        <v>0.48</v>
      </c>
      <c r="F12" s="159">
        <f>IFERROR(ROUND(CORREL('Returns (Calc)'!$H$3:$H$500,'Returns (Calc)'!$F$3:$F$500),2),"")</f>
        <v>0.32</v>
      </c>
      <c r="G12" s="159">
        <f>IFERROR(ROUND(CORREL('Returns (Calc)'!$H$3:$H$500,'Returns (Calc)'!$G$3:$G$500),2),"")</f>
        <v>0.59</v>
      </c>
      <c r="H12" s="159">
        <v>1</v>
      </c>
      <c r="I12" s="159">
        <f>IFERROR(ROUND(CORREL('Returns (Calc)'!$H$3:$H$500,'Returns (Calc)'!$I$3:$I$500),2),"")</f>
        <v>0.5</v>
      </c>
      <c r="J12" s="159">
        <f>IFERROR(ROUND(CORREL('Returns (Calc)'!$H$3:$H$500,'Returns (Calc)'!$J$3:$J$500),2),"")</f>
        <v>0.2</v>
      </c>
      <c r="K12" s="159">
        <f>IFERROR(ROUND(CORREL('Returns (Calc)'!$H$3:$H$500,'Returns (Calc)'!$K$3:$K$500),2),"")</f>
        <v>0.16</v>
      </c>
      <c r="L12" s="159">
        <f>IFERROR(ROUND(CORREL('Returns (Calc)'!$H$3:$H$500,'Returns (Calc)'!$L$3:$L$500),2),"")</f>
        <v>0.56000000000000005</v>
      </c>
      <c r="M12" s="159">
        <f>IFERROR(ROUND(CORREL('Returns (Calc)'!$H$3:$H$500,'Returns (Calc)'!$M$3:$M$500),2),"")</f>
        <v>0.5</v>
      </c>
      <c r="N12" s="159">
        <f>IFERROR(ROUND(CORREL('Returns (Calc)'!$H$3:$H$500,'Returns (Calc)'!$N$3:$N$500),2),"")</f>
        <v>0.18</v>
      </c>
      <c r="O12" s="159">
        <f>IFERROR(ROUND(CORREL('Returns (Calc)'!$H$3:$H$500,'Returns (Calc)'!$O$3:$O$500),2),"")</f>
        <v>0.35</v>
      </c>
      <c r="P12" s="159">
        <f>IFERROR(ROUND(CORREL('Returns (Calc)'!$H$3:$H$500,'Returns (Calc)'!$P$3:$P$500),2),"")</f>
        <v>0.22</v>
      </c>
      <c r="Q12" s="159">
        <f>IFERROR(ROUND(CORREL('Returns (Calc)'!$H$3:$H$500,'Returns (Calc)'!$Q$3:$Q$500),2),"")</f>
        <v>0.51</v>
      </c>
      <c r="R12" s="159">
        <f>IFERROR(ROUND(CORREL('Returns (Calc)'!$H$3:$H$500,'Returns (Calc)'!$R$3:$R$500),2),"")</f>
        <v>0.61</v>
      </c>
      <c r="S12" s="159">
        <f>IFERROR(ROUND(CORREL('Returns (Calc)'!$H$3:$H$500,'Returns (Calc)'!$S$3:$S$500),2),"")</f>
        <v>0.66</v>
      </c>
      <c r="T12" s="159">
        <f>IFERROR(ROUND(CORREL('Returns (Calc)'!$H$3:$H$500,'Returns (Calc)'!$T$3:$T$500),2),"")</f>
        <v>0.41</v>
      </c>
      <c r="U12" s="159">
        <f>IFERROR(ROUND(CORREL('Returns (Calc)'!$H$3:$H$500,'Returns (Calc)'!$U$3:$U$500),2),"")</f>
        <v>0.25</v>
      </c>
      <c r="V12" s="159">
        <f>IFERROR(ROUND(CORREL('Returns (Calc)'!$H$3:$H$500,'Returns (Calc)'!$V$3:$V$500),2),"")</f>
        <v>0.01</v>
      </c>
      <c r="W12" s="159">
        <f>IFERROR(ROUND(CORREL('Returns (Calc)'!$H$3:$H$500,'Returns (Calc)'!$AP$3:$AP$500),2),"")</f>
        <v>0.39</v>
      </c>
      <c r="X12" s="159">
        <f>IFERROR(ROUND(CORREL('Returns (Calc)'!$H$3:$H$500,'Returns (Calc)'!$AQ$3:$AQ$500),2),"")</f>
        <v>-0.36</v>
      </c>
      <c r="Y12" s="159">
        <f>IFERROR(ROUND(CORREL('Returns (Calc)'!$H$3:$H$500,'Returns (Calc)'!$AR$3:$AR$500),2),"")</f>
        <v>0.35</v>
      </c>
      <c r="Z12" s="159">
        <f>IFERROR(ROUND(CORREL('Returns (Calc)'!$H$3:$H$500,'Returns (Calc)'!$AS$3:$AS$500),2),"")</f>
        <v>0.36</v>
      </c>
      <c r="AA12" s="159">
        <f>IFERROR(ROUND(CORREL('Returns (Calc)'!$H$3:$H$500,'Returns (Calc)'!$AT$3:$AT$500),2),"")</f>
        <v>0.1</v>
      </c>
      <c r="AB12" s="159">
        <f>IFERROR(ROUND(CORREL('Returns (Calc)'!$H$3:$H$500,'Returns (Calc)'!$AU$3:$AU$500),2),"")</f>
        <v>0.1</v>
      </c>
      <c r="AG12" s="160">
        <f t="shared" si="0"/>
        <v>0</v>
      </c>
    </row>
    <row r="13" spans="1:33" ht="15" customHeight="1" x14ac:dyDescent="0.2">
      <c r="A13" s="158" t="str">
        <f>'Returns (Calc)'!I2</f>
        <v>NVDA</v>
      </c>
      <c r="B13" s="159">
        <f>IFERROR(ROUND(CORREL('Returns (Calc)'!$I$3:$I$500,'Returns (Calc)'!$B$3:$B$500),2),"")</f>
        <v>0.21</v>
      </c>
      <c r="C13" s="159">
        <f>IFERROR(ROUND(CORREL('Returns (Calc)'!$I$3:$I$500,'Returns (Calc)'!$C$3:$C$500),2),"")</f>
        <v>0.52</v>
      </c>
      <c r="D13" s="159">
        <f>IFERROR(ROUND(CORREL('Returns (Calc)'!$I$3:$I$500,'Returns (Calc)'!$D$3:$D$500),2),"")</f>
        <v>0.49</v>
      </c>
      <c r="E13" s="159">
        <f>IFERROR(ROUND(CORREL('Returns (Calc)'!$I$3:$I$500,'Returns (Calc)'!$E$3:$E$500),2),"")</f>
        <v>0.62</v>
      </c>
      <c r="F13" s="159">
        <f>IFERROR(ROUND(CORREL('Returns (Calc)'!$I$3:$I$500,'Returns (Calc)'!$F$3:$F$500),2),"")</f>
        <v>0.46</v>
      </c>
      <c r="G13" s="159">
        <f>IFERROR(ROUND(CORREL('Returns (Calc)'!$I$3:$I$500,'Returns (Calc)'!$G$3:$G$500),2),"")</f>
        <v>0.52</v>
      </c>
      <c r="H13" s="159">
        <f>IFERROR(ROUND(CORREL('Returns (Calc)'!$I$3:$I$500,'Returns (Calc)'!$H$3:$H$500),2),"")</f>
        <v>0.5</v>
      </c>
      <c r="I13" s="159">
        <v>1</v>
      </c>
      <c r="J13" s="159">
        <f>IFERROR(ROUND(CORREL('Returns (Calc)'!$I$3:$I$500,'Returns (Calc)'!$J$3:$J$500),2),"")</f>
        <v>0.16</v>
      </c>
      <c r="K13" s="159">
        <f>IFERROR(ROUND(CORREL('Returns (Calc)'!$I$3:$I$500,'Returns (Calc)'!$K$3:$K$500),2),"")</f>
        <v>0.45</v>
      </c>
      <c r="L13" s="159">
        <f>IFERROR(ROUND(CORREL('Returns (Calc)'!$I$3:$I$500,'Returns (Calc)'!$L$3:$L$500),2),"")</f>
        <v>0.64</v>
      </c>
      <c r="M13" s="159">
        <f>IFERROR(ROUND(CORREL('Returns (Calc)'!$I$3:$I$500,'Returns (Calc)'!$M$3:$M$500),2),"")</f>
        <v>0.65</v>
      </c>
      <c r="N13" s="159">
        <f>IFERROR(ROUND(CORREL('Returns (Calc)'!$I$3:$I$500,'Returns (Calc)'!$N$3:$N$500),2),"")</f>
        <v>0.14000000000000001</v>
      </c>
      <c r="O13" s="159">
        <f>IFERROR(ROUND(CORREL('Returns (Calc)'!$I$3:$I$500,'Returns (Calc)'!$O$3:$O$500),2),"")</f>
        <v>0.28000000000000003</v>
      </c>
      <c r="P13" s="159">
        <f>IFERROR(ROUND(CORREL('Returns (Calc)'!$I$3:$I$500,'Returns (Calc)'!$P$3:$P$500),2),"")</f>
        <v>0.14000000000000001</v>
      </c>
      <c r="Q13" s="159">
        <f>IFERROR(ROUND(CORREL('Returns (Calc)'!$I$3:$I$500,'Returns (Calc)'!$Q$3:$Q$500),2),"")</f>
        <v>0.7</v>
      </c>
      <c r="R13" s="159">
        <f>IFERROR(ROUND(CORREL('Returns (Calc)'!$I$3:$I$500,'Returns (Calc)'!$R$3:$R$500),2),"")</f>
        <v>0.73</v>
      </c>
      <c r="S13" s="159">
        <f>IFERROR(ROUND(CORREL('Returns (Calc)'!$I$3:$I$500,'Returns (Calc)'!$S$3:$S$500),2),"")</f>
        <v>0.75</v>
      </c>
      <c r="T13" s="159">
        <f>IFERROR(ROUND(CORREL('Returns (Calc)'!$I$3:$I$500,'Returns (Calc)'!$T$3:$T$500),2),"")</f>
        <v>0.3</v>
      </c>
      <c r="U13" s="159">
        <f>IFERROR(ROUND(CORREL('Returns (Calc)'!$I$3:$I$500,'Returns (Calc)'!$U$3:$U$500),2),"")</f>
        <v>0.18</v>
      </c>
      <c r="V13" s="159">
        <f>IFERROR(ROUND(CORREL('Returns (Calc)'!$I$3:$I$500,'Returns (Calc)'!$V$3:$V$500),2),"")</f>
        <v>0.19</v>
      </c>
      <c r="W13" s="159">
        <f>IFERROR(ROUND(CORREL('Returns (Calc)'!$I$3:$I$500,'Returns (Calc)'!$AP$3:$AP$500),2),"")</f>
        <v>0.38</v>
      </c>
      <c r="X13" s="159">
        <f>IFERROR(ROUND(CORREL('Returns (Calc)'!$I$3:$I$500,'Returns (Calc)'!$AQ$3:$AQ$500),2),"")</f>
        <v>-0.31</v>
      </c>
      <c r="Y13" s="159">
        <f>IFERROR(ROUND(CORREL('Returns (Calc)'!$I$3:$I$500,'Returns (Calc)'!$AR$3:$AR$500),2),"")</f>
        <v>0.43</v>
      </c>
      <c r="Z13" s="159">
        <f>IFERROR(ROUND(CORREL('Returns (Calc)'!$I$3:$I$500,'Returns (Calc)'!$AS$3:$AS$500),2),"")</f>
        <v>0.38</v>
      </c>
      <c r="AA13" s="159">
        <f>IFERROR(ROUND(CORREL('Returns (Calc)'!$I$3:$I$500,'Returns (Calc)'!$AT$3:$AT$500),2),"")</f>
        <v>0.27</v>
      </c>
      <c r="AB13" s="159">
        <f>IFERROR(ROUND(CORREL('Returns (Calc)'!$I$3:$I$500,'Returns (Calc)'!$AU$3:$AU$500),2),"")</f>
        <v>0.14000000000000001</v>
      </c>
      <c r="AG13" s="160">
        <f t="shared" si="0"/>
        <v>2</v>
      </c>
    </row>
    <row r="14" spans="1:33" ht="15" customHeight="1" x14ac:dyDescent="0.2">
      <c r="A14" s="158" t="str">
        <f>'Returns (Calc)'!J2</f>
        <v>PLD</v>
      </c>
      <c r="B14" s="159">
        <f>IFERROR(ROUND(CORREL('Returns (Calc)'!$J$3:$J$500,'Returns (Calc)'!$B$3:$B$500),2),"")</f>
        <v>0.18</v>
      </c>
      <c r="C14" s="159">
        <f>IFERROR(ROUND(CORREL('Returns (Calc)'!$J$3:$J$500,'Returns (Calc)'!$C$3:$C$500),2),"")</f>
        <v>0.18</v>
      </c>
      <c r="D14" s="159">
        <f>IFERROR(ROUND(CORREL('Returns (Calc)'!$J$3:$J$500,'Returns (Calc)'!$D$3:$D$500),2),"")</f>
        <v>0.27</v>
      </c>
      <c r="E14" s="159">
        <f>IFERROR(ROUND(CORREL('Returns (Calc)'!$J$3:$J$500,'Returns (Calc)'!$E$3:$E$500),2),"")</f>
        <v>0.22</v>
      </c>
      <c r="F14" s="159">
        <f>IFERROR(ROUND(CORREL('Returns (Calc)'!$J$3:$J$500,'Returns (Calc)'!$F$3:$F$500),2),"")</f>
        <v>0.1</v>
      </c>
      <c r="G14" s="159">
        <f>IFERROR(ROUND(CORREL('Returns (Calc)'!$J$3:$J$500,'Returns (Calc)'!$G$3:$G$500),2),"")</f>
        <v>0.27</v>
      </c>
      <c r="H14" s="159">
        <f>IFERROR(ROUND(CORREL('Returns (Calc)'!$J$3:$J$500,'Returns (Calc)'!$H$3:$H$500),2),"")</f>
        <v>0.2</v>
      </c>
      <c r="I14" s="159">
        <f>IFERROR(ROUND(CORREL('Returns (Calc)'!$J$3:$J$500,'Returns (Calc)'!$I$3:$I$500),2),"")</f>
        <v>0.16</v>
      </c>
      <c r="J14" s="159">
        <v>1</v>
      </c>
      <c r="K14" s="159">
        <f>IFERROR(ROUND(CORREL('Returns (Calc)'!$J$3:$J$500,'Returns (Calc)'!$K$3:$K$500),2),"")</f>
        <v>0.13</v>
      </c>
      <c r="L14" s="159">
        <f>IFERROR(ROUND(CORREL('Returns (Calc)'!$J$3:$J$500,'Returns (Calc)'!$L$3:$L$500),2),"")</f>
        <v>0.2</v>
      </c>
      <c r="M14" s="159">
        <f>IFERROR(ROUND(CORREL('Returns (Calc)'!$J$3:$J$500,'Returns (Calc)'!$M$3:$M$500),2),"")</f>
        <v>0.15</v>
      </c>
      <c r="N14" s="159">
        <f>IFERROR(ROUND(CORREL('Returns (Calc)'!$J$3:$J$500,'Returns (Calc)'!$N$3:$N$500),2),"")</f>
        <v>0.25</v>
      </c>
      <c r="O14" s="159">
        <f>IFERROR(ROUND(CORREL('Returns (Calc)'!$J$3:$J$500,'Returns (Calc)'!$O$3:$O$500),2),"")</f>
        <v>0.62</v>
      </c>
      <c r="P14" s="159">
        <f>IFERROR(ROUND(CORREL('Returns (Calc)'!$J$3:$J$500,'Returns (Calc)'!$P$3:$P$500),2),"")</f>
        <v>0.65</v>
      </c>
      <c r="Q14" s="159">
        <f>IFERROR(ROUND(CORREL('Returns (Calc)'!$J$3:$J$500,'Returns (Calc)'!$Q$3:$Q$500),2),"")</f>
        <v>0.48</v>
      </c>
      <c r="R14" s="159">
        <f>IFERROR(ROUND(CORREL('Returns (Calc)'!$J$3:$J$500,'Returns (Calc)'!$R$3:$R$500),2),"")</f>
        <v>0.36</v>
      </c>
      <c r="S14" s="159">
        <f>IFERROR(ROUND(CORREL('Returns (Calc)'!$J$3:$J$500,'Returns (Calc)'!$S$3:$S$500),2),"")</f>
        <v>0.34</v>
      </c>
      <c r="T14" s="159">
        <f>IFERROR(ROUND(CORREL('Returns (Calc)'!$J$3:$J$500,'Returns (Calc)'!$T$3:$T$500),2),"")</f>
        <v>0.52</v>
      </c>
      <c r="U14" s="159">
        <f>IFERROR(ROUND(CORREL('Returns (Calc)'!$J$3:$J$500,'Returns (Calc)'!$U$3:$U$500),2),"")</f>
        <v>0.66</v>
      </c>
      <c r="V14" s="159">
        <f>IFERROR(ROUND(CORREL('Returns (Calc)'!$J$3:$J$500,'Returns (Calc)'!$V$3:$V$500),2),"")</f>
        <v>0.36</v>
      </c>
      <c r="W14" s="159">
        <f>IFERROR(ROUND(CORREL('Returns (Calc)'!$J$3:$J$500,'Returns (Calc)'!$AP$3:$AP$500),2),"")</f>
        <v>0.65</v>
      </c>
      <c r="X14" s="159">
        <f>IFERROR(ROUND(CORREL('Returns (Calc)'!$J$3:$J$500,'Returns (Calc)'!$AQ$3:$AQ$500),2),"")</f>
        <v>0.09</v>
      </c>
      <c r="Y14" s="159">
        <f>IFERROR(ROUND(CORREL('Returns (Calc)'!$J$3:$J$500,'Returns (Calc)'!$AR$3:$AR$500),2),"")</f>
        <v>0.61</v>
      </c>
      <c r="Z14" s="159">
        <f>IFERROR(ROUND(CORREL('Returns (Calc)'!$J$3:$J$500,'Returns (Calc)'!$AS$3:$AS$500),2),"")</f>
        <v>0.28999999999999998</v>
      </c>
      <c r="AA14" s="159">
        <f>IFERROR(ROUND(CORREL('Returns (Calc)'!$J$3:$J$500,'Returns (Calc)'!$AT$3:$AT$500),2),"")</f>
        <v>0.13</v>
      </c>
      <c r="AB14" s="159">
        <f>IFERROR(ROUND(CORREL('Returns (Calc)'!$J$3:$J$500,'Returns (Calc)'!$AU$3:$AU$500),2),"")</f>
        <v>0.15</v>
      </c>
      <c r="AG14" s="160">
        <f t="shared" si="0"/>
        <v>0</v>
      </c>
    </row>
    <row r="15" spans="1:33" ht="15" customHeight="1" x14ac:dyDescent="0.2">
      <c r="A15" s="158" t="str">
        <f>'Returns (Calc)'!K2</f>
        <v>PLTR</v>
      </c>
      <c r="B15" s="159">
        <f>IFERROR(ROUND(CORREL('Returns (Calc)'!$K$3:$K$500,'Returns (Calc)'!$B$3:$B$500),2),"")</f>
        <v>0.38</v>
      </c>
      <c r="C15" s="159">
        <f>IFERROR(ROUND(CORREL('Returns (Calc)'!$K$3:$K$500,'Returns (Calc)'!$C$3:$C$500),2),"")</f>
        <v>0.34</v>
      </c>
      <c r="D15" s="159">
        <f>IFERROR(ROUND(CORREL('Returns (Calc)'!$K$3:$K$500,'Returns (Calc)'!$D$3:$D$500),2),"")</f>
        <v>0.2</v>
      </c>
      <c r="E15" s="159">
        <f>IFERROR(ROUND(CORREL('Returns (Calc)'!$K$3:$K$500,'Returns (Calc)'!$E$3:$E$500),2),"")</f>
        <v>0.37</v>
      </c>
      <c r="F15" s="159">
        <f>IFERROR(ROUND(CORREL('Returns (Calc)'!$K$3:$K$500,'Returns (Calc)'!$F$3:$F$500),2),"")</f>
        <v>0.5</v>
      </c>
      <c r="G15" s="159">
        <f>IFERROR(ROUND(CORREL('Returns (Calc)'!$K$3:$K$500,'Returns (Calc)'!$G$3:$G$500),2),"")</f>
        <v>0.24</v>
      </c>
      <c r="H15" s="159">
        <f>IFERROR(ROUND(CORREL('Returns (Calc)'!$K$3:$K$500,'Returns (Calc)'!$H$3:$H$500),2),"")</f>
        <v>0.16</v>
      </c>
      <c r="I15" s="159">
        <f>IFERROR(ROUND(CORREL('Returns (Calc)'!$K$3:$K$500,'Returns (Calc)'!$I$3:$I$500),2),"")</f>
        <v>0.45</v>
      </c>
      <c r="J15" s="159">
        <f>IFERROR(ROUND(CORREL('Returns (Calc)'!$K$3:$K$500,'Returns (Calc)'!$J$3:$J$500),2),"")</f>
        <v>0.13</v>
      </c>
      <c r="K15" s="159">
        <v>1</v>
      </c>
      <c r="L15" s="159">
        <f>IFERROR(ROUND(CORREL('Returns (Calc)'!$K$3:$K$500,'Returns (Calc)'!$L$3:$L$500),2),"")</f>
        <v>0.37</v>
      </c>
      <c r="M15" s="159">
        <f>IFERROR(ROUND(CORREL('Returns (Calc)'!$K$3:$K$500,'Returns (Calc)'!$M$3:$M$500),2),"")</f>
        <v>0.32</v>
      </c>
      <c r="N15" s="159">
        <f>IFERROR(ROUND(CORREL('Returns (Calc)'!$K$3:$K$500,'Returns (Calc)'!$N$3:$N$500),2),"")</f>
        <v>0.08</v>
      </c>
      <c r="O15" s="159">
        <f>IFERROR(ROUND(CORREL('Returns (Calc)'!$K$3:$K$500,'Returns (Calc)'!$O$3:$O$500),2),"")</f>
        <v>0.23</v>
      </c>
      <c r="P15" s="159">
        <f>IFERROR(ROUND(CORREL('Returns (Calc)'!$K$3:$K$500,'Returns (Calc)'!$P$3:$P$500),2),"")</f>
        <v>0.1</v>
      </c>
      <c r="Q15" s="159">
        <f>IFERROR(ROUND(CORREL('Returns (Calc)'!$K$3:$K$500,'Returns (Calc)'!$Q$3:$Q$500),2),"")</f>
        <v>0.48</v>
      </c>
      <c r="R15" s="159">
        <f>IFERROR(ROUND(CORREL('Returns (Calc)'!$K$3:$K$500,'Returns (Calc)'!$R$3:$R$500),2),"")</f>
        <v>0.52</v>
      </c>
      <c r="S15" s="159">
        <f>IFERROR(ROUND(CORREL('Returns (Calc)'!$K$3:$K$500,'Returns (Calc)'!$S$3:$S$500),2),"")</f>
        <v>0.44</v>
      </c>
      <c r="T15" s="159">
        <f>IFERROR(ROUND(CORREL('Returns (Calc)'!$K$3:$K$500,'Returns (Calc)'!$T$3:$T$500),2),"")</f>
        <v>0.35</v>
      </c>
      <c r="U15" s="159">
        <f>IFERROR(ROUND(CORREL('Returns (Calc)'!$K$3:$K$500,'Returns (Calc)'!$U$3:$U$500),2),"")</f>
        <v>0.15</v>
      </c>
      <c r="V15" s="159">
        <f>IFERROR(ROUND(CORREL('Returns (Calc)'!$K$3:$K$500,'Returns (Calc)'!$V$3:$V$500),2),"")</f>
        <v>0.25</v>
      </c>
      <c r="W15" s="159">
        <f>IFERROR(ROUND(CORREL('Returns (Calc)'!$K$3:$K$500,'Returns (Calc)'!$AP$3:$AP$500),2),"")</f>
        <v>0.26</v>
      </c>
      <c r="X15" s="159">
        <f>IFERROR(ROUND(CORREL('Returns (Calc)'!$K$3:$K$500,'Returns (Calc)'!$AQ$3:$AQ$500),2),"")</f>
        <v>-0.46</v>
      </c>
      <c r="Y15" s="159">
        <f>IFERROR(ROUND(CORREL('Returns (Calc)'!$K$3:$K$500,'Returns (Calc)'!$AR$3:$AR$500),2),"")</f>
        <v>0.32</v>
      </c>
      <c r="Z15" s="159">
        <f>IFERROR(ROUND(CORREL('Returns (Calc)'!$K$3:$K$500,'Returns (Calc)'!$AS$3:$AS$500),2),"")</f>
        <v>0.26</v>
      </c>
      <c r="AA15" s="159">
        <f>IFERROR(ROUND(CORREL('Returns (Calc)'!$K$3:$K$500,'Returns (Calc)'!$AT$3:$AT$500),2),"")</f>
        <v>0.3</v>
      </c>
      <c r="AB15" s="159">
        <f>IFERROR(ROUND(CORREL('Returns (Calc)'!$K$3:$K$500,'Returns (Calc)'!$AU$3:$AU$500),2),"")</f>
        <v>0.41</v>
      </c>
      <c r="AG15" s="160">
        <f t="shared" si="0"/>
        <v>0</v>
      </c>
    </row>
    <row r="16" spans="1:33" ht="15" customHeight="1" x14ac:dyDescent="0.2">
      <c r="A16" s="158" t="str">
        <f>'Returns (Calc)'!L2</f>
        <v>TSM</v>
      </c>
      <c r="B16" s="159">
        <f>IFERROR(ROUND(CORREL('Returns (Calc)'!$L$3:$L$500,'Returns (Calc)'!$B$3:$B$500),2),"")</f>
        <v>0.15</v>
      </c>
      <c r="C16" s="159">
        <f>IFERROR(ROUND(CORREL('Returns (Calc)'!$L$3:$L$500,'Returns (Calc)'!$C$3:$C$500),2),"")</f>
        <v>0.55000000000000004</v>
      </c>
      <c r="D16" s="159">
        <f>IFERROR(ROUND(CORREL('Returns (Calc)'!$L$3:$L$500,'Returns (Calc)'!$D$3:$D$500),2),"")</f>
        <v>0.64</v>
      </c>
      <c r="E16" s="159">
        <f>IFERROR(ROUND(CORREL('Returns (Calc)'!$L$3:$L$500,'Returns (Calc)'!$E$3:$E$500),2),"")</f>
        <v>0.62</v>
      </c>
      <c r="F16" s="159">
        <f>IFERROR(ROUND(CORREL('Returns (Calc)'!$L$3:$L$500,'Returns (Calc)'!$F$3:$F$500),2),"")</f>
        <v>0.38</v>
      </c>
      <c r="G16" s="159">
        <f>IFERROR(ROUND(CORREL('Returns (Calc)'!$L$3:$L$500,'Returns (Calc)'!$G$3:$G$500),2),"")</f>
        <v>0.62</v>
      </c>
      <c r="H16" s="159">
        <f>IFERROR(ROUND(CORREL('Returns (Calc)'!$L$3:$L$500,'Returns (Calc)'!$H$3:$H$500),2),"")</f>
        <v>0.56000000000000005</v>
      </c>
      <c r="I16" s="159">
        <f>IFERROR(ROUND(CORREL('Returns (Calc)'!$L$3:$L$500,'Returns (Calc)'!$I$3:$I$500),2),"")</f>
        <v>0.64</v>
      </c>
      <c r="J16" s="159">
        <f>IFERROR(ROUND(CORREL('Returns (Calc)'!$L$3:$L$500,'Returns (Calc)'!$J$3:$J$500),2),"")</f>
        <v>0.2</v>
      </c>
      <c r="K16" s="159">
        <f>IFERROR(ROUND(CORREL('Returns (Calc)'!$L$3:$L$500,'Returns (Calc)'!$K$3:$K$500),2),"")</f>
        <v>0.37</v>
      </c>
      <c r="L16" s="159">
        <v>1</v>
      </c>
      <c r="M16" s="159">
        <f>IFERROR(ROUND(CORREL('Returns (Calc)'!$L$3:$L$500,'Returns (Calc)'!$M$3:$M$500),2),"")</f>
        <v>0.6</v>
      </c>
      <c r="N16" s="159">
        <f>IFERROR(ROUND(CORREL('Returns (Calc)'!$L$3:$L$500,'Returns (Calc)'!$N$3:$N$500),2),"")</f>
        <v>0.14000000000000001</v>
      </c>
      <c r="O16" s="159">
        <f>IFERROR(ROUND(CORREL('Returns (Calc)'!$L$3:$L$500,'Returns (Calc)'!$O$3:$O$500),2),"")</f>
        <v>0.33</v>
      </c>
      <c r="P16" s="159">
        <f>IFERROR(ROUND(CORREL('Returns (Calc)'!$L$3:$L$500,'Returns (Calc)'!$P$3:$P$500),2),"")</f>
        <v>0.16</v>
      </c>
      <c r="Q16" s="159">
        <f>IFERROR(ROUND(CORREL('Returns (Calc)'!$L$3:$L$500,'Returns (Calc)'!$Q$3:$Q$500),2),"")</f>
        <v>0.62</v>
      </c>
      <c r="R16" s="159">
        <f>IFERROR(ROUND(CORREL('Returns (Calc)'!$L$3:$L$500,'Returns (Calc)'!$R$3:$R$500),2),"")</f>
        <v>0.69</v>
      </c>
      <c r="S16" s="159">
        <f>IFERROR(ROUND(CORREL('Returns (Calc)'!$L$3:$L$500,'Returns (Calc)'!$S$3:$S$500),2),"")</f>
        <v>0.7</v>
      </c>
      <c r="T16" s="159">
        <f>IFERROR(ROUND(CORREL('Returns (Calc)'!$L$3:$L$500,'Returns (Calc)'!$T$3:$T$500),2),"")</f>
        <v>0.27</v>
      </c>
      <c r="U16" s="159">
        <f>IFERROR(ROUND(CORREL('Returns (Calc)'!$L$3:$L$500,'Returns (Calc)'!$U$3:$U$500),2),"")</f>
        <v>0.21</v>
      </c>
      <c r="V16" s="159">
        <f>IFERROR(ROUND(CORREL('Returns (Calc)'!$L$3:$L$500,'Returns (Calc)'!$V$3:$V$500),2),"")</f>
        <v>0.11</v>
      </c>
      <c r="W16" s="159">
        <f>IFERROR(ROUND(CORREL('Returns (Calc)'!$L$3:$L$500,'Returns (Calc)'!$AP$3:$AP$500),2),"")</f>
        <v>0.41</v>
      </c>
      <c r="X16" s="159">
        <f>IFERROR(ROUND(CORREL('Returns (Calc)'!$L$3:$L$500,'Returns (Calc)'!$AQ$3:$AQ$500),2),"")</f>
        <v>-0.26</v>
      </c>
      <c r="Y16" s="159">
        <f>IFERROR(ROUND(CORREL('Returns (Calc)'!$L$3:$L$500,'Returns (Calc)'!$AR$3:$AR$500),2),"")</f>
        <v>0.47</v>
      </c>
      <c r="Z16" s="159">
        <f>IFERROR(ROUND(CORREL('Returns (Calc)'!$L$3:$L$500,'Returns (Calc)'!$AS$3:$AS$500),2),"")</f>
        <v>0.44</v>
      </c>
      <c r="AA16" s="159">
        <f>IFERROR(ROUND(CORREL('Returns (Calc)'!$L$3:$L$500,'Returns (Calc)'!$AT$3:$AT$500),2),"")</f>
        <v>0.28999999999999998</v>
      </c>
      <c r="AB16" s="159">
        <f>IFERROR(ROUND(CORREL('Returns (Calc)'!$L$3:$L$500,'Returns (Calc)'!$AU$3:$AU$500),2),"")</f>
        <v>0.11</v>
      </c>
      <c r="AG16" s="160">
        <f t="shared" si="0"/>
        <v>0</v>
      </c>
    </row>
    <row r="17" spans="1:33" ht="15" customHeight="1" x14ac:dyDescent="0.2">
      <c r="A17" s="158" t="str">
        <f>'Returns (Calc)'!M2</f>
        <v>VRT</v>
      </c>
      <c r="B17" s="159">
        <f>IFERROR(ROUND(CORREL('Returns (Calc)'!$M$3:$M$500,'Returns (Calc)'!$B$3:$B$500),2),"")</f>
        <v>0.05</v>
      </c>
      <c r="C17" s="159">
        <f>IFERROR(ROUND(CORREL('Returns (Calc)'!$M$3:$M$500,'Returns (Calc)'!$C$3:$C$500),2),"")</f>
        <v>0.57999999999999996</v>
      </c>
      <c r="D17" s="159">
        <f>IFERROR(ROUND(CORREL('Returns (Calc)'!$M$3:$M$500,'Returns (Calc)'!$D$3:$D$500),2),"")</f>
        <v>0.43</v>
      </c>
      <c r="E17" s="159">
        <f>IFERROR(ROUND(CORREL('Returns (Calc)'!$M$3:$M$500,'Returns (Calc)'!$E$3:$E$500),2),"")</f>
        <v>0.52</v>
      </c>
      <c r="F17" s="159">
        <f>IFERROR(ROUND(CORREL('Returns (Calc)'!$M$3:$M$500,'Returns (Calc)'!$F$3:$F$500),2),"")</f>
        <v>0.4</v>
      </c>
      <c r="G17" s="159">
        <f>IFERROR(ROUND(CORREL('Returns (Calc)'!$M$3:$M$500,'Returns (Calc)'!$G$3:$G$500),2),"")</f>
        <v>0.51</v>
      </c>
      <c r="H17" s="159">
        <f>IFERROR(ROUND(CORREL('Returns (Calc)'!$M$3:$M$500,'Returns (Calc)'!$H$3:$H$500),2),"")</f>
        <v>0.5</v>
      </c>
      <c r="I17" s="159">
        <f>IFERROR(ROUND(CORREL('Returns (Calc)'!$M$3:$M$500,'Returns (Calc)'!$I$3:$I$500),2),"")</f>
        <v>0.65</v>
      </c>
      <c r="J17" s="159">
        <f>IFERROR(ROUND(CORREL('Returns (Calc)'!$M$3:$M$500,'Returns (Calc)'!$J$3:$J$500),2),"")</f>
        <v>0.15</v>
      </c>
      <c r="K17" s="159">
        <f>IFERROR(ROUND(CORREL('Returns (Calc)'!$M$3:$M$500,'Returns (Calc)'!$K$3:$K$500),2),"")</f>
        <v>0.32</v>
      </c>
      <c r="L17" s="159">
        <f>IFERROR(ROUND(CORREL('Returns (Calc)'!$M$3:$M$500,'Returns (Calc)'!$L$3:$L$500),2),"")</f>
        <v>0.6</v>
      </c>
      <c r="M17" s="159">
        <v>1</v>
      </c>
      <c r="N17" s="159">
        <f>IFERROR(ROUND(CORREL('Returns (Calc)'!$M$3:$M$500,'Returns (Calc)'!$N$3:$N$500),2),"")</f>
        <v>0.12</v>
      </c>
      <c r="O17" s="159">
        <f>IFERROR(ROUND(CORREL('Returns (Calc)'!$M$3:$M$500,'Returns (Calc)'!$O$3:$O$500),2),"")</f>
        <v>0.35</v>
      </c>
      <c r="P17" s="159">
        <f>IFERROR(ROUND(CORREL('Returns (Calc)'!$M$3:$M$500,'Returns (Calc)'!$P$3:$P$500),2),"")</f>
        <v>0.21</v>
      </c>
      <c r="Q17" s="159">
        <f>IFERROR(ROUND(CORREL('Returns (Calc)'!$M$3:$M$500,'Returns (Calc)'!$Q$3:$Q$500),2),"")</f>
        <v>0.56999999999999995</v>
      </c>
      <c r="R17" s="159">
        <f>IFERROR(ROUND(CORREL('Returns (Calc)'!$M$3:$M$500,'Returns (Calc)'!$R$3:$R$500),2),"")</f>
        <v>0.63</v>
      </c>
      <c r="S17" s="159">
        <f>IFERROR(ROUND(CORREL('Returns (Calc)'!$M$3:$M$500,'Returns (Calc)'!$S$3:$S$500),2),"")</f>
        <v>0.67</v>
      </c>
      <c r="T17" s="159">
        <f>IFERROR(ROUND(CORREL('Returns (Calc)'!$M$3:$M$500,'Returns (Calc)'!$T$3:$T$500),2),"")</f>
        <v>0.28999999999999998</v>
      </c>
      <c r="U17" s="159">
        <f>IFERROR(ROUND(CORREL('Returns (Calc)'!$M$3:$M$500,'Returns (Calc)'!$U$3:$U$500),2),"")</f>
        <v>0.21</v>
      </c>
      <c r="V17" s="159">
        <f>IFERROR(ROUND(CORREL('Returns (Calc)'!$M$3:$M$500,'Returns (Calc)'!$V$3:$V$500),2),"")</f>
        <v>0.13</v>
      </c>
      <c r="W17" s="159">
        <f>IFERROR(ROUND(CORREL('Returns (Calc)'!$M$3:$M$500,'Returns (Calc)'!$AP$3:$AP$500),2),"")</f>
        <v>0.42</v>
      </c>
      <c r="X17" s="159">
        <f>IFERROR(ROUND(CORREL('Returns (Calc)'!$M$3:$M$500,'Returns (Calc)'!$AQ$3:$AQ$500),2),"")</f>
        <v>0.19</v>
      </c>
      <c r="Y17" s="159">
        <f>IFERROR(ROUND(CORREL('Returns (Calc)'!$M$3:$M$500,'Returns (Calc)'!$AR$3:$AR$500),2),"")</f>
        <v>0.44</v>
      </c>
      <c r="Z17" s="159">
        <f>IFERROR(ROUND(CORREL('Returns (Calc)'!$M$3:$M$500,'Returns (Calc)'!$AS$3:$AS$500),2),"")</f>
        <v>0.44</v>
      </c>
      <c r="AA17" s="159">
        <f>IFERROR(ROUND(CORREL('Returns (Calc)'!$M$3:$M$500,'Returns (Calc)'!$AT$3:$AT$500),2),"")</f>
        <v>0.31</v>
      </c>
      <c r="AB17" s="159">
        <f>IFERROR(ROUND(CORREL('Returns (Calc)'!$M$3:$M$500,'Returns (Calc)'!$AU$3:$AU$500),2),"")</f>
        <v>0.06</v>
      </c>
      <c r="AG17" s="160">
        <f t="shared" si="0"/>
        <v>0</v>
      </c>
    </row>
    <row r="18" spans="1:33" ht="15" customHeight="1" x14ac:dyDescent="0.2">
      <c r="A18" s="158" t="str">
        <f>'Returns (Calc)'!N2</f>
        <v>VRTX</v>
      </c>
      <c r="B18" s="159">
        <f>IFERROR(ROUND(CORREL('Returns (Calc)'!$N$3:$N$500,'Returns (Calc)'!$B$3:$B$500),2),"")</f>
        <v>0.14000000000000001</v>
      </c>
      <c r="C18" s="159">
        <f>IFERROR(ROUND(CORREL('Returns (Calc)'!$N$3:$N$500,'Returns (Calc)'!$C$3:$C$500),2),"")</f>
        <v>0.05</v>
      </c>
      <c r="D18" s="159">
        <f>IFERROR(ROUND(CORREL('Returns (Calc)'!$N$3:$N$500,'Returns (Calc)'!$D$3:$D$500),2),"")</f>
        <v>0.11</v>
      </c>
      <c r="E18" s="159">
        <f>IFERROR(ROUND(CORREL('Returns (Calc)'!$N$3:$N$500,'Returns (Calc)'!$E$3:$E$500),2),"")</f>
        <v>0.14000000000000001</v>
      </c>
      <c r="F18" s="159">
        <f>IFERROR(ROUND(CORREL('Returns (Calc)'!$N$3:$N$500,'Returns (Calc)'!$F$3:$F$500),2),"")</f>
        <v>0.17</v>
      </c>
      <c r="G18" s="159">
        <f>IFERROR(ROUND(CORREL('Returns (Calc)'!$N$3:$N$500,'Returns (Calc)'!$G$3:$G$500),2),"")</f>
        <v>0.16</v>
      </c>
      <c r="H18" s="159">
        <f>IFERROR(ROUND(CORREL('Returns (Calc)'!$N$3:$N$500,'Returns (Calc)'!$H$3:$H$500),2),"")</f>
        <v>0.18</v>
      </c>
      <c r="I18" s="159">
        <f>IFERROR(ROUND(CORREL('Returns (Calc)'!$N$3:$N$500,'Returns (Calc)'!$I$3:$I$500),2),"")</f>
        <v>0.14000000000000001</v>
      </c>
      <c r="J18" s="159">
        <f>IFERROR(ROUND(CORREL('Returns (Calc)'!$N$3:$N$500,'Returns (Calc)'!$J$3:$J$500),2),"")</f>
        <v>0.25</v>
      </c>
      <c r="K18" s="159">
        <f>IFERROR(ROUND(CORREL('Returns (Calc)'!$N$3:$N$500,'Returns (Calc)'!$K$3:$K$500),2),"")</f>
        <v>0.08</v>
      </c>
      <c r="L18" s="159">
        <f>IFERROR(ROUND(CORREL('Returns (Calc)'!$N$3:$N$500,'Returns (Calc)'!$L$3:$L$500),2),"")</f>
        <v>0.14000000000000001</v>
      </c>
      <c r="M18" s="159">
        <f>IFERROR(ROUND(CORREL('Returns (Calc)'!$N$3:$N$500,'Returns (Calc)'!$M$3:$M$500),2),"")</f>
        <v>0.12</v>
      </c>
      <c r="N18" s="159">
        <v>1</v>
      </c>
      <c r="O18" s="159">
        <f>IFERROR(ROUND(CORREL('Returns (Calc)'!$N$3:$N$500,'Returns (Calc)'!$O$3:$O$500),2),"")</f>
        <v>0.22</v>
      </c>
      <c r="P18" s="159">
        <f>IFERROR(ROUND(CORREL('Returns (Calc)'!$N$3:$N$500,'Returns (Calc)'!$P$3:$P$500),2),"")</f>
        <v>0.23</v>
      </c>
      <c r="Q18" s="159">
        <f>IFERROR(ROUND(CORREL('Returns (Calc)'!$N$3:$N$500,'Returns (Calc)'!$Q$3:$Q$500),2),"")</f>
        <v>0.27</v>
      </c>
      <c r="R18" s="159">
        <f>IFERROR(ROUND(CORREL('Returns (Calc)'!$N$3:$N$500,'Returns (Calc)'!$R$3:$R$500),2),"")</f>
        <v>0.2</v>
      </c>
      <c r="S18" s="159">
        <f>IFERROR(ROUND(CORREL('Returns (Calc)'!$N$3:$N$500,'Returns (Calc)'!$S$3:$S$500),2),"")</f>
        <v>0.17</v>
      </c>
      <c r="T18" s="159">
        <f>IFERROR(ROUND(CORREL('Returns (Calc)'!$N$3:$N$500,'Returns (Calc)'!$T$3:$T$500),2),"")</f>
        <v>0.32</v>
      </c>
      <c r="U18" s="159">
        <f>IFERROR(ROUND(CORREL('Returns (Calc)'!$N$3:$N$500,'Returns (Calc)'!$U$3:$U$500),2),"")</f>
        <v>0.35</v>
      </c>
      <c r="V18" s="159">
        <f>IFERROR(ROUND(CORREL('Returns (Calc)'!$N$3:$N$500,'Returns (Calc)'!$V$3:$V$500),2),"")</f>
        <v>0.26</v>
      </c>
      <c r="W18" s="159">
        <f>IFERROR(ROUND(CORREL('Returns (Calc)'!$N$3:$N$500,'Returns (Calc)'!$AP$3:$AP$500),2),"")</f>
        <v>0.28000000000000003</v>
      </c>
      <c r="X18" s="159">
        <f>IFERROR(ROUND(CORREL('Returns (Calc)'!$N$3:$N$500,'Returns (Calc)'!$AQ$3:$AQ$500),2),"")</f>
        <v>-0.16</v>
      </c>
      <c r="Y18" s="159">
        <f>IFERROR(ROUND(CORREL('Returns (Calc)'!$N$3:$N$500,'Returns (Calc)'!$AR$3:$AR$500),2),"")</f>
        <v>0.34</v>
      </c>
      <c r="Z18" s="159">
        <f>IFERROR(ROUND(CORREL('Returns (Calc)'!$N$3:$N$500,'Returns (Calc)'!$AS$3:$AS$500),2),"")</f>
        <v>0.08</v>
      </c>
      <c r="AA18" s="159">
        <f>IFERROR(ROUND(CORREL('Returns (Calc)'!$N$3:$N$500,'Returns (Calc)'!$AT$3:$AT$500),2),"")</f>
        <v>0.08</v>
      </c>
      <c r="AB18" s="159">
        <f>IFERROR(ROUND(CORREL('Returns (Calc)'!$N$3:$N$500,'Returns (Calc)'!$AU$3:$AU$500),2),"")</f>
        <v>0.27</v>
      </c>
      <c r="AG18" s="160">
        <f t="shared" si="0"/>
        <v>0</v>
      </c>
    </row>
    <row r="19" spans="1:33" ht="15" customHeight="1" x14ac:dyDescent="0.2">
      <c r="A19" s="158" t="str">
        <f>'Returns (Calc)'!O2</f>
        <v>AVUV</v>
      </c>
      <c r="B19" s="159">
        <f>IFERROR(ROUND(CORREL('Returns (Calc)'!$O$3:$O$500,'Returns (Calc)'!$B$3:$B$500),2),"")</f>
        <v>0.16</v>
      </c>
      <c r="C19" s="159">
        <f>IFERROR(ROUND(CORREL('Returns (Calc)'!$O$3:$O$500,'Returns (Calc)'!$C$3:$C$500),2),"")</f>
        <v>0.35</v>
      </c>
      <c r="D19" s="159">
        <f>IFERROR(ROUND(CORREL('Returns (Calc)'!$O$3:$O$500,'Returns (Calc)'!$D$3:$D$500),2),"")</f>
        <v>0.38</v>
      </c>
      <c r="E19" s="159">
        <f>IFERROR(ROUND(CORREL('Returns (Calc)'!$O$3:$O$500,'Returns (Calc)'!$E$3:$E$500),2),"")</f>
        <v>0.28999999999999998</v>
      </c>
      <c r="F19" s="159">
        <f>IFERROR(ROUND(CORREL('Returns (Calc)'!$O$3:$O$500,'Returns (Calc)'!$F$3:$F$500),2),"")</f>
        <v>0.19</v>
      </c>
      <c r="G19" s="159">
        <f>IFERROR(ROUND(CORREL('Returns (Calc)'!$O$3:$O$500,'Returns (Calc)'!$G$3:$G$500),2),"")</f>
        <v>0.43</v>
      </c>
      <c r="H19" s="159">
        <f>IFERROR(ROUND(CORREL('Returns (Calc)'!$O$3:$O$500,'Returns (Calc)'!$H$3:$H$500),2),"")</f>
        <v>0.35</v>
      </c>
      <c r="I19" s="159">
        <f>IFERROR(ROUND(CORREL('Returns (Calc)'!$O$3:$O$500,'Returns (Calc)'!$I$3:$I$500),2),"")</f>
        <v>0.28000000000000003</v>
      </c>
      <c r="J19" s="159">
        <f>IFERROR(ROUND(CORREL('Returns (Calc)'!$O$3:$O$500,'Returns (Calc)'!$J$3:$J$500),2),"")</f>
        <v>0.62</v>
      </c>
      <c r="K19" s="159">
        <f>IFERROR(ROUND(CORREL('Returns (Calc)'!$O$3:$O$500,'Returns (Calc)'!$K$3:$K$500),2),"")</f>
        <v>0.23</v>
      </c>
      <c r="L19" s="159">
        <f>IFERROR(ROUND(CORREL('Returns (Calc)'!$O$3:$O$500,'Returns (Calc)'!$L$3:$L$500),2),"")</f>
        <v>0.33</v>
      </c>
      <c r="M19" s="159">
        <f>IFERROR(ROUND(CORREL('Returns (Calc)'!$O$3:$O$500,'Returns (Calc)'!$M$3:$M$500),2),"")</f>
        <v>0.35</v>
      </c>
      <c r="N19" s="159">
        <f>IFERROR(ROUND(CORREL('Returns (Calc)'!$O$3:$O$500,'Returns (Calc)'!$N$3:$N$500),2),"")</f>
        <v>0.22</v>
      </c>
      <c r="O19" s="159">
        <v>1</v>
      </c>
      <c r="P19" s="159">
        <f>IFERROR(ROUND(CORREL('Returns (Calc)'!$O$3:$O$500,'Returns (Calc)'!$P$3:$P$500),2),"")</f>
        <v>0.86</v>
      </c>
      <c r="Q19" s="159">
        <f>IFERROR(ROUND(CORREL('Returns (Calc)'!$O$3:$O$500,'Returns (Calc)'!$Q$3:$Q$500),2),"")</f>
        <v>0.64</v>
      </c>
      <c r="R19" s="159">
        <f>IFERROR(ROUND(CORREL('Returns (Calc)'!$O$3:$O$500,'Returns (Calc)'!$R$3:$R$500),2),"")</f>
        <v>0.52</v>
      </c>
      <c r="S19" s="159">
        <f>IFERROR(ROUND(CORREL('Returns (Calc)'!$O$3:$O$500,'Returns (Calc)'!$S$3:$S$500),2),"")</f>
        <v>0.5</v>
      </c>
      <c r="T19" s="159">
        <f>IFERROR(ROUND(CORREL('Returns (Calc)'!$O$3:$O$500,'Returns (Calc)'!$T$3:$T$500),2),"")</f>
        <v>0.78</v>
      </c>
      <c r="U19" s="159">
        <f>IFERROR(ROUND(CORREL('Returns (Calc)'!$O$3:$O$500,'Returns (Calc)'!$U$3:$U$500),2),"")</f>
        <v>0.83</v>
      </c>
      <c r="V19" s="159">
        <f>IFERROR(ROUND(CORREL('Returns (Calc)'!$O$3:$O$500,'Returns (Calc)'!$V$3:$V$500),2),"")</f>
        <v>0.35</v>
      </c>
      <c r="W19" s="159">
        <f>IFERROR(ROUND(CORREL('Returns (Calc)'!$O$3:$O$500,'Returns (Calc)'!$AP$3:$AP$500),2),"")</f>
        <v>0.87</v>
      </c>
      <c r="X19" s="159">
        <f>IFERROR(ROUND(CORREL('Returns (Calc)'!$O$3:$O$500,'Returns (Calc)'!$AQ$3:$AQ$500),2),"")</f>
        <v>0.11</v>
      </c>
      <c r="Y19" s="159">
        <f>IFERROR(ROUND(CORREL('Returns (Calc)'!$O$3:$O$500,'Returns (Calc)'!$AR$3:$AR$500),2),"")</f>
        <v>0.73</v>
      </c>
      <c r="Z19" s="159">
        <f>IFERROR(ROUND(CORREL('Returns (Calc)'!$O$3:$O$500,'Returns (Calc)'!$AS$3:$AS$500),2),"")</f>
        <v>0.46</v>
      </c>
      <c r="AA19" s="159">
        <f>IFERROR(ROUND(CORREL('Returns (Calc)'!$O$3:$O$500,'Returns (Calc)'!$AT$3:$AT$500),2),"")</f>
        <v>0.21</v>
      </c>
      <c r="AB19" s="159">
        <f>IFERROR(ROUND(CORREL('Returns (Calc)'!$O$3:$O$500,'Returns (Calc)'!$AU$3:$AU$500),2),"")</f>
        <v>0.22</v>
      </c>
      <c r="AG19" s="160">
        <f t="shared" si="0"/>
        <v>5</v>
      </c>
    </row>
    <row r="20" spans="1:33" ht="15" customHeight="1" x14ac:dyDescent="0.2">
      <c r="A20" s="158" t="str">
        <f>'Returns (Calc)'!P2</f>
        <v>DVY</v>
      </c>
      <c r="B20" s="159">
        <f>IFERROR(ROUND(CORREL('Returns (Calc)'!$P$3:$P$500,'Returns (Calc)'!$B$3:$B$500),2),"")</f>
        <v>0.14000000000000001</v>
      </c>
      <c r="C20" s="159">
        <f>IFERROR(ROUND(CORREL('Returns (Calc)'!$P$3:$P$500,'Returns (Calc)'!$C$3:$C$500),2),"")</f>
        <v>0.24</v>
      </c>
      <c r="D20" s="159">
        <f>IFERROR(ROUND(CORREL('Returns (Calc)'!$P$3:$P$500,'Returns (Calc)'!$D$3:$D$500),2),"")</f>
        <v>0.23</v>
      </c>
      <c r="E20" s="159">
        <f>IFERROR(ROUND(CORREL('Returns (Calc)'!$P$3:$P$500,'Returns (Calc)'!$E$3:$E$500),2),"")</f>
        <v>0.11</v>
      </c>
      <c r="F20" s="159">
        <f>IFERROR(ROUND(CORREL('Returns (Calc)'!$P$3:$P$500,'Returns (Calc)'!$F$3:$F$500),2),"")</f>
        <v>0.1</v>
      </c>
      <c r="G20" s="159">
        <f>IFERROR(ROUND(CORREL('Returns (Calc)'!$P$3:$P$500,'Returns (Calc)'!$G$3:$G$500),2),"")</f>
        <v>0.25</v>
      </c>
      <c r="H20" s="159">
        <f>IFERROR(ROUND(CORREL('Returns (Calc)'!$P$3:$P$500,'Returns (Calc)'!$H$3:$H$500),2),"")</f>
        <v>0.22</v>
      </c>
      <c r="I20" s="159">
        <f>IFERROR(ROUND(CORREL('Returns (Calc)'!$P$3:$P$500,'Returns (Calc)'!$I$3:$I$500),2),"")</f>
        <v>0.14000000000000001</v>
      </c>
      <c r="J20" s="159">
        <f>IFERROR(ROUND(CORREL('Returns (Calc)'!$P$3:$P$500,'Returns (Calc)'!$J$3:$J$500),2),"")</f>
        <v>0.65</v>
      </c>
      <c r="K20" s="159">
        <f>IFERROR(ROUND(CORREL('Returns (Calc)'!$P$3:$P$500,'Returns (Calc)'!$K$3:$K$500),2),"")</f>
        <v>0.1</v>
      </c>
      <c r="L20" s="159">
        <f>IFERROR(ROUND(CORREL('Returns (Calc)'!$P$3:$P$500,'Returns (Calc)'!$L$3:$L$500),2),"")</f>
        <v>0.16</v>
      </c>
      <c r="M20" s="159">
        <f>IFERROR(ROUND(CORREL('Returns (Calc)'!$P$3:$P$500,'Returns (Calc)'!$M$3:$M$500),2),"")</f>
        <v>0.21</v>
      </c>
      <c r="N20" s="159">
        <f>IFERROR(ROUND(CORREL('Returns (Calc)'!$P$3:$P$500,'Returns (Calc)'!$N$3:$N$500),2),"")</f>
        <v>0.23</v>
      </c>
      <c r="O20" s="159">
        <f>IFERROR(ROUND(CORREL('Returns (Calc)'!$P$3:$P$500,'Returns (Calc)'!$O$3:$O$500),2),"")</f>
        <v>0.86</v>
      </c>
      <c r="P20" s="159">
        <v>1</v>
      </c>
      <c r="Q20" s="159">
        <f>IFERROR(ROUND(CORREL('Returns (Calc)'!$P$3:$P$500,'Returns (Calc)'!$Q$3:$Q$500),2),"")</f>
        <v>0.52</v>
      </c>
      <c r="R20" s="159">
        <f>IFERROR(ROUND(CORREL('Returns (Calc)'!$P$3:$P$500,'Returns (Calc)'!$R$3:$R$500),2),"")</f>
        <v>0.38</v>
      </c>
      <c r="S20" s="159">
        <f>IFERROR(ROUND(CORREL('Returns (Calc)'!$P$3:$P$500,'Returns (Calc)'!$S$3:$S$500),2),"")</f>
        <v>0.34</v>
      </c>
      <c r="T20" s="159">
        <f>IFERROR(ROUND(CORREL('Returns (Calc)'!$P$3:$P$500,'Returns (Calc)'!$T$3:$T$500),2),"")</f>
        <v>0.73</v>
      </c>
      <c r="U20" s="159">
        <f>IFERROR(ROUND(CORREL('Returns (Calc)'!$P$3:$P$500,'Returns (Calc)'!$U$3:$U$500),2),"")</f>
        <v>0.89</v>
      </c>
      <c r="V20" s="159">
        <f>IFERROR(ROUND(CORREL('Returns (Calc)'!$P$3:$P$500,'Returns (Calc)'!$V$3:$V$500),2),"")</f>
        <v>0.42</v>
      </c>
      <c r="W20" s="159">
        <f>IFERROR(ROUND(CORREL('Returns (Calc)'!$P$3:$P$500,'Returns (Calc)'!$AP$3:$AP$500),2),"")</f>
        <v>0.88</v>
      </c>
      <c r="X20" s="159">
        <f>IFERROR(ROUND(CORREL('Returns (Calc)'!$P$3:$P$500,'Returns (Calc)'!$AQ$3:$AQ$500),2),"")</f>
        <v>0.45</v>
      </c>
      <c r="Y20" s="159">
        <f>IFERROR(ROUND(CORREL('Returns (Calc)'!$P$3:$P$500,'Returns (Calc)'!$AR$3:$AR$500),2),"")</f>
        <v>0.76</v>
      </c>
      <c r="Z20" s="159">
        <f>IFERROR(ROUND(CORREL('Returns (Calc)'!$P$3:$P$500,'Returns (Calc)'!$AS$3:$AS$500),2),"")</f>
        <v>0.4</v>
      </c>
      <c r="AA20" s="159">
        <f>IFERROR(ROUND(CORREL('Returns (Calc)'!$P$3:$P$500,'Returns (Calc)'!$AT$3:$AT$500),2),"")</f>
        <v>0.18</v>
      </c>
      <c r="AB20" s="159">
        <f>IFERROR(ROUND(CORREL('Returns (Calc)'!$P$3:$P$500,'Returns (Calc)'!$AU$3:$AU$500),2),"")</f>
        <v>0.19</v>
      </c>
      <c r="AG20" s="160">
        <f t="shared" si="0"/>
        <v>5</v>
      </c>
    </row>
    <row r="21" spans="1:33" ht="15" customHeight="1" x14ac:dyDescent="0.2">
      <c r="A21" s="158" t="str">
        <f>'Returns (Calc)'!Q2</f>
        <v>HELO</v>
      </c>
      <c r="B21" s="159">
        <f>IFERROR(ROUND(CORREL('Returns (Calc)'!$Q$3:$Q$500,'Returns (Calc)'!$B$3:$B$500),2),"")</f>
        <v>0.44</v>
      </c>
      <c r="C21" s="159">
        <f>IFERROR(ROUND(CORREL('Returns (Calc)'!$Q$3:$Q$500,'Returns (Calc)'!$C$3:$C$500),2),"")</f>
        <v>0.65</v>
      </c>
      <c r="D21" s="159">
        <f>IFERROR(ROUND(CORREL('Returns (Calc)'!$Q$3:$Q$500,'Returns (Calc)'!$D$3:$D$500),2),"")</f>
        <v>0.51</v>
      </c>
      <c r="E21" s="159">
        <f>IFERROR(ROUND(CORREL('Returns (Calc)'!$Q$3:$Q$500,'Returns (Calc)'!$E$3:$E$500),2),"")</f>
        <v>0.67</v>
      </c>
      <c r="F21" s="159">
        <f>IFERROR(ROUND(CORREL('Returns (Calc)'!$Q$3:$Q$500,'Returns (Calc)'!$F$3:$F$500),2),"")</f>
        <v>0.47</v>
      </c>
      <c r="G21" s="159">
        <f>IFERROR(ROUND(CORREL('Returns (Calc)'!$Q$3:$Q$500,'Returns (Calc)'!$G$3:$G$500),2),"")</f>
        <v>0.52</v>
      </c>
      <c r="H21" s="159">
        <f>IFERROR(ROUND(CORREL('Returns (Calc)'!$Q$3:$Q$500,'Returns (Calc)'!$H$3:$H$500),2),"")</f>
        <v>0.51</v>
      </c>
      <c r="I21" s="159">
        <f>IFERROR(ROUND(CORREL('Returns (Calc)'!$Q$3:$Q$500,'Returns (Calc)'!$I$3:$I$500),2),"")</f>
        <v>0.7</v>
      </c>
      <c r="J21" s="159">
        <f>IFERROR(ROUND(CORREL('Returns (Calc)'!$Q$3:$Q$500,'Returns (Calc)'!$J$3:$J$500),2),"")</f>
        <v>0.48</v>
      </c>
      <c r="K21" s="159">
        <f>IFERROR(ROUND(CORREL('Returns (Calc)'!$Q$3:$Q$500,'Returns (Calc)'!$K$3:$K$500),2),"")</f>
        <v>0.48</v>
      </c>
      <c r="L21" s="159">
        <f>IFERROR(ROUND(CORREL('Returns (Calc)'!$Q$3:$Q$500,'Returns (Calc)'!$L$3:$L$500),2),"")</f>
        <v>0.62</v>
      </c>
      <c r="M21" s="159">
        <f>IFERROR(ROUND(CORREL('Returns (Calc)'!$Q$3:$Q$500,'Returns (Calc)'!$M$3:$M$500),2),"")</f>
        <v>0.56999999999999995</v>
      </c>
      <c r="N21" s="159">
        <f>IFERROR(ROUND(CORREL('Returns (Calc)'!$Q$3:$Q$500,'Returns (Calc)'!$N$3:$N$500),2),"")</f>
        <v>0.27</v>
      </c>
      <c r="O21" s="159">
        <f>IFERROR(ROUND(CORREL('Returns (Calc)'!$Q$3:$Q$500,'Returns (Calc)'!$O$3:$O$500),2),"")</f>
        <v>0.64</v>
      </c>
      <c r="P21" s="159">
        <f>IFERROR(ROUND(CORREL('Returns (Calc)'!$Q$3:$Q$500,'Returns (Calc)'!$P$3:$P$500),2),"")</f>
        <v>0.52</v>
      </c>
      <c r="Q21" s="159">
        <v>1</v>
      </c>
      <c r="R21" s="159">
        <f>IFERROR(ROUND(CORREL('Returns (Calc)'!$Q$3:$Q$500,'Returns (Calc)'!$R$3:$R$500),2),"")</f>
        <v>0.9</v>
      </c>
      <c r="S21" s="159">
        <f>IFERROR(ROUND(CORREL('Returns (Calc)'!$Q$3:$Q$500,'Returns (Calc)'!$S$3:$S$500),2),"")</f>
        <v>0.84</v>
      </c>
      <c r="T21" s="159">
        <f>IFERROR(ROUND(CORREL('Returns (Calc)'!$Q$3:$Q$500,'Returns (Calc)'!$T$3:$T$500),2),"")</f>
        <v>0.66</v>
      </c>
      <c r="U21" s="159">
        <f>IFERROR(ROUND(CORREL('Returns (Calc)'!$Q$3:$Q$500,'Returns (Calc)'!$U$3:$U$500),2),"")</f>
        <v>0.57999999999999996</v>
      </c>
      <c r="V21" s="159">
        <f>IFERROR(ROUND(CORREL('Returns (Calc)'!$Q$3:$Q$500,'Returns (Calc)'!$V$3:$V$500),2),"")</f>
        <v>0.52</v>
      </c>
      <c r="W21" s="159">
        <f>IFERROR(ROUND(CORREL('Returns (Calc)'!$Q$3:$Q$500,'Returns (Calc)'!$AP$3:$AP$500),2),"")</f>
        <v>0.78</v>
      </c>
      <c r="X21" s="159">
        <f>IFERROR(ROUND(CORREL('Returns (Calc)'!$Q$3:$Q$500,'Returns (Calc)'!$AQ$3:$AQ$500),2),"")</f>
        <v>-0.41</v>
      </c>
      <c r="Y21" s="159">
        <f>IFERROR(ROUND(CORREL('Returns (Calc)'!$Q$3:$Q$500,'Returns (Calc)'!$AR$3:$AR$500),2),"")</f>
        <v>0.83</v>
      </c>
      <c r="Z21" s="159">
        <f>IFERROR(ROUND(CORREL('Returns (Calc)'!$Q$3:$Q$500,'Returns (Calc)'!$AS$3:$AS$500),2),"")</f>
        <v>0.53</v>
      </c>
      <c r="AA21" s="159">
        <f>IFERROR(ROUND(CORREL('Returns (Calc)'!$Q$3:$Q$500,'Returns (Calc)'!$AT$3:$AT$500),2),"")</f>
        <v>0.39</v>
      </c>
      <c r="AB21" s="159">
        <f>IFERROR(ROUND(CORREL('Returns (Calc)'!$Q$3:$Q$500,'Returns (Calc)'!$AU$3:$AU$500),2),"")</f>
        <v>0.34</v>
      </c>
      <c r="AG21" s="160">
        <f t="shared" si="0"/>
        <v>4</v>
      </c>
    </row>
    <row r="22" spans="1:33" ht="15" customHeight="1" x14ac:dyDescent="0.2">
      <c r="A22" s="158" t="str">
        <f>'Returns (Calc)'!R2</f>
        <v>JEPQ</v>
      </c>
      <c r="B22" s="159">
        <f>IFERROR(ROUND(CORREL('Returns (Calc)'!$R$3:$R$500,'Returns (Calc)'!$B$3:$B$500),2),"")</f>
        <v>0.34</v>
      </c>
      <c r="C22" s="159">
        <f>IFERROR(ROUND(CORREL('Returns (Calc)'!$R$3:$R$500,'Returns (Calc)'!$C$3:$C$500),2),"")</f>
        <v>0.67</v>
      </c>
      <c r="D22" s="159">
        <f>IFERROR(ROUND(CORREL('Returns (Calc)'!$R$3:$R$500,'Returns (Calc)'!$D$3:$D$500),2),"")</f>
        <v>0.61</v>
      </c>
      <c r="E22" s="159">
        <f>IFERROR(ROUND(CORREL('Returns (Calc)'!$R$3:$R$500,'Returns (Calc)'!$E$3:$E$500),2),"")</f>
        <v>0.73</v>
      </c>
      <c r="F22" s="159">
        <f>IFERROR(ROUND(CORREL('Returns (Calc)'!$R$3:$R$500,'Returns (Calc)'!$F$3:$F$500),2),"")</f>
        <v>0.55000000000000004</v>
      </c>
      <c r="G22" s="159">
        <f>IFERROR(ROUND(CORREL('Returns (Calc)'!$R$3:$R$500,'Returns (Calc)'!$G$3:$G$500),2),"")</f>
        <v>0.61</v>
      </c>
      <c r="H22" s="159">
        <f>IFERROR(ROUND(CORREL('Returns (Calc)'!$R$3:$R$500,'Returns (Calc)'!$H$3:$H$500),2),"")</f>
        <v>0.61</v>
      </c>
      <c r="I22" s="159">
        <f>IFERROR(ROUND(CORREL('Returns (Calc)'!$R$3:$R$500,'Returns (Calc)'!$I$3:$I$500),2),"")</f>
        <v>0.73</v>
      </c>
      <c r="J22" s="159">
        <f>IFERROR(ROUND(CORREL('Returns (Calc)'!$R$3:$R$500,'Returns (Calc)'!$J$3:$J$500),2),"")</f>
        <v>0.36</v>
      </c>
      <c r="K22" s="159">
        <f>IFERROR(ROUND(CORREL('Returns (Calc)'!$R$3:$R$500,'Returns (Calc)'!$K$3:$K$500),2),"")</f>
        <v>0.52</v>
      </c>
      <c r="L22" s="159">
        <f>IFERROR(ROUND(CORREL('Returns (Calc)'!$R$3:$R$500,'Returns (Calc)'!$L$3:$L$500),2),"")</f>
        <v>0.69</v>
      </c>
      <c r="M22" s="159">
        <f>IFERROR(ROUND(CORREL('Returns (Calc)'!$R$3:$R$500,'Returns (Calc)'!$M$3:$M$500),2),"")</f>
        <v>0.63</v>
      </c>
      <c r="N22" s="159">
        <f>IFERROR(ROUND(CORREL('Returns (Calc)'!$R$3:$R$500,'Returns (Calc)'!$N$3:$N$500),2),"")</f>
        <v>0.2</v>
      </c>
      <c r="O22" s="159">
        <f>IFERROR(ROUND(CORREL('Returns (Calc)'!$R$3:$R$500,'Returns (Calc)'!$O$3:$O$500),2),"")</f>
        <v>0.52</v>
      </c>
      <c r="P22" s="159">
        <f>IFERROR(ROUND(CORREL('Returns (Calc)'!$R$3:$R$500,'Returns (Calc)'!$P$3:$P$500),2),"")</f>
        <v>0.38</v>
      </c>
      <c r="Q22" s="159">
        <f>IFERROR(ROUND(CORREL('Returns (Calc)'!$R$3:$R$500,'Returns (Calc)'!$Q$3:$Q$500),2),"")</f>
        <v>0.9</v>
      </c>
      <c r="R22" s="159">
        <v>1</v>
      </c>
      <c r="S22" s="159">
        <f>IFERROR(ROUND(CORREL('Returns (Calc)'!$R$3:$R$500,'Returns (Calc)'!$S$3:$S$500),2),"")</f>
        <v>0.89</v>
      </c>
      <c r="T22" s="159">
        <f>IFERROR(ROUND(CORREL('Returns (Calc)'!$R$3:$R$500,'Returns (Calc)'!$T$3:$T$500),2),"")</f>
        <v>0.55000000000000004</v>
      </c>
      <c r="U22" s="159">
        <f>IFERROR(ROUND(CORREL('Returns (Calc)'!$R$3:$R$500,'Returns (Calc)'!$U$3:$U$500),2),"")</f>
        <v>0.41</v>
      </c>
      <c r="V22" s="159">
        <f>IFERROR(ROUND(CORREL('Returns (Calc)'!$R$3:$R$500,'Returns (Calc)'!$V$3:$V$500),2),"")</f>
        <v>0.42</v>
      </c>
      <c r="W22" s="159">
        <f>IFERROR(ROUND(CORREL('Returns (Calc)'!$R$3:$R$500,'Returns (Calc)'!$AP$3:$AP$500),2),"")</f>
        <v>0.66</v>
      </c>
      <c r="X22" s="159">
        <f>IFERROR(ROUND(CORREL('Returns (Calc)'!$R$3:$R$500,'Returns (Calc)'!$AQ$3:$AQ$500),2),"")</f>
        <v>-0.49</v>
      </c>
      <c r="Y22" s="159">
        <f>IFERROR(ROUND(CORREL('Returns (Calc)'!$R$3:$R$500,'Returns (Calc)'!$AR$3:$AR$500),2),"")</f>
        <v>0.76</v>
      </c>
      <c r="Z22" s="159">
        <f>IFERROR(ROUND(CORREL('Returns (Calc)'!$R$3:$R$500,'Returns (Calc)'!$AS$3:$AS$500),2),"")</f>
        <v>0.52</v>
      </c>
      <c r="AA22" s="159">
        <f>IFERROR(ROUND(CORREL('Returns (Calc)'!$R$3:$R$500,'Returns (Calc)'!$AT$3:$AT$500),2),"")</f>
        <v>0.43</v>
      </c>
      <c r="AB22" s="159">
        <f>IFERROR(ROUND(CORREL('Returns (Calc)'!$R$3:$R$500,'Returns (Calc)'!$AU$3:$AU$500),2),"")</f>
        <v>0.28999999999999998</v>
      </c>
      <c r="AG22" s="160">
        <f t="shared" si="0"/>
        <v>5</v>
      </c>
    </row>
    <row r="23" spans="1:33" ht="15" customHeight="1" x14ac:dyDescent="0.2">
      <c r="A23" s="158" t="str">
        <f>'Returns (Calc)'!S2</f>
        <v>SPMO</v>
      </c>
      <c r="B23" s="159">
        <f>IFERROR(ROUND(CORREL('Returns (Calc)'!$S$3:$S$500,'Returns (Calc)'!$B$3:$B$500),2),"")</f>
        <v>0.23</v>
      </c>
      <c r="C23" s="159">
        <f>IFERROR(ROUND(CORREL('Returns (Calc)'!$S$3:$S$500,'Returns (Calc)'!$C$3:$C$500),2),"")</f>
        <v>0.64</v>
      </c>
      <c r="D23" s="159">
        <f>IFERROR(ROUND(CORREL('Returns (Calc)'!$S$3:$S$500,'Returns (Calc)'!$D$3:$D$500),2),"")</f>
        <v>0.61</v>
      </c>
      <c r="E23" s="159">
        <f>IFERROR(ROUND(CORREL('Returns (Calc)'!$S$3:$S$500,'Returns (Calc)'!$E$3:$E$500),2),"")</f>
        <v>0.73</v>
      </c>
      <c r="F23" s="159">
        <f>IFERROR(ROUND(CORREL('Returns (Calc)'!$S$3:$S$500,'Returns (Calc)'!$F$3:$F$500),2),"")</f>
        <v>0.52</v>
      </c>
      <c r="G23" s="159">
        <f>IFERROR(ROUND(CORREL('Returns (Calc)'!$S$3:$S$500,'Returns (Calc)'!$G$3:$G$500),2),"")</f>
        <v>0.67</v>
      </c>
      <c r="H23" s="159">
        <f>IFERROR(ROUND(CORREL('Returns (Calc)'!$S$3:$S$500,'Returns (Calc)'!$H$3:$H$500),2),"")</f>
        <v>0.66</v>
      </c>
      <c r="I23" s="159">
        <f>IFERROR(ROUND(CORREL('Returns (Calc)'!$S$3:$S$500,'Returns (Calc)'!$I$3:$I$500),2),"")</f>
        <v>0.75</v>
      </c>
      <c r="J23" s="159">
        <f>IFERROR(ROUND(CORREL('Returns (Calc)'!$S$3:$S$500,'Returns (Calc)'!$J$3:$J$500),2),"")</f>
        <v>0.34</v>
      </c>
      <c r="K23" s="159">
        <f>IFERROR(ROUND(CORREL('Returns (Calc)'!$S$3:$S$500,'Returns (Calc)'!$K$3:$K$500),2),"")</f>
        <v>0.44</v>
      </c>
      <c r="L23" s="159">
        <f>IFERROR(ROUND(CORREL('Returns (Calc)'!$S$3:$S$500,'Returns (Calc)'!$L$3:$L$500),2),"")</f>
        <v>0.7</v>
      </c>
      <c r="M23" s="159">
        <f>IFERROR(ROUND(CORREL('Returns (Calc)'!$S$3:$S$500,'Returns (Calc)'!$M$3:$M$500),2),"")</f>
        <v>0.67</v>
      </c>
      <c r="N23" s="159">
        <f>IFERROR(ROUND(CORREL('Returns (Calc)'!$S$3:$S$500,'Returns (Calc)'!$N$3:$N$500),2),"")</f>
        <v>0.17</v>
      </c>
      <c r="O23" s="159">
        <f>IFERROR(ROUND(CORREL('Returns (Calc)'!$S$3:$S$500,'Returns (Calc)'!$O$3:$O$500),2),"")</f>
        <v>0.5</v>
      </c>
      <c r="P23" s="159">
        <f>IFERROR(ROUND(CORREL('Returns (Calc)'!$S$3:$S$500,'Returns (Calc)'!$P$3:$P$500),2),"")</f>
        <v>0.34</v>
      </c>
      <c r="Q23" s="159">
        <f>IFERROR(ROUND(CORREL('Returns (Calc)'!$S$3:$S$500,'Returns (Calc)'!$Q$3:$Q$500),2),"")</f>
        <v>0.84</v>
      </c>
      <c r="R23" s="159">
        <f>IFERROR(ROUND(CORREL('Returns (Calc)'!$S$3:$S$500,'Returns (Calc)'!$R$3:$R$500),2),"")</f>
        <v>0.89</v>
      </c>
      <c r="S23" s="159">
        <v>1</v>
      </c>
      <c r="T23" s="159">
        <f>IFERROR(ROUND(CORREL('Returns (Calc)'!$S$3:$S$500,'Returns (Calc)'!$T$3:$T$500),2),"")</f>
        <v>0.5</v>
      </c>
      <c r="U23" s="159">
        <f>IFERROR(ROUND(CORREL('Returns (Calc)'!$S$3:$S$500,'Returns (Calc)'!$U$3:$U$500),2),"")</f>
        <v>0.36</v>
      </c>
      <c r="V23" s="159">
        <f>IFERROR(ROUND(CORREL('Returns (Calc)'!$S$3:$S$500,'Returns (Calc)'!$V$3:$V$500),2),"")</f>
        <v>0.35</v>
      </c>
      <c r="W23" s="159">
        <f>IFERROR(ROUND(CORREL('Returns (Calc)'!$S$3:$S$500,'Returns (Calc)'!$AP$3:$AP$500),2),"")</f>
        <v>0.63</v>
      </c>
      <c r="X23" s="159">
        <f>IFERROR(ROUND(CORREL('Returns (Calc)'!$S$3:$S$500,'Returns (Calc)'!$AQ$3:$AQ$500),2),"")</f>
        <v>-0.4</v>
      </c>
      <c r="Y23" s="159">
        <f>IFERROR(ROUND(CORREL('Returns (Calc)'!$S$3:$S$500,'Returns (Calc)'!$AR$3:$AR$500),2),"")</f>
        <v>0.66</v>
      </c>
      <c r="Z23" s="159">
        <f>IFERROR(ROUND(CORREL('Returns (Calc)'!$S$3:$S$500,'Returns (Calc)'!$AS$3:$AS$500),2),"")</f>
        <v>0.61</v>
      </c>
      <c r="AA23" s="159">
        <f>IFERROR(ROUND(CORREL('Returns (Calc)'!$S$3:$S$500,'Returns (Calc)'!$AT$3:$AT$500),2),"")</f>
        <v>0.4</v>
      </c>
      <c r="AB23" s="159">
        <f>IFERROR(ROUND(CORREL('Returns (Calc)'!$S$3:$S$500,'Returns (Calc)'!$AU$3:$AU$500),2),"")</f>
        <v>0.19</v>
      </c>
      <c r="AG23" s="160">
        <f t="shared" si="0"/>
        <v>4</v>
      </c>
    </row>
    <row r="24" spans="1:33" ht="15" customHeight="1" x14ac:dyDescent="0.2">
      <c r="A24" s="158" t="str">
        <f>'Returns (Calc)'!T2</f>
        <v>VFLO</v>
      </c>
      <c r="B24" s="159">
        <f>IFERROR(ROUND(CORREL('Returns (Calc)'!$T$3:$T$500,'Returns (Calc)'!$B$3:$B$500),2),"")</f>
        <v>0.42</v>
      </c>
      <c r="C24" s="159">
        <f>IFERROR(ROUND(CORREL('Returns (Calc)'!$T$3:$T$500,'Returns (Calc)'!$C$3:$C$500),2),"")</f>
        <v>0.34</v>
      </c>
      <c r="D24" s="159">
        <f>IFERROR(ROUND(CORREL('Returns (Calc)'!$T$3:$T$500,'Returns (Calc)'!$D$3:$D$500),2),"")</f>
        <v>0.3</v>
      </c>
      <c r="E24" s="159">
        <f>IFERROR(ROUND(CORREL('Returns (Calc)'!$T$3:$T$500,'Returns (Calc)'!$E$3:$E$500),2),"")</f>
        <v>0.27</v>
      </c>
      <c r="F24" s="159">
        <f>IFERROR(ROUND(CORREL('Returns (Calc)'!$T$3:$T$500,'Returns (Calc)'!$F$3:$F$500),2),"")</f>
        <v>0.28999999999999998</v>
      </c>
      <c r="G24" s="159">
        <f>IFERROR(ROUND(CORREL('Returns (Calc)'!$T$3:$T$500,'Returns (Calc)'!$G$3:$G$500),2),"")</f>
        <v>0.3</v>
      </c>
      <c r="H24" s="159">
        <f>IFERROR(ROUND(CORREL('Returns (Calc)'!$T$3:$T$500,'Returns (Calc)'!$H$3:$H$500),2),"")</f>
        <v>0.41</v>
      </c>
      <c r="I24" s="159">
        <f>IFERROR(ROUND(CORREL('Returns (Calc)'!$T$3:$T$500,'Returns (Calc)'!$I$3:$I$500),2),"")</f>
        <v>0.3</v>
      </c>
      <c r="J24" s="159">
        <f>IFERROR(ROUND(CORREL('Returns (Calc)'!$T$3:$T$500,'Returns (Calc)'!$J$3:$J$500),2),"")</f>
        <v>0.52</v>
      </c>
      <c r="K24" s="159">
        <f>IFERROR(ROUND(CORREL('Returns (Calc)'!$T$3:$T$500,'Returns (Calc)'!$K$3:$K$500),2),"")</f>
        <v>0.35</v>
      </c>
      <c r="L24" s="159">
        <f>IFERROR(ROUND(CORREL('Returns (Calc)'!$T$3:$T$500,'Returns (Calc)'!$L$3:$L$500),2),"")</f>
        <v>0.27</v>
      </c>
      <c r="M24" s="159">
        <f>IFERROR(ROUND(CORREL('Returns (Calc)'!$T$3:$T$500,'Returns (Calc)'!$M$3:$M$500),2),"")</f>
        <v>0.28999999999999998</v>
      </c>
      <c r="N24" s="159">
        <f>IFERROR(ROUND(CORREL('Returns (Calc)'!$T$3:$T$500,'Returns (Calc)'!$N$3:$N$500),2),"")</f>
        <v>0.32</v>
      </c>
      <c r="O24" s="159">
        <f>IFERROR(ROUND(CORREL('Returns (Calc)'!$T$3:$T$500,'Returns (Calc)'!$O$3:$O$500),2),"")</f>
        <v>0.78</v>
      </c>
      <c r="P24" s="159">
        <f>IFERROR(ROUND(CORREL('Returns (Calc)'!$T$3:$T$500,'Returns (Calc)'!$P$3:$P$500),2),"")</f>
        <v>0.73</v>
      </c>
      <c r="Q24" s="159">
        <f>IFERROR(ROUND(CORREL('Returns (Calc)'!$T$3:$T$500,'Returns (Calc)'!$Q$3:$Q$500),2),"")</f>
        <v>0.66</v>
      </c>
      <c r="R24" s="159">
        <f>IFERROR(ROUND(CORREL('Returns (Calc)'!$T$3:$T$500,'Returns (Calc)'!$R$3:$R$500),2),"")</f>
        <v>0.55000000000000004</v>
      </c>
      <c r="S24" s="159">
        <f>IFERROR(ROUND(CORREL('Returns (Calc)'!$T$3:$T$500,'Returns (Calc)'!$S$3:$S$500),2),"")</f>
        <v>0.5</v>
      </c>
      <c r="T24" s="159">
        <v>1</v>
      </c>
      <c r="U24" s="159">
        <f>IFERROR(ROUND(CORREL('Returns (Calc)'!$T$3:$T$500,'Returns (Calc)'!$U$3:$U$500),2),"")</f>
        <v>0.78</v>
      </c>
      <c r="V24" s="159">
        <f>IFERROR(ROUND(CORREL('Returns (Calc)'!$T$3:$T$500,'Returns (Calc)'!$V$3:$V$500),2),"")</f>
        <v>0.45</v>
      </c>
      <c r="W24" s="159">
        <f>IFERROR(ROUND(CORREL('Returns (Calc)'!$T$3:$T$500,'Returns (Calc)'!$AP$3:$AP$500),2),"")</f>
        <v>0.79</v>
      </c>
      <c r="X24" s="159">
        <f>IFERROR(ROUND(CORREL('Returns (Calc)'!$T$3:$T$500,'Returns (Calc)'!$AQ$3:$AQ$500),2),"")</f>
        <v>-0.26</v>
      </c>
      <c r="Y24" s="159">
        <f>IFERROR(ROUND(CORREL('Returns (Calc)'!$T$3:$T$500,'Returns (Calc)'!$AR$3:$AR$500),2),"")</f>
        <v>0.72</v>
      </c>
      <c r="Z24" s="159">
        <f>IFERROR(ROUND(CORREL('Returns (Calc)'!$T$3:$T$500,'Returns (Calc)'!$AS$3:$AS$500),2),"")</f>
        <v>0.43</v>
      </c>
      <c r="AA24" s="159">
        <f>IFERROR(ROUND(CORREL('Returns (Calc)'!$T$3:$T$500,'Returns (Calc)'!$AT$3:$AT$500),2),"")</f>
        <v>0.26</v>
      </c>
      <c r="AB24" s="159">
        <f>IFERROR(ROUND(CORREL('Returns (Calc)'!$T$3:$T$500,'Returns (Calc)'!$AU$3:$AU$500),2),"")</f>
        <v>0.43</v>
      </c>
      <c r="AG24" s="160">
        <f t="shared" si="0"/>
        <v>5</v>
      </c>
    </row>
    <row r="25" spans="1:33" ht="15" customHeight="1" x14ac:dyDescent="0.2">
      <c r="A25" s="158" t="str">
        <f>'Returns (Calc)'!U2</f>
        <v>SCHD</v>
      </c>
      <c r="B25" s="159">
        <f>IFERROR(ROUND(CORREL('Returns (Calc)'!$U$3:$U$500,'Returns (Calc)'!$B$3:$B$500),2),"")</f>
        <v>0.22</v>
      </c>
      <c r="C25" s="159">
        <f>IFERROR(ROUND(CORREL('Returns (Calc)'!$U$3:$U$500,'Returns (Calc)'!$C$3:$C$500),2),"")</f>
        <v>0.27</v>
      </c>
      <c r="D25" s="159">
        <f>IFERROR(ROUND(CORREL('Returns (Calc)'!$U$3:$U$500,'Returns (Calc)'!$D$3:$D$500),2),"")</f>
        <v>0.26</v>
      </c>
      <c r="E25" s="159">
        <f>IFERROR(ROUND(CORREL('Returns (Calc)'!$U$3:$U$500,'Returns (Calc)'!$E$3:$E$500),2),"")</f>
        <v>0.16</v>
      </c>
      <c r="F25" s="159">
        <f>IFERROR(ROUND(CORREL('Returns (Calc)'!$U$3:$U$500,'Returns (Calc)'!$F$3:$F$500),2),"")</f>
        <v>0.11</v>
      </c>
      <c r="G25" s="159">
        <f>IFERROR(ROUND(CORREL('Returns (Calc)'!$U$3:$U$500,'Returns (Calc)'!$G$3:$G$500),2),"")</f>
        <v>0.28000000000000003</v>
      </c>
      <c r="H25" s="159">
        <f>IFERROR(ROUND(CORREL('Returns (Calc)'!$U$3:$U$500,'Returns (Calc)'!$H$3:$H$500),2),"")</f>
        <v>0.25</v>
      </c>
      <c r="I25" s="159">
        <f>IFERROR(ROUND(CORREL('Returns (Calc)'!$U$3:$U$500,'Returns (Calc)'!$I$3:$I$500),2),"")</f>
        <v>0.18</v>
      </c>
      <c r="J25" s="159">
        <f>IFERROR(ROUND(CORREL('Returns (Calc)'!$U$3:$U$500,'Returns (Calc)'!$J$3:$J$500),2),"")</f>
        <v>0.66</v>
      </c>
      <c r="K25" s="159">
        <f>IFERROR(ROUND(CORREL('Returns (Calc)'!$U$3:$U$500,'Returns (Calc)'!$K$3:$K$500),2),"")</f>
        <v>0.15</v>
      </c>
      <c r="L25" s="159">
        <f>IFERROR(ROUND(CORREL('Returns (Calc)'!$U$3:$U$500,'Returns (Calc)'!$L$3:$L$500),2),"")</f>
        <v>0.21</v>
      </c>
      <c r="M25" s="159">
        <f>IFERROR(ROUND(CORREL('Returns (Calc)'!$U$3:$U$500,'Returns (Calc)'!$M$3:$M$500),2),"")</f>
        <v>0.21</v>
      </c>
      <c r="N25" s="159">
        <f>IFERROR(ROUND(CORREL('Returns (Calc)'!$U$3:$U$500,'Returns (Calc)'!$N$3:$N$500),2),"")</f>
        <v>0.35</v>
      </c>
      <c r="O25" s="159">
        <f>IFERROR(ROUND(CORREL('Returns (Calc)'!$U$3:$U$500,'Returns (Calc)'!$O$3:$O$500),2),"")</f>
        <v>0.83</v>
      </c>
      <c r="P25" s="159">
        <f>IFERROR(ROUND(CORREL('Returns (Calc)'!$U$3:$U$500,'Returns (Calc)'!$P$3:$P$500),2),"")</f>
        <v>0.89</v>
      </c>
      <c r="Q25" s="159">
        <f>IFERROR(ROUND(CORREL('Returns (Calc)'!$U$3:$U$500,'Returns (Calc)'!$Q$3:$Q$500),2),"")</f>
        <v>0.57999999999999996</v>
      </c>
      <c r="R25" s="159">
        <f>IFERROR(ROUND(CORREL('Returns (Calc)'!$U$3:$U$500,'Returns (Calc)'!$R$3:$R$500),2),"")</f>
        <v>0.41</v>
      </c>
      <c r="S25" s="159">
        <f>IFERROR(ROUND(CORREL('Returns (Calc)'!$U$3:$U$500,'Returns (Calc)'!$S$3:$S$500),2),"")</f>
        <v>0.36</v>
      </c>
      <c r="T25" s="159">
        <f>IFERROR(ROUND(CORREL('Returns (Calc)'!$U$3:$U$500,'Returns (Calc)'!$T$3:$T$500),2),"")</f>
        <v>0.78</v>
      </c>
      <c r="U25" s="159">
        <v>1</v>
      </c>
      <c r="V25" s="159">
        <f>IFERROR(ROUND(CORREL('Returns (Calc)'!$U$3:$U$500,'Returns (Calc)'!$V$3:$V$500),2),"")</f>
        <v>0.44</v>
      </c>
      <c r="W25" s="159">
        <f>IFERROR(ROUND(CORREL('Returns (Calc)'!$U$3:$U$500,'Returns (Calc)'!$AP$3:$AP$500),2),"")</f>
        <v>0.88</v>
      </c>
      <c r="X25" s="159">
        <f>IFERROR(ROUND(CORREL('Returns (Calc)'!$U$3:$U$500,'Returns (Calc)'!$AQ$3:$AQ$500),2),"")</f>
        <v>0.32</v>
      </c>
      <c r="Y25" s="159">
        <f>IFERROR(ROUND(CORREL('Returns (Calc)'!$U$3:$U$500,'Returns (Calc)'!$AR$3:$AR$500),2),"")</f>
        <v>0.78</v>
      </c>
      <c r="Z25" s="159">
        <f>IFERROR(ROUND(CORREL('Returns (Calc)'!$U$3:$U$500,'Returns (Calc)'!$AS$3:$AS$500),2),"")</f>
        <v>0.34</v>
      </c>
      <c r="AA25" s="159">
        <f>IFERROR(ROUND(CORREL('Returns (Calc)'!$U$3:$U$500,'Returns (Calc)'!$AT$3:$AT$500),2),"")</f>
        <v>0.16</v>
      </c>
      <c r="AB25" s="159">
        <f>IFERROR(ROUND(CORREL('Returns (Calc)'!$U$3:$U$500,'Returns (Calc)'!$AU$3:$AU$500),2),"")</f>
        <v>0.26</v>
      </c>
      <c r="AG25" s="160">
        <f t="shared" si="0"/>
        <v>5</v>
      </c>
    </row>
    <row r="26" spans="1:33" ht="15" customHeight="1" x14ac:dyDescent="0.2">
      <c r="A26" s="158" t="str">
        <f>'Returns (Calc)'!V2</f>
        <v>V</v>
      </c>
      <c r="B26" s="159">
        <f>IFERROR(ROUND(CORREL('Returns (Calc)'!$V$3:$V$500,'Returns (Calc)'!$B$3:$B$500),2),"")</f>
        <v>0.4</v>
      </c>
      <c r="C26" s="159">
        <f>IFERROR(ROUND(CORREL('Returns (Calc)'!$V$3:$V$500,'Returns (Calc)'!$C$3:$C$500),2),"")</f>
        <v>0.25</v>
      </c>
      <c r="D26" s="159">
        <f>IFERROR(ROUND(CORREL('Returns (Calc)'!$V$3:$V$500,'Returns (Calc)'!$D$3:$D$500),2),"")</f>
        <v>0.02</v>
      </c>
      <c r="E26" s="159">
        <f>IFERROR(ROUND(CORREL('Returns (Calc)'!$V$3:$V$500,'Returns (Calc)'!$E$3:$E$500),2),"")</f>
        <v>0.19</v>
      </c>
      <c r="F26" s="159">
        <f>IFERROR(ROUND(CORREL('Returns (Calc)'!$V$3:$V$500,'Returns (Calc)'!$F$3:$F$500),2),"")</f>
        <v>0.27</v>
      </c>
      <c r="G26" s="159">
        <f>IFERROR(ROUND(CORREL('Returns (Calc)'!$V$3:$V$500,'Returns (Calc)'!$G$3:$G$500),2),"")</f>
        <v>0</v>
      </c>
      <c r="H26" s="159">
        <f>IFERROR(ROUND(CORREL('Returns (Calc)'!$V$3:$V$500,'Returns (Calc)'!$H$3:$H$500),2),"")</f>
        <v>0.01</v>
      </c>
      <c r="I26" s="159">
        <f>IFERROR(ROUND(CORREL('Returns (Calc)'!$V$3:$V$500,'Returns (Calc)'!$I$3:$I$500),2),"")</f>
        <v>0.19</v>
      </c>
      <c r="J26" s="159">
        <f>IFERROR(ROUND(CORREL('Returns (Calc)'!$V$3:$V$500,'Returns (Calc)'!$J$3:$J$500),2),"")</f>
        <v>0.36</v>
      </c>
      <c r="K26" s="159">
        <f>IFERROR(ROUND(CORREL('Returns (Calc)'!$V$3:$V$500,'Returns (Calc)'!$K$3:$K$500),2),"")</f>
        <v>0.25</v>
      </c>
      <c r="L26" s="159">
        <f>IFERROR(ROUND(CORREL('Returns (Calc)'!$V$3:$V$500,'Returns (Calc)'!$L$3:$L$500),2),"")</f>
        <v>0.11</v>
      </c>
      <c r="M26" s="159">
        <f>IFERROR(ROUND(CORREL('Returns (Calc)'!$V$3:$V$500,'Returns (Calc)'!$M$3:$M$500),2),"")</f>
        <v>0.13</v>
      </c>
      <c r="N26" s="159">
        <f>IFERROR(ROUND(CORREL('Returns (Calc)'!$V$3:$V$500,'Returns (Calc)'!$N$3:$N$500),2),"")</f>
        <v>0.26</v>
      </c>
      <c r="O26" s="159">
        <f>IFERROR(ROUND(CORREL('Returns (Calc)'!$V$3:$V$500,'Returns (Calc)'!$O$3:$O$500),2),"")</f>
        <v>0.35</v>
      </c>
      <c r="P26" s="159">
        <f>IFERROR(ROUND(CORREL('Returns (Calc)'!$V$3:$V$500,'Returns (Calc)'!$P$3:$P$500),2),"")</f>
        <v>0.42</v>
      </c>
      <c r="Q26" s="159">
        <f>IFERROR(ROUND(CORREL('Returns (Calc)'!$V$3:$V$500,'Returns (Calc)'!$Q$3:$Q$500),2),"")</f>
        <v>0.52</v>
      </c>
      <c r="R26" s="159">
        <f>IFERROR(ROUND(CORREL('Returns (Calc)'!$V$3:$V$500,'Returns (Calc)'!$R$3:$R$500),2),"")</f>
        <v>0.42</v>
      </c>
      <c r="S26" s="159">
        <f>IFERROR(ROUND(CORREL('Returns (Calc)'!$V$3:$V$500,'Returns (Calc)'!$S$3:$S$500),2),"")</f>
        <v>0.35</v>
      </c>
      <c r="T26" s="159">
        <f>IFERROR(ROUND(CORREL('Returns (Calc)'!$V$3:$V$500,'Returns (Calc)'!$T$3:$T$500),2),"")</f>
        <v>0.45</v>
      </c>
      <c r="U26" s="159">
        <f>IFERROR(ROUND(CORREL('Returns (Calc)'!$V$3:$V$500,'Returns (Calc)'!$U$3:$U$500),2),"")</f>
        <v>0.44</v>
      </c>
      <c r="V26" s="159">
        <v>1</v>
      </c>
      <c r="W26" s="159">
        <f>IFERROR(ROUND(CORREL('Returns (Calc)'!$V$3:$V$500,'Returns (Calc)'!$AP$3:$AP$500),2),"")</f>
        <v>0.51</v>
      </c>
      <c r="X26" s="159">
        <f>IFERROR(ROUND(CORREL('Returns (Calc)'!$V$3:$V$500,'Returns (Calc)'!$AQ$3:$AQ$500),2),"")</f>
        <v>-0.03</v>
      </c>
      <c r="Y26" s="159">
        <f>IFERROR(ROUND(CORREL('Returns (Calc)'!$V$3:$V$500,'Returns (Calc)'!$AR$3:$AR$500),2),"")</f>
        <v>0.63</v>
      </c>
      <c r="Z26" s="159">
        <f>IFERROR(ROUND(CORREL('Returns (Calc)'!$V$3:$V$500,'Returns (Calc)'!$AS$3:$AS$500),2),"")</f>
        <v>0.39</v>
      </c>
      <c r="AA26" s="159">
        <f>IFERROR(ROUND(CORREL('Returns (Calc)'!$V$3:$V$500,'Returns (Calc)'!$AT$3:$AT$500),2),"")</f>
        <v>0.28999999999999998</v>
      </c>
      <c r="AB26" s="159">
        <f>IFERROR(ROUND(CORREL('Returns (Calc)'!$V$3:$V$500,'Returns (Calc)'!$AU$3:$AU$500),2),"")</f>
        <v>0.37</v>
      </c>
      <c r="AG26" s="160">
        <f t="shared" si="0"/>
        <v>0</v>
      </c>
    </row>
    <row r="27" spans="1:33" ht="15" customHeight="1" x14ac:dyDescent="0.2">
      <c r="A27" s="158" t="str">
        <f>'Returns (Calc)'!AP2</f>
        <v>VYM</v>
      </c>
      <c r="B27" s="159">
        <f>IFERROR(ROUND(CORREL('Returns (Calc)'!$AP$3:$AP$500,'Returns (Calc)'!$B$3:$B$500),2),"")</f>
        <v>0.22</v>
      </c>
      <c r="C27" s="159">
        <f>IFERROR(ROUND(CORREL('Returns (Calc)'!$AP$3:$AP$500,'Returns (Calc)'!$C$3:$C$500),2),"")</f>
        <v>0.46</v>
      </c>
      <c r="D27" s="159">
        <f>IFERROR(ROUND(CORREL('Returns (Calc)'!$AP$3:$AP$500,'Returns (Calc)'!$D$3:$D$500),2),"")</f>
        <v>0.41</v>
      </c>
      <c r="E27" s="159">
        <f>IFERROR(ROUND(CORREL('Returns (Calc)'!$AP$3:$AP$500,'Returns (Calc)'!$E$3:$E$500),2),"")</f>
        <v>0.45</v>
      </c>
      <c r="F27" s="159">
        <f>IFERROR(ROUND(CORREL('Returns (Calc)'!$AP$3:$AP$500,'Returns (Calc)'!$F$3:$F$500),2),"")</f>
        <v>0.24</v>
      </c>
      <c r="G27" s="159">
        <f>IFERROR(ROUND(CORREL('Returns (Calc)'!$AP$3:$AP$500,'Returns (Calc)'!$G$3:$G$500),2),"")</f>
        <v>0.45</v>
      </c>
      <c r="H27" s="159">
        <f>IFERROR(ROUND(CORREL('Returns (Calc)'!$AP$3:$AP$500,'Returns (Calc)'!$H$3:$H$500),2),"")</f>
        <v>0.39</v>
      </c>
      <c r="I27" s="159">
        <f>IFERROR(ROUND(CORREL('Returns (Calc)'!$AP$3:$AP$500,'Returns (Calc)'!$I$3:$I$500),2),"")</f>
        <v>0.38</v>
      </c>
      <c r="J27" s="159">
        <f>IFERROR(ROUND(CORREL('Returns (Calc)'!$AP$3:$AP$500,'Returns (Calc)'!$J$3:$J$500),2),"")</f>
        <v>0.65</v>
      </c>
      <c r="K27" s="159">
        <f>IFERROR(ROUND(CORREL('Returns (Calc)'!$AP$3:$AP$500,'Returns (Calc)'!$K$3:$K$500),2),"")</f>
        <v>0.26</v>
      </c>
      <c r="L27" s="159">
        <f>IFERROR(ROUND(CORREL('Returns (Calc)'!$AP$3:$AP$500,'Returns (Calc)'!$L$3:$L$500),2),"")</f>
        <v>0.41</v>
      </c>
      <c r="M27" s="159">
        <f>IFERROR(ROUND(CORREL('Returns (Calc)'!$AP$3:$AP$500,'Returns (Calc)'!$M$3:$M$500),2),"")</f>
        <v>0.42</v>
      </c>
      <c r="N27" s="159">
        <f>IFERROR(ROUND(CORREL('Returns (Calc)'!$AP$3:$AP$500,'Returns (Calc)'!$N$3:$N$500),2),"")</f>
        <v>0.28000000000000003</v>
      </c>
      <c r="O27" s="159">
        <f>IFERROR(ROUND(CORREL('Returns (Calc)'!$AP$3:$AP$500,'Returns (Calc)'!$O$3:$O$500),2),"")</f>
        <v>0.87</v>
      </c>
      <c r="P27" s="159">
        <f>IFERROR(ROUND(CORREL('Returns (Calc)'!$AP$3:$AP$500,'Returns (Calc)'!$P$3:$P$500),2),"")</f>
        <v>0.88</v>
      </c>
      <c r="Q27" s="159">
        <f>IFERROR(ROUND(CORREL('Returns (Calc)'!$AP$3:$AP$500,'Returns (Calc)'!$Q$3:$Q$500),2),"")</f>
        <v>0.78</v>
      </c>
      <c r="R27" s="159">
        <f>IFERROR(ROUND(CORREL('Returns (Calc)'!$AP$3:$AP$500,'Returns (Calc)'!$R$3:$R$500),2),"")</f>
        <v>0.66</v>
      </c>
      <c r="S27" s="159">
        <f>IFERROR(ROUND(CORREL('Returns (Calc)'!$AP$3:$AP$500,'Returns (Calc)'!$S$3:$S$500),2),"")</f>
        <v>0.63</v>
      </c>
      <c r="T27" s="159">
        <f>IFERROR(ROUND(CORREL('Returns (Calc)'!$AP$3:$AP$500,'Returns (Calc)'!$T$3:$T$500),2),"")</f>
        <v>0.79</v>
      </c>
      <c r="U27" s="159">
        <f>IFERROR(ROUND(CORREL('Returns (Calc)'!$AP$3:$AP$500,'Returns (Calc)'!$U$3:$U$500),2),"")</f>
        <v>0.88</v>
      </c>
      <c r="V27" s="159">
        <f>IFERROR(ROUND(CORREL('Returns (Calc)'!$AP$3:$AP$500,'Returns (Calc)'!$V$3:$V$500),2),"")</f>
        <v>0.51</v>
      </c>
      <c r="W27" s="159">
        <v>1</v>
      </c>
      <c r="X27" s="159">
        <f>IFERROR(ROUND(CORREL('Returns (Calc)'!$AP$3:$AP$500,'Returns (Calc)'!$AQ$3:$AQ$500),2),"")</f>
        <v>0.05</v>
      </c>
      <c r="Y27" s="159">
        <f>IFERROR(ROUND(CORREL('Returns (Calc)'!$AP$3:$AP$500,'Returns (Calc)'!$AR$3:$AR$500),2),"")</f>
        <v>0.9</v>
      </c>
      <c r="Z27" s="159">
        <f>IFERROR(ROUND(CORREL('Returns (Calc)'!$AP$3:$AP$500,'Returns (Calc)'!$AS$3:$AS$500),2),"")</f>
        <v>0.54</v>
      </c>
      <c r="AA27" s="159">
        <f>IFERROR(ROUND(CORREL('Returns (Calc)'!$AP$3:$AP$500,'Returns (Calc)'!$AT$3:$AT$500),2),"")</f>
        <v>0.3</v>
      </c>
      <c r="AB27" s="159">
        <f>IFERROR(ROUND(CORREL('Returns (Calc)'!$AP$3:$AP$500,'Returns (Calc)'!$AU$3:$AU$500),2),"")</f>
        <v>0.25</v>
      </c>
      <c r="AG27" s="160">
        <f t="shared" si="0"/>
        <v>6</v>
      </c>
    </row>
    <row r="28" spans="1:33" ht="15" customHeight="1" x14ac:dyDescent="0.2">
      <c r="A28" s="158" t="str">
        <f>'Returns (Calc)'!AQ2</f>
        <v>MLPI</v>
      </c>
      <c r="B28" s="159">
        <f>IFERROR(ROUND(CORREL('Returns (Calc)'!$AQ$3:$AQ$500,'Returns (Calc)'!$B$3:$B$500),2),"")</f>
        <v>-0.23</v>
      </c>
      <c r="C28" s="159">
        <f>IFERROR(ROUND(CORREL('Returns (Calc)'!$AQ$3:$AQ$500,'Returns (Calc)'!$C$3:$C$500),2),"")</f>
        <v>-0.03</v>
      </c>
      <c r="D28" s="159">
        <f>IFERROR(ROUND(CORREL('Returns (Calc)'!$AQ$3:$AQ$500,'Returns (Calc)'!$D$3:$D$500),2),"")</f>
        <v>-0.19</v>
      </c>
      <c r="E28" s="159">
        <f>IFERROR(ROUND(CORREL('Returns (Calc)'!$AQ$3:$AQ$500,'Returns (Calc)'!$E$3:$E$500),2),"")</f>
        <v>-0.44</v>
      </c>
      <c r="F28" s="159">
        <f>IFERROR(ROUND(CORREL('Returns (Calc)'!$AQ$3:$AQ$500,'Returns (Calc)'!$F$3:$F$500),2),"")</f>
        <v>-0.3</v>
      </c>
      <c r="G28" s="159">
        <f>IFERROR(ROUND(CORREL('Returns (Calc)'!$AQ$3:$AQ$500,'Returns (Calc)'!$G$3:$G$500),2),"")</f>
        <v>-0.18</v>
      </c>
      <c r="H28" s="159">
        <f>IFERROR(ROUND(CORREL('Returns (Calc)'!$AQ$3:$AQ$500,'Returns (Calc)'!$H$3:$H$500),2),"")</f>
        <v>-0.36</v>
      </c>
      <c r="I28" s="159">
        <f>IFERROR(ROUND(CORREL('Returns (Calc)'!$AQ$3:$AQ$500,'Returns (Calc)'!$I$3:$I$500),2),"")</f>
        <v>-0.31</v>
      </c>
      <c r="J28" s="159">
        <f>IFERROR(ROUND(CORREL('Returns (Calc)'!$AQ$3:$AQ$500,'Returns (Calc)'!$J$3:$J$500),2),"")</f>
        <v>0.09</v>
      </c>
      <c r="K28" s="159">
        <f>IFERROR(ROUND(CORREL('Returns (Calc)'!$AQ$3:$AQ$500,'Returns (Calc)'!$K$3:$K$500),2),"")</f>
        <v>-0.46</v>
      </c>
      <c r="L28" s="159">
        <f>IFERROR(ROUND(CORREL('Returns (Calc)'!$AQ$3:$AQ$500,'Returns (Calc)'!$L$3:$L$500),2),"")</f>
        <v>-0.26</v>
      </c>
      <c r="M28" s="159">
        <f>IFERROR(ROUND(CORREL('Returns (Calc)'!$AQ$3:$AQ$500,'Returns (Calc)'!$M$3:$M$500),2),"")</f>
        <v>0.19</v>
      </c>
      <c r="N28" s="159">
        <f>IFERROR(ROUND(CORREL('Returns (Calc)'!$AQ$3:$AQ$500,'Returns (Calc)'!$N$3:$N$500),2),"")</f>
        <v>-0.16</v>
      </c>
      <c r="O28" s="159">
        <f>IFERROR(ROUND(CORREL('Returns (Calc)'!$AQ$3:$AQ$500,'Returns (Calc)'!$O$3:$O$500),2),"")</f>
        <v>0.11</v>
      </c>
      <c r="P28" s="159">
        <f>IFERROR(ROUND(CORREL('Returns (Calc)'!$AQ$3:$AQ$500,'Returns (Calc)'!$P$3:$P$500),2),"")</f>
        <v>0.45</v>
      </c>
      <c r="Q28" s="159">
        <f>IFERROR(ROUND(CORREL('Returns (Calc)'!$AQ$3:$AQ$500,'Returns (Calc)'!$Q$3:$Q$500),2),"")</f>
        <v>-0.41</v>
      </c>
      <c r="R28" s="159">
        <f>IFERROR(ROUND(CORREL('Returns (Calc)'!$AQ$3:$AQ$500,'Returns (Calc)'!$R$3:$R$500),2),"")</f>
        <v>-0.49</v>
      </c>
      <c r="S28" s="159">
        <f>IFERROR(ROUND(CORREL('Returns (Calc)'!$AQ$3:$AQ$500,'Returns (Calc)'!$S$3:$S$500),2),"")</f>
        <v>-0.4</v>
      </c>
      <c r="T28" s="159">
        <f>IFERROR(ROUND(CORREL('Returns (Calc)'!$AQ$3:$AQ$500,'Returns (Calc)'!$T$3:$T$500),2),"")</f>
        <v>-0.26</v>
      </c>
      <c r="U28" s="159">
        <f>IFERROR(ROUND(CORREL('Returns (Calc)'!$AQ$3:$AQ$500,'Returns (Calc)'!$U$3:$U$500),2),"")</f>
        <v>0.32</v>
      </c>
      <c r="V28" s="159">
        <f>IFERROR(ROUND(CORREL('Returns (Calc)'!$AQ$3:$AQ$500,'Returns (Calc)'!$V$3:$V$500),2),"")</f>
        <v>-0.03</v>
      </c>
      <c r="W28" s="159">
        <f>IFERROR(ROUND(CORREL('Returns (Calc)'!$AQ$3:$AQ$500,'Returns (Calc)'!$AP$3:$AP$500),2),"")</f>
        <v>0.05</v>
      </c>
      <c r="X28" s="159">
        <v>1</v>
      </c>
      <c r="Y28" s="159">
        <f>IFERROR(ROUND(CORREL('Returns (Calc)'!$AQ$3:$AQ$500,'Returns (Calc)'!$AR$3:$AR$500),2),"")</f>
        <v>-0.08</v>
      </c>
      <c r="Z28" s="159">
        <f>IFERROR(ROUND(CORREL('Returns (Calc)'!$AQ$3:$AQ$500,'Returns (Calc)'!$AS$3:$AS$500),2),"")</f>
        <v>-0.26</v>
      </c>
      <c r="AA28" s="159">
        <f>IFERROR(ROUND(CORREL('Returns (Calc)'!$AQ$3:$AQ$500,'Returns (Calc)'!$AT$3:$AT$500),2),"")</f>
        <v>0.01</v>
      </c>
      <c r="AB28" s="159">
        <f>IFERROR(ROUND(CORREL('Returns (Calc)'!$AQ$3:$AQ$500,'Returns (Calc)'!$AU$3:$AU$500),2),"")</f>
        <v>-0.27</v>
      </c>
      <c r="AG28" s="160">
        <f t="shared" si="0"/>
        <v>0</v>
      </c>
    </row>
    <row r="29" spans="1:33" ht="15" customHeight="1" x14ac:dyDescent="0.2">
      <c r="A29" s="158" t="str">
        <f>'Returns (Calc)'!AR2</f>
        <v>JEPI</v>
      </c>
      <c r="B29" s="159">
        <f>IFERROR(ROUND(CORREL('Returns (Calc)'!$AR$3:$AR$500,'Returns (Calc)'!$B$3:$B$500),2),"")</f>
        <v>0.33</v>
      </c>
      <c r="C29" s="159">
        <f>IFERROR(ROUND(CORREL('Returns (Calc)'!$AR$3:$AR$500,'Returns (Calc)'!$C$3:$C$500),2),"")</f>
        <v>0.51</v>
      </c>
      <c r="D29" s="159">
        <f>IFERROR(ROUND(CORREL('Returns (Calc)'!$AR$3:$AR$500,'Returns (Calc)'!$D$3:$D$500),2),"")</f>
        <v>0.42</v>
      </c>
      <c r="E29" s="159">
        <f>IFERROR(ROUND(CORREL('Returns (Calc)'!$AR$3:$AR$500,'Returns (Calc)'!$E$3:$E$500),2),"")</f>
        <v>0.44</v>
      </c>
      <c r="F29" s="159">
        <f>IFERROR(ROUND(CORREL('Returns (Calc)'!$AR$3:$AR$500,'Returns (Calc)'!$F$3:$F$500),2),"")</f>
        <v>0.28999999999999998</v>
      </c>
      <c r="G29" s="159">
        <f>IFERROR(ROUND(CORREL('Returns (Calc)'!$AR$3:$AR$500,'Returns (Calc)'!$G$3:$G$500),2),"")</f>
        <v>0.44</v>
      </c>
      <c r="H29" s="159">
        <f>IFERROR(ROUND(CORREL('Returns (Calc)'!$AR$3:$AR$500,'Returns (Calc)'!$H$3:$H$500),2),"")</f>
        <v>0.35</v>
      </c>
      <c r="I29" s="159">
        <f>IFERROR(ROUND(CORREL('Returns (Calc)'!$AR$3:$AR$500,'Returns (Calc)'!$I$3:$I$500),2),"")</f>
        <v>0.43</v>
      </c>
      <c r="J29" s="159">
        <f>IFERROR(ROUND(CORREL('Returns (Calc)'!$AR$3:$AR$500,'Returns (Calc)'!$J$3:$J$500),2),"")</f>
        <v>0.61</v>
      </c>
      <c r="K29" s="159">
        <f>IFERROR(ROUND(CORREL('Returns (Calc)'!$AR$3:$AR$500,'Returns (Calc)'!$K$3:$K$500),2),"")</f>
        <v>0.32</v>
      </c>
      <c r="L29" s="159">
        <f>IFERROR(ROUND(CORREL('Returns (Calc)'!$AR$3:$AR$500,'Returns (Calc)'!$L$3:$L$500),2),"")</f>
        <v>0.47</v>
      </c>
      <c r="M29" s="159">
        <f>IFERROR(ROUND(CORREL('Returns (Calc)'!$AR$3:$AR$500,'Returns (Calc)'!$M$3:$M$500),2),"")</f>
        <v>0.44</v>
      </c>
      <c r="N29" s="159">
        <f>IFERROR(ROUND(CORREL('Returns (Calc)'!$AR$3:$AR$500,'Returns (Calc)'!$N$3:$N$500),2),"")</f>
        <v>0.34</v>
      </c>
      <c r="O29" s="159">
        <f>IFERROR(ROUND(CORREL('Returns (Calc)'!$AR$3:$AR$500,'Returns (Calc)'!$O$3:$O$500),2),"")</f>
        <v>0.73</v>
      </c>
      <c r="P29" s="159">
        <f>IFERROR(ROUND(CORREL('Returns (Calc)'!$AR$3:$AR$500,'Returns (Calc)'!$P$3:$P$500),2),"")</f>
        <v>0.76</v>
      </c>
      <c r="Q29" s="159">
        <f>IFERROR(ROUND(CORREL('Returns (Calc)'!$AR$3:$AR$500,'Returns (Calc)'!$Q$3:$Q$500),2),"")</f>
        <v>0.83</v>
      </c>
      <c r="R29" s="159">
        <f>IFERROR(ROUND(CORREL('Returns (Calc)'!$AR$3:$AR$500,'Returns (Calc)'!$R$3:$R$500),2),"")</f>
        <v>0.76</v>
      </c>
      <c r="S29" s="159">
        <f>IFERROR(ROUND(CORREL('Returns (Calc)'!$AR$3:$AR$500,'Returns (Calc)'!$S$3:$S$500),2),"")</f>
        <v>0.66</v>
      </c>
      <c r="T29" s="159">
        <f>IFERROR(ROUND(CORREL('Returns (Calc)'!$AR$3:$AR$500,'Returns (Calc)'!$T$3:$T$500),2),"")</f>
        <v>0.72</v>
      </c>
      <c r="U29" s="159">
        <f>IFERROR(ROUND(CORREL('Returns (Calc)'!$AR$3:$AR$500,'Returns (Calc)'!$U$3:$U$500),2),"")</f>
        <v>0.78</v>
      </c>
      <c r="V29" s="159">
        <f>IFERROR(ROUND(CORREL('Returns (Calc)'!$AR$3:$AR$500,'Returns (Calc)'!$V$3:$V$500),2),"")</f>
        <v>0.63</v>
      </c>
      <c r="W29" s="159">
        <f>IFERROR(ROUND(CORREL('Returns (Calc)'!$AR$3:$AR$500,'Returns (Calc)'!$AP$3:$AP$500),2),"")</f>
        <v>0.9</v>
      </c>
      <c r="X29" s="159">
        <f>IFERROR(ROUND(CORREL('Returns (Calc)'!$AR$3:$AR$500,'Returns (Calc)'!$AQ$3:$AQ$500),2),"")</f>
        <v>-0.08</v>
      </c>
      <c r="Y29" s="159">
        <v>1</v>
      </c>
      <c r="Z29" s="159">
        <f>IFERROR(ROUND(CORREL('Returns (Calc)'!$AR$3:$AR$500,'Returns (Calc)'!$AS$3:$AS$500),2),"")</f>
        <v>0.56999999999999995</v>
      </c>
      <c r="AA29" s="159">
        <f>IFERROR(ROUND(CORREL('Returns (Calc)'!$AR$3:$AR$500,'Returns (Calc)'!$AT$3:$AT$500),2),"")</f>
        <v>0.39</v>
      </c>
      <c r="AB29" s="159">
        <f>IFERROR(ROUND(CORREL('Returns (Calc)'!$AR$3:$AR$500,'Returns (Calc)'!$AU$3:$AU$500),2),"")</f>
        <v>0.31</v>
      </c>
      <c r="AG29" s="160">
        <f t="shared" si="0"/>
        <v>7</v>
      </c>
    </row>
    <row r="30" spans="1:33" ht="15" customHeight="1" x14ac:dyDescent="0.2">
      <c r="A30" s="158" t="str">
        <f>'Returns (Calc)'!AS2</f>
        <v>GE</v>
      </c>
      <c r="B30" s="159">
        <f>IFERROR(ROUND(CORREL('Returns (Calc)'!$AS$3:$AS$500,'Returns (Calc)'!$B$3:$B$500),2),"")</f>
        <v>0.09</v>
      </c>
      <c r="C30" s="159">
        <f>IFERROR(ROUND(CORREL('Returns (Calc)'!$AS$3:$AS$500,'Returns (Calc)'!$C$3:$C$500),2),"")</f>
        <v>0.34</v>
      </c>
      <c r="D30" s="159">
        <f>IFERROR(ROUND(CORREL('Returns (Calc)'!$AS$3:$AS$500,'Returns (Calc)'!$D$3:$D$500),2),"")</f>
        <v>0.39</v>
      </c>
      <c r="E30" s="159">
        <f>IFERROR(ROUND(CORREL('Returns (Calc)'!$AS$3:$AS$500,'Returns (Calc)'!$E$3:$E$500),2),"")</f>
        <v>0.36</v>
      </c>
      <c r="F30" s="159">
        <f>IFERROR(ROUND(CORREL('Returns (Calc)'!$AS$3:$AS$500,'Returns (Calc)'!$F$3:$F$500),2),"")</f>
        <v>0.24</v>
      </c>
      <c r="G30" s="159">
        <f>IFERROR(ROUND(CORREL('Returns (Calc)'!$AS$3:$AS$500,'Returns (Calc)'!$G$3:$G$500),2),"")</f>
        <v>0.39</v>
      </c>
      <c r="H30" s="159">
        <f>IFERROR(ROUND(CORREL('Returns (Calc)'!$AS$3:$AS$500,'Returns (Calc)'!$H$3:$H$500),2),"")</f>
        <v>0.36</v>
      </c>
      <c r="I30" s="159">
        <f>IFERROR(ROUND(CORREL('Returns (Calc)'!$AS$3:$AS$500,'Returns (Calc)'!$I$3:$I$500),2),"")</f>
        <v>0.38</v>
      </c>
      <c r="J30" s="159">
        <f>IFERROR(ROUND(CORREL('Returns (Calc)'!$AS$3:$AS$500,'Returns (Calc)'!$J$3:$J$500),2),"")</f>
        <v>0.28999999999999998</v>
      </c>
      <c r="K30" s="159">
        <f>IFERROR(ROUND(CORREL('Returns (Calc)'!$AS$3:$AS$500,'Returns (Calc)'!$K$3:$K$500),2),"")</f>
        <v>0.26</v>
      </c>
      <c r="L30" s="159">
        <f>IFERROR(ROUND(CORREL('Returns (Calc)'!$AS$3:$AS$500,'Returns (Calc)'!$L$3:$L$500),2),"")</f>
        <v>0.44</v>
      </c>
      <c r="M30" s="159">
        <f>IFERROR(ROUND(CORREL('Returns (Calc)'!$AS$3:$AS$500,'Returns (Calc)'!$M$3:$M$500),2),"")</f>
        <v>0.44</v>
      </c>
      <c r="N30" s="159">
        <f>IFERROR(ROUND(CORREL('Returns (Calc)'!$AS$3:$AS$500,'Returns (Calc)'!$N$3:$N$500),2),"")</f>
        <v>0.08</v>
      </c>
      <c r="O30" s="159">
        <f>IFERROR(ROUND(CORREL('Returns (Calc)'!$AS$3:$AS$500,'Returns (Calc)'!$O$3:$O$500),2),"")</f>
        <v>0.46</v>
      </c>
      <c r="P30" s="159">
        <f>IFERROR(ROUND(CORREL('Returns (Calc)'!$AS$3:$AS$500,'Returns (Calc)'!$P$3:$P$500),2),"")</f>
        <v>0.4</v>
      </c>
      <c r="Q30" s="159">
        <f>IFERROR(ROUND(CORREL('Returns (Calc)'!$AS$3:$AS$500,'Returns (Calc)'!$Q$3:$Q$500),2),"")</f>
        <v>0.53</v>
      </c>
      <c r="R30" s="159">
        <f>IFERROR(ROUND(CORREL('Returns (Calc)'!$AS$3:$AS$500,'Returns (Calc)'!$R$3:$R$500),2),"")</f>
        <v>0.52</v>
      </c>
      <c r="S30" s="159">
        <f>IFERROR(ROUND(CORREL('Returns (Calc)'!$AS$3:$AS$500,'Returns (Calc)'!$S$3:$S$500),2),"")</f>
        <v>0.61</v>
      </c>
      <c r="T30" s="159">
        <f>IFERROR(ROUND(CORREL('Returns (Calc)'!$AS$3:$AS$500,'Returns (Calc)'!$T$3:$T$500),2),"")</f>
        <v>0.43</v>
      </c>
      <c r="U30" s="159">
        <f>IFERROR(ROUND(CORREL('Returns (Calc)'!$AS$3:$AS$500,'Returns (Calc)'!$U$3:$U$500),2),"")</f>
        <v>0.34</v>
      </c>
      <c r="V30" s="159">
        <f>IFERROR(ROUND(CORREL('Returns (Calc)'!$AS$3:$AS$500,'Returns (Calc)'!$V$3:$V$500),2),"")</f>
        <v>0.39</v>
      </c>
      <c r="W30" s="159">
        <f>IFERROR(ROUND(CORREL('Returns (Calc)'!$AS$3:$AS$500,'Returns (Calc)'!$AP$3:$AP$500),2),"")</f>
        <v>0.54</v>
      </c>
      <c r="X30" s="159">
        <f>IFERROR(ROUND(CORREL('Returns (Calc)'!$AS$3:$AS$500,'Returns (Calc)'!$AQ$3:$AQ$500),2),"")</f>
        <v>-0.26</v>
      </c>
      <c r="Y30" s="159">
        <f>IFERROR(ROUND(CORREL('Returns (Calc)'!$AS$3:$AS$500,'Returns (Calc)'!$AR$3:$AR$500),2),"")</f>
        <v>0.56999999999999995</v>
      </c>
      <c r="Z30" s="159">
        <v>1</v>
      </c>
      <c r="AA30" s="159">
        <f>IFERROR(ROUND(CORREL('Returns (Calc)'!$AS$3:$AS$500,'Returns (Calc)'!$AT$3:$AT$500),2),"")</f>
        <v>0.39</v>
      </c>
      <c r="AB30" s="159">
        <f>IFERROR(ROUND(CORREL('Returns (Calc)'!$AS$3:$AS$500,'Returns (Calc)'!$AU$3:$AU$500),2),"")</f>
        <v>0.17</v>
      </c>
      <c r="AG30" s="160">
        <f t="shared" si="0"/>
        <v>0</v>
      </c>
    </row>
    <row r="31" spans="1:33" ht="15" customHeight="1" x14ac:dyDescent="0.2">
      <c r="A31" s="158" t="str">
        <f>'Returns (Calc)'!AT2</f>
        <v>NFLX</v>
      </c>
      <c r="B31" s="159">
        <f>IFERROR(ROUND(CORREL('Returns (Calc)'!$AT$3:$AT$500,'Returns (Calc)'!$B$3:$B$500),2),"")</f>
        <v>0.22</v>
      </c>
      <c r="C31" s="159">
        <f>IFERROR(ROUND(CORREL('Returns (Calc)'!$AT$3:$AT$500,'Returns (Calc)'!$C$3:$C$500),2),"")</f>
        <v>0.39</v>
      </c>
      <c r="D31" s="159">
        <f>IFERROR(ROUND(CORREL('Returns (Calc)'!$AT$3:$AT$500,'Returns (Calc)'!$D$3:$D$500),2),"")</f>
        <v>0.21</v>
      </c>
      <c r="E31" s="159">
        <f>IFERROR(ROUND(CORREL('Returns (Calc)'!$AT$3:$AT$500,'Returns (Calc)'!$E$3:$E$500),2),"")</f>
        <v>0.3</v>
      </c>
      <c r="F31" s="159">
        <f>IFERROR(ROUND(CORREL('Returns (Calc)'!$AT$3:$AT$500,'Returns (Calc)'!$F$3:$F$500),2),"")</f>
        <v>0.24</v>
      </c>
      <c r="G31" s="159">
        <f>IFERROR(ROUND(CORREL('Returns (Calc)'!$AT$3:$AT$500,'Returns (Calc)'!$G$3:$G$500),2),"")</f>
        <v>0.1</v>
      </c>
      <c r="H31" s="159">
        <f>IFERROR(ROUND(CORREL('Returns (Calc)'!$AT$3:$AT$500,'Returns (Calc)'!$H$3:$H$500),2),"")</f>
        <v>0.1</v>
      </c>
      <c r="I31" s="159">
        <f>IFERROR(ROUND(CORREL('Returns (Calc)'!$AT$3:$AT$500,'Returns (Calc)'!$I$3:$I$500),2),"")</f>
        <v>0.27</v>
      </c>
      <c r="J31" s="159">
        <f>IFERROR(ROUND(CORREL('Returns (Calc)'!$AT$3:$AT$500,'Returns (Calc)'!$J$3:$J$500),2),"")</f>
        <v>0.13</v>
      </c>
      <c r="K31" s="159">
        <f>IFERROR(ROUND(CORREL('Returns (Calc)'!$AT$3:$AT$500,'Returns (Calc)'!$K$3:$K$500),2),"")</f>
        <v>0.3</v>
      </c>
      <c r="L31" s="159">
        <f>IFERROR(ROUND(CORREL('Returns (Calc)'!$AT$3:$AT$500,'Returns (Calc)'!$L$3:$L$500),2),"")</f>
        <v>0.28999999999999998</v>
      </c>
      <c r="M31" s="159">
        <f>IFERROR(ROUND(CORREL('Returns (Calc)'!$AT$3:$AT$500,'Returns (Calc)'!$M$3:$M$500),2),"")</f>
        <v>0.31</v>
      </c>
      <c r="N31" s="159">
        <f>IFERROR(ROUND(CORREL('Returns (Calc)'!$AT$3:$AT$500,'Returns (Calc)'!$N$3:$N$500),2),"")</f>
        <v>0.08</v>
      </c>
      <c r="O31" s="159">
        <f>IFERROR(ROUND(CORREL('Returns (Calc)'!$AT$3:$AT$500,'Returns (Calc)'!$O$3:$O$500),2),"")</f>
        <v>0.21</v>
      </c>
      <c r="P31" s="159">
        <f>IFERROR(ROUND(CORREL('Returns (Calc)'!$AT$3:$AT$500,'Returns (Calc)'!$P$3:$P$500),2),"")</f>
        <v>0.18</v>
      </c>
      <c r="Q31" s="159">
        <f>IFERROR(ROUND(CORREL('Returns (Calc)'!$AT$3:$AT$500,'Returns (Calc)'!$Q$3:$Q$500),2),"")</f>
        <v>0.39</v>
      </c>
      <c r="R31" s="159">
        <f>IFERROR(ROUND(CORREL('Returns (Calc)'!$AT$3:$AT$500,'Returns (Calc)'!$R$3:$R$500),2),"")</f>
        <v>0.43</v>
      </c>
      <c r="S31" s="159">
        <f>IFERROR(ROUND(CORREL('Returns (Calc)'!$AT$3:$AT$500,'Returns (Calc)'!$S$3:$S$500),2),"")</f>
        <v>0.4</v>
      </c>
      <c r="T31" s="159">
        <f>IFERROR(ROUND(CORREL('Returns (Calc)'!$AT$3:$AT$500,'Returns (Calc)'!$T$3:$T$500),2),"")</f>
        <v>0.26</v>
      </c>
      <c r="U31" s="159">
        <f>IFERROR(ROUND(CORREL('Returns (Calc)'!$AT$3:$AT$500,'Returns (Calc)'!$U$3:$U$500),2),"")</f>
        <v>0.16</v>
      </c>
      <c r="V31" s="159">
        <f>IFERROR(ROUND(CORREL('Returns (Calc)'!$AT$3:$AT$500,'Returns (Calc)'!$V$3:$V$500),2),"")</f>
        <v>0.28999999999999998</v>
      </c>
      <c r="W31" s="159">
        <f>IFERROR(ROUND(CORREL('Returns (Calc)'!$AT$3:$AT$500,'Returns (Calc)'!$AP$3:$AP$500),2),"")</f>
        <v>0.3</v>
      </c>
      <c r="X31" s="159">
        <f>IFERROR(ROUND(CORREL('Returns (Calc)'!$AT$3:$AT$500,'Returns (Calc)'!$AQ$3:$AQ$500),2),"")</f>
        <v>0.01</v>
      </c>
      <c r="Y31" s="159">
        <f>IFERROR(ROUND(CORREL('Returns (Calc)'!$AT$3:$AT$500,'Returns (Calc)'!$AR$3:$AR$500),2),"")</f>
        <v>0.39</v>
      </c>
      <c r="Z31" s="159">
        <f>IFERROR(ROUND(CORREL('Returns (Calc)'!$AT$3:$AT$500,'Returns (Calc)'!$AS$3:$AS$500),2),"")</f>
        <v>0.39</v>
      </c>
      <c r="AA31" s="159">
        <v>1</v>
      </c>
      <c r="AB31" s="159">
        <f>IFERROR(ROUND(CORREL('Returns (Calc)'!$AT$3:$AT$500,'Returns (Calc)'!$AU$3:$AU$500),2),"")</f>
        <v>0.17</v>
      </c>
      <c r="AG31" s="160">
        <f t="shared" si="0"/>
        <v>0</v>
      </c>
    </row>
    <row r="32" spans="1:33" ht="15" customHeight="1" x14ac:dyDescent="0.2">
      <c r="A32" s="158" t="str">
        <f>'Returns (Calc)'!AU2</f>
        <v>VEEV</v>
      </c>
      <c r="B32" s="159">
        <f>IFERROR(ROUND(CORREL('Returns (Calc)'!$AU$3:$AU$500,'Returns (Calc)'!$B$3:$B$500),2),"")</f>
        <v>0.52</v>
      </c>
      <c r="C32" s="159">
        <f>IFERROR(ROUND(CORREL('Returns (Calc)'!$AU$3:$AU$500,'Returns (Calc)'!$C$3:$C$500),2),"")</f>
        <v>0.13</v>
      </c>
      <c r="D32" s="159">
        <f>IFERROR(ROUND(CORREL('Returns (Calc)'!$AU$3:$AU$500,'Returns (Calc)'!$D$3:$D$500),2),"")</f>
        <v>0.02</v>
      </c>
      <c r="E32" s="159">
        <f>IFERROR(ROUND(CORREL('Returns (Calc)'!$AU$3:$AU$500,'Returns (Calc)'!$E$3:$E$500),2),"")</f>
        <v>0.1</v>
      </c>
      <c r="F32" s="159">
        <f>IFERROR(ROUND(CORREL('Returns (Calc)'!$AU$3:$AU$500,'Returns (Calc)'!$F$3:$F$500),2),"")</f>
        <v>0.36</v>
      </c>
      <c r="G32" s="159">
        <f>IFERROR(ROUND(CORREL('Returns (Calc)'!$AU$3:$AU$500,'Returns (Calc)'!$G$3:$G$500),2),"")</f>
        <v>0.01</v>
      </c>
      <c r="H32" s="159">
        <f>IFERROR(ROUND(CORREL('Returns (Calc)'!$AU$3:$AU$500,'Returns (Calc)'!$H$3:$H$500),2),"")</f>
        <v>0.1</v>
      </c>
      <c r="I32" s="159">
        <f>IFERROR(ROUND(CORREL('Returns (Calc)'!$AU$3:$AU$500,'Returns (Calc)'!$I$3:$I$500),2),"")</f>
        <v>0.14000000000000001</v>
      </c>
      <c r="J32" s="159">
        <f>IFERROR(ROUND(CORREL('Returns (Calc)'!$AU$3:$AU$500,'Returns (Calc)'!$J$3:$J$500),2),"")</f>
        <v>0.15</v>
      </c>
      <c r="K32" s="159">
        <f>IFERROR(ROUND(CORREL('Returns (Calc)'!$AU$3:$AU$500,'Returns (Calc)'!$K$3:$K$500),2),"")</f>
        <v>0.41</v>
      </c>
      <c r="L32" s="159">
        <f>IFERROR(ROUND(CORREL('Returns (Calc)'!$AU$3:$AU$500,'Returns (Calc)'!$L$3:$L$500),2),"")</f>
        <v>0.11</v>
      </c>
      <c r="M32" s="159">
        <f>IFERROR(ROUND(CORREL('Returns (Calc)'!$AU$3:$AU$500,'Returns (Calc)'!$M$3:$M$500),2),"")</f>
        <v>0.06</v>
      </c>
      <c r="N32" s="159">
        <f>IFERROR(ROUND(CORREL('Returns (Calc)'!$AU$3:$AU$500,'Returns (Calc)'!$N$3:$N$500),2),"")</f>
        <v>0.27</v>
      </c>
      <c r="O32" s="159">
        <f>IFERROR(ROUND(CORREL('Returns (Calc)'!$AU$3:$AU$500,'Returns (Calc)'!$O$3:$O$500),2),"")</f>
        <v>0.22</v>
      </c>
      <c r="P32" s="159">
        <f>IFERROR(ROUND(CORREL('Returns (Calc)'!$AU$3:$AU$500,'Returns (Calc)'!$P$3:$P$500),2),"")</f>
        <v>0.19</v>
      </c>
      <c r="Q32" s="159">
        <f>IFERROR(ROUND(CORREL('Returns (Calc)'!$AU$3:$AU$500,'Returns (Calc)'!$Q$3:$Q$500),2),"")</f>
        <v>0.34</v>
      </c>
      <c r="R32" s="159">
        <f>IFERROR(ROUND(CORREL('Returns (Calc)'!$AU$3:$AU$500,'Returns (Calc)'!$R$3:$R$500),2),"")</f>
        <v>0.28999999999999998</v>
      </c>
      <c r="S32" s="159">
        <f>IFERROR(ROUND(CORREL('Returns (Calc)'!$AU$3:$AU$500,'Returns (Calc)'!$S$3:$S$500),2),"")</f>
        <v>0.19</v>
      </c>
      <c r="T32" s="159">
        <f>IFERROR(ROUND(CORREL('Returns (Calc)'!$AU$3:$AU$500,'Returns (Calc)'!$T$3:$T$500),2),"")</f>
        <v>0.43</v>
      </c>
      <c r="U32" s="159">
        <f>IFERROR(ROUND(CORREL('Returns (Calc)'!$AU$3:$AU$500,'Returns (Calc)'!$U$3:$U$500),2),"")</f>
        <v>0.26</v>
      </c>
      <c r="V32" s="159">
        <f>IFERROR(ROUND(CORREL('Returns (Calc)'!$AU$3:$AU$500,'Returns (Calc)'!$V$3:$V$500),2),"")</f>
        <v>0.37</v>
      </c>
      <c r="W32" s="159">
        <f>IFERROR(ROUND(CORREL('Returns (Calc)'!$AU$3:$AU$500,'Returns (Calc)'!$AP$3:$AP$500),2),"")</f>
        <v>0.25</v>
      </c>
      <c r="X32" s="159">
        <f>IFERROR(ROUND(CORREL('Returns (Calc)'!$AU$3:$AU$500,'Returns (Calc)'!$AQ$3:$AQ$500),2),"")</f>
        <v>-0.27</v>
      </c>
      <c r="Y32" s="159">
        <f>IFERROR(ROUND(CORREL('Returns (Calc)'!$AU$3:$AU$500,'Returns (Calc)'!$AR$3:$AR$500),2),"")</f>
        <v>0.31</v>
      </c>
      <c r="Z32" s="159">
        <f>IFERROR(ROUND(CORREL('Returns (Calc)'!$AU$3:$AU$500,'Returns (Calc)'!$AS$3:$AS$500),2),"")</f>
        <v>0.17</v>
      </c>
      <c r="AA32" s="159">
        <f>IFERROR(ROUND(CORREL('Returns (Calc)'!$AU$3:$AU$500,'Returns (Calc)'!$AT$3:$AT$500),2),"")</f>
        <v>0.17</v>
      </c>
      <c r="AB32" s="159">
        <v>1</v>
      </c>
      <c r="AG32" s="160">
        <f t="shared" si="0"/>
        <v>0</v>
      </c>
    </row>
  </sheetData>
  <mergeCells count="1">
    <mergeCell ref="A1:AG1"/>
  </mergeCells>
  <conditionalFormatting sqref="B6:AB32">
    <cfRule type="expression" dxfId="63" priority="2">
      <formula>AND(B6&lt;&gt;1,ABS(B6)&gt;0.7)</formula>
    </cfRule>
  </conditionalFormatting>
  <conditionalFormatting sqref="J3">
    <cfRule type="cellIs" dxfId="62" priority="4" operator="equal">
      <formula>"REVIEW REQUIRED"</formula>
    </cfRule>
    <cfRule type="cellIs" dxfId="61" priority="5" operator="equal">
      <formula>"OK"</formula>
    </cfRule>
  </conditionalFormatting>
  <conditionalFormatting sqref="AG6:AG32">
    <cfRule type="cellIs" dxfId="60" priority="3" operator="greaterThan">
      <formula>1</formula>
    </cfRule>
  </conditionalFormatting>
  <pageMargins left="0.75" right="0.75" top="1" bottom="1" header="0.511811023622047" footer="0.511811023622047"/>
  <pageSetup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activeCell="H12" sqref="H12"/>
    </sheetView>
  </sheetViews>
  <sheetFormatPr baseColWidth="10" defaultColWidth="8.6640625" defaultRowHeight="15" x14ac:dyDescent="0.2"/>
  <cols>
    <col min="1" max="1" width="10.6640625" customWidth="1"/>
    <col min="2" max="3" width="15" customWidth="1"/>
    <col min="4" max="4" width="10.5" customWidth="1"/>
    <col min="5" max="6" width="10.33203125" customWidth="1"/>
    <col min="7" max="7" width="22" customWidth="1"/>
    <col min="8" max="8" width="69.1640625" style="142" customWidth="1"/>
  </cols>
  <sheetData>
    <row r="1" spans="1:8" ht="24" customHeight="1" x14ac:dyDescent="0.2">
      <c r="A1" s="240" t="s">
        <v>475</v>
      </c>
      <c r="B1" s="240"/>
      <c r="C1" s="240"/>
      <c r="D1" s="240"/>
      <c r="E1" s="240"/>
      <c r="F1" s="240"/>
      <c r="G1" s="240"/>
      <c r="H1" s="240"/>
    </row>
    <row r="2" spans="1:8" ht="27.75" customHeight="1" x14ac:dyDescent="0.2">
      <c r="A2" s="119" t="s">
        <v>476</v>
      </c>
      <c r="B2" s="119" t="s">
        <v>477</v>
      </c>
      <c r="C2" s="119" t="s">
        <v>478</v>
      </c>
      <c r="D2" s="119" t="s">
        <v>479</v>
      </c>
      <c r="E2" s="119" t="s">
        <v>480</v>
      </c>
      <c r="F2" s="119" t="s">
        <v>481</v>
      </c>
      <c r="G2" s="119" t="s">
        <v>482</v>
      </c>
      <c r="H2" s="119" t="s">
        <v>219</v>
      </c>
    </row>
    <row r="3" spans="1:8" ht="15" customHeight="1" x14ac:dyDescent="0.2">
      <c r="A3" s="161">
        <v>46245</v>
      </c>
      <c r="B3" s="162">
        <v>700739.19</v>
      </c>
      <c r="C3" s="163">
        <f>IF(B3="","",B3)</f>
        <v>700739.19</v>
      </c>
      <c r="D3" s="164">
        <f t="shared" ref="D3:D42" si="0">IF(OR(B3="",C3=""),"",B3/C3-1)</f>
        <v>0</v>
      </c>
      <c r="E3" s="165" t="str">
        <f t="shared" ref="E3:E42" si="1">IF(D3="","",IF(D3&gt;=-0.1,"Normal",IF(D3&gt;=-0.2,"Elevated",IF(D3&gt;=-0.3,"Severe","Critical"))))</f>
        <v>Normal</v>
      </c>
      <c r="F3" s="166" t="str">
        <f t="shared" ref="F3:F42" si="2">IF(E3="","",IF(E3="Normal","5-15%",IF(E3="Elevated","15%",IF(E3="Severe","20%","25%"))))</f>
        <v>5-15%</v>
      </c>
      <c r="G3" s="166" t="str">
        <f t="shared" ref="G3:G42" si="3">IF(E3="","",IF(E3="Normal","Standard (score &gt;=65)",IF(E3="Elevated","Restricted (score &gt;=80 only)","Suspended")))</f>
        <v>Standard (score &gt;=65)</v>
      </c>
      <c r="H3" s="167"/>
    </row>
    <row r="4" spans="1:8" ht="15" customHeight="1" x14ac:dyDescent="0.2">
      <c r="A4" s="161">
        <v>46269</v>
      </c>
      <c r="B4" s="162">
        <v>751223.12</v>
      </c>
      <c r="C4" s="163">
        <f t="shared" ref="C4:C42" si="4">IF(B4="","",MAX(C3,B4))</f>
        <v>751223.12</v>
      </c>
      <c r="D4" s="164">
        <f t="shared" si="0"/>
        <v>0</v>
      </c>
      <c r="E4" s="165" t="str">
        <f t="shared" si="1"/>
        <v>Normal</v>
      </c>
      <c r="F4" s="166" t="str">
        <f t="shared" si="2"/>
        <v>5-15%</v>
      </c>
      <c r="G4" s="166" t="str">
        <f t="shared" si="3"/>
        <v>Standard (score &gt;=65)</v>
      </c>
      <c r="H4" s="167" t="s">
        <v>483</v>
      </c>
    </row>
    <row r="5" spans="1:8" ht="15" customHeight="1" x14ac:dyDescent="0.2">
      <c r="A5" s="161">
        <v>46295</v>
      </c>
      <c r="B5" s="162">
        <v>741557.65</v>
      </c>
      <c r="C5" s="163">
        <f t="shared" si="4"/>
        <v>751223.12</v>
      </c>
      <c r="D5" s="164">
        <f t="shared" si="0"/>
        <v>-1.2866310610887499E-2</v>
      </c>
      <c r="E5" s="165" t="str">
        <f t="shared" si="1"/>
        <v>Normal</v>
      </c>
      <c r="F5" s="166" t="str">
        <f t="shared" si="2"/>
        <v>5-15%</v>
      </c>
      <c r="G5" s="166" t="str">
        <f t="shared" si="3"/>
        <v>Standard (score &gt;=65)</v>
      </c>
      <c r="H5" s="167" t="s">
        <v>484</v>
      </c>
    </row>
    <row r="6" spans="1:8" ht="15" customHeight="1" x14ac:dyDescent="0.2">
      <c r="A6" s="161">
        <v>46301</v>
      </c>
      <c r="B6" s="162">
        <v>753520.32</v>
      </c>
      <c r="C6" s="163">
        <f t="shared" si="4"/>
        <v>753520.32</v>
      </c>
      <c r="D6" s="164">
        <f t="shared" si="0"/>
        <v>0</v>
      </c>
      <c r="E6" s="165" t="str">
        <f t="shared" si="1"/>
        <v>Normal</v>
      </c>
      <c r="F6" s="166" t="str">
        <f t="shared" si="2"/>
        <v>5-15%</v>
      </c>
      <c r="G6" s="166" t="str">
        <f t="shared" si="3"/>
        <v>Standard (score &gt;=65)</v>
      </c>
      <c r="H6" s="167" t="s">
        <v>485</v>
      </c>
    </row>
    <row r="7" spans="1:8" ht="15" customHeight="1" x14ac:dyDescent="0.2">
      <c r="A7" s="161">
        <v>46304</v>
      </c>
      <c r="B7" s="162">
        <v>753965.2</v>
      </c>
      <c r="C7" s="163">
        <f t="shared" si="4"/>
        <v>753965.2</v>
      </c>
      <c r="D7" s="164">
        <f t="shared" si="0"/>
        <v>0</v>
      </c>
      <c r="E7" s="165" t="str">
        <f t="shared" si="1"/>
        <v>Normal</v>
      </c>
      <c r="F7" s="166" t="str">
        <f t="shared" si="2"/>
        <v>5-15%</v>
      </c>
      <c r="G7" s="166" t="str">
        <f t="shared" si="3"/>
        <v>Standard (score &gt;=65)</v>
      </c>
      <c r="H7" s="167" t="s">
        <v>486</v>
      </c>
    </row>
    <row r="8" spans="1:8" ht="15" customHeight="1" x14ac:dyDescent="0.2">
      <c r="A8" s="161"/>
      <c r="B8" s="162"/>
      <c r="C8" s="163" t="str">
        <f t="shared" si="4"/>
        <v/>
      </c>
      <c r="D8" s="164" t="str">
        <f t="shared" si="0"/>
        <v/>
      </c>
      <c r="E8" s="165" t="str">
        <f t="shared" si="1"/>
        <v/>
      </c>
      <c r="F8" s="166" t="str">
        <f t="shared" si="2"/>
        <v/>
      </c>
      <c r="G8" s="166" t="str">
        <f t="shared" si="3"/>
        <v/>
      </c>
      <c r="H8" s="167"/>
    </row>
    <row r="9" spans="1:8" ht="15" customHeight="1" x14ac:dyDescent="0.2">
      <c r="A9" s="161"/>
      <c r="B9" s="162"/>
      <c r="C9" s="163" t="str">
        <f t="shared" si="4"/>
        <v/>
      </c>
      <c r="D9" s="164" t="str">
        <f t="shared" si="0"/>
        <v/>
      </c>
      <c r="E9" s="165" t="str">
        <f t="shared" si="1"/>
        <v/>
      </c>
      <c r="F9" s="166" t="str">
        <f t="shared" si="2"/>
        <v/>
      </c>
      <c r="G9" s="166" t="str">
        <f t="shared" si="3"/>
        <v/>
      </c>
      <c r="H9" s="167"/>
    </row>
    <row r="10" spans="1:8" ht="15" customHeight="1" x14ac:dyDescent="0.2">
      <c r="A10" s="161"/>
      <c r="B10" s="162"/>
      <c r="C10" s="163" t="str">
        <f t="shared" si="4"/>
        <v/>
      </c>
      <c r="D10" s="164" t="str">
        <f t="shared" si="0"/>
        <v/>
      </c>
      <c r="E10" s="165" t="str">
        <f t="shared" si="1"/>
        <v/>
      </c>
      <c r="F10" s="166" t="str">
        <f t="shared" si="2"/>
        <v/>
      </c>
      <c r="G10" s="166" t="str">
        <f t="shared" si="3"/>
        <v/>
      </c>
      <c r="H10" s="167"/>
    </row>
    <row r="11" spans="1:8" ht="15" customHeight="1" x14ac:dyDescent="0.2">
      <c r="A11" s="161"/>
      <c r="B11" s="162"/>
      <c r="C11" s="163" t="str">
        <f t="shared" si="4"/>
        <v/>
      </c>
      <c r="D11" s="164" t="str">
        <f t="shared" si="0"/>
        <v/>
      </c>
      <c r="E11" s="165" t="str">
        <f t="shared" si="1"/>
        <v/>
      </c>
      <c r="F11" s="166" t="str">
        <f t="shared" si="2"/>
        <v/>
      </c>
      <c r="G11" s="166" t="str">
        <f t="shared" si="3"/>
        <v/>
      </c>
      <c r="H11" s="167"/>
    </row>
    <row r="12" spans="1:8" ht="15" customHeight="1" x14ac:dyDescent="0.2">
      <c r="A12" s="161"/>
      <c r="B12" s="162"/>
      <c r="C12" s="163" t="str">
        <f t="shared" si="4"/>
        <v/>
      </c>
      <c r="D12" s="164" t="str">
        <f t="shared" si="0"/>
        <v/>
      </c>
      <c r="E12" s="165" t="str">
        <f t="shared" si="1"/>
        <v/>
      </c>
      <c r="F12" s="166" t="str">
        <f t="shared" si="2"/>
        <v/>
      </c>
      <c r="G12" s="166" t="str">
        <f t="shared" si="3"/>
        <v/>
      </c>
      <c r="H12" s="167"/>
    </row>
    <row r="13" spans="1:8" ht="15" customHeight="1" x14ac:dyDescent="0.2">
      <c r="A13" s="161"/>
      <c r="B13" s="162"/>
      <c r="C13" s="163" t="str">
        <f t="shared" si="4"/>
        <v/>
      </c>
      <c r="D13" s="164" t="str">
        <f t="shared" si="0"/>
        <v/>
      </c>
      <c r="E13" s="165" t="str">
        <f t="shared" si="1"/>
        <v/>
      </c>
      <c r="F13" s="166" t="str">
        <f t="shared" si="2"/>
        <v/>
      </c>
      <c r="G13" s="166" t="str">
        <f t="shared" si="3"/>
        <v/>
      </c>
      <c r="H13" s="167"/>
    </row>
    <row r="14" spans="1:8" ht="15" customHeight="1" x14ac:dyDescent="0.2">
      <c r="A14" s="161"/>
      <c r="B14" s="162"/>
      <c r="C14" s="163" t="str">
        <f t="shared" si="4"/>
        <v/>
      </c>
      <c r="D14" s="164" t="str">
        <f t="shared" si="0"/>
        <v/>
      </c>
      <c r="E14" s="165" t="str">
        <f t="shared" si="1"/>
        <v/>
      </c>
      <c r="F14" s="166" t="str">
        <f t="shared" si="2"/>
        <v/>
      </c>
      <c r="G14" s="166" t="str">
        <f t="shared" si="3"/>
        <v/>
      </c>
      <c r="H14" s="167"/>
    </row>
    <row r="15" spans="1:8" ht="15" customHeight="1" x14ac:dyDescent="0.2">
      <c r="A15" s="161"/>
      <c r="B15" s="162"/>
      <c r="C15" s="163" t="str">
        <f t="shared" si="4"/>
        <v/>
      </c>
      <c r="D15" s="164" t="str">
        <f t="shared" si="0"/>
        <v/>
      </c>
      <c r="E15" s="165" t="str">
        <f t="shared" si="1"/>
        <v/>
      </c>
      <c r="F15" s="166" t="str">
        <f t="shared" si="2"/>
        <v/>
      </c>
      <c r="G15" s="166" t="str">
        <f t="shared" si="3"/>
        <v/>
      </c>
      <c r="H15" s="167"/>
    </row>
    <row r="16" spans="1:8" ht="15" customHeight="1" x14ac:dyDescent="0.2">
      <c r="A16" s="161"/>
      <c r="B16" s="162"/>
      <c r="C16" s="163" t="str">
        <f t="shared" si="4"/>
        <v/>
      </c>
      <c r="D16" s="164" t="str">
        <f t="shared" si="0"/>
        <v/>
      </c>
      <c r="E16" s="165" t="str">
        <f t="shared" si="1"/>
        <v/>
      </c>
      <c r="F16" s="166" t="str">
        <f t="shared" si="2"/>
        <v/>
      </c>
      <c r="G16" s="166" t="str">
        <f t="shared" si="3"/>
        <v/>
      </c>
      <c r="H16" s="167"/>
    </row>
    <row r="17" spans="1:8" ht="15" customHeight="1" x14ac:dyDescent="0.2">
      <c r="A17" s="161"/>
      <c r="B17" s="162"/>
      <c r="C17" s="163" t="str">
        <f t="shared" si="4"/>
        <v/>
      </c>
      <c r="D17" s="164" t="str">
        <f t="shared" si="0"/>
        <v/>
      </c>
      <c r="E17" s="165" t="str">
        <f t="shared" si="1"/>
        <v/>
      </c>
      <c r="F17" s="166" t="str">
        <f t="shared" si="2"/>
        <v/>
      </c>
      <c r="G17" s="166" t="str">
        <f t="shared" si="3"/>
        <v/>
      </c>
      <c r="H17" s="167"/>
    </row>
    <row r="18" spans="1:8" ht="15" customHeight="1" x14ac:dyDescent="0.2">
      <c r="A18" s="161"/>
      <c r="B18" s="162"/>
      <c r="C18" s="163" t="str">
        <f t="shared" si="4"/>
        <v/>
      </c>
      <c r="D18" s="164" t="str">
        <f t="shared" si="0"/>
        <v/>
      </c>
      <c r="E18" s="165" t="str">
        <f t="shared" si="1"/>
        <v/>
      </c>
      <c r="F18" s="166" t="str">
        <f t="shared" si="2"/>
        <v/>
      </c>
      <c r="G18" s="166" t="str">
        <f t="shared" si="3"/>
        <v/>
      </c>
      <c r="H18" s="167"/>
    </row>
    <row r="19" spans="1:8" ht="15" customHeight="1" x14ac:dyDescent="0.2">
      <c r="A19" s="161"/>
      <c r="B19" s="162"/>
      <c r="C19" s="163" t="str">
        <f t="shared" si="4"/>
        <v/>
      </c>
      <c r="D19" s="164" t="str">
        <f t="shared" si="0"/>
        <v/>
      </c>
      <c r="E19" s="165" t="str">
        <f t="shared" si="1"/>
        <v/>
      </c>
      <c r="F19" s="166" t="str">
        <f t="shared" si="2"/>
        <v/>
      </c>
      <c r="G19" s="166" t="str">
        <f t="shared" si="3"/>
        <v/>
      </c>
      <c r="H19" s="167"/>
    </row>
    <row r="20" spans="1:8" ht="15" customHeight="1" x14ac:dyDescent="0.2">
      <c r="A20" s="161"/>
      <c r="B20" s="162"/>
      <c r="C20" s="163" t="str">
        <f t="shared" si="4"/>
        <v/>
      </c>
      <c r="D20" s="164" t="str">
        <f t="shared" si="0"/>
        <v/>
      </c>
      <c r="E20" s="165" t="str">
        <f t="shared" si="1"/>
        <v/>
      </c>
      <c r="F20" s="166" t="str">
        <f t="shared" si="2"/>
        <v/>
      </c>
      <c r="G20" s="166" t="str">
        <f t="shared" si="3"/>
        <v/>
      </c>
      <c r="H20" s="167"/>
    </row>
    <row r="21" spans="1:8" ht="15" customHeight="1" x14ac:dyDescent="0.2">
      <c r="A21" s="161"/>
      <c r="B21" s="162"/>
      <c r="C21" s="163" t="str">
        <f t="shared" si="4"/>
        <v/>
      </c>
      <c r="D21" s="164" t="str">
        <f t="shared" si="0"/>
        <v/>
      </c>
      <c r="E21" s="165" t="str">
        <f t="shared" si="1"/>
        <v/>
      </c>
      <c r="F21" s="166" t="str">
        <f t="shared" si="2"/>
        <v/>
      </c>
      <c r="G21" s="166" t="str">
        <f t="shared" si="3"/>
        <v/>
      </c>
      <c r="H21" s="167"/>
    </row>
    <row r="22" spans="1:8" ht="15" customHeight="1" x14ac:dyDescent="0.2">
      <c r="A22" s="161"/>
      <c r="B22" s="162"/>
      <c r="C22" s="163" t="str">
        <f t="shared" si="4"/>
        <v/>
      </c>
      <c r="D22" s="164" t="str">
        <f t="shared" si="0"/>
        <v/>
      </c>
      <c r="E22" s="165" t="str">
        <f t="shared" si="1"/>
        <v/>
      </c>
      <c r="F22" s="166" t="str">
        <f t="shared" si="2"/>
        <v/>
      </c>
      <c r="G22" s="166" t="str">
        <f t="shared" si="3"/>
        <v/>
      </c>
      <c r="H22" s="167"/>
    </row>
    <row r="23" spans="1:8" ht="15" customHeight="1" x14ac:dyDescent="0.2">
      <c r="A23" s="161"/>
      <c r="B23" s="162"/>
      <c r="C23" s="163" t="str">
        <f t="shared" si="4"/>
        <v/>
      </c>
      <c r="D23" s="164" t="str">
        <f t="shared" si="0"/>
        <v/>
      </c>
      <c r="E23" s="165" t="str">
        <f t="shared" si="1"/>
        <v/>
      </c>
      <c r="F23" s="166" t="str">
        <f t="shared" si="2"/>
        <v/>
      </c>
      <c r="G23" s="166" t="str">
        <f t="shared" si="3"/>
        <v/>
      </c>
      <c r="H23" s="167"/>
    </row>
    <row r="24" spans="1:8" ht="15" customHeight="1" x14ac:dyDescent="0.2">
      <c r="A24" s="161"/>
      <c r="B24" s="162"/>
      <c r="C24" s="163" t="str">
        <f t="shared" si="4"/>
        <v/>
      </c>
      <c r="D24" s="164" t="str">
        <f t="shared" si="0"/>
        <v/>
      </c>
      <c r="E24" s="165" t="str">
        <f t="shared" si="1"/>
        <v/>
      </c>
      <c r="F24" s="166" t="str">
        <f t="shared" si="2"/>
        <v/>
      </c>
      <c r="G24" s="166" t="str">
        <f t="shared" si="3"/>
        <v/>
      </c>
      <c r="H24" s="167"/>
    </row>
    <row r="25" spans="1:8" ht="15" customHeight="1" x14ac:dyDescent="0.2">
      <c r="A25" s="161"/>
      <c r="B25" s="162"/>
      <c r="C25" s="163" t="str">
        <f t="shared" si="4"/>
        <v/>
      </c>
      <c r="D25" s="164" t="str">
        <f t="shared" si="0"/>
        <v/>
      </c>
      <c r="E25" s="165" t="str">
        <f t="shared" si="1"/>
        <v/>
      </c>
      <c r="F25" s="166" t="str">
        <f t="shared" si="2"/>
        <v/>
      </c>
      <c r="G25" s="166" t="str">
        <f t="shared" si="3"/>
        <v/>
      </c>
      <c r="H25" s="167"/>
    </row>
    <row r="26" spans="1:8" ht="15" customHeight="1" x14ac:dyDescent="0.2">
      <c r="A26" s="161"/>
      <c r="B26" s="162"/>
      <c r="C26" s="163" t="str">
        <f t="shared" si="4"/>
        <v/>
      </c>
      <c r="D26" s="164" t="str">
        <f t="shared" si="0"/>
        <v/>
      </c>
      <c r="E26" s="165" t="str">
        <f t="shared" si="1"/>
        <v/>
      </c>
      <c r="F26" s="166" t="str">
        <f t="shared" si="2"/>
        <v/>
      </c>
      <c r="G26" s="166" t="str">
        <f t="shared" si="3"/>
        <v/>
      </c>
      <c r="H26" s="167"/>
    </row>
    <row r="27" spans="1:8" ht="15" customHeight="1" x14ac:dyDescent="0.2">
      <c r="A27" s="161"/>
      <c r="B27" s="162"/>
      <c r="C27" s="163" t="str">
        <f t="shared" si="4"/>
        <v/>
      </c>
      <c r="D27" s="164" t="str">
        <f t="shared" si="0"/>
        <v/>
      </c>
      <c r="E27" s="165" t="str">
        <f t="shared" si="1"/>
        <v/>
      </c>
      <c r="F27" s="166" t="str">
        <f t="shared" si="2"/>
        <v/>
      </c>
      <c r="G27" s="166" t="str">
        <f t="shared" si="3"/>
        <v/>
      </c>
      <c r="H27" s="167"/>
    </row>
    <row r="28" spans="1:8" ht="15" customHeight="1" x14ac:dyDescent="0.2">
      <c r="A28" s="161"/>
      <c r="B28" s="162"/>
      <c r="C28" s="163" t="str">
        <f t="shared" si="4"/>
        <v/>
      </c>
      <c r="D28" s="164" t="str">
        <f t="shared" si="0"/>
        <v/>
      </c>
      <c r="E28" s="165" t="str">
        <f t="shared" si="1"/>
        <v/>
      </c>
      <c r="F28" s="166" t="str">
        <f t="shared" si="2"/>
        <v/>
      </c>
      <c r="G28" s="166" t="str">
        <f t="shared" si="3"/>
        <v/>
      </c>
      <c r="H28" s="167"/>
    </row>
    <row r="29" spans="1:8" ht="15" customHeight="1" x14ac:dyDescent="0.2">
      <c r="A29" s="161"/>
      <c r="B29" s="162"/>
      <c r="C29" s="163" t="str">
        <f t="shared" si="4"/>
        <v/>
      </c>
      <c r="D29" s="164" t="str">
        <f t="shared" si="0"/>
        <v/>
      </c>
      <c r="E29" s="165" t="str">
        <f t="shared" si="1"/>
        <v/>
      </c>
      <c r="F29" s="166" t="str">
        <f t="shared" si="2"/>
        <v/>
      </c>
      <c r="G29" s="166" t="str">
        <f t="shared" si="3"/>
        <v/>
      </c>
      <c r="H29" s="167"/>
    </row>
    <row r="30" spans="1:8" ht="15" customHeight="1" x14ac:dyDescent="0.2">
      <c r="A30" s="161"/>
      <c r="B30" s="162"/>
      <c r="C30" s="163" t="str">
        <f t="shared" si="4"/>
        <v/>
      </c>
      <c r="D30" s="164" t="str">
        <f t="shared" si="0"/>
        <v/>
      </c>
      <c r="E30" s="165" t="str">
        <f t="shared" si="1"/>
        <v/>
      </c>
      <c r="F30" s="166" t="str">
        <f t="shared" si="2"/>
        <v/>
      </c>
      <c r="G30" s="166" t="str">
        <f t="shared" si="3"/>
        <v/>
      </c>
      <c r="H30" s="167"/>
    </row>
    <row r="31" spans="1:8" ht="15" customHeight="1" x14ac:dyDescent="0.2">
      <c r="A31" s="161"/>
      <c r="B31" s="162"/>
      <c r="C31" s="163" t="str">
        <f t="shared" si="4"/>
        <v/>
      </c>
      <c r="D31" s="164" t="str">
        <f t="shared" si="0"/>
        <v/>
      </c>
      <c r="E31" s="165" t="str">
        <f t="shared" si="1"/>
        <v/>
      </c>
      <c r="F31" s="166" t="str">
        <f t="shared" si="2"/>
        <v/>
      </c>
      <c r="G31" s="166" t="str">
        <f t="shared" si="3"/>
        <v/>
      </c>
      <c r="H31" s="167"/>
    </row>
    <row r="32" spans="1:8" ht="15" customHeight="1" x14ac:dyDescent="0.2">
      <c r="A32" s="161"/>
      <c r="B32" s="162"/>
      <c r="C32" s="163" t="str">
        <f t="shared" si="4"/>
        <v/>
      </c>
      <c r="D32" s="164" t="str">
        <f t="shared" si="0"/>
        <v/>
      </c>
      <c r="E32" s="165" t="str">
        <f t="shared" si="1"/>
        <v/>
      </c>
      <c r="F32" s="166" t="str">
        <f t="shared" si="2"/>
        <v/>
      </c>
      <c r="G32" s="166" t="str">
        <f t="shared" si="3"/>
        <v/>
      </c>
      <c r="H32" s="167"/>
    </row>
    <row r="33" spans="1:8" ht="15" customHeight="1" x14ac:dyDescent="0.2">
      <c r="A33" s="161"/>
      <c r="B33" s="162"/>
      <c r="C33" s="163" t="str">
        <f t="shared" si="4"/>
        <v/>
      </c>
      <c r="D33" s="164" t="str">
        <f t="shared" si="0"/>
        <v/>
      </c>
      <c r="E33" s="165" t="str">
        <f t="shared" si="1"/>
        <v/>
      </c>
      <c r="F33" s="166" t="str">
        <f t="shared" si="2"/>
        <v/>
      </c>
      <c r="G33" s="166" t="str">
        <f t="shared" si="3"/>
        <v/>
      </c>
      <c r="H33" s="167"/>
    </row>
    <row r="34" spans="1:8" ht="15" customHeight="1" x14ac:dyDescent="0.2">
      <c r="A34" s="161"/>
      <c r="B34" s="162"/>
      <c r="C34" s="163" t="str">
        <f t="shared" si="4"/>
        <v/>
      </c>
      <c r="D34" s="164" t="str">
        <f t="shared" si="0"/>
        <v/>
      </c>
      <c r="E34" s="165" t="str">
        <f t="shared" si="1"/>
        <v/>
      </c>
      <c r="F34" s="166" t="str">
        <f t="shared" si="2"/>
        <v/>
      </c>
      <c r="G34" s="166" t="str">
        <f t="shared" si="3"/>
        <v/>
      </c>
      <c r="H34" s="167"/>
    </row>
    <row r="35" spans="1:8" ht="15" customHeight="1" x14ac:dyDescent="0.2">
      <c r="A35" s="161"/>
      <c r="B35" s="162"/>
      <c r="C35" s="163" t="str">
        <f t="shared" si="4"/>
        <v/>
      </c>
      <c r="D35" s="164" t="str">
        <f t="shared" si="0"/>
        <v/>
      </c>
      <c r="E35" s="165" t="str">
        <f t="shared" si="1"/>
        <v/>
      </c>
      <c r="F35" s="166" t="str">
        <f t="shared" si="2"/>
        <v/>
      </c>
      <c r="G35" s="166" t="str">
        <f t="shared" si="3"/>
        <v/>
      </c>
      <c r="H35" s="167"/>
    </row>
    <row r="36" spans="1:8" ht="15" customHeight="1" x14ac:dyDescent="0.2">
      <c r="A36" s="161"/>
      <c r="B36" s="162"/>
      <c r="C36" s="163" t="str">
        <f t="shared" si="4"/>
        <v/>
      </c>
      <c r="D36" s="164" t="str">
        <f t="shared" si="0"/>
        <v/>
      </c>
      <c r="E36" s="165" t="str">
        <f t="shared" si="1"/>
        <v/>
      </c>
      <c r="F36" s="166" t="str">
        <f t="shared" si="2"/>
        <v/>
      </c>
      <c r="G36" s="166" t="str">
        <f t="shared" si="3"/>
        <v/>
      </c>
      <c r="H36" s="167"/>
    </row>
    <row r="37" spans="1:8" ht="15" customHeight="1" x14ac:dyDescent="0.2">
      <c r="A37" s="161"/>
      <c r="B37" s="162"/>
      <c r="C37" s="163" t="str">
        <f t="shared" si="4"/>
        <v/>
      </c>
      <c r="D37" s="164" t="str">
        <f t="shared" si="0"/>
        <v/>
      </c>
      <c r="E37" s="165" t="str">
        <f t="shared" si="1"/>
        <v/>
      </c>
      <c r="F37" s="166" t="str">
        <f t="shared" si="2"/>
        <v/>
      </c>
      <c r="G37" s="166" t="str">
        <f t="shared" si="3"/>
        <v/>
      </c>
      <c r="H37" s="167"/>
    </row>
    <row r="38" spans="1:8" ht="15" customHeight="1" x14ac:dyDescent="0.2">
      <c r="A38" s="161"/>
      <c r="B38" s="162"/>
      <c r="C38" s="163" t="str">
        <f t="shared" si="4"/>
        <v/>
      </c>
      <c r="D38" s="164" t="str">
        <f t="shared" si="0"/>
        <v/>
      </c>
      <c r="E38" s="165" t="str">
        <f t="shared" si="1"/>
        <v/>
      </c>
      <c r="F38" s="166" t="str">
        <f t="shared" si="2"/>
        <v/>
      </c>
      <c r="G38" s="166" t="str">
        <f t="shared" si="3"/>
        <v/>
      </c>
      <c r="H38" s="167"/>
    </row>
    <row r="39" spans="1:8" ht="15" customHeight="1" x14ac:dyDescent="0.2">
      <c r="A39" s="161"/>
      <c r="B39" s="162"/>
      <c r="C39" s="163" t="str">
        <f t="shared" si="4"/>
        <v/>
      </c>
      <c r="D39" s="164" t="str">
        <f t="shared" si="0"/>
        <v/>
      </c>
      <c r="E39" s="165" t="str">
        <f t="shared" si="1"/>
        <v/>
      </c>
      <c r="F39" s="166" t="str">
        <f t="shared" si="2"/>
        <v/>
      </c>
      <c r="G39" s="166" t="str">
        <f t="shared" si="3"/>
        <v/>
      </c>
      <c r="H39" s="167"/>
    </row>
    <row r="40" spans="1:8" ht="15" customHeight="1" x14ac:dyDescent="0.2">
      <c r="A40" s="161"/>
      <c r="B40" s="162"/>
      <c r="C40" s="163" t="str">
        <f t="shared" si="4"/>
        <v/>
      </c>
      <c r="D40" s="164" t="str">
        <f t="shared" si="0"/>
        <v/>
      </c>
      <c r="E40" s="165" t="str">
        <f t="shared" si="1"/>
        <v/>
      </c>
      <c r="F40" s="166" t="str">
        <f t="shared" si="2"/>
        <v/>
      </c>
      <c r="G40" s="166" t="str">
        <f t="shared" si="3"/>
        <v/>
      </c>
      <c r="H40" s="167"/>
    </row>
    <row r="41" spans="1:8" ht="15" customHeight="1" x14ac:dyDescent="0.2">
      <c r="A41" s="161"/>
      <c r="B41" s="162"/>
      <c r="C41" s="163" t="str">
        <f t="shared" si="4"/>
        <v/>
      </c>
      <c r="D41" s="164" t="str">
        <f t="shared" si="0"/>
        <v/>
      </c>
      <c r="E41" s="165" t="str">
        <f t="shared" si="1"/>
        <v/>
      </c>
      <c r="F41" s="166" t="str">
        <f t="shared" si="2"/>
        <v/>
      </c>
      <c r="G41" s="166" t="str">
        <f t="shared" si="3"/>
        <v/>
      </c>
      <c r="H41" s="167"/>
    </row>
    <row r="42" spans="1:8" ht="15" customHeight="1" x14ac:dyDescent="0.2">
      <c r="A42" s="161"/>
      <c r="B42" s="162"/>
      <c r="C42" s="163" t="str">
        <f t="shared" si="4"/>
        <v/>
      </c>
      <c r="D42" s="164" t="str">
        <f t="shared" si="0"/>
        <v/>
      </c>
      <c r="E42" s="165" t="str">
        <f t="shared" si="1"/>
        <v/>
      </c>
      <c r="F42" s="166" t="str">
        <f t="shared" si="2"/>
        <v/>
      </c>
      <c r="G42" s="166" t="str">
        <f t="shared" si="3"/>
        <v/>
      </c>
      <c r="H42" s="167"/>
    </row>
  </sheetData>
  <mergeCells count="1">
    <mergeCell ref="A1:H1"/>
  </mergeCells>
  <conditionalFormatting sqref="E3:E42">
    <cfRule type="cellIs" dxfId="59" priority="2" operator="equal">
      <formula>"Normal"</formula>
    </cfRule>
    <cfRule type="cellIs" dxfId="58" priority="3" operator="equal">
      <formula>"Elevated"</formula>
    </cfRule>
    <cfRule type="cellIs" dxfId="57" priority="4" operator="equal">
      <formula>"Severe"</formula>
    </cfRule>
    <cfRule type="cellIs" dxfId="56" priority="5" operator="equal">
      <formula>"Critical"</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xSplit="1" ySplit="2" topLeftCell="B3" activePane="bottomRight" state="frozen"/>
      <selection pane="topRight" activeCell="B1" sqref="B1"/>
      <selection pane="bottomLeft" activeCell="A3" sqref="A3"/>
      <selection pane="bottomRight" activeCell="A3" sqref="A3:K22"/>
    </sheetView>
  </sheetViews>
  <sheetFormatPr baseColWidth="10" defaultColWidth="8.6640625" defaultRowHeight="15" x14ac:dyDescent="0.2"/>
  <cols>
    <col min="1" max="1" width="9" customWidth="1"/>
    <col min="2" max="2" width="16" customWidth="1"/>
    <col min="3" max="3" width="13" customWidth="1"/>
    <col min="4" max="4" width="9" customWidth="1"/>
    <col min="5" max="6" width="8" customWidth="1"/>
    <col min="7" max="7" width="9.5" customWidth="1"/>
    <col min="8" max="8" width="12" customWidth="1"/>
    <col min="9" max="9" width="9.5" style="168" customWidth="1"/>
    <col min="10" max="10" width="9.33203125" customWidth="1"/>
    <col min="11" max="11" width="20" customWidth="1"/>
    <col min="12" max="12" width="90.1640625" customWidth="1"/>
    <col min="13" max="13" width="14" customWidth="1"/>
  </cols>
  <sheetData>
    <row r="1" spans="1:13" ht="21" customHeight="1" x14ac:dyDescent="0.2">
      <c r="A1" s="146" t="s">
        <v>487</v>
      </c>
      <c r="B1" s="146"/>
      <c r="C1" s="146"/>
      <c r="D1" s="146"/>
      <c r="E1" s="146"/>
      <c r="F1" s="146"/>
      <c r="G1" s="146"/>
      <c r="H1" s="146"/>
      <c r="I1" s="169"/>
      <c r="J1" s="146"/>
      <c r="K1" s="146"/>
      <c r="L1" s="146"/>
      <c r="M1" s="146"/>
    </row>
    <row r="2" spans="1:13" ht="45.75" customHeight="1" x14ac:dyDescent="0.2">
      <c r="A2" s="61" t="s">
        <v>82</v>
      </c>
      <c r="B2" s="61" t="s">
        <v>296</v>
      </c>
      <c r="C2" s="61" t="s">
        <v>488</v>
      </c>
      <c r="D2" s="61" t="s">
        <v>489</v>
      </c>
      <c r="E2" s="61" t="s">
        <v>490</v>
      </c>
      <c r="F2" s="61" t="s">
        <v>491</v>
      </c>
      <c r="G2" s="61" t="s">
        <v>492</v>
      </c>
      <c r="H2" s="61" t="s">
        <v>493</v>
      </c>
      <c r="I2" s="61" t="s">
        <v>494</v>
      </c>
      <c r="J2" s="61" t="s">
        <v>495</v>
      </c>
      <c r="K2" s="61" t="s">
        <v>496</v>
      </c>
      <c r="L2" s="61" t="s">
        <v>497</v>
      </c>
      <c r="M2" s="29" t="s">
        <v>498</v>
      </c>
    </row>
    <row r="3" spans="1:13" ht="81.75" customHeight="1" x14ac:dyDescent="0.2">
      <c r="A3" s="123" t="s">
        <v>105</v>
      </c>
      <c r="B3" s="123" t="s">
        <v>106</v>
      </c>
      <c r="C3" s="123" t="s">
        <v>499</v>
      </c>
      <c r="D3" s="122">
        <v>46299</v>
      </c>
      <c r="E3" s="123">
        <v>63.4</v>
      </c>
      <c r="F3" s="123">
        <v>63.4</v>
      </c>
      <c r="G3" s="122">
        <v>46278</v>
      </c>
      <c r="H3" s="123" t="s">
        <v>224</v>
      </c>
      <c r="I3" s="259">
        <f t="shared" ref="I3:I22" si="0">IF(D3="","",D3+90)</f>
        <v>46389</v>
      </c>
      <c r="J3" s="260">
        <f t="shared" ref="J3:J22" ca="1" si="1">IF(I3="","",I3-TODAY())</f>
        <v>84</v>
      </c>
      <c r="K3" s="261" t="str">
        <f>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1" t="s">
        <v>500</v>
      </c>
      <c r="M3" s="172">
        <v>0</v>
      </c>
    </row>
    <row r="4" spans="1:13" ht="51.75" customHeight="1" x14ac:dyDescent="0.2">
      <c r="A4" s="123"/>
      <c r="B4" s="123"/>
      <c r="C4" s="123"/>
      <c r="D4" s="122"/>
      <c r="E4" s="123"/>
      <c r="F4" s="123"/>
      <c r="G4" s="122"/>
      <c r="H4" s="123"/>
      <c r="I4" s="259" t="str">
        <f t="shared" si="0"/>
        <v/>
      </c>
      <c r="J4" s="260" t="str">
        <f t="shared" ca="1" si="1"/>
        <v/>
      </c>
      <c r="K4" s="261" t="str">
        <f>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1"/>
      <c r="M4" s="173"/>
    </row>
    <row r="5" spans="1:13" ht="51.75" customHeight="1" x14ac:dyDescent="0.2">
      <c r="A5" s="123"/>
      <c r="B5" s="123"/>
      <c r="C5" s="123"/>
      <c r="D5" s="122"/>
      <c r="E5" s="123"/>
      <c r="F5" s="123"/>
      <c r="G5" s="122"/>
      <c r="H5" s="123"/>
      <c r="I5" s="259" t="str">
        <f t="shared" si="0"/>
        <v/>
      </c>
      <c r="J5" s="260" t="str">
        <f t="shared" ca="1" si="1"/>
        <v/>
      </c>
      <c r="K5" s="261" t="str">
        <f>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1"/>
      <c r="M5" s="173"/>
    </row>
    <row r="6" spans="1:13" ht="15" customHeight="1" x14ac:dyDescent="0.2">
      <c r="A6" s="123"/>
      <c r="B6" s="123"/>
      <c r="C6" s="123"/>
      <c r="D6" s="122"/>
      <c r="E6" s="123"/>
      <c r="F6" s="123"/>
      <c r="G6" s="122"/>
      <c r="H6" s="123"/>
      <c r="I6" s="259" t="str">
        <f t="shared" si="0"/>
        <v/>
      </c>
      <c r="J6" s="260" t="str">
        <f t="shared" ca="1" si="1"/>
        <v/>
      </c>
      <c r="K6" s="261" t="str">
        <f>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74"/>
      <c r="M6" s="173"/>
    </row>
    <row r="7" spans="1:13" ht="15" customHeight="1" x14ac:dyDescent="0.2">
      <c r="A7" s="123"/>
      <c r="B7" s="123"/>
      <c r="C7" s="123"/>
      <c r="D7" s="122"/>
      <c r="E7" s="123"/>
      <c r="F7" s="123"/>
      <c r="G7" s="122"/>
      <c r="H7" s="123"/>
      <c r="I7" s="259" t="str">
        <f t="shared" si="0"/>
        <v/>
      </c>
      <c r="J7" s="260" t="str">
        <f t="shared" ca="1" si="1"/>
        <v/>
      </c>
      <c r="K7" s="261" t="str">
        <f>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74"/>
      <c r="M7" s="173"/>
    </row>
    <row r="8" spans="1:13" ht="15" customHeight="1" x14ac:dyDescent="0.2">
      <c r="A8" s="123"/>
      <c r="B8" s="123"/>
      <c r="C8" s="123"/>
      <c r="D8" s="122"/>
      <c r="E8" s="123"/>
      <c r="F8" s="123"/>
      <c r="G8" s="122"/>
      <c r="H8" s="123"/>
      <c r="I8" s="259" t="str">
        <f t="shared" si="0"/>
        <v/>
      </c>
      <c r="J8" s="260" t="str">
        <f t="shared" ca="1" si="1"/>
        <v/>
      </c>
      <c r="K8" s="261" t="str">
        <f>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74"/>
      <c r="M8" s="173"/>
    </row>
    <row r="9" spans="1:13" ht="15" customHeight="1" x14ac:dyDescent="0.2">
      <c r="A9" s="123"/>
      <c r="B9" s="123"/>
      <c r="C9" s="123"/>
      <c r="D9" s="122"/>
      <c r="E9" s="123"/>
      <c r="F9" s="123"/>
      <c r="G9" s="122"/>
      <c r="H9" s="123"/>
      <c r="I9" s="259" t="str">
        <f t="shared" si="0"/>
        <v/>
      </c>
      <c r="J9" s="260" t="str">
        <f t="shared" ca="1" si="1"/>
        <v/>
      </c>
      <c r="K9" s="261" t="str">
        <f>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74"/>
      <c r="M9" s="173"/>
    </row>
    <row r="10" spans="1:13" ht="15" customHeight="1" x14ac:dyDescent="0.2">
      <c r="A10" s="123"/>
      <c r="B10" s="123"/>
      <c r="C10" s="123"/>
      <c r="D10" s="122"/>
      <c r="E10" s="123"/>
      <c r="F10" s="123"/>
      <c r="G10" s="122"/>
      <c r="H10" s="123"/>
      <c r="I10" s="259" t="str">
        <f t="shared" si="0"/>
        <v/>
      </c>
      <c r="J10" s="260" t="str">
        <f t="shared" ca="1" si="1"/>
        <v/>
      </c>
      <c r="K10" s="261" t="str">
        <f>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74"/>
      <c r="M10" s="173"/>
    </row>
    <row r="11" spans="1:13" ht="15" customHeight="1" x14ac:dyDescent="0.2">
      <c r="A11" s="123"/>
      <c r="B11" s="123"/>
      <c r="C11" s="123"/>
      <c r="D11" s="122"/>
      <c r="E11" s="123"/>
      <c r="F11" s="123"/>
      <c r="G11" s="122"/>
      <c r="H11" s="123"/>
      <c r="I11" s="259" t="str">
        <f t="shared" si="0"/>
        <v/>
      </c>
      <c r="J11" s="260" t="str">
        <f t="shared" ca="1" si="1"/>
        <v/>
      </c>
      <c r="K11" s="261" t="str">
        <f>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74"/>
      <c r="M11" s="173"/>
    </row>
    <row r="12" spans="1:13" ht="15" customHeight="1" x14ac:dyDescent="0.2">
      <c r="A12" s="123"/>
      <c r="B12" s="123"/>
      <c r="C12" s="123"/>
      <c r="D12" s="122"/>
      <c r="E12" s="123"/>
      <c r="F12" s="123"/>
      <c r="G12" s="122"/>
      <c r="H12" s="123"/>
      <c r="I12" s="259" t="str">
        <f t="shared" si="0"/>
        <v/>
      </c>
      <c r="J12" s="260" t="str">
        <f t="shared" ca="1" si="1"/>
        <v/>
      </c>
      <c r="K12" s="261" t="str">
        <f>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74"/>
      <c r="M12" s="173"/>
    </row>
    <row r="13" spans="1:13" ht="15" customHeight="1" x14ac:dyDescent="0.2">
      <c r="A13" s="123"/>
      <c r="B13" s="123"/>
      <c r="C13" s="123"/>
      <c r="D13" s="122"/>
      <c r="E13" s="123"/>
      <c r="F13" s="123"/>
      <c r="G13" s="122"/>
      <c r="H13" s="123"/>
      <c r="I13" s="259" t="str">
        <f t="shared" si="0"/>
        <v/>
      </c>
      <c r="J13" s="260" t="str">
        <f t="shared" ca="1" si="1"/>
        <v/>
      </c>
      <c r="K13" s="261" t="str">
        <f>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74"/>
      <c r="M13" s="173"/>
    </row>
    <row r="14" spans="1:13" ht="15" customHeight="1" x14ac:dyDescent="0.2">
      <c r="A14" s="123"/>
      <c r="B14" s="123"/>
      <c r="C14" s="123"/>
      <c r="D14" s="122"/>
      <c r="E14" s="123"/>
      <c r="F14" s="123"/>
      <c r="G14" s="122"/>
      <c r="H14" s="123"/>
      <c r="I14" s="259" t="str">
        <f t="shared" si="0"/>
        <v/>
      </c>
      <c r="J14" s="260" t="str">
        <f t="shared" ca="1" si="1"/>
        <v/>
      </c>
      <c r="K14" s="261" t="str">
        <f>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74"/>
      <c r="M14" s="173"/>
    </row>
    <row r="15" spans="1:13" ht="15" customHeight="1" x14ac:dyDescent="0.2">
      <c r="A15" s="123"/>
      <c r="B15" s="123"/>
      <c r="C15" s="123"/>
      <c r="D15" s="122"/>
      <c r="E15" s="123"/>
      <c r="F15" s="123"/>
      <c r="G15" s="122"/>
      <c r="H15" s="123"/>
      <c r="I15" s="259" t="str">
        <f t="shared" si="0"/>
        <v/>
      </c>
      <c r="J15" s="260" t="str">
        <f t="shared" ca="1" si="1"/>
        <v/>
      </c>
      <c r="K15" s="261" t="str">
        <f>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74"/>
      <c r="M15" s="173"/>
    </row>
    <row r="16" spans="1:13" ht="15" customHeight="1" x14ac:dyDescent="0.2">
      <c r="A16" s="123"/>
      <c r="B16" s="123"/>
      <c r="C16" s="123"/>
      <c r="D16" s="122"/>
      <c r="E16" s="123"/>
      <c r="F16" s="123"/>
      <c r="G16" s="122"/>
      <c r="H16" s="123"/>
      <c r="I16" s="259" t="str">
        <f t="shared" si="0"/>
        <v/>
      </c>
      <c r="J16" s="260" t="str">
        <f t="shared" ca="1" si="1"/>
        <v/>
      </c>
      <c r="K16" s="261" t="str">
        <f>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74"/>
      <c r="M16" s="173"/>
    </row>
    <row r="17" spans="1:13" ht="15" customHeight="1" x14ac:dyDescent="0.2">
      <c r="A17" s="123"/>
      <c r="B17" s="123"/>
      <c r="C17" s="123"/>
      <c r="D17" s="122"/>
      <c r="E17" s="123"/>
      <c r="F17" s="123"/>
      <c r="G17" s="122"/>
      <c r="H17" s="123"/>
      <c r="I17" s="259" t="str">
        <f t="shared" si="0"/>
        <v/>
      </c>
      <c r="J17" s="260" t="str">
        <f t="shared" ca="1" si="1"/>
        <v/>
      </c>
      <c r="K17" s="261" t="str">
        <f>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74"/>
      <c r="M17" s="173"/>
    </row>
    <row r="18" spans="1:13" ht="15" customHeight="1" x14ac:dyDescent="0.2">
      <c r="A18" s="123"/>
      <c r="B18" s="123"/>
      <c r="C18" s="123"/>
      <c r="D18" s="122"/>
      <c r="E18" s="123"/>
      <c r="F18" s="123"/>
      <c r="G18" s="122"/>
      <c r="H18" s="123"/>
      <c r="I18" s="259" t="str">
        <f t="shared" si="0"/>
        <v/>
      </c>
      <c r="J18" s="260" t="str">
        <f t="shared" ca="1" si="1"/>
        <v/>
      </c>
      <c r="K18" s="261" t="str">
        <f>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74"/>
      <c r="M18" s="173"/>
    </row>
    <row r="19" spans="1:13" ht="15" customHeight="1" x14ac:dyDescent="0.2">
      <c r="A19" s="123"/>
      <c r="B19" s="123"/>
      <c r="C19" s="123"/>
      <c r="D19" s="122"/>
      <c r="E19" s="123"/>
      <c r="F19" s="123"/>
      <c r="G19" s="122"/>
      <c r="H19" s="123"/>
      <c r="I19" s="259" t="str">
        <f t="shared" si="0"/>
        <v/>
      </c>
      <c r="J19" s="260" t="str">
        <f t="shared" ca="1" si="1"/>
        <v/>
      </c>
      <c r="K19" s="261" t="str">
        <f>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74"/>
      <c r="M19" s="173"/>
    </row>
    <row r="20" spans="1:13" ht="15" customHeight="1" x14ac:dyDescent="0.2">
      <c r="A20" s="123"/>
      <c r="B20" s="123"/>
      <c r="C20" s="123"/>
      <c r="D20" s="122"/>
      <c r="E20" s="123"/>
      <c r="F20" s="123"/>
      <c r="G20" s="122"/>
      <c r="H20" s="123"/>
      <c r="I20" s="259" t="str">
        <f t="shared" si="0"/>
        <v/>
      </c>
      <c r="J20" s="260" t="str">
        <f t="shared" ca="1" si="1"/>
        <v/>
      </c>
      <c r="K20" s="261" t="str">
        <f>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74"/>
      <c r="M20" s="173"/>
    </row>
    <row r="21" spans="1:13" ht="15" customHeight="1" x14ac:dyDescent="0.2">
      <c r="A21" s="123"/>
      <c r="B21" s="123"/>
      <c r="C21" s="123"/>
      <c r="D21" s="122"/>
      <c r="E21" s="123"/>
      <c r="F21" s="123"/>
      <c r="G21" s="122"/>
      <c r="H21" s="123"/>
      <c r="I21" s="259" t="str">
        <f t="shared" si="0"/>
        <v/>
      </c>
      <c r="J21" s="260" t="str">
        <f t="shared" ca="1" si="1"/>
        <v/>
      </c>
      <c r="K21" s="261" t="str">
        <f>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74"/>
      <c r="M21" s="173"/>
    </row>
    <row r="22" spans="1:13" ht="15" customHeight="1" x14ac:dyDescent="0.2">
      <c r="A22" s="123"/>
      <c r="B22" s="123"/>
      <c r="C22" s="123"/>
      <c r="D22" s="122"/>
      <c r="E22" s="123"/>
      <c r="F22" s="123"/>
      <c r="G22" s="122"/>
      <c r="H22" s="123"/>
      <c r="I22" s="259" t="str">
        <f t="shared" si="0"/>
        <v/>
      </c>
      <c r="J22" s="260" t="str">
        <f t="shared" ca="1" si="1"/>
        <v/>
      </c>
      <c r="K22" s="261" t="str">
        <f>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74"/>
      <c r="M22" s="173"/>
    </row>
  </sheetData>
  <conditionalFormatting sqref="K3:K22">
    <cfRule type="expression" dxfId="55" priority="2">
      <formula>ISNUMBER(SEARCH("RECOVERED",K3))</formula>
    </cfRule>
    <cfRule type="expression" dxfId="54" priority="3">
      <formula>ISNUMBER(SEARCH("ON TRACK",K3))</formula>
    </cfRule>
    <cfRule type="expression" dxfId="53" priority="4">
      <formula>ISNUMBER(SEARCH("DEADLINE APPROACHING",K3))</formula>
    </cfRule>
    <cfRule type="expression" dxfId="52"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52"/>
  <sheetViews>
    <sheetView showGridLines="0" zoomScaleNormal="100" workbookViewId="0">
      <pane xSplit="3" ySplit="3" topLeftCell="D9" activePane="bottomRight" state="frozen"/>
      <selection pane="topRight" activeCell="D1" sqref="D1"/>
      <selection pane="bottomLeft" activeCell="A4" sqref="A4"/>
      <selection pane="bottomRight" activeCell="V35" sqref="V35"/>
    </sheetView>
  </sheetViews>
  <sheetFormatPr baseColWidth="10" defaultColWidth="8.6640625" defaultRowHeight="15" x14ac:dyDescent="0.2"/>
  <cols>
    <col min="1" max="1" width="6.6640625" style="168" customWidth="1"/>
    <col min="2" max="2" width="14" customWidth="1"/>
    <col min="3" max="4" width="8.1640625" customWidth="1"/>
    <col min="5" max="5" width="7.5" customWidth="1"/>
    <col min="6" max="6" width="8" customWidth="1"/>
    <col min="7" max="7" width="7.83203125" customWidth="1"/>
    <col min="8" max="8" width="6.6640625" customWidth="1"/>
    <col min="9" max="9" width="9.5" customWidth="1"/>
    <col min="10" max="10" width="8.1640625" customWidth="1"/>
    <col min="11" max="11" width="7.83203125" customWidth="1"/>
    <col min="12" max="12" width="8.1640625" customWidth="1"/>
    <col min="13" max="13" width="6.33203125" customWidth="1"/>
    <col min="14" max="14" width="7.5" customWidth="1"/>
    <col min="15" max="15" width="7.6640625" customWidth="1"/>
    <col min="16" max="16" width="7" customWidth="1"/>
    <col min="17" max="17" width="8" customWidth="1"/>
    <col min="18" max="18" width="7" customWidth="1"/>
    <col min="19" max="19" width="6.6640625" customWidth="1"/>
    <col min="20" max="20" width="5.83203125" customWidth="1"/>
    <col min="21" max="21" width="7.6640625" customWidth="1"/>
  </cols>
  <sheetData>
    <row r="1" spans="1:21" ht="25.5" customHeight="1" x14ac:dyDescent="0.2">
      <c r="A1" s="146" t="s">
        <v>501</v>
      </c>
      <c r="B1" s="146"/>
      <c r="C1" s="146"/>
      <c r="D1" s="146"/>
      <c r="E1" s="146"/>
      <c r="F1" s="146"/>
      <c r="G1" s="146"/>
      <c r="H1" s="146"/>
      <c r="I1" s="146"/>
      <c r="J1" s="146"/>
      <c r="K1" s="146"/>
      <c r="L1" s="146"/>
      <c r="M1" s="146"/>
      <c r="N1" s="146"/>
      <c r="O1" s="146"/>
      <c r="P1" s="146"/>
      <c r="Q1" s="146"/>
      <c r="R1" s="146"/>
      <c r="S1" s="146"/>
      <c r="T1" s="146"/>
    </row>
    <row r="2" spans="1:21" ht="15.75" customHeight="1" x14ac:dyDescent="0.2">
      <c r="D2" s="241" t="s">
        <v>502</v>
      </c>
      <c r="E2" s="241"/>
      <c r="F2" s="241"/>
      <c r="G2" s="241"/>
      <c r="H2" s="241"/>
      <c r="I2" s="242" t="s">
        <v>503</v>
      </c>
      <c r="J2" s="242"/>
      <c r="K2" s="242"/>
      <c r="L2" s="242"/>
      <c r="M2" s="242"/>
      <c r="N2" s="243" t="s">
        <v>504</v>
      </c>
      <c r="O2" s="243"/>
      <c r="P2" s="243"/>
      <c r="Q2" s="243"/>
      <c r="R2" s="243"/>
      <c r="S2" s="244" t="s">
        <v>505</v>
      </c>
      <c r="T2" s="244"/>
      <c r="U2" s="244"/>
    </row>
    <row r="3" spans="1:21" ht="42.75" customHeight="1" x14ac:dyDescent="0.2">
      <c r="A3" s="119" t="s">
        <v>82</v>
      </c>
      <c r="B3" s="119" t="s">
        <v>296</v>
      </c>
      <c r="C3" s="119" t="s">
        <v>506</v>
      </c>
      <c r="D3" s="119" t="s">
        <v>507</v>
      </c>
      <c r="E3" s="119" t="s">
        <v>508</v>
      </c>
      <c r="F3" s="119" t="s">
        <v>1071</v>
      </c>
      <c r="G3" s="119" t="s">
        <v>509</v>
      </c>
      <c r="H3" s="119" t="s">
        <v>510</v>
      </c>
      <c r="I3" s="119" t="s">
        <v>507</v>
      </c>
      <c r="J3" s="119" t="s">
        <v>508</v>
      </c>
      <c r="K3" s="119" t="s">
        <v>1071</v>
      </c>
      <c r="L3" s="119" t="s">
        <v>509</v>
      </c>
      <c r="M3" s="119" t="s">
        <v>510</v>
      </c>
      <c r="N3" s="119" t="s">
        <v>507</v>
      </c>
      <c r="O3" s="119" t="s">
        <v>508</v>
      </c>
      <c r="P3" s="119" t="s">
        <v>1071</v>
      </c>
      <c r="Q3" s="119" t="s">
        <v>509</v>
      </c>
      <c r="R3" s="119" t="s">
        <v>510</v>
      </c>
      <c r="S3" s="119" t="s">
        <v>1069</v>
      </c>
      <c r="T3" s="119" t="s">
        <v>1070</v>
      </c>
      <c r="U3" s="119" t="s">
        <v>511</v>
      </c>
    </row>
    <row r="4" spans="1:21" ht="15" customHeight="1" x14ac:dyDescent="0.2">
      <c r="A4" s="64"/>
      <c r="B4" s="65"/>
      <c r="C4" s="69"/>
      <c r="D4" s="69"/>
      <c r="E4" s="175"/>
      <c r="F4" s="69"/>
      <c r="G4" s="70" t="str">
        <f t="shared" ref="G4:G35" si="0">IF(OR(C4="",D4="",E4="",F4=""),"",IFERROR(((D4*E4+F4)/C4)^(1/5)-1,"n/a"))</f>
        <v/>
      </c>
      <c r="H4" s="65"/>
      <c r="I4" s="69"/>
      <c r="J4" s="175"/>
      <c r="K4" s="69"/>
      <c r="L4" s="70" t="str">
        <f t="shared" ref="L4:L35" si="1">IF(OR(C4="",I4="",J4="",K4=""),"",IFERROR(((I4*J4+K4)/C4)^(1/5)-1,"n/a"))</f>
        <v/>
      </c>
      <c r="M4" s="65"/>
      <c r="N4" s="69"/>
      <c r="O4" s="175"/>
      <c r="P4" s="69"/>
      <c r="Q4" s="70" t="str">
        <f t="shared" ref="Q4:Q35" si="2">IF(OR(C4="",N4="",O4="",P4=""),"",IFERROR(((N4*O4+P4)/C4)^(1/5)-1,"n/a"))</f>
        <v/>
      </c>
      <c r="R4" s="65"/>
      <c r="S4" s="74" t="str">
        <f t="shared" ref="S4:S35" si="3">IF(G4="","",IF(G4&gt;0.1,"PASS","FAIL"))</f>
        <v/>
      </c>
      <c r="T4" s="74" t="str">
        <f t="shared" ref="T4:T35" si="4">IF(L4="","",IF(L4&gt;=0,"PASS","FAIL"))</f>
        <v/>
      </c>
      <c r="U4" s="74" t="str">
        <f t="shared" ref="U4:U35" si="5">IF(COUNTA(H4,M4,R4)=0,"",IF((COUNTIF(H4,"Likely")+COUNTIF(M4,"Likely")+COUNTIF(R4,"Likely"))=1,"OK","CHECK TAGS"))</f>
        <v/>
      </c>
    </row>
    <row r="5" spans="1:21" ht="15" customHeight="1" x14ac:dyDescent="0.2">
      <c r="A5" s="64"/>
      <c r="B5" s="65"/>
      <c r="C5" s="69"/>
      <c r="D5" s="69"/>
      <c r="E5" s="175"/>
      <c r="F5" s="69"/>
      <c r="G5" s="70" t="str">
        <f t="shared" si="0"/>
        <v/>
      </c>
      <c r="H5" s="65"/>
      <c r="I5" s="69"/>
      <c r="J5" s="175"/>
      <c r="K5" s="69"/>
      <c r="L5" s="70" t="str">
        <f t="shared" si="1"/>
        <v/>
      </c>
      <c r="M5" s="65"/>
      <c r="N5" s="69"/>
      <c r="O5" s="175"/>
      <c r="P5" s="69"/>
      <c r="Q5" s="70" t="str">
        <f t="shared" si="2"/>
        <v/>
      </c>
      <c r="R5" s="65"/>
      <c r="S5" s="74" t="str">
        <f t="shared" si="3"/>
        <v/>
      </c>
      <c r="T5" s="74" t="str">
        <f t="shared" si="4"/>
        <v/>
      </c>
      <c r="U5" s="74" t="str">
        <f t="shared" si="5"/>
        <v/>
      </c>
    </row>
    <row r="6" spans="1:21" ht="15" customHeight="1" x14ac:dyDescent="0.2">
      <c r="A6" s="64"/>
      <c r="B6" s="65"/>
      <c r="C6" s="69"/>
      <c r="D6" s="69"/>
      <c r="E6" s="175"/>
      <c r="F6" s="69"/>
      <c r="G6" s="70" t="str">
        <f t="shared" si="0"/>
        <v/>
      </c>
      <c r="H6" s="65"/>
      <c r="I6" s="69"/>
      <c r="J6" s="175"/>
      <c r="K6" s="69"/>
      <c r="L6" s="70" t="str">
        <f t="shared" si="1"/>
        <v/>
      </c>
      <c r="M6" s="65"/>
      <c r="N6" s="69"/>
      <c r="O6" s="175"/>
      <c r="P6" s="69"/>
      <c r="Q6" s="70" t="str">
        <f t="shared" si="2"/>
        <v/>
      </c>
      <c r="R6" s="65"/>
      <c r="S6" s="74" t="str">
        <f t="shared" si="3"/>
        <v/>
      </c>
      <c r="T6" s="74" t="str">
        <f t="shared" si="4"/>
        <v/>
      </c>
      <c r="U6" s="74" t="str">
        <f t="shared" si="5"/>
        <v/>
      </c>
    </row>
    <row r="7" spans="1:21" ht="15" customHeight="1" x14ac:dyDescent="0.2">
      <c r="A7" s="64"/>
      <c r="B7" s="72"/>
      <c r="C7" s="69"/>
      <c r="D7" s="69"/>
      <c r="E7" s="175"/>
      <c r="F7" s="69"/>
      <c r="G7" s="70" t="str">
        <f t="shared" si="0"/>
        <v/>
      </c>
      <c r="H7" s="65"/>
      <c r="I7" s="69"/>
      <c r="J7" s="175"/>
      <c r="K7" s="69"/>
      <c r="L7" s="70" t="str">
        <f t="shared" si="1"/>
        <v/>
      </c>
      <c r="M7" s="65"/>
      <c r="N7" s="69"/>
      <c r="O7" s="175"/>
      <c r="P7" s="69"/>
      <c r="Q7" s="70" t="str">
        <f t="shared" si="2"/>
        <v/>
      </c>
      <c r="R7" s="65"/>
      <c r="S7" s="74" t="str">
        <f t="shared" si="3"/>
        <v/>
      </c>
      <c r="T7" s="74" t="str">
        <f t="shared" si="4"/>
        <v/>
      </c>
      <c r="U7" s="74" t="str">
        <f t="shared" si="5"/>
        <v/>
      </c>
    </row>
    <row r="8" spans="1:21" ht="15" customHeight="1" x14ac:dyDescent="0.2">
      <c r="A8" s="64"/>
      <c r="B8" s="72"/>
      <c r="C8" s="69"/>
      <c r="D8" s="69"/>
      <c r="E8" s="175"/>
      <c r="F8" s="69"/>
      <c r="G8" s="70" t="str">
        <f t="shared" si="0"/>
        <v/>
      </c>
      <c r="H8" s="65"/>
      <c r="I8" s="69"/>
      <c r="J8" s="175"/>
      <c r="K8" s="69"/>
      <c r="L8" s="70" t="str">
        <f t="shared" si="1"/>
        <v/>
      </c>
      <c r="M8" s="65"/>
      <c r="N8" s="69"/>
      <c r="O8" s="175"/>
      <c r="P8" s="69"/>
      <c r="Q8" s="70" t="str">
        <f t="shared" si="2"/>
        <v/>
      </c>
      <c r="R8" s="65"/>
      <c r="S8" s="74" t="str">
        <f t="shared" si="3"/>
        <v/>
      </c>
      <c r="T8" s="74" t="str">
        <f t="shared" si="4"/>
        <v/>
      </c>
      <c r="U8" s="74" t="str">
        <f t="shared" si="5"/>
        <v/>
      </c>
    </row>
    <row r="9" spans="1:21" ht="15" customHeight="1" x14ac:dyDescent="0.2">
      <c r="A9" s="64"/>
      <c r="B9" s="72"/>
      <c r="C9" s="69"/>
      <c r="D9" s="69"/>
      <c r="E9" s="175"/>
      <c r="F9" s="69"/>
      <c r="G9" s="70" t="str">
        <f t="shared" si="0"/>
        <v/>
      </c>
      <c r="H9" s="65"/>
      <c r="I9" s="69"/>
      <c r="J9" s="175"/>
      <c r="K9" s="69"/>
      <c r="L9" s="70" t="str">
        <f t="shared" si="1"/>
        <v/>
      </c>
      <c r="M9" s="65"/>
      <c r="N9" s="69"/>
      <c r="O9" s="175"/>
      <c r="P9" s="69"/>
      <c r="Q9" s="70" t="str">
        <f t="shared" si="2"/>
        <v/>
      </c>
      <c r="R9" s="65"/>
      <c r="S9" s="74" t="str">
        <f t="shared" si="3"/>
        <v/>
      </c>
      <c r="T9" s="74" t="str">
        <f t="shared" si="4"/>
        <v/>
      </c>
      <c r="U9" s="74" t="str">
        <f t="shared" si="5"/>
        <v/>
      </c>
    </row>
    <row r="10" spans="1:21" ht="15" customHeight="1" x14ac:dyDescent="0.2">
      <c r="A10" s="64"/>
      <c r="B10" s="72"/>
      <c r="C10" s="69"/>
      <c r="D10" s="69"/>
      <c r="E10" s="175"/>
      <c r="F10" s="69"/>
      <c r="G10" s="70" t="str">
        <f t="shared" si="0"/>
        <v/>
      </c>
      <c r="H10" s="65"/>
      <c r="I10" s="69"/>
      <c r="J10" s="175"/>
      <c r="K10" s="69"/>
      <c r="L10" s="70" t="str">
        <f t="shared" si="1"/>
        <v/>
      </c>
      <c r="M10" s="65"/>
      <c r="N10" s="69"/>
      <c r="O10" s="175"/>
      <c r="P10" s="69"/>
      <c r="Q10" s="70" t="str">
        <f t="shared" si="2"/>
        <v/>
      </c>
      <c r="R10" s="65"/>
      <c r="S10" s="74" t="str">
        <f t="shared" si="3"/>
        <v/>
      </c>
      <c r="T10" s="74" t="str">
        <f t="shared" si="4"/>
        <v/>
      </c>
      <c r="U10" s="74" t="str">
        <f t="shared" si="5"/>
        <v/>
      </c>
    </row>
    <row r="11" spans="1:21" ht="15" customHeight="1" x14ac:dyDescent="0.2">
      <c r="A11" s="64"/>
      <c r="B11" s="72"/>
      <c r="C11" s="69"/>
      <c r="D11" s="69"/>
      <c r="E11" s="175"/>
      <c r="F11" s="69"/>
      <c r="G11" s="70" t="str">
        <f t="shared" si="0"/>
        <v/>
      </c>
      <c r="H11" s="65"/>
      <c r="I11" s="69"/>
      <c r="J11" s="175"/>
      <c r="K11" s="69"/>
      <c r="L11" s="70" t="str">
        <f t="shared" si="1"/>
        <v/>
      </c>
      <c r="M11" s="65"/>
      <c r="N11" s="69"/>
      <c r="O11" s="175"/>
      <c r="P11" s="69"/>
      <c r="Q11" s="70" t="str">
        <f t="shared" si="2"/>
        <v/>
      </c>
      <c r="R11" s="65"/>
      <c r="S11" s="74" t="str">
        <f t="shared" si="3"/>
        <v/>
      </c>
      <c r="T11" s="74" t="str">
        <f t="shared" si="4"/>
        <v/>
      </c>
      <c r="U11" s="74" t="str">
        <f t="shared" si="5"/>
        <v/>
      </c>
    </row>
    <row r="12" spans="1:21" ht="15" customHeight="1" x14ac:dyDescent="0.2">
      <c r="A12" s="64"/>
      <c r="B12" s="72"/>
      <c r="C12" s="69"/>
      <c r="D12" s="69"/>
      <c r="E12" s="175"/>
      <c r="F12" s="69"/>
      <c r="G12" s="70" t="str">
        <f t="shared" si="0"/>
        <v/>
      </c>
      <c r="H12" s="65"/>
      <c r="I12" s="69"/>
      <c r="J12" s="175"/>
      <c r="K12" s="69"/>
      <c r="L12" s="70" t="str">
        <f t="shared" si="1"/>
        <v/>
      </c>
      <c r="M12" s="65"/>
      <c r="N12" s="69"/>
      <c r="O12" s="175"/>
      <c r="P12" s="69"/>
      <c r="Q12" s="70" t="str">
        <f t="shared" si="2"/>
        <v/>
      </c>
      <c r="R12" s="65"/>
      <c r="S12" s="74" t="str">
        <f t="shared" si="3"/>
        <v/>
      </c>
      <c r="T12" s="74" t="str">
        <f t="shared" si="4"/>
        <v/>
      </c>
      <c r="U12" s="74" t="str">
        <f t="shared" si="5"/>
        <v/>
      </c>
    </row>
    <row r="13" spans="1:21" ht="15" customHeight="1" x14ac:dyDescent="0.2">
      <c r="A13" s="64"/>
      <c r="B13" s="72"/>
      <c r="C13" s="69"/>
      <c r="D13" s="69"/>
      <c r="E13" s="175"/>
      <c r="F13" s="69"/>
      <c r="G13" s="70" t="str">
        <f t="shared" si="0"/>
        <v/>
      </c>
      <c r="H13" s="65"/>
      <c r="I13" s="69"/>
      <c r="J13" s="175"/>
      <c r="K13" s="69"/>
      <c r="L13" s="70" t="str">
        <f t="shared" si="1"/>
        <v/>
      </c>
      <c r="M13" s="65"/>
      <c r="N13" s="69"/>
      <c r="O13" s="175"/>
      <c r="P13" s="69"/>
      <c r="Q13" s="70" t="str">
        <f t="shared" si="2"/>
        <v/>
      </c>
      <c r="R13" s="65"/>
      <c r="S13" s="74" t="str">
        <f t="shared" si="3"/>
        <v/>
      </c>
      <c r="T13" s="74" t="str">
        <f t="shared" si="4"/>
        <v/>
      </c>
      <c r="U13" s="74" t="str">
        <f t="shared" si="5"/>
        <v/>
      </c>
    </row>
    <row r="14" spans="1:21" ht="15" customHeight="1" x14ac:dyDescent="0.2">
      <c r="A14" s="64"/>
      <c r="B14" s="72"/>
      <c r="C14" s="69"/>
      <c r="D14" s="69"/>
      <c r="E14" s="175"/>
      <c r="F14" s="69"/>
      <c r="G14" s="70" t="str">
        <f t="shared" si="0"/>
        <v/>
      </c>
      <c r="H14" s="65"/>
      <c r="I14" s="69"/>
      <c r="J14" s="175"/>
      <c r="K14" s="69"/>
      <c r="L14" s="70" t="str">
        <f t="shared" si="1"/>
        <v/>
      </c>
      <c r="M14" s="65"/>
      <c r="N14" s="69"/>
      <c r="O14" s="175"/>
      <c r="P14" s="69"/>
      <c r="Q14" s="70" t="str">
        <f t="shared" si="2"/>
        <v/>
      </c>
      <c r="R14" s="65"/>
      <c r="S14" s="74" t="str">
        <f t="shared" si="3"/>
        <v/>
      </c>
      <c r="T14" s="74" t="str">
        <f t="shared" si="4"/>
        <v/>
      </c>
      <c r="U14" s="74" t="str">
        <f t="shared" si="5"/>
        <v/>
      </c>
    </row>
    <row r="15" spans="1:21" ht="15" customHeight="1" x14ac:dyDescent="0.2">
      <c r="A15" s="64"/>
      <c r="B15" s="72"/>
      <c r="C15" s="69"/>
      <c r="D15" s="69"/>
      <c r="E15" s="175"/>
      <c r="F15" s="69"/>
      <c r="G15" s="70" t="str">
        <f t="shared" si="0"/>
        <v/>
      </c>
      <c r="H15" s="65"/>
      <c r="I15" s="69"/>
      <c r="J15" s="175"/>
      <c r="K15" s="69"/>
      <c r="L15" s="70" t="str">
        <f t="shared" si="1"/>
        <v/>
      </c>
      <c r="M15" s="65"/>
      <c r="N15" s="69"/>
      <c r="O15" s="175"/>
      <c r="P15" s="69"/>
      <c r="Q15" s="70" t="str">
        <f t="shared" si="2"/>
        <v/>
      </c>
      <c r="R15" s="65"/>
      <c r="S15" s="74" t="str">
        <f t="shared" si="3"/>
        <v/>
      </c>
      <c r="T15" s="74" t="str">
        <f t="shared" si="4"/>
        <v/>
      </c>
      <c r="U15" s="74" t="str">
        <f t="shared" si="5"/>
        <v/>
      </c>
    </row>
    <row r="16" spans="1:21" ht="15" customHeight="1" x14ac:dyDescent="0.2">
      <c r="A16" s="64"/>
      <c r="B16" s="72"/>
      <c r="C16" s="69"/>
      <c r="D16" s="69"/>
      <c r="E16" s="175"/>
      <c r="F16" s="69"/>
      <c r="G16" s="70" t="str">
        <f t="shared" si="0"/>
        <v/>
      </c>
      <c r="H16" s="65"/>
      <c r="I16" s="69"/>
      <c r="J16" s="175"/>
      <c r="K16" s="69"/>
      <c r="L16" s="70" t="str">
        <f t="shared" si="1"/>
        <v/>
      </c>
      <c r="M16" s="65"/>
      <c r="N16" s="69"/>
      <c r="O16" s="175"/>
      <c r="P16" s="69"/>
      <c r="Q16" s="70" t="str">
        <f t="shared" si="2"/>
        <v/>
      </c>
      <c r="R16" s="65"/>
      <c r="S16" s="74" t="str">
        <f t="shared" si="3"/>
        <v/>
      </c>
      <c r="T16" s="74" t="str">
        <f t="shared" si="4"/>
        <v/>
      </c>
      <c r="U16" s="74" t="str">
        <f t="shared" si="5"/>
        <v/>
      </c>
    </row>
    <row r="17" spans="1:21" ht="15" customHeight="1" x14ac:dyDescent="0.2">
      <c r="A17" s="64"/>
      <c r="B17" s="72"/>
      <c r="C17" s="69"/>
      <c r="D17" s="69"/>
      <c r="E17" s="175"/>
      <c r="F17" s="69"/>
      <c r="G17" s="70" t="str">
        <f t="shared" si="0"/>
        <v/>
      </c>
      <c r="H17" s="65"/>
      <c r="I17" s="69"/>
      <c r="J17" s="175"/>
      <c r="K17" s="69"/>
      <c r="L17" s="70" t="str">
        <f t="shared" si="1"/>
        <v/>
      </c>
      <c r="M17" s="65"/>
      <c r="N17" s="69"/>
      <c r="O17" s="175"/>
      <c r="P17" s="69"/>
      <c r="Q17" s="70" t="str">
        <f t="shared" si="2"/>
        <v/>
      </c>
      <c r="R17" s="65"/>
      <c r="S17" s="74" t="str">
        <f t="shared" si="3"/>
        <v/>
      </c>
      <c r="T17" s="74" t="str">
        <f t="shared" si="4"/>
        <v/>
      </c>
      <c r="U17" s="74" t="str">
        <f t="shared" si="5"/>
        <v/>
      </c>
    </row>
    <row r="18" spans="1:21" ht="15" customHeight="1" x14ac:dyDescent="0.2">
      <c r="A18" s="64"/>
      <c r="B18" s="72"/>
      <c r="C18" s="69"/>
      <c r="D18" s="69"/>
      <c r="E18" s="175"/>
      <c r="F18" s="69"/>
      <c r="G18" s="70" t="str">
        <f t="shared" si="0"/>
        <v/>
      </c>
      <c r="H18" s="65"/>
      <c r="I18" s="69"/>
      <c r="J18" s="175"/>
      <c r="K18" s="69"/>
      <c r="L18" s="70" t="str">
        <f t="shared" si="1"/>
        <v/>
      </c>
      <c r="M18" s="65"/>
      <c r="N18" s="69"/>
      <c r="O18" s="175"/>
      <c r="P18" s="69"/>
      <c r="Q18" s="70" t="str">
        <f t="shared" si="2"/>
        <v/>
      </c>
      <c r="R18" s="65"/>
      <c r="S18" s="74" t="str">
        <f t="shared" si="3"/>
        <v/>
      </c>
      <c r="T18" s="74" t="str">
        <f t="shared" si="4"/>
        <v/>
      </c>
      <c r="U18" s="74" t="str">
        <f t="shared" si="5"/>
        <v/>
      </c>
    </row>
    <row r="19" spans="1:21" ht="15" customHeight="1" x14ac:dyDescent="0.2">
      <c r="A19" s="64"/>
      <c r="B19" s="72"/>
      <c r="C19" s="69"/>
      <c r="D19" s="69"/>
      <c r="E19" s="175"/>
      <c r="F19" s="69"/>
      <c r="G19" s="70" t="str">
        <f t="shared" si="0"/>
        <v/>
      </c>
      <c r="H19" s="65"/>
      <c r="I19" s="69"/>
      <c r="J19" s="175"/>
      <c r="K19" s="69"/>
      <c r="L19" s="70" t="str">
        <f t="shared" si="1"/>
        <v/>
      </c>
      <c r="M19" s="65"/>
      <c r="N19" s="69"/>
      <c r="O19" s="175"/>
      <c r="P19" s="69"/>
      <c r="Q19" s="70" t="str">
        <f t="shared" si="2"/>
        <v/>
      </c>
      <c r="R19" s="65"/>
      <c r="S19" s="74" t="str">
        <f t="shared" si="3"/>
        <v/>
      </c>
      <c r="T19" s="74" t="str">
        <f t="shared" si="4"/>
        <v/>
      </c>
      <c r="U19" s="74" t="str">
        <f t="shared" si="5"/>
        <v/>
      </c>
    </row>
    <row r="20" spans="1:21" ht="15" customHeight="1" x14ac:dyDescent="0.2">
      <c r="A20" s="64" t="s">
        <v>244</v>
      </c>
      <c r="B20" s="72" t="s">
        <v>512</v>
      </c>
      <c r="C20" s="69">
        <v>967.17</v>
      </c>
      <c r="D20" s="69">
        <v>23.11</v>
      </c>
      <c r="E20" s="175">
        <v>61.48</v>
      </c>
      <c r="F20" s="69">
        <v>32</v>
      </c>
      <c r="G20" s="70">
        <f t="shared" si="0"/>
        <v>8.4777753732933281E-2</v>
      </c>
      <c r="H20" s="65" t="s">
        <v>513</v>
      </c>
      <c r="I20" s="69">
        <v>19.14</v>
      </c>
      <c r="J20" s="175">
        <v>50</v>
      </c>
      <c r="K20" s="69">
        <v>28</v>
      </c>
      <c r="L20" s="70">
        <f t="shared" si="1"/>
        <v>3.6601540081799833E-3</v>
      </c>
      <c r="M20" s="65" t="s">
        <v>513</v>
      </c>
      <c r="N20" s="69">
        <v>26.51</v>
      </c>
      <c r="O20" s="175">
        <v>61.48</v>
      </c>
      <c r="P20" s="69">
        <v>35</v>
      </c>
      <c r="Q20" s="70">
        <f t="shared" si="2"/>
        <v>0.11474020678495345</v>
      </c>
      <c r="R20" s="65" t="s">
        <v>514</v>
      </c>
      <c r="S20" s="74" t="str">
        <f t="shared" si="3"/>
        <v>FAIL</v>
      </c>
      <c r="T20" s="74" t="str">
        <f t="shared" si="4"/>
        <v>PASS</v>
      </c>
      <c r="U20" s="74" t="str">
        <f t="shared" si="5"/>
        <v>OK</v>
      </c>
    </row>
    <row r="21" spans="1:21" ht="15" customHeight="1" x14ac:dyDescent="0.2">
      <c r="A21" s="64" t="s">
        <v>119</v>
      </c>
      <c r="B21" s="72" t="s">
        <v>120</v>
      </c>
      <c r="C21" s="69">
        <v>380.63</v>
      </c>
      <c r="D21" s="69">
        <v>17.84</v>
      </c>
      <c r="E21" s="175">
        <v>34.36</v>
      </c>
      <c r="F21" s="69">
        <v>16</v>
      </c>
      <c r="G21" s="70">
        <f t="shared" si="0"/>
        <v>0.10567399598633798</v>
      </c>
      <c r="H21" s="65" t="s">
        <v>514</v>
      </c>
      <c r="I21" s="69">
        <v>14.14</v>
      </c>
      <c r="J21" s="175">
        <v>28</v>
      </c>
      <c r="K21" s="69">
        <v>14</v>
      </c>
      <c r="L21" s="70">
        <f t="shared" si="1"/>
        <v>1.4937311795212738E-2</v>
      </c>
      <c r="M21" s="65" t="s">
        <v>513</v>
      </c>
      <c r="N21" s="69">
        <v>21.33</v>
      </c>
      <c r="O21" s="175">
        <v>38</v>
      </c>
      <c r="P21" s="69">
        <v>18</v>
      </c>
      <c r="Q21" s="70">
        <f t="shared" si="2"/>
        <v>0.16832075792045109</v>
      </c>
      <c r="R21" s="65" t="s">
        <v>513</v>
      </c>
      <c r="S21" s="74" t="str">
        <f t="shared" si="3"/>
        <v>PASS</v>
      </c>
      <c r="T21" s="74" t="str">
        <f t="shared" si="4"/>
        <v>PASS</v>
      </c>
      <c r="U21" s="74" t="str">
        <f t="shared" si="5"/>
        <v>OK</v>
      </c>
    </row>
    <row r="22" spans="1:21" ht="15" customHeight="1" x14ac:dyDescent="0.2">
      <c r="A22" s="64"/>
      <c r="B22" s="72"/>
      <c r="C22" s="69"/>
      <c r="D22" s="69"/>
      <c r="E22" s="175"/>
      <c r="F22" s="69"/>
      <c r="G22" s="70" t="str">
        <f t="shared" si="0"/>
        <v/>
      </c>
      <c r="H22" s="65"/>
      <c r="I22" s="69"/>
      <c r="J22" s="175"/>
      <c r="K22" s="69"/>
      <c r="L22" s="70" t="str">
        <f t="shared" si="1"/>
        <v/>
      </c>
      <c r="M22" s="65"/>
      <c r="N22" s="69"/>
      <c r="O22" s="175"/>
      <c r="P22" s="69"/>
      <c r="Q22" s="70" t="str">
        <f t="shared" si="2"/>
        <v/>
      </c>
      <c r="R22" s="65"/>
      <c r="S22" s="74" t="str">
        <f t="shared" si="3"/>
        <v/>
      </c>
      <c r="T22" s="74" t="str">
        <f t="shared" si="4"/>
        <v/>
      </c>
      <c r="U22" s="74" t="str">
        <f t="shared" si="5"/>
        <v/>
      </c>
    </row>
    <row r="23" spans="1:21" ht="15" customHeight="1" x14ac:dyDescent="0.2">
      <c r="A23" s="64"/>
      <c r="B23" s="72"/>
      <c r="C23" s="69"/>
      <c r="D23" s="69"/>
      <c r="E23" s="175"/>
      <c r="F23" s="69"/>
      <c r="G23" s="70" t="str">
        <f t="shared" si="0"/>
        <v/>
      </c>
      <c r="H23" s="65"/>
      <c r="I23" s="69"/>
      <c r="J23" s="175"/>
      <c r="K23" s="69"/>
      <c r="L23" s="70" t="str">
        <f t="shared" si="1"/>
        <v/>
      </c>
      <c r="M23" s="65"/>
      <c r="N23" s="69"/>
      <c r="O23" s="175"/>
      <c r="P23" s="69"/>
      <c r="Q23" s="70" t="str">
        <f t="shared" si="2"/>
        <v/>
      </c>
      <c r="R23" s="65"/>
      <c r="S23" s="74" t="str">
        <f t="shared" si="3"/>
        <v/>
      </c>
      <c r="T23" s="74" t="str">
        <f t="shared" si="4"/>
        <v/>
      </c>
      <c r="U23" s="74" t="str">
        <f t="shared" si="5"/>
        <v/>
      </c>
    </row>
    <row r="24" spans="1:21" ht="15" customHeight="1" x14ac:dyDescent="0.2">
      <c r="A24" s="176"/>
      <c r="B24" s="177"/>
      <c r="C24" s="178"/>
      <c r="D24" s="178"/>
      <c r="E24" s="179"/>
      <c r="F24" s="178"/>
      <c r="G24" s="180" t="str">
        <f t="shared" si="0"/>
        <v/>
      </c>
      <c r="H24" s="181"/>
      <c r="I24" s="178"/>
      <c r="J24" s="179"/>
      <c r="K24" s="178"/>
      <c r="L24" s="180" t="str">
        <f t="shared" si="1"/>
        <v/>
      </c>
      <c r="M24" s="181"/>
      <c r="N24" s="178"/>
      <c r="O24" s="179"/>
      <c r="P24" s="178"/>
      <c r="Q24" s="180" t="str">
        <f t="shared" si="2"/>
        <v/>
      </c>
      <c r="R24" s="182"/>
      <c r="S24" s="74" t="str">
        <f t="shared" si="3"/>
        <v/>
      </c>
      <c r="T24" s="74" t="str">
        <f t="shared" si="4"/>
        <v/>
      </c>
      <c r="U24" s="74" t="str">
        <f t="shared" si="5"/>
        <v/>
      </c>
    </row>
    <row r="25" spans="1:21" ht="15" customHeight="1" x14ac:dyDescent="0.2">
      <c r="A25" s="176"/>
      <c r="B25" s="177"/>
      <c r="C25" s="178"/>
      <c r="D25" s="178"/>
      <c r="E25" s="179"/>
      <c r="F25" s="178"/>
      <c r="G25" s="180" t="str">
        <f t="shared" si="0"/>
        <v/>
      </c>
      <c r="H25" s="181"/>
      <c r="I25" s="178"/>
      <c r="J25" s="179"/>
      <c r="K25" s="178"/>
      <c r="L25" s="180" t="str">
        <f t="shared" si="1"/>
        <v/>
      </c>
      <c r="M25" s="181"/>
      <c r="N25" s="178"/>
      <c r="O25" s="179"/>
      <c r="P25" s="178"/>
      <c r="Q25" s="180" t="str">
        <f t="shared" si="2"/>
        <v/>
      </c>
      <c r="R25" s="182"/>
      <c r="S25" s="74" t="str">
        <f t="shared" si="3"/>
        <v/>
      </c>
      <c r="T25" s="74" t="str">
        <f t="shared" si="4"/>
        <v/>
      </c>
      <c r="U25" s="74" t="str">
        <f t="shared" si="5"/>
        <v/>
      </c>
    </row>
    <row r="26" spans="1:21" ht="15" customHeight="1" x14ac:dyDescent="0.2">
      <c r="A26" s="176"/>
      <c r="B26" s="177"/>
      <c r="C26" s="178"/>
      <c r="D26" s="178"/>
      <c r="E26" s="179"/>
      <c r="F26" s="178"/>
      <c r="G26" s="180" t="str">
        <f t="shared" si="0"/>
        <v/>
      </c>
      <c r="H26" s="181"/>
      <c r="I26" s="178"/>
      <c r="J26" s="179"/>
      <c r="K26" s="178"/>
      <c r="L26" s="180" t="str">
        <f t="shared" si="1"/>
        <v/>
      </c>
      <c r="M26" s="181"/>
      <c r="N26" s="178"/>
      <c r="O26" s="179"/>
      <c r="P26" s="178"/>
      <c r="Q26" s="180" t="str">
        <f t="shared" si="2"/>
        <v/>
      </c>
      <c r="R26" s="182"/>
      <c r="S26" s="74" t="str">
        <f t="shared" si="3"/>
        <v/>
      </c>
      <c r="T26" s="74" t="str">
        <f t="shared" si="4"/>
        <v/>
      </c>
      <c r="U26" s="74" t="str">
        <f t="shared" si="5"/>
        <v/>
      </c>
    </row>
    <row r="27" spans="1:21" ht="15" customHeight="1" x14ac:dyDescent="0.2">
      <c r="A27" s="176"/>
      <c r="B27" s="177"/>
      <c r="C27" s="178"/>
      <c r="D27" s="178"/>
      <c r="E27" s="179"/>
      <c r="F27" s="178"/>
      <c r="G27" s="180" t="str">
        <f t="shared" si="0"/>
        <v/>
      </c>
      <c r="H27" s="181"/>
      <c r="I27" s="178"/>
      <c r="J27" s="179"/>
      <c r="K27" s="178"/>
      <c r="L27" s="180" t="str">
        <f t="shared" si="1"/>
        <v/>
      </c>
      <c r="M27" s="181"/>
      <c r="N27" s="178"/>
      <c r="O27" s="179"/>
      <c r="P27" s="178"/>
      <c r="Q27" s="180" t="str">
        <f t="shared" si="2"/>
        <v/>
      </c>
      <c r="R27" s="182"/>
      <c r="S27" s="74" t="str">
        <f t="shared" si="3"/>
        <v/>
      </c>
      <c r="T27" s="74" t="str">
        <f t="shared" si="4"/>
        <v/>
      </c>
      <c r="U27" s="74" t="str">
        <f t="shared" si="5"/>
        <v/>
      </c>
    </row>
    <row r="28" spans="1:21" ht="15" customHeight="1" x14ac:dyDescent="0.2">
      <c r="A28" s="176"/>
      <c r="B28" s="177"/>
      <c r="C28" s="178"/>
      <c r="D28" s="178"/>
      <c r="E28" s="179"/>
      <c r="F28" s="178"/>
      <c r="G28" s="180" t="str">
        <f t="shared" si="0"/>
        <v/>
      </c>
      <c r="H28" s="181"/>
      <c r="I28" s="178"/>
      <c r="J28" s="179"/>
      <c r="K28" s="178"/>
      <c r="L28" s="180" t="str">
        <f t="shared" si="1"/>
        <v/>
      </c>
      <c r="M28" s="181"/>
      <c r="N28" s="178"/>
      <c r="O28" s="179"/>
      <c r="P28" s="178"/>
      <c r="Q28" s="180" t="str">
        <f t="shared" si="2"/>
        <v/>
      </c>
      <c r="R28" s="182"/>
      <c r="S28" s="74" t="str">
        <f t="shared" si="3"/>
        <v/>
      </c>
      <c r="T28" s="74" t="str">
        <f t="shared" si="4"/>
        <v/>
      </c>
      <c r="U28" s="74" t="str">
        <f t="shared" si="5"/>
        <v/>
      </c>
    </row>
    <row r="29" spans="1:21" ht="15" customHeight="1" x14ac:dyDescent="0.2">
      <c r="A29" s="176"/>
      <c r="B29" s="177"/>
      <c r="C29" s="178"/>
      <c r="D29" s="178"/>
      <c r="E29" s="179"/>
      <c r="F29" s="178"/>
      <c r="G29" s="180" t="str">
        <f t="shared" si="0"/>
        <v/>
      </c>
      <c r="H29" s="181"/>
      <c r="I29" s="178"/>
      <c r="J29" s="179"/>
      <c r="K29" s="178"/>
      <c r="L29" s="180" t="str">
        <f t="shared" si="1"/>
        <v/>
      </c>
      <c r="M29" s="181"/>
      <c r="N29" s="178"/>
      <c r="O29" s="179"/>
      <c r="P29" s="178"/>
      <c r="Q29" s="180" t="str">
        <f t="shared" si="2"/>
        <v/>
      </c>
      <c r="R29" s="182"/>
      <c r="S29" s="74" t="str">
        <f t="shared" si="3"/>
        <v/>
      </c>
      <c r="T29" s="74" t="str">
        <f t="shared" si="4"/>
        <v/>
      </c>
      <c r="U29" s="74" t="str">
        <f t="shared" si="5"/>
        <v/>
      </c>
    </row>
    <row r="30" spans="1:21" ht="15" customHeight="1" x14ac:dyDescent="0.2">
      <c r="A30" s="176"/>
      <c r="B30" s="177"/>
      <c r="C30" s="178"/>
      <c r="D30" s="178"/>
      <c r="E30" s="179"/>
      <c r="F30" s="178"/>
      <c r="G30" s="180" t="str">
        <f t="shared" si="0"/>
        <v/>
      </c>
      <c r="H30" s="181"/>
      <c r="I30" s="178"/>
      <c r="J30" s="179"/>
      <c r="K30" s="178"/>
      <c r="L30" s="180" t="str">
        <f t="shared" si="1"/>
        <v/>
      </c>
      <c r="M30" s="181"/>
      <c r="N30" s="178"/>
      <c r="O30" s="179"/>
      <c r="P30" s="178"/>
      <c r="Q30" s="180" t="str">
        <f t="shared" si="2"/>
        <v/>
      </c>
      <c r="R30" s="182"/>
      <c r="S30" s="74" t="str">
        <f t="shared" si="3"/>
        <v/>
      </c>
      <c r="T30" s="74" t="str">
        <f t="shared" si="4"/>
        <v/>
      </c>
      <c r="U30" s="74" t="str">
        <f t="shared" si="5"/>
        <v/>
      </c>
    </row>
    <row r="31" spans="1:21" ht="15" customHeight="1" x14ac:dyDescent="0.2">
      <c r="A31" s="176"/>
      <c r="B31" s="177"/>
      <c r="C31" s="178"/>
      <c r="D31" s="178"/>
      <c r="E31" s="179"/>
      <c r="F31" s="178"/>
      <c r="G31" s="180" t="str">
        <f t="shared" si="0"/>
        <v/>
      </c>
      <c r="H31" s="181"/>
      <c r="I31" s="178"/>
      <c r="J31" s="179"/>
      <c r="K31" s="178"/>
      <c r="L31" s="180" t="str">
        <f t="shared" si="1"/>
        <v/>
      </c>
      <c r="M31" s="181"/>
      <c r="N31" s="178"/>
      <c r="O31" s="179"/>
      <c r="P31" s="178"/>
      <c r="Q31" s="180" t="str">
        <f t="shared" si="2"/>
        <v/>
      </c>
      <c r="R31" s="182"/>
      <c r="S31" s="74" t="str">
        <f t="shared" si="3"/>
        <v/>
      </c>
      <c r="T31" s="74" t="str">
        <f t="shared" si="4"/>
        <v/>
      </c>
      <c r="U31" s="74" t="str">
        <f t="shared" si="5"/>
        <v/>
      </c>
    </row>
    <row r="32" spans="1:21" ht="15" customHeight="1" x14ac:dyDescent="0.2">
      <c r="A32" s="176"/>
      <c r="B32" s="177"/>
      <c r="C32" s="178"/>
      <c r="D32" s="178"/>
      <c r="E32" s="179"/>
      <c r="F32" s="178"/>
      <c r="G32" s="180" t="str">
        <f t="shared" si="0"/>
        <v/>
      </c>
      <c r="H32" s="181"/>
      <c r="I32" s="178"/>
      <c r="J32" s="179"/>
      <c r="K32" s="178"/>
      <c r="L32" s="180" t="str">
        <f t="shared" si="1"/>
        <v/>
      </c>
      <c r="M32" s="181"/>
      <c r="N32" s="178"/>
      <c r="O32" s="179"/>
      <c r="P32" s="178"/>
      <c r="Q32" s="180" t="str">
        <f t="shared" si="2"/>
        <v/>
      </c>
      <c r="R32" s="182"/>
      <c r="S32" s="74" t="str">
        <f t="shared" si="3"/>
        <v/>
      </c>
      <c r="T32" s="74" t="str">
        <f t="shared" si="4"/>
        <v/>
      </c>
      <c r="U32" s="74" t="str">
        <f t="shared" si="5"/>
        <v/>
      </c>
    </row>
    <row r="33" spans="1:21" ht="15" customHeight="1" x14ac:dyDescent="0.2">
      <c r="A33" s="176"/>
      <c r="B33" s="177"/>
      <c r="C33" s="178"/>
      <c r="D33" s="178"/>
      <c r="E33" s="179"/>
      <c r="F33" s="178"/>
      <c r="G33" s="180" t="str">
        <f t="shared" si="0"/>
        <v/>
      </c>
      <c r="H33" s="181"/>
      <c r="I33" s="178"/>
      <c r="J33" s="179"/>
      <c r="K33" s="178"/>
      <c r="L33" s="180" t="str">
        <f t="shared" si="1"/>
        <v/>
      </c>
      <c r="M33" s="181"/>
      <c r="N33" s="178"/>
      <c r="O33" s="179"/>
      <c r="P33" s="178"/>
      <c r="Q33" s="180" t="str">
        <f t="shared" si="2"/>
        <v/>
      </c>
      <c r="R33" s="182"/>
      <c r="S33" s="74" t="str">
        <f t="shared" si="3"/>
        <v/>
      </c>
      <c r="T33" s="74" t="str">
        <f t="shared" si="4"/>
        <v/>
      </c>
      <c r="U33" s="74" t="str">
        <f t="shared" si="5"/>
        <v/>
      </c>
    </row>
    <row r="34" spans="1:21" ht="15" customHeight="1" x14ac:dyDescent="0.2">
      <c r="A34" s="176"/>
      <c r="B34" s="177"/>
      <c r="C34" s="178"/>
      <c r="D34" s="178"/>
      <c r="E34" s="179"/>
      <c r="F34" s="178"/>
      <c r="G34" s="180" t="str">
        <f t="shared" si="0"/>
        <v/>
      </c>
      <c r="H34" s="181"/>
      <c r="I34" s="178"/>
      <c r="J34" s="179"/>
      <c r="K34" s="178"/>
      <c r="L34" s="180" t="str">
        <f t="shared" si="1"/>
        <v/>
      </c>
      <c r="M34" s="181"/>
      <c r="N34" s="178"/>
      <c r="O34" s="179"/>
      <c r="P34" s="178"/>
      <c r="Q34" s="180" t="str">
        <f t="shared" si="2"/>
        <v/>
      </c>
      <c r="R34" s="182"/>
      <c r="S34" s="74" t="str">
        <f t="shared" si="3"/>
        <v/>
      </c>
      <c r="T34" s="74" t="str">
        <f t="shared" si="4"/>
        <v/>
      </c>
      <c r="U34" s="74" t="str">
        <f t="shared" si="5"/>
        <v/>
      </c>
    </row>
    <row r="35" spans="1:21" ht="15" customHeight="1" x14ac:dyDescent="0.2">
      <c r="A35" s="176"/>
      <c r="B35" s="177"/>
      <c r="C35" s="178"/>
      <c r="D35" s="178"/>
      <c r="E35" s="179"/>
      <c r="F35" s="178"/>
      <c r="G35" s="180" t="str">
        <f t="shared" si="0"/>
        <v/>
      </c>
      <c r="H35" s="181"/>
      <c r="I35" s="178"/>
      <c r="J35" s="179"/>
      <c r="K35" s="178"/>
      <c r="L35" s="180" t="str">
        <f t="shared" si="1"/>
        <v/>
      </c>
      <c r="M35" s="181"/>
      <c r="N35" s="178"/>
      <c r="O35" s="179"/>
      <c r="P35" s="178"/>
      <c r="Q35" s="180" t="str">
        <f t="shared" si="2"/>
        <v/>
      </c>
      <c r="R35" s="182"/>
      <c r="S35" s="74" t="str">
        <f t="shared" si="3"/>
        <v/>
      </c>
      <c r="T35" s="74" t="str">
        <f t="shared" si="4"/>
        <v/>
      </c>
      <c r="U35" s="74" t="str">
        <f t="shared" si="5"/>
        <v/>
      </c>
    </row>
    <row r="36" spans="1:21" ht="15" customHeight="1" x14ac:dyDescent="0.2">
      <c r="A36" s="176"/>
      <c r="B36" s="177"/>
      <c r="C36" s="178"/>
      <c r="D36" s="178"/>
      <c r="E36" s="179"/>
      <c r="F36" s="178"/>
      <c r="G36" s="180" t="str">
        <f t="shared" ref="G36:G67" si="6">IF(OR(C36="",D36="",E36="",F36=""),"",IFERROR(((D36*E36+F36)/C36)^(1/5)-1,"n/a"))</f>
        <v/>
      </c>
      <c r="H36" s="181"/>
      <c r="I36" s="178"/>
      <c r="J36" s="179"/>
      <c r="K36" s="178"/>
      <c r="L36" s="180" t="str">
        <f t="shared" ref="L36:L67" si="7">IF(OR(C36="",I36="",J36="",K36=""),"",IFERROR(((I36*J36+K36)/C36)^(1/5)-1,"n/a"))</f>
        <v/>
      </c>
      <c r="M36" s="181"/>
      <c r="N36" s="178"/>
      <c r="O36" s="179"/>
      <c r="P36" s="178"/>
      <c r="Q36" s="180" t="str">
        <f t="shared" ref="Q36:Q67" si="8">IF(OR(C36="",N36="",O36="",P36=""),"",IFERROR(((N36*O36+P36)/C36)^(1/5)-1,"n/a"))</f>
        <v/>
      </c>
      <c r="R36" s="182"/>
      <c r="S36" s="74" t="str">
        <f t="shared" ref="S36:S52" si="9">IF(G36="","",IF(G36&gt;0.1,"PASS","FAIL"))</f>
        <v/>
      </c>
      <c r="T36" s="74" t="str">
        <f t="shared" ref="T36:T52" si="10">IF(L36="","",IF(L36&gt;=0,"PASS","FAIL"))</f>
        <v/>
      </c>
      <c r="U36" s="74" t="str">
        <f t="shared" ref="U36:U52" si="11">IF(COUNTA(H36,M36,R36)=0,"",IF((COUNTIF(H36,"Likely")+COUNTIF(M36,"Likely")+COUNTIF(R36,"Likely"))=1,"OK","CHECK TAGS"))</f>
        <v/>
      </c>
    </row>
    <row r="37" spans="1:21" ht="15" customHeight="1" x14ac:dyDescent="0.2">
      <c r="A37" s="176"/>
      <c r="B37" s="177"/>
      <c r="C37" s="178"/>
      <c r="D37" s="178"/>
      <c r="E37" s="179"/>
      <c r="F37" s="178"/>
      <c r="G37" s="180" t="str">
        <f t="shared" si="6"/>
        <v/>
      </c>
      <c r="H37" s="181"/>
      <c r="I37" s="178"/>
      <c r="J37" s="179"/>
      <c r="K37" s="178"/>
      <c r="L37" s="180" t="str">
        <f t="shared" si="7"/>
        <v/>
      </c>
      <c r="M37" s="181"/>
      <c r="N37" s="178"/>
      <c r="O37" s="179"/>
      <c r="P37" s="178"/>
      <c r="Q37" s="180" t="str">
        <f t="shared" si="8"/>
        <v/>
      </c>
      <c r="R37" s="182"/>
      <c r="S37" s="74" t="str">
        <f t="shared" si="9"/>
        <v/>
      </c>
      <c r="T37" s="74" t="str">
        <f t="shared" si="10"/>
        <v/>
      </c>
      <c r="U37" s="74" t="str">
        <f t="shared" si="11"/>
        <v/>
      </c>
    </row>
    <row r="38" spans="1:21" ht="15" customHeight="1" x14ac:dyDescent="0.2">
      <c r="A38" s="176"/>
      <c r="B38" s="177"/>
      <c r="C38" s="178"/>
      <c r="D38" s="178"/>
      <c r="E38" s="179"/>
      <c r="F38" s="178"/>
      <c r="G38" s="180" t="str">
        <f t="shared" si="6"/>
        <v/>
      </c>
      <c r="H38" s="181"/>
      <c r="I38" s="178"/>
      <c r="J38" s="179"/>
      <c r="K38" s="178"/>
      <c r="L38" s="180" t="str">
        <f t="shared" si="7"/>
        <v/>
      </c>
      <c r="M38" s="181"/>
      <c r="N38" s="178"/>
      <c r="O38" s="179"/>
      <c r="P38" s="178"/>
      <c r="Q38" s="180" t="str">
        <f t="shared" si="8"/>
        <v/>
      </c>
      <c r="R38" s="182"/>
      <c r="S38" s="74" t="str">
        <f t="shared" si="9"/>
        <v/>
      </c>
      <c r="T38" s="74" t="str">
        <f t="shared" si="10"/>
        <v/>
      </c>
      <c r="U38" s="74" t="str">
        <f t="shared" si="11"/>
        <v/>
      </c>
    </row>
    <row r="39" spans="1:21" ht="15" customHeight="1" x14ac:dyDescent="0.2">
      <c r="A39" s="176"/>
      <c r="B39" s="177"/>
      <c r="C39" s="178"/>
      <c r="D39" s="178"/>
      <c r="E39" s="179"/>
      <c r="F39" s="178"/>
      <c r="G39" s="180" t="str">
        <f t="shared" si="6"/>
        <v/>
      </c>
      <c r="H39" s="181"/>
      <c r="I39" s="178"/>
      <c r="J39" s="179"/>
      <c r="K39" s="178"/>
      <c r="L39" s="180" t="str">
        <f t="shared" si="7"/>
        <v/>
      </c>
      <c r="M39" s="181"/>
      <c r="N39" s="178"/>
      <c r="O39" s="179"/>
      <c r="P39" s="178"/>
      <c r="Q39" s="180" t="str">
        <f t="shared" si="8"/>
        <v/>
      </c>
      <c r="R39" s="182"/>
      <c r="S39" s="74" t="str">
        <f t="shared" si="9"/>
        <v/>
      </c>
      <c r="T39" s="74" t="str">
        <f t="shared" si="10"/>
        <v/>
      </c>
      <c r="U39" s="74" t="str">
        <f t="shared" si="11"/>
        <v/>
      </c>
    </row>
    <row r="40" spans="1:21" ht="15" customHeight="1" x14ac:dyDescent="0.2">
      <c r="A40" s="176"/>
      <c r="B40" s="177"/>
      <c r="C40" s="178"/>
      <c r="D40" s="178"/>
      <c r="E40" s="179"/>
      <c r="F40" s="178"/>
      <c r="G40" s="180" t="str">
        <f t="shared" si="6"/>
        <v/>
      </c>
      <c r="H40" s="181"/>
      <c r="I40" s="178"/>
      <c r="J40" s="179"/>
      <c r="K40" s="178"/>
      <c r="L40" s="180" t="str">
        <f t="shared" si="7"/>
        <v/>
      </c>
      <c r="M40" s="181"/>
      <c r="N40" s="178"/>
      <c r="O40" s="179"/>
      <c r="P40" s="178"/>
      <c r="Q40" s="180" t="str">
        <f t="shared" si="8"/>
        <v/>
      </c>
      <c r="R40" s="182"/>
      <c r="S40" s="74" t="str">
        <f t="shared" si="9"/>
        <v/>
      </c>
      <c r="T40" s="74" t="str">
        <f t="shared" si="10"/>
        <v/>
      </c>
      <c r="U40" s="74" t="str">
        <f t="shared" si="11"/>
        <v/>
      </c>
    </row>
    <row r="41" spans="1:21" ht="15" customHeight="1" x14ac:dyDescent="0.2">
      <c r="A41" s="176"/>
      <c r="B41" s="177"/>
      <c r="C41" s="178"/>
      <c r="D41" s="178"/>
      <c r="E41" s="179"/>
      <c r="F41" s="178"/>
      <c r="G41" s="180" t="str">
        <f t="shared" si="6"/>
        <v/>
      </c>
      <c r="H41" s="181"/>
      <c r="I41" s="178"/>
      <c r="J41" s="179"/>
      <c r="K41" s="178"/>
      <c r="L41" s="180" t="str">
        <f t="shared" si="7"/>
        <v/>
      </c>
      <c r="M41" s="181"/>
      <c r="N41" s="178"/>
      <c r="O41" s="179"/>
      <c r="P41" s="178"/>
      <c r="Q41" s="180" t="str">
        <f t="shared" si="8"/>
        <v/>
      </c>
      <c r="R41" s="182"/>
      <c r="S41" s="74" t="str">
        <f t="shared" si="9"/>
        <v/>
      </c>
      <c r="T41" s="74" t="str">
        <f t="shared" si="10"/>
        <v/>
      </c>
      <c r="U41" s="74" t="str">
        <f t="shared" si="11"/>
        <v/>
      </c>
    </row>
    <row r="42" spans="1:21" ht="15" customHeight="1" x14ac:dyDescent="0.2">
      <c r="A42" s="176"/>
      <c r="B42" s="177"/>
      <c r="C42" s="178"/>
      <c r="D42" s="178"/>
      <c r="E42" s="179"/>
      <c r="F42" s="178"/>
      <c r="G42" s="180" t="str">
        <f t="shared" si="6"/>
        <v/>
      </c>
      <c r="H42" s="181"/>
      <c r="I42" s="178"/>
      <c r="J42" s="179"/>
      <c r="K42" s="178"/>
      <c r="L42" s="180" t="str">
        <f t="shared" si="7"/>
        <v/>
      </c>
      <c r="M42" s="181"/>
      <c r="N42" s="178"/>
      <c r="O42" s="179"/>
      <c r="P42" s="178"/>
      <c r="Q42" s="180" t="str">
        <f t="shared" si="8"/>
        <v/>
      </c>
      <c r="R42" s="182"/>
      <c r="S42" s="74" t="str">
        <f t="shared" si="9"/>
        <v/>
      </c>
      <c r="T42" s="74" t="str">
        <f t="shared" si="10"/>
        <v/>
      </c>
      <c r="U42" s="74" t="str">
        <f t="shared" si="11"/>
        <v/>
      </c>
    </row>
    <row r="43" spans="1:21" ht="15" customHeight="1" x14ac:dyDescent="0.2">
      <c r="A43" s="176"/>
      <c r="B43" s="177"/>
      <c r="C43" s="178"/>
      <c r="D43" s="178"/>
      <c r="E43" s="179"/>
      <c r="F43" s="178"/>
      <c r="G43" s="180" t="str">
        <f t="shared" si="6"/>
        <v/>
      </c>
      <c r="H43" s="181"/>
      <c r="I43" s="178"/>
      <c r="J43" s="179"/>
      <c r="K43" s="178"/>
      <c r="L43" s="180" t="str">
        <f t="shared" si="7"/>
        <v/>
      </c>
      <c r="M43" s="181"/>
      <c r="N43" s="178"/>
      <c r="O43" s="179"/>
      <c r="P43" s="178"/>
      <c r="Q43" s="180" t="str">
        <f t="shared" si="8"/>
        <v/>
      </c>
      <c r="R43" s="182"/>
      <c r="S43" s="74" t="str">
        <f t="shared" si="9"/>
        <v/>
      </c>
      <c r="T43" s="74" t="str">
        <f t="shared" si="10"/>
        <v/>
      </c>
      <c r="U43" s="74" t="str">
        <f t="shared" si="11"/>
        <v/>
      </c>
    </row>
    <row r="44" spans="1:21" ht="15" customHeight="1" x14ac:dyDescent="0.2">
      <c r="A44" s="64" t="s">
        <v>143</v>
      </c>
      <c r="B44" s="72" t="s">
        <v>144</v>
      </c>
      <c r="C44" s="69">
        <v>314.70999999999998</v>
      </c>
      <c r="D44" s="69">
        <v>14.8</v>
      </c>
      <c r="E44" s="175">
        <v>36</v>
      </c>
      <c r="F44" s="69">
        <v>11.91</v>
      </c>
      <c r="G44" s="70">
        <f t="shared" si="6"/>
        <v>0.11596599450147616</v>
      </c>
      <c r="H44" s="65" t="s">
        <v>514</v>
      </c>
      <c r="I44" s="69">
        <v>10.78</v>
      </c>
      <c r="J44" s="175">
        <v>29.2</v>
      </c>
      <c r="K44" s="69">
        <v>9.4</v>
      </c>
      <c r="L44" s="70">
        <f t="shared" si="7"/>
        <v>5.9445990805906401E-3</v>
      </c>
      <c r="M44" s="65" t="s">
        <v>513</v>
      </c>
      <c r="N44" s="69">
        <v>17.59</v>
      </c>
      <c r="O44" s="175">
        <v>40.9</v>
      </c>
      <c r="P44" s="69">
        <v>13.38</v>
      </c>
      <c r="Q44" s="70">
        <f t="shared" si="8"/>
        <v>0.18417608857332812</v>
      </c>
      <c r="R44" s="65" t="s">
        <v>513</v>
      </c>
      <c r="S44" s="74" t="str">
        <f t="shared" si="9"/>
        <v>PASS</v>
      </c>
      <c r="T44" s="74" t="str">
        <f t="shared" si="10"/>
        <v>PASS</v>
      </c>
      <c r="U44" s="74" t="str">
        <f t="shared" si="11"/>
        <v>OK</v>
      </c>
    </row>
    <row r="45" spans="1:21" ht="15" customHeight="1" x14ac:dyDescent="0.2">
      <c r="A45" s="176"/>
      <c r="B45" s="177"/>
      <c r="C45" s="178"/>
      <c r="D45" s="178"/>
      <c r="E45" s="179"/>
      <c r="F45" s="178"/>
      <c r="G45" s="180" t="str">
        <f t="shared" si="6"/>
        <v/>
      </c>
      <c r="H45" s="181"/>
      <c r="I45" s="178"/>
      <c r="J45" s="179"/>
      <c r="K45" s="178"/>
      <c r="L45" s="180" t="str">
        <f t="shared" si="7"/>
        <v/>
      </c>
      <c r="M45" s="181"/>
      <c r="N45" s="178"/>
      <c r="O45" s="179"/>
      <c r="P45" s="178"/>
      <c r="Q45" s="180" t="str">
        <f t="shared" si="8"/>
        <v/>
      </c>
      <c r="R45" s="182"/>
      <c r="S45" s="74" t="str">
        <f t="shared" si="9"/>
        <v/>
      </c>
      <c r="T45" s="74" t="str">
        <f t="shared" si="10"/>
        <v/>
      </c>
      <c r="U45" s="74" t="str">
        <f t="shared" si="11"/>
        <v/>
      </c>
    </row>
    <row r="46" spans="1:21" ht="15" customHeight="1" x14ac:dyDescent="0.2">
      <c r="A46" s="176"/>
      <c r="B46" s="177"/>
      <c r="C46" s="178"/>
      <c r="D46" s="178"/>
      <c r="E46" s="179"/>
      <c r="F46" s="178"/>
      <c r="G46" s="180" t="str">
        <f t="shared" si="6"/>
        <v/>
      </c>
      <c r="H46" s="181"/>
      <c r="I46" s="178"/>
      <c r="J46" s="179"/>
      <c r="K46" s="178"/>
      <c r="L46" s="180" t="str">
        <f t="shared" si="7"/>
        <v/>
      </c>
      <c r="M46" s="181"/>
      <c r="N46" s="178"/>
      <c r="O46" s="179"/>
      <c r="P46" s="178"/>
      <c r="Q46" s="180" t="str">
        <f t="shared" si="8"/>
        <v/>
      </c>
      <c r="R46" s="182"/>
      <c r="S46" s="74" t="str">
        <f t="shared" si="9"/>
        <v/>
      </c>
      <c r="T46" s="74" t="str">
        <f t="shared" si="10"/>
        <v/>
      </c>
      <c r="U46" s="74" t="str">
        <f t="shared" si="11"/>
        <v/>
      </c>
    </row>
    <row r="47" spans="1:21" ht="15" customHeight="1" x14ac:dyDescent="0.2">
      <c r="A47" s="176"/>
      <c r="B47" s="177"/>
      <c r="C47" s="178"/>
      <c r="D47" s="178"/>
      <c r="E47" s="179"/>
      <c r="F47" s="178"/>
      <c r="G47" s="180" t="str">
        <f t="shared" si="6"/>
        <v/>
      </c>
      <c r="H47" s="181"/>
      <c r="I47" s="178"/>
      <c r="J47" s="179"/>
      <c r="K47" s="178"/>
      <c r="L47" s="180" t="str">
        <f t="shared" si="7"/>
        <v/>
      </c>
      <c r="M47" s="181"/>
      <c r="N47" s="178"/>
      <c r="O47" s="179"/>
      <c r="P47" s="178"/>
      <c r="Q47" s="180" t="str">
        <f t="shared" si="8"/>
        <v/>
      </c>
      <c r="R47" s="182"/>
      <c r="S47" s="74" t="str">
        <f t="shared" si="9"/>
        <v/>
      </c>
      <c r="T47" s="74" t="str">
        <f t="shared" si="10"/>
        <v/>
      </c>
      <c r="U47" s="74" t="str">
        <f t="shared" si="11"/>
        <v/>
      </c>
    </row>
    <row r="48" spans="1:21" ht="15" customHeight="1" x14ac:dyDescent="0.2">
      <c r="A48" s="64" t="s">
        <v>146</v>
      </c>
      <c r="B48" s="72" t="s">
        <v>147</v>
      </c>
      <c r="C48" s="69">
        <v>69.795000000000002</v>
      </c>
      <c r="D48" s="69">
        <v>3.71</v>
      </c>
      <c r="E48" s="175">
        <v>37.799999999999997</v>
      </c>
      <c r="F48" s="69">
        <v>0</v>
      </c>
      <c r="G48" s="70">
        <f t="shared" si="6"/>
        <v>0.14976286993448307</v>
      </c>
      <c r="H48" s="65" t="s">
        <v>514</v>
      </c>
      <c r="I48" s="69">
        <v>2.65</v>
      </c>
      <c r="J48" s="175">
        <v>30.6</v>
      </c>
      <c r="K48" s="69">
        <v>0</v>
      </c>
      <c r="L48" s="70">
        <f t="shared" si="7"/>
        <v>3.0453972354247405E-2</v>
      </c>
      <c r="M48" s="65" t="s">
        <v>513</v>
      </c>
      <c r="N48" s="69">
        <v>4.4000000000000004</v>
      </c>
      <c r="O48" s="175">
        <v>41.6</v>
      </c>
      <c r="P48" s="69">
        <v>0</v>
      </c>
      <c r="Q48" s="70">
        <f t="shared" si="8"/>
        <v>0.21267476175</v>
      </c>
      <c r="R48" s="65" t="s">
        <v>513</v>
      </c>
      <c r="S48" s="74" t="str">
        <f t="shared" si="9"/>
        <v>PASS</v>
      </c>
      <c r="T48" s="74" t="str">
        <f t="shared" si="10"/>
        <v>PASS</v>
      </c>
      <c r="U48" s="74" t="str">
        <f t="shared" si="11"/>
        <v>OK</v>
      </c>
    </row>
    <row r="49" spans="1:21" ht="15" customHeight="1" x14ac:dyDescent="0.2">
      <c r="A49" s="176"/>
      <c r="B49" s="177"/>
      <c r="C49" s="178"/>
      <c r="D49" s="178"/>
      <c r="E49" s="179"/>
      <c r="F49" s="178"/>
      <c r="G49" s="180" t="str">
        <f t="shared" si="6"/>
        <v/>
      </c>
      <c r="H49" s="181"/>
      <c r="I49" s="178"/>
      <c r="J49" s="179"/>
      <c r="K49" s="178"/>
      <c r="L49" s="180" t="str">
        <f t="shared" si="7"/>
        <v/>
      </c>
      <c r="M49" s="181"/>
      <c r="N49" s="178"/>
      <c r="O49" s="179"/>
      <c r="P49" s="178"/>
      <c r="Q49" s="180" t="str">
        <f t="shared" si="8"/>
        <v/>
      </c>
      <c r="R49" s="182"/>
      <c r="S49" s="74" t="str">
        <f t="shared" si="9"/>
        <v/>
      </c>
      <c r="T49" s="74" t="str">
        <f t="shared" si="10"/>
        <v/>
      </c>
      <c r="U49" s="74" t="str">
        <f t="shared" si="11"/>
        <v/>
      </c>
    </row>
    <row r="50" spans="1:21" ht="15" customHeight="1" x14ac:dyDescent="0.2">
      <c r="A50" s="176"/>
      <c r="B50" s="177"/>
      <c r="C50" s="178"/>
      <c r="D50" s="178"/>
      <c r="E50" s="179"/>
      <c r="F50" s="178"/>
      <c r="G50" s="180" t="str">
        <f t="shared" si="6"/>
        <v/>
      </c>
      <c r="H50" s="181"/>
      <c r="I50" s="178"/>
      <c r="J50" s="179"/>
      <c r="K50" s="178"/>
      <c r="L50" s="180" t="str">
        <f t="shared" si="7"/>
        <v/>
      </c>
      <c r="M50" s="181"/>
      <c r="N50" s="178"/>
      <c r="O50" s="179"/>
      <c r="P50" s="178"/>
      <c r="Q50" s="180" t="str">
        <f t="shared" si="8"/>
        <v/>
      </c>
      <c r="R50" s="182"/>
      <c r="S50" s="74" t="str">
        <f t="shared" si="9"/>
        <v/>
      </c>
      <c r="T50" s="74" t="str">
        <f t="shared" si="10"/>
        <v/>
      </c>
      <c r="U50" s="74" t="str">
        <f t="shared" si="11"/>
        <v/>
      </c>
    </row>
    <row r="51" spans="1:21" ht="15" customHeight="1" x14ac:dyDescent="0.2">
      <c r="A51" s="64" t="s">
        <v>289</v>
      </c>
      <c r="B51" s="72" t="s">
        <v>422</v>
      </c>
      <c r="C51" s="69">
        <v>50.16</v>
      </c>
      <c r="D51" s="69">
        <v>3.63</v>
      </c>
      <c r="E51" s="175">
        <v>16.8</v>
      </c>
      <c r="F51" s="69">
        <v>6.65</v>
      </c>
      <c r="G51" s="70">
        <f t="shared" si="6"/>
        <v>6.1601464729503785E-2</v>
      </c>
      <c r="H51" s="65" t="s">
        <v>514</v>
      </c>
      <c r="I51" s="69">
        <v>1.82</v>
      </c>
      <c r="J51" s="175">
        <v>13.6</v>
      </c>
      <c r="K51" s="69">
        <v>5.9</v>
      </c>
      <c r="L51" s="70">
        <f t="shared" si="7"/>
        <v>-9.3807929119436473E-2</v>
      </c>
      <c r="M51" s="65" t="s">
        <v>513</v>
      </c>
      <c r="N51" s="69">
        <v>5</v>
      </c>
      <c r="O51" s="175">
        <v>17.7</v>
      </c>
      <c r="P51" s="69">
        <v>7.05</v>
      </c>
      <c r="Q51" s="70">
        <f t="shared" si="8"/>
        <v>0.13756083857279244</v>
      </c>
      <c r="R51" s="65" t="s">
        <v>513</v>
      </c>
      <c r="S51" s="74" t="str">
        <f t="shared" si="9"/>
        <v>FAIL</v>
      </c>
      <c r="T51" s="74" t="str">
        <f t="shared" si="10"/>
        <v>FAIL</v>
      </c>
      <c r="U51" s="74" t="str">
        <f t="shared" si="11"/>
        <v>OK</v>
      </c>
    </row>
    <row r="52" spans="1:21" ht="15" customHeight="1" x14ac:dyDescent="0.2">
      <c r="A52" s="64" t="s">
        <v>149</v>
      </c>
      <c r="B52" s="72" t="s">
        <v>423</v>
      </c>
      <c r="C52" s="69">
        <v>285.64999999999998</v>
      </c>
      <c r="D52" s="69">
        <v>12.73</v>
      </c>
      <c r="E52" s="175">
        <v>40.4</v>
      </c>
      <c r="F52" s="69">
        <v>0</v>
      </c>
      <c r="G52" s="70">
        <f t="shared" si="6"/>
        <v>0.12479948304083099</v>
      </c>
      <c r="H52" s="65" t="s">
        <v>514</v>
      </c>
      <c r="I52" s="69">
        <v>9.57</v>
      </c>
      <c r="J52" s="175">
        <v>32.700000000000003</v>
      </c>
      <c r="K52" s="69">
        <v>0</v>
      </c>
      <c r="L52" s="70">
        <f t="shared" si="7"/>
        <v>1.8415715437078983E-2</v>
      </c>
      <c r="M52" s="65" t="s">
        <v>513</v>
      </c>
      <c r="N52" s="69">
        <v>15.16</v>
      </c>
      <c r="O52" s="175">
        <v>44.5</v>
      </c>
      <c r="P52" s="69">
        <v>0</v>
      </c>
      <c r="Q52" s="70">
        <f t="shared" si="8"/>
        <v>0.18753111280845469</v>
      </c>
      <c r="R52" s="65" t="s">
        <v>513</v>
      </c>
      <c r="S52" s="74" t="str">
        <f t="shared" si="9"/>
        <v>PASS</v>
      </c>
      <c r="T52" s="74" t="str">
        <f t="shared" si="10"/>
        <v>PASS</v>
      </c>
      <c r="U52" s="74" t="str">
        <f t="shared" si="11"/>
        <v>OK</v>
      </c>
    </row>
  </sheetData>
  <mergeCells count="4">
    <mergeCell ref="D2:H2"/>
    <mergeCell ref="I2:M2"/>
    <mergeCell ref="N2:R2"/>
    <mergeCell ref="S2:U2"/>
  </mergeCells>
  <conditionalFormatting sqref="S4:T52">
    <cfRule type="cellIs" dxfId="51" priority="2" operator="equal">
      <formula>"PASS"</formula>
    </cfRule>
    <cfRule type="cellIs" dxfId="50" priority="3" operator="equal">
      <formula>"FAIL"</formula>
    </cfRule>
  </conditionalFormatting>
  <conditionalFormatting sqref="U4:U52">
    <cfRule type="cellIs" dxfId="49" priority="4" operator="equal">
      <formula>"OK"</formula>
    </cfRule>
    <cfRule type="cellIs" dxfId="48" priority="5" operator="equal">
      <formula>"CHECK TAGS"</formula>
    </cfRule>
  </conditionalFormatting>
  <dataValidations count="1">
    <dataValidation type="list" allowBlank="1" sqref="H4:H52 M4:M52 R4:R52" xr:uid="{00000000-0002-0000-0D00-000000000000}">
      <formula1>"Likely,Possible,Unlikely"</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activeCell="E15" sqref="E15"/>
    </sheetView>
  </sheetViews>
  <sheetFormatPr baseColWidth="10" defaultColWidth="8.6640625" defaultRowHeight="15" x14ac:dyDescent="0.2"/>
  <cols>
    <col min="1" max="1" width="8" customWidth="1"/>
    <col min="2" max="2" width="14" customWidth="1"/>
    <col min="3" max="25" width="9" customWidth="1"/>
    <col min="26" max="26" width="8" customWidth="1"/>
    <col min="27" max="27" width="9" customWidth="1"/>
    <col min="28" max="28" width="20" customWidth="1"/>
  </cols>
  <sheetData>
    <row r="1" spans="1:28" ht="30" customHeight="1" x14ac:dyDescent="0.2">
      <c r="A1" s="245" t="s">
        <v>515</v>
      </c>
      <c r="B1" s="245"/>
      <c r="C1" s="245"/>
      <c r="D1" s="245"/>
      <c r="E1" s="245"/>
      <c r="F1" s="245"/>
      <c r="G1" s="245"/>
      <c r="H1" s="245"/>
      <c r="I1" s="245"/>
      <c r="J1" s="245"/>
      <c r="K1" s="245"/>
      <c r="L1" s="245"/>
      <c r="M1" s="245"/>
      <c r="N1" s="245"/>
      <c r="O1" s="245"/>
      <c r="P1" s="245"/>
      <c r="Q1" s="245"/>
      <c r="R1" s="245"/>
      <c r="S1" s="245"/>
      <c r="T1" s="245"/>
      <c r="U1" s="58"/>
      <c r="V1" s="58"/>
    </row>
    <row r="2" spans="1:28" ht="25.5" customHeight="1" x14ac:dyDescent="0.2">
      <c r="E2" s="235" t="s">
        <v>516</v>
      </c>
      <c r="F2" s="235"/>
      <c r="G2" s="235"/>
      <c r="H2" s="235"/>
      <c r="I2" s="235"/>
      <c r="J2" s="235"/>
      <c r="K2" s="235"/>
      <c r="L2" s="235"/>
      <c r="M2" s="235"/>
      <c r="N2" s="235"/>
      <c r="O2" s="235"/>
      <c r="P2" s="235"/>
      <c r="Q2" s="235"/>
      <c r="R2" s="235"/>
      <c r="S2" s="235"/>
      <c r="T2" s="246" t="s">
        <v>517</v>
      </c>
      <c r="U2" s="246"/>
      <c r="V2" s="246"/>
      <c r="W2" s="246"/>
      <c r="X2" s="246"/>
      <c r="Y2" s="246"/>
      <c r="Z2" s="246"/>
    </row>
    <row r="3" spans="1:28" ht="54" customHeight="1" x14ac:dyDescent="0.2">
      <c r="A3" s="116" t="s">
        <v>82</v>
      </c>
      <c r="B3" s="116" t="s">
        <v>296</v>
      </c>
      <c r="C3" s="116" t="s">
        <v>518</v>
      </c>
      <c r="D3" s="116" t="s">
        <v>519</v>
      </c>
      <c r="E3" s="116" t="s">
        <v>520</v>
      </c>
      <c r="F3" s="116" t="s">
        <v>521</v>
      </c>
      <c r="G3" s="116" t="s">
        <v>522</v>
      </c>
      <c r="H3" s="116" t="s">
        <v>523</v>
      </c>
      <c r="I3" s="116" t="s">
        <v>524</v>
      </c>
      <c r="J3" s="116" t="s">
        <v>522</v>
      </c>
      <c r="K3" s="116" t="s">
        <v>525</v>
      </c>
      <c r="L3" s="116" t="s">
        <v>526</v>
      </c>
      <c r="M3" s="116" t="s">
        <v>522</v>
      </c>
      <c r="N3" s="116" t="s">
        <v>527</v>
      </c>
      <c r="O3" s="116" t="s">
        <v>528</v>
      </c>
      <c r="P3" s="116" t="s">
        <v>522</v>
      </c>
      <c r="Q3" s="116" t="s">
        <v>529</v>
      </c>
      <c r="R3" s="116" t="s">
        <v>530</v>
      </c>
      <c r="S3" s="116" t="s">
        <v>522</v>
      </c>
      <c r="T3" s="116" t="s">
        <v>531</v>
      </c>
      <c r="U3" s="116" t="s">
        <v>532</v>
      </c>
      <c r="V3" s="116" t="s">
        <v>533</v>
      </c>
      <c r="W3" s="116" t="s">
        <v>534</v>
      </c>
      <c r="X3" s="116" t="s">
        <v>535</v>
      </c>
      <c r="Y3" s="116" t="s">
        <v>536</v>
      </c>
      <c r="Z3" s="116" t="s">
        <v>537</v>
      </c>
      <c r="AA3" s="116" t="s">
        <v>538</v>
      </c>
      <c r="AB3" s="116" t="s">
        <v>496</v>
      </c>
    </row>
    <row r="4" spans="1:28" ht="15" customHeight="1" x14ac:dyDescent="0.2">
      <c r="A4" s="183"/>
      <c r="B4" s="126"/>
      <c r="C4" s="184"/>
      <c r="D4" s="184"/>
      <c r="E4" s="126"/>
      <c r="F4" s="126"/>
      <c r="G4" s="185" t="str">
        <f t="shared" ref="G4:G23" si="0">IF(OR(E4="",F4=""),"",IF(AND(E4&lt;=2,F4&lt;=2),"TRIGGER","OK"))</f>
        <v/>
      </c>
      <c r="H4" s="126"/>
      <c r="I4" s="126"/>
      <c r="J4" s="185" t="str">
        <f t="shared" ref="J4:J23" si="1">IF(OR(H4="",I4=""),"",IF(AND(H4&lt;=2,I4&lt;=2),"TRIGGER","OK"))</f>
        <v/>
      </c>
      <c r="K4" s="126"/>
      <c r="L4" s="126"/>
      <c r="M4" s="185" t="str">
        <f t="shared" ref="M4:M23" si="2">IF(OR(K4="",L4=""),"",IF(AND(K4&lt;=2,L4&lt;=2),"TRIGGER","OK"))</f>
        <v/>
      </c>
      <c r="N4" s="126"/>
      <c r="O4" s="126"/>
      <c r="P4" s="185" t="str">
        <f t="shared" ref="P4:P23" si="3">IF(OR(N4="",O4=""),"",IF(AND(N4&lt;=2,O4&lt;=2),"TRIGGER","OK"))</f>
        <v/>
      </c>
      <c r="Q4" s="126"/>
      <c r="R4" s="126"/>
      <c r="S4" s="185" t="str">
        <f t="shared" ref="S4:S23" si="4">IF(OR(Q4="",R4=""),"",IF(AND(Q4&lt;=2,R4&lt;=2),"TRIGGER","OK"))</f>
        <v/>
      </c>
      <c r="T4" s="186"/>
      <c r="U4" s="186"/>
      <c r="V4" s="184"/>
      <c r="W4" s="184"/>
      <c r="X4" s="126"/>
      <c r="Y4" s="126"/>
      <c r="Z4" s="185"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6"/>
      <c r="AB4" s="131"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183"/>
      <c r="B5" s="126"/>
      <c r="C5" s="184"/>
      <c r="D5" s="184"/>
      <c r="E5" s="126"/>
      <c r="F5" s="126"/>
      <c r="G5" s="185" t="str">
        <f t="shared" si="0"/>
        <v/>
      </c>
      <c r="H5" s="126"/>
      <c r="I5" s="126"/>
      <c r="J5" s="185" t="str">
        <f t="shared" si="1"/>
        <v/>
      </c>
      <c r="K5" s="126"/>
      <c r="L5" s="126"/>
      <c r="M5" s="185" t="str">
        <f t="shared" si="2"/>
        <v/>
      </c>
      <c r="N5" s="126"/>
      <c r="O5" s="126"/>
      <c r="P5" s="185" t="str">
        <f t="shared" si="3"/>
        <v/>
      </c>
      <c r="Q5" s="126"/>
      <c r="R5" s="126"/>
      <c r="S5" s="185" t="str">
        <f t="shared" si="4"/>
        <v/>
      </c>
      <c r="T5" s="186"/>
      <c r="U5" s="186"/>
      <c r="V5" s="184"/>
      <c r="W5" s="184"/>
      <c r="X5" s="126"/>
      <c r="Y5" s="126"/>
      <c r="Z5" s="185" t="str">
        <f t="shared" si="5"/>
        <v>OK</v>
      </c>
      <c r="AA5" s="126"/>
      <c r="AB5" s="131" t="str">
        <f t="shared" si="6"/>
        <v>OK — no active trigger</v>
      </c>
    </row>
    <row r="6" spans="1:28" ht="15" customHeight="1" x14ac:dyDescent="0.2">
      <c r="A6" s="183"/>
      <c r="B6" s="126"/>
      <c r="C6" s="184"/>
      <c r="D6" s="184"/>
      <c r="E6" s="126"/>
      <c r="F6" s="126"/>
      <c r="G6" s="185" t="str">
        <f t="shared" si="0"/>
        <v/>
      </c>
      <c r="H6" s="126"/>
      <c r="I6" s="126"/>
      <c r="J6" s="185" t="str">
        <f t="shared" si="1"/>
        <v/>
      </c>
      <c r="K6" s="126"/>
      <c r="L6" s="126"/>
      <c r="M6" s="185" t="str">
        <f t="shared" si="2"/>
        <v/>
      </c>
      <c r="N6" s="126"/>
      <c r="O6" s="126"/>
      <c r="P6" s="185" t="str">
        <f t="shared" si="3"/>
        <v/>
      </c>
      <c r="Q6" s="126"/>
      <c r="R6" s="126"/>
      <c r="S6" s="185" t="str">
        <f t="shared" si="4"/>
        <v/>
      </c>
      <c r="T6" s="186"/>
      <c r="U6" s="186"/>
      <c r="V6" s="184"/>
      <c r="W6" s="184"/>
      <c r="X6" s="126"/>
      <c r="Y6" s="126"/>
      <c r="Z6" s="185" t="str">
        <f t="shared" si="5"/>
        <v>OK</v>
      </c>
      <c r="AA6" s="126"/>
      <c r="AB6" s="131" t="str">
        <f t="shared" si="6"/>
        <v>OK — no active trigger</v>
      </c>
    </row>
    <row r="7" spans="1:28" ht="15" customHeight="1" x14ac:dyDescent="0.2">
      <c r="A7" s="183"/>
      <c r="B7" s="126"/>
      <c r="C7" s="184"/>
      <c r="D7" s="184"/>
      <c r="E7" s="126"/>
      <c r="F7" s="126"/>
      <c r="G7" s="185" t="str">
        <f t="shared" si="0"/>
        <v/>
      </c>
      <c r="H7" s="126"/>
      <c r="I7" s="126"/>
      <c r="J7" s="185" t="str">
        <f t="shared" si="1"/>
        <v/>
      </c>
      <c r="K7" s="126"/>
      <c r="L7" s="126"/>
      <c r="M7" s="185" t="str">
        <f t="shared" si="2"/>
        <v/>
      </c>
      <c r="N7" s="126"/>
      <c r="O7" s="126"/>
      <c r="P7" s="185" t="str">
        <f t="shared" si="3"/>
        <v/>
      </c>
      <c r="Q7" s="126"/>
      <c r="R7" s="126"/>
      <c r="S7" s="185" t="str">
        <f t="shared" si="4"/>
        <v/>
      </c>
      <c r="T7" s="186"/>
      <c r="U7" s="186"/>
      <c r="V7" s="184"/>
      <c r="W7" s="184"/>
      <c r="X7" s="126"/>
      <c r="Y7" s="126"/>
      <c r="Z7" s="185" t="str">
        <f t="shared" si="5"/>
        <v>OK</v>
      </c>
      <c r="AA7" s="126"/>
      <c r="AB7" s="131" t="str">
        <f t="shared" si="6"/>
        <v>OK — no active trigger</v>
      </c>
    </row>
    <row r="8" spans="1:28" ht="15" customHeight="1" x14ac:dyDescent="0.2">
      <c r="A8" s="183"/>
      <c r="B8" s="126"/>
      <c r="C8" s="184"/>
      <c r="D8" s="184"/>
      <c r="E8" s="126"/>
      <c r="F8" s="126"/>
      <c r="G8" s="185" t="str">
        <f t="shared" si="0"/>
        <v/>
      </c>
      <c r="H8" s="126"/>
      <c r="I8" s="126"/>
      <c r="J8" s="185" t="str">
        <f t="shared" si="1"/>
        <v/>
      </c>
      <c r="K8" s="126"/>
      <c r="L8" s="126"/>
      <c r="M8" s="185" t="str">
        <f t="shared" si="2"/>
        <v/>
      </c>
      <c r="N8" s="126"/>
      <c r="O8" s="126"/>
      <c r="P8" s="185" t="str">
        <f t="shared" si="3"/>
        <v/>
      </c>
      <c r="Q8" s="126"/>
      <c r="R8" s="126"/>
      <c r="S8" s="185" t="str">
        <f t="shared" si="4"/>
        <v/>
      </c>
      <c r="T8" s="186"/>
      <c r="U8" s="186"/>
      <c r="V8" s="184"/>
      <c r="W8" s="184"/>
      <c r="X8" s="126"/>
      <c r="Y8" s="126"/>
      <c r="Z8" s="185" t="str">
        <f t="shared" si="5"/>
        <v>OK</v>
      </c>
      <c r="AA8" s="126"/>
      <c r="AB8" s="131" t="str">
        <f t="shared" si="6"/>
        <v>OK — no active trigger</v>
      </c>
    </row>
    <row r="9" spans="1:28" ht="15" customHeight="1" x14ac:dyDescent="0.2">
      <c r="A9" s="183"/>
      <c r="B9" s="126"/>
      <c r="C9" s="184"/>
      <c r="D9" s="184"/>
      <c r="E9" s="126"/>
      <c r="F9" s="126"/>
      <c r="G9" s="185" t="str">
        <f t="shared" si="0"/>
        <v/>
      </c>
      <c r="H9" s="126"/>
      <c r="I9" s="126"/>
      <c r="J9" s="185" t="str">
        <f t="shared" si="1"/>
        <v/>
      </c>
      <c r="K9" s="126"/>
      <c r="L9" s="126"/>
      <c r="M9" s="185" t="str">
        <f t="shared" si="2"/>
        <v/>
      </c>
      <c r="N9" s="126"/>
      <c r="O9" s="126"/>
      <c r="P9" s="185" t="str">
        <f t="shared" si="3"/>
        <v/>
      </c>
      <c r="Q9" s="126"/>
      <c r="R9" s="126"/>
      <c r="S9" s="185" t="str">
        <f t="shared" si="4"/>
        <v/>
      </c>
      <c r="T9" s="186"/>
      <c r="U9" s="186"/>
      <c r="V9" s="184"/>
      <c r="W9" s="184"/>
      <c r="X9" s="126"/>
      <c r="Y9" s="126"/>
      <c r="Z9" s="185" t="str">
        <f t="shared" si="5"/>
        <v>OK</v>
      </c>
      <c r="AA9" s="126"/>
      <c r="AB9" s="131" t="str">
        <f t="shared" si="6"/>
        <v>OK — no active trigger</v>
      </c>
    </row>
    <row r="10" spans="1:28" ht="15" customHeight="1" x14ac:dyDescent="0.2">
      <c r="A10" s="183"/>
      <c r="B10" s="126"/>
      <c r="C10" s="184"/>
      <c r="D10" s="184"/>
      <c r="E10" s="126"/>
      <c r="F10" s="126"/>
      <c r="G10" s="185" t="str">
        <f t="shared" si="0"/>
        <v/>
      </c>
      <c r="H10" s="126"/>
      <c r="I10" s="126"/>
      <c r="J10" s="185" t="str">
        <f t="shared" si="1"/>
        <v/>
      </c>
      <c r="K10" s="126"/>
      <c r="L10" s="126"/>
      <c r="M10" s="185" t="str">
        <f t="shared" si="2"/>
        <v/>
      </c>
      <c r="N10" s="126"/>
      <c r="O10" s="126"/>
      <c r="P10" s="185" t="str">
        <f t="shared" si="3"/>
        <v/>
      </c>
      <c r="Q10" s="126"/>
      <c r="R10" s="126"/>
      <c r="S10" s="185" t="str">
        <f t="shared" si="4"/>
        <v/>
      </c>
      <c r="T10" s="186"/>
      <c r="U10" s="186"/>
      <c r="V10" s="184"/>
      <c r="W10" s="184"/>
      <c r="X10" s="126"/>
      <c r="Y10" s="126"/>
      <c r="Z10" s="185" t="str">
        <f t="shared" si="5"/>
        <v>OK</v>
      </c>
      <c r="AA10" s="126"/>
      <c r="AB10" s="131" t="str">
        <f t="shared" si="6"/>
        <v>OK — no active trigger</v>
      </c>
    </row>
    <row r="11" spans="1:28" ht="15" customHeight="1" x14ac:dyDescent="0.2">
      <c r="A11" s="183"/>
      <c r="B11" s="126"/>
      <c r="C11" s="184"/>
      <c r="D11" s="184"/>
      <c r="E11" s="126"/>
      <c r="F11" s="126"/>
      <c r="G11" s="185" t="str">
        <f t="shared" si="0"/>
        <v/>
      </c>
      <c r="H11" s="126"/>
      <c r="I11" s="126"/>
      <c r="J11" s="185" t="str">
        <f t="shared" si="1"/>
        <v/>
      </c>
      <c r="K11" s="126"/>
      <c r="L11" s="126"/>
      <c r="M11" s="185" t="str">
        <f t="shared" si="2"/>
        <v/>
      </c>
      <c r="N11" s="126"/>
      <c r="O11" s="126"/>
      <c r="P11" s="185" t="str">
        <f t="shared" si="3"/>
        <v/>
      </c>
      <c r="Q11" s="126"/>
      <c r="R11" s="126"/>
      <c r="S11" s="185" t="str">
        <f t="shared" si="4"/>
        <v/>
      </c>
      <c r="T11" s="186"/>
      <c r="U11" s="186"/>
      <c r="V11" s="184"/>
      <c r="W11" s="184"/>
      <c r="X11" s="126"/>
      <c r="Y11" s="126"/>
      <c r="Z11" s="185" t="str">
        <f t="shared" si="5"/>
        <v>OK</v>
      </c>
      <c r="AA11" s="126"/>
      <c r="AB11" s="131" t="str">
        <f t="shared" si="6"/>
        <v>OK — no active trigger</v>
      </c>
    </row>
    <row r="12" spans="1:28" ht="15" customHeight="1" x14ac:dyDescent="0.2">
      <c r="A12" s="183"/>
      <c r="B12" s="126"/>
      <c r="C12" s="184"/>
      <c r="D12" s="184"/>
      <c r="E12" s="126"/>
      <c r="F12" s="126"/>
      <c r="G12" s="185" t="str">
        <f t="shared" si="0"/>
        <v/>
      </c>
      <c r="H12" s="126"/>
      <c r="I12" s="126"/>
      <c r="J12" s="185" t="str">
        <f t="shared" si="1"/>
        <v/>
      </c>
      <c r="K12" s="126"/>
      <c r="L12" s="126"/>
      <c r="M12" s="185" t="str">
        <f t="shared" si="2"/>
        <v/>
      </c>
      <c r="N12" s="126"/>
      <c r="O12" s="126"/>
      <c r="P12" s="185" t="str">
        <f t="shared" si="3"/>
        <v/>
      </c>
      <c r="Q12" s="126"/>
      <c r="R12" s="126"/>
      <c r="S12" s="185" t="str">
        <f t="shared" si="4"/>
        <v/>
      </c>
      <c r="T12" s="186"/>
      <c r="U12" s="186"/>
      <c r="V12" s="184"/>
      <c r="W12" s="184"/>
      <c r="X12" s="126"/>
      <c r="Y12" s="126"/>
      <c r="Z12" s="185" t="str">
        <f t="shared" si="5"/>
        <v>OK</v>
      </c>
      <c r="AA12" s="126"/>
      <c r="AB12" s="131" t="str">
        <f t="shared" si="6"/>
        <v>OK — no active trigger</v>
      </c>
    </row>
    <row r="13" spans="1:28" ht="15" customHeight="1" x14ac:dyDescent="0.2">
      <c r="A13" s="183"/>
      <c r="B13" s="126"/>
      <c r="C13" s="184"/>
      <c r="D13" s="184"/>
      <c r="E13" s="126"/>
      <c r="F13" s="126"/>
      <c r="G13" s="185" t="str">
        <f t="shared" si="0"/>
        <v/>
      </c>
      <c r="H13" s="126"/>
      <c r="I13" s="126"/>
      <c r="J13" s="185" t="str">
        <f t="shared" si="1"/>
        <v/>
      </c>
      <c r="K13" s="126"/>
      <c r="L13" s="126"/>
      <c r="M13" s="185" t="str">
        <f t="shared" si="2"/>
        <v/>
      </c>
      <c r="N13" s="126"/>
      <c r="O13" s="126"/>
      <c r="P13" s="185" t="str">
        <f t="shared" si="3"/>
        <v/>
      </c>
      <c r="Q13" s="126"/>
      <c r="R13" s="126"/>
      <c r="S13" s="185" t="str">
        <f t="shared" si="4"/>
        <v/>
      </c>
      <c r="T13" s="186"/>
      <c r="U13" s="186"/>
      <c r="V13" s="184"/>
      <c r="W13" s="184"/>
      <c r="X13" s="126"/>
      <c r="Y13" s="126"/>
      <c r="Z13" s="185" t="str">
        <f t="shared" si="5"/>
        <v>OK</v>
      </c>
      <c r="AA13" s="126"/>
      <c r="AB13" s="131" t="str">
        <f t="shared" si="6"/>
        <v>OK — no active trigger</v>
      </c>
    </row>
    <row r="14" spans="1:28" ht="15" customHeight="1" x14ac:dyDescent="0.2">
      <c r="A14" s="183"/>
      <c r="B14" s="126"/>
      <c r="C14" s="184"/>
      <c r="D14" s="184"/>
      <c r="E14" s="126"/>
      <c r="F14" s="126"/>
      <c r="G14" s="185" t="str">
        <f t="shared" si="0"/>
        <v/>
      </c>
      <c r="H14" s="126"/>
      <c r="I14" s="126"/>
      <c r="J14" s="185" t="str">
        <f t="shared" si="1"/>
        <v/>
      </c>
      <c r="K14" s="126"/>
      <c r="L14" s="126"/>
      <c r="M14" s="185" t="str">
        <f t="shared" si="2"/>
        <v/>
      </c>
      <c r="N14" s="126"/>
      <c r="O14" s="126"/>
      <c r="P14" s="185" t="str">
        <f t="shared" si="3"/>
        <v/>
      </c>
      <c r="Q14" s="126"/>
      <c r="R14" s="126"/>
      <c r="S14" s="185" t="str">
        <f t="shared" si="4"/>
        <v/>
      </c>
      <c r="T14" s="186"/>
      <c r="U14" s="186"/>
      <c r="V14" s="184"/>
      <c r="W14" s="184"/>
      <c r="X14" s="126"/>
      <c r="Y14" s="126"/>
      <c r="Z14" s="185" t="str">
        <f t="shared" si="5"/>
        <v>OK</v>
      </c>
      <c r="AA14" s="126"/>
      <c r="AB14" s="131" t="str">
        <f t="shared" si="6"/>
        <v>OK — no active trigger</v>
      </c>
    </row>
    <row r="15" spans="1:28" ht="15" customHeight="1" x14ac:dyDescent="0.2">
      <c r="A15" s="183"/>
      <c r="B15" s="126"/>
      <c r="C15" s="184"/>
      <c r="D15" s="184"/>
      <c r="E15" s="126"/>
      <c r="F15" s="126"/>
      <c r="G15" s="185" t="str">
        <f t="shared" si="0"/>
        <v/>
      </c>
      <c r="H15" s="126"/>
      <c r="I15" s="126"/>
      <c r="J15" s="185" t="str">
        <f t="shared" si="1"/>
        <v/>
      </c>
      <c r="K15" s="126"/>
      <c r="L15" s="126"/>
      <c r="M15" s="185" t="str">
        <f t="shared" si="2"/>
        <v/>
      </c>
      <c r="N15" s="126"/>
      <c r="O15" s="126"/>
      <c r="P15" s="185" t="str">
        <f t="shared" si="3"/>
        <v/>
      </c>
      <c r="Q15" s="126"/>
      <c r="R15" s="126"/>
      <c r="S15" s="185" t="str">
        <f t="shared" si="4"/>
        <v/>
      </c>
      <c r="T15" s="186"/>
      <c r="U15" s="186"/>
      <c r="V15" s="184"/>
      <c r="W15" s="184"/>
      <c r="X15" s="126"/>
      <c r="Y15" s="126"/>
      <c r="Z15" s="185" t="str">
        <f t="shared" si="5"/>
        <v>OK</v>
      </c>
      <c r="AA15" s="126"/>
      <c r="AB15" s="131" t="str">
        <f t="shared" si="6"/>
        <v>OK — no active trigger</v>
      </c>
    </row>
    <row r="16" spans="1:28" ht="15" customHeight="1" x14ac:dyDescent="0.2">
      <c r="A16" s="183"/>
      <c r="B16" s="126"/>
      <c r="C16" s="184"/>
      <c r="D16" s="184"/>
      <c r="E16" s="126"/>
      <c r="F16" s="126"/>
      <c r="G16" s="185" t="str">
        <f t="shared" si="0"/>
        <v/>
      </c>
      <c r="H16" s="126"/>
      <c r="I16" s="126"/>
      <c r="J16" s="185" t="str">
        <f t="shared" si="1"/>
        <v/>
      </c>
      <c r="K16" s="126"/>
      <c r="L16" s="126"/>
      <c r="M16" s="185" t="str">
        <f t="shared" si="2"/>
        <v/>
      </c>
      <c r="N16" s="126"/>
      <c r="O16" s="126"/>
      <c r="P16" s="185" t="str">
        <f t="shared" si="3"/>
        <v/>
      </c>
      <c r="Q16" s="126"/>
      <c r="R16" s="126"/>
      <c r="S16" s="185" t="str">
        <f t="shared" si="4"/>
        <v/>
      </c>
      <c r="T16" s="186"/>
      <c r="U16" s="186"/>
      <c r="V16" s="184"/>
      <c r="W16" s="184"/>
      <c r="X16" s="126"/>
      <c r="Y16" s="126"/>
      <c r="Z16" s="185" t="str">
        <f t="shared" si="5"/>
        <v>OK</v>
      </c>
      <c r="AA16" s="126"/>
      <c r="AB16" s="131" t="str">
        <f t="shared" si="6"/>
        <v>OK — no active trigger</v>
      </c>
    </row>
    <row r="17" spans="1:28" ht="15" customHeight="1" x14ac:dyDescent="0.2">
      <c r="A17" s="183"/>
      <c r="B17" s="126"/>
      <c r="C17" s="184"/>
      <c r="D17" s="184"/>
      <c r="E17" s="126"/>
      <c r="F17" s="126"/>
      <c r="G17" s="185" t="str">
        <f t="shared" si="0"/>
        <v/>
      </c>
      <c r="H17" s="126"/>
      <c r="I17" s="126"/>
      <c r="J17" s="185" t="str">
        <f t="shared" si="1"/>
        <v/>
      </c>
      <c r="K17" s="126"/>
      <c r="L17" s="126"/>
      <c r="M17" s="185" t="str">
        <f t="shared" si="2"/>
        <v/>
      </c>
      <c r="N17" s="126"/>
      <c r="O17" s="126"/>
      <c r="P17" s="185" t="str">
        <f t="shared" si="3"/>
        <v/>
      </c>
      <c r="Q17" s="126"/>
      <c r="R17" s="126"/>
      <c r="S17" s="185" t="str">
        <f t="shared" si="4"/>
        <v/>
      </c>
      <c r="T17" s="186"/>
      <c r="U17" s="186"/>
      <c r="V17" s="184"/>
      <c r="W17" s="184"/>
      <c r="X17" s="126"/>
      <c r="Y17" s="126"/>
      <c r="Z17" s="185" t="str">
        <f t="shared" si="5"/>
        <v>OK</v>
      </c>
      <c r="AA17" s="126"/>
      <c r="AB17" s="131" t="str">
        <f t="shared" si="6"/>
        <v>OK — no active trigger</v>
      </c>
    </row>
    <row r="18" spans="1:28" ht="15" customHeight="1" x14ac:dyDescent="0.2">
      <c r="A18" s="183"/>
      <c r="B18" s="126"/>
      <c r="C18" s="184"/>
      <c r="D18" s="184"/>
      <c r="E18" s="126"/>
      <c r="F18" s="126"/>
      <c r="G18" s="185" t="str">
        <f t="shared" si="0"/>
        <v/>
      </c>
      <c r="H18" s="126"/>
      <c r="I18" s="126"/>
      <c r="J18" s="185" t="str">
        <f t="shared" si="1"/>
        <v/>
      </c>
      <c r="K18" s="126"/>
      <c r="L18" s="126"/>
      <c r="M18" s="185" t="str">
        <f t="shared" si="2"/>
        <v/>
      </c>
      <c r="N18" s="126"/>
      <c r="O18" s="126"/>
      <c r="P18" s="185" t="str">
        <f t="shared" si="3"/>
        <v/>
      </c>
      <c r="Q18" s="126"/>
      <c r="R18" s="126"/>
      <c r="S18" s="185" t="str">
        <f t="shared" si="4"/>
        <v/>
      </c>
      <c r="T18" s="186"/>
      <c r="U18" s="186"/>
      <c r="V18" s="184"/>
      <c r="W18" s="184"/>
      <c r="X18" s="126"/>
      <c r="Y18" s="126"/>
      <c r="Z18" s="185" t="str">
        <f t="shared" si="5"/>
        <v>OK</v>
      </c>
      <c r="AA18" s="126"/>
      <c r="AB18" s="131" t="str">
        <f t="shared" si="6"/>
        <v>OK — no active trigger</v>
      </c>
    </row>
    <row r="19" spans="1:28" ht="15" customHeight="1" x14ac:dyDescent="0.2">
      <c r="A19" s="183"/>
      <c r="B19" s="126"/>
      <c r="C19" s="184"/>
      <c r="D19" s="184"/>
      <c r="E19" s="126"/>
      <c r="F19" s="126"/>
      <c r="G19" s="185" t="str">
        <f t="shared" si="0"/>
        <v/>
      </c>
      <c r="H19" s="126"/>
      <c r="I19" s="126"/>
      <c r="J19" s="185" t="str">
        <f t="shared" si="1"/>
        <v/>
      </c>
      <c r="K19" s="126"/>
      <c r="L19" s="126"/>
      <c r="M19" s="185" t="str">
        <f t="shared" si="2"/>
        <v/>
      </c>
      <c r="N19" s="126"/>
      <c r="O19" s="126"/>
      <c r="P19" s="185" t="str">
        <f t="shared" si="3"/>
        <v/>
      </c>
      <c r="Q19" s="126"/>
      <c r="R19" s="126"/>
      <c r="S19" s="185" t="str">
        <f t="shared" si="4"/>
        <v/>
      </c>
      <c r="T19" s="186"/>
      <c r="U19" s="186"/>
      <c r="V19" s="184"/>
      <c r="W19" s="184"/>
      <c r="X19" s="126"/>
      <c r="Y19" s="126"/>
      <c r="Z19" s="185" t="str">
        <f t="shared" si="5"/>
        <v>OK</v>
      </c>
      <c r="AA19" s="126"/>
      <c r="AB19" s="131" t="str">
        <f t="shared" si="6"/>
        <v>OK — no active trigger</v>
      </c>
    </row>
    <row r="20" spans="1:28" ht="15" customHeight="1" x14ac:dyDescent="0.2">
      <c r="A20" s="183"/>
      <c r="B20" s="126"/>
      <c r="C20" s="184"/>
      <c r="D20" s="184"/>
      <c r="E20" s="126"/>
      <c r="F20" s="126"/>
      <c r="G20" s="185" t="str">
        <f t="shared" si="0"/>
        <v/>
      </c>
      <c r="H20" s="126"/>
      <c r="I20" s="126"/>
      <c r="J20" s="185" t="str">
        <f t="shared" si="1"/>
        <v/>
      </c>
      <c r="K20" s="126"/>
      <c r="L20" s="126"/>
      <c r="M20" s="185" t="str">
        <f t="shared" si="2"/>
        <v/>
      </c>
      <c r="N20" s="126"/>
      <c r="O20" s="126"/>
      <c r="P20" s="185" t="str">
        <f t="shared" si="3"/>
        <v/>
      </c>
      <c r="Q20" s="126"/>
      <c r="R20" s="126"/>
      <c r="S20" s="185" t="str">
        <f t="shared" si="4"/>
        <v/>
      </c>
      <c r="T20" s="186"/>
      <c r="U20" s="186"/>
      <c r="V20" s="184"/>
      <c r="W20" s="184"/>
      <c r="X20" s="126"/>
      <c r="Y20" s="126"/>
      <c r="Z20" s="185" t="str">
        <f t="shared" si="5"/>
        <v>OK</v>
      </c>
      <c r="AA20" s="126"/>
      <c r="AB20" s="131" t="str">
        <f t="shared" si="6"/>
        <v>OK — no active trigger</v>
      </c>
    </row>
    <row r="21" spans="1:28" ht="15" customHeight="1" x14ac:dyDescent="0.2">
      <c r="A21" s="183"/>
      <c r="B21" s="126"/>
      <c r="C21" s="184"/>
      <c r="D21" s="184"/>
      <c r="E21" s="126"/>
      <c r="F21" s="126"/>
      <c r="G21" s="185" t="str">
        <f t="shared" si="0"/>
        <v/>
      </c>
      <c r="H21" s="126"/>
      <c r="I21" s="126"/>
      <c r="J21" s="185" t="str">
        <f t="shared" si="1"/>
        <v/>
      </c>
      <c r="K21" s="126"/>
      <c r="L21" s="126"/>
      <c r="M21" s="185" t="str">
        <f t="shared" si="2"/>
        <v/>
      </c>
      <c r="N21" s="126"/>
      <c r="O21" s="126"/>
      <c r="P21" s="185" t="str">
        <f t="shared" si="3"/>
        <v/>
      </c>
      <c r="Q21" s="126"/>
      <c r="R21" s="126"/>
      <c r="S21" s="185" t="str">
        <f t="shared" si="4"/>
        <v/>
      </c>
      <c r="T21" s="186"/>
      <c r="U21" s="186"/>
      <c r="V21" s="184"/>
      <c r="W21" s="184"/>
      <c r="X21" s="126"/>
      <c r="Y21" s="126"/>
      <c r="Z21" s="185" t="str">
        <f t="shared" si="5"/>
        <v>OK</v>
      </c>
      <c r="AA21" s="126"/>
      <c r="AB21" s="131" t="str">
        <f t="shared" si="6"/>
        <v>OK — no active trigger</v>
      </c>
    </row>
    <row r="22" spans="1:28" ht="15" customHeight="1" x14ac:dyDescent="0.2">
      <c r="A22" s="183"/>
      <c r="B22" s="126"/>
      <c r="C22" s="184"/>
      <c r="D22" s="184"/>
      <c r="E22" s="126"/>
      <c r="F22" s="126"/>
      <c r="G22" s="185" t="str">
        <f t="shared" si="0"/>
        <v/>
      </c>
      <c r="H22" s="126"/>
      <c r="I22" s="126"/>
      <c r="J22" s="185" t="str">
        <f t="shared" si="1"/>
        <v/>
      </c>
      <c r="K22" s="126"/>
      <c r="L22" s="126"/>
      <c r="M22" s="185" t="str">
        <f t="shared" si="2"/>
        <v/>
      </c>
      <c r="N22" s="126"/>
      <c r="O22" s="126"/>
      <c r="P22" s="185" t="str">
        <f t="shared" si="3"/>
        <v/>
      </c>
      <c r="Q22" s="126"/>
      <c r="R22" s="126"/>
      <c r="S22" s="185" t="str">
        <f t="shared" si="4"/>
        <v/>
      </c>
      <c r="T22" s="186"/>
      <c r="U22" s="186"/>
      <c r="V22" s="184"/>
      <c r="W22" s="184"/>
      <c r="X22" s="126"/>
      <c r="Y22" s="126"/>
      <c r="Z22" s="185" t="str">
        <f t="shared" si="5"/>
        <v>OK</v>
      </c>
      <c r="AA22" s="126"/>
      <c r="AB22" s="131" t="str">
        <f t="shared" si="6"/>
        <v>OK — no active trigger</v>
      </c>
    </row>
    <row r="23" spans="1:28" ht="15" customHeight="1" x14ac:dyDescent="0.2">
      <c r="A23" s="183"/>
      <c r="B23" s="126"/>
      <c r="C23" s="184"/>
      <c r="D23" s="184"/>
      <c r="E23" s="126"/>
      <c r="F23" s="126"/>
      <c r="G23" s="185" t="str">
        <f t="shared" si="0"/>
        <v/>
      </c>
      <c r="H23" s="126"/>
      <c r="I23" s="126"/>
      <c r="J23" s="185" t="str">
        <f t="shared" si="1"/>
        <v/>
      </c>
      <c r="K23" s="126"/>
      <c r="L23" s="126"/>
      <c r="M23" s="185" t="str">
        <f t="shared" si="2"/>
        <v/>
      </c>
      <c r="N23" s="126"/>
      <c r="O23" s="126"/>
      <c r="P23" s="185" t="str">
        <f t="shared" si="3"/>
        <v/>
      </c>
      <c r="Q23" s="126"/>
      <c r="R23" s="126"/>
      <c r="S23" s="185" t="str">
        <f t="shared" si="4"/>
        <v/>
      </c>
      <c r="T23" s="186"/>
      <c r="U23" s="186"/>
      <c r="V23" s="184"/>
      <c r="W23" s="184"/>
      <c r="X23" s="126"/>
      <c r="Y23" s="126"/>
      <c r="Z23" s="185" t="str">
        <f t="shared" si="5"/>
        <v>OK</v>
      </c>
      <c r="AA23" s="126"/>
      <c r="AB23" s="131" t="str">
        <f t="shared" si="6"/>
        <v>OK — no active trigger</v>
      </c>
    </row>
  </sheetData>
  <mergeCells count="3">
    <mergeCell ref="A1:T1"/>
    <mergeCell ref="E2:S2"/>
    <mergeCell ref="T2:Z2"/>
  </mergeCells>
  <conditionalFormatting sqref="G4:G23">
    <cfRule type="cellIs" dxfId="47" priority="2" operator="equal">
      <formula>"TRIGGER"</formula>
    </cfRule>
    <cfRule type="cellIs" dxfId="46" priority="3" operator="equal">
      <formula>"OK"</formula>
    </cfRule>
  </conditionalFormatting>
  <conditionalFormatting sqref="J4:J23">
    <cfRule type="cellIs" dxfId="45" priority="4" operator="equal">
      <formula>"TRIGGER"</formula>
    </cfRule>
    <cfRule type="cellIs" dxfId="44" priority="5" operator="equal">
      <formula>"OK"</formula>
    </cfRule>
  </conditionalFormatting>
  <conditionalFormatting sqref="M4:M23">
    <cfRule type="cellIs" dxfId="43" priority="6" operator="equal">
      <formula>"TRIGGER"</formula>
    </cfRule>
    <cfRule type="cellIs" dxfId="42" priority="7" operator="equal">
      <formula>"OK"</formula>
    </cfRule>
  </conditionalFormatting>
  <conditionalFormatting sqref="P4:P23">
    <cfRule type="cellIs" dxfId="41" priority="8" operator="equal">
      <formula>"TRIGGER"</formula>
    </cfRule>
    <cfRule type="cellIs" dxfId="40" priority="9" operator="equal">
      <formula>"OK"</formula>
    </cfRule>
  </conditionalFormatting>
  <conditionalFormatting sqref="S4:S23">
    <cfRule type="cellIs" dxfId="39" priority="10" operator="equal">
      <formula>"TRIGGER"</formula>
    </cfRule>
    <cfRule type="cellIs" dxfId="38" priority="11" operator="equal">
      <formula>"OK"</formula>
    </cfRule>
  </conditionalFormatting>
  <conditionalFormatting sqref="Z4:Z23">
    <cfRule type="expression" dxfId="37" priority="12">
      <formula>Z4&lt;&gt;"OK"</formula>
    </cfRule>
  </conditionalFormatting>
  <conditionalFormatting sqref="AB4:AB23">
    <cfRule type="expression" dxfId="36" priority="13">
      <formula>ISNUMBER(SEARCH("ACTION REQUIRED",AB4))</formula>
    </cfRule>
    <cfRule type="expression" dxfId="35" priority="14">
      <formula>ISNUMBER(SEARCH("OK",AB4))</formula>
    </cfRule>
    <cfRule type="expression" dxfId="34"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C69"/>
  <sheetViews>
    <sheetView showGridLines="0" zoomScaleNormal="100" workbookViewId="0">
      <pane ySplit="2" topLeftCell="A44" activePane="bottomLeft" state="frozen"/>
      <selection pane="bottomLeft" activeCell="I23" sqref="I23"/>
    </sheetView>
  </sheetViews>
  <sheetFormatPr baseColWidth="10" defaultColWidth="8.6640625" defaultRowHeight="15" x14ac:dyDescent="0.2"/>
  <cols>
    <col min="1" max="1" width="6.83203125" customWidth="1"/>
    <col min="2" max="2" width="15" customWidth="1"/>
    <col min="3" max="3" width="7.5" customWidth="1"/>
    <col min="4" max="4" width="7.83203125" customWidth="1"/>
    <col min="5" max="5" width="8" customWidth="1"/>
    <col min="6" max="6" width="9.6640625" customWidth="1"/>
    <col min="7" max="7" width="9.33203125" customWidth="1"/>
    <col min="8" max="8" width="8.5" customWidth="1"/>
    <col min="9" max="9" width="6.83203125" customWidth="1"/>
    <col min="10" max="10" width="7.5" customWidth="1"/>
    <col min="11" max="11" width="9" customWidth="1"/>
    <col min="12" max="12" width="20" customWidth="1"/>
    <col min="13" max="13" width="7.83203125" customWidth="1"/>
    <col min="14" max="14" width="8.5" customWidth="1"/>
    <col min="15" max="15" width="10" customWidth="1"/>
    <col min="16" max="16" width="9.6640625" customWidth="1"/>
    <col min="18" max="18" width="7.5" customWidth="1"/>
    <col min="19" max="20" width="8" customWidth="1"/>
    <col min="21" max="21" width="6.33203125" customWidth="1"/>
    <col min="22" max="24" width="7.33203125" customWidth="1"/>
    <col min="25" max="25" width="9" customWidth="1"/>
    <col min="26" max="27" width="11.5" customWidth="1"/>
    <col min="28" max="28" width="7" customWidth="1"/>
    <col min="29" max="29" width="8.1640625" customWidth="1"/>
  </cols>
  <sheetData>
    <row r="1" spans="1:29" ht="141.75" customHeight="1" x14ac:dyDescent="0.2">
      <c r="A1" s="247" t="s">
        <v>539</v>
      </c>
      <c r="B1" s="247"/>
      <c r="C1" s="247"/>
      <c r="D1" s="247"/>
      <c r="E1" s="247"/>
      <c r="F1" s="247"/>
      <c r="G1" s="247"/>
      <c r="H1" s="247"/>
      <c r="I1" s="247"/>
      <c r="J1" s="247"/>
      <c r="K1" s="247"/>
      <c r="L1" s="247"/>
      <c r="M1" s="247"/>
      <c r="N1" s="247"/>
      <c r="O1" s="247"/>
      <c r="P1" s="247"/>
      <c r="Q1" s="58"/>
    </row>
    <row r="2" spans="1:29" ht="42.75" customHeight="1" x14ac:dyDescent="0.2">
      <c r="A2" s="61" t="s">
        <v>82</v>
      </c>
      <c r="B2" s="61" t="s">
        <v>296</v>
      </c>
      <c r="C2" s="61" t="s">
        <v>540</v>
      </c>
      <c r="D2" s="61" t="s">
        <v>541</v>
      </c>
      <c r="E2" s="61" t="s">
        <v>490</v>
      </c>
      <c r="F2" s="61" t="s">
        <v>542</v>
      </c>
      <c r="G2" s="61" t="s">
        <v>543</v>
      </c>
      <c r="H2" s="61" t="s">
        <v>544</v>
      </c>
      <c r="I2" s="61" t="s">
        <v>545</v>
      </c>
      <c r="J2" s="61" t="s">
        <v>546</v>
      </c>
      <c r="K2" s="61" t="s">
        <v>547</v>
      </c>
      <c r="L2" s="61" t="s">
        <v>548</v>
      </c>
      <c r="M2" s="61" t="s">
        <v>549</v>
      </c>
      <c r="N2" s="61" t="s">
        <v>550</v>
      </c>
      <c r="O2" s="61" t="s">
        <v>551</v>
      </c>
      <c r="P2" s="61" t="s">
        <v>552</v>
      </c>
      <c r="Q2" s="61" t="s">
        <v>553</v>
      </c>
      <c r="R2" s="61" t="s">
        <v>554</v>
      </c>
      <c r="S2" s="61" t="s">
        <v>555</v>
      </c>
      <c r="T2" s="61" t="s">
        <v>556</v>
      </c>
      <c r="U2" s="61" t="s">
        <v>557</v>
      </c>
      <c r="V2" s="61" t="s">
        <v>558</v>
      </c>
      <c r="W2" s="61" t="s">
        <v>559</v>
      </c>
      <c r="X2" s="61" t="s">
        <v>560</v>
      </c>
      <c r="Y2" s="61" t="s">
        <v>561</v>
      </c>
      <c r="Z2" s="61" t="s">
        <v>562</v>
      </c>
      <c r="AA2" s="61" t="s">
        <v>563</v>
      </c>
      <c r="AB2" s="61" t="s">
        <v>564</v>
      </c>
      <c r="AC2" s="61" t="s">
        <v>565</v>
      </c>
    </row>
    <row r="3" spans="1:29" ht="15" customHeight="1" x14ac:dyDescent="0.2">
      <c r="A3" s="187" t="s">
        <v>96</v>
      </c>
      <c r="B3" s="126" t="s">
        <v>97</v>
      </c>
      <c r="C3" s="188">
        <v>46241</v>
      </c>
      <c r="D3" s="189">
        <v>266.38</v>
      </c>
      <c r="E3" s="190">
        <v>85.8</v>
      </c>
      <c r="F3" s="126" t="s">
        <v>349</v>
      </c>
      <c r="G3" s="126" t="s">
        <v>566</v>
      </c>
      <c r="H3" s="189">
        <v>773.26</v>
      </c>
      <c r="I3" s="126" t="s">
        <v>567</v>
      </c>
      <c r="J3" s="170"/>
      <c r="K3" s="189"/>
      <c r="L3" s="126"/>
      <c r="M3" s="189">
        <f>IFERROR(INDEX('Market Data'!$C$3:$C$300,MATCH($A3,'Market Data'!$A$3:$A$300,0)),"")</f>
        <v>242.27</v>
      </c>
      <c r="N3" s="189">
        <f t="shared" ref="N3:N33" si="0">PT_SPY_Now</f>
        <v>778.57</v>
      </c>
      <c r="O3" s="191">
        <f t="shared" ref="O3:O44" si="1">IF(OR(D3="",M3=""),"",M3/D3-1)</f>
        <v>-9.050979803288528E-2</v>
      </c>
      <c r="P3" s="191">
        <f t="shared" ref="P3:P44" si="2">IF(OR(H3="",N3=""),"",N3/H3-1)</f>
        <v>6.8670304942710647E-3</v>
      </c>
      <c r="Q3" s="191">
        <f t="shared" ref="Q3:Q44" si="3">IF(OR(O3="",P3=""),"",O3-P3)</f>
        <v>-9.7376828527156345E-2</v>
      </c>
      <c r="R3" s="189" t="s">
        <v>568</v>
      </c>
      <c r="S3" s="189" t="s">
        <v>569</v>
      </c>
      <c r="T3" s="192">
        <v>20</v>
      </c>
      <c r="U3" s="193">
        <f>IF($A3="","",IF(OR($S3="System",$I3="Exited"),$T3,SUMIFS(CurrentPositionsTable[Quantity],CurrentPositionsTable[Ticker],$A3)-SUMIFS($T$3:$T$44,$A$3:$A$44,$A3,$S$3:$S$44,"System",$I$3:$I$44,"Held")))</f>
        <v>20</v>
      </c>
      <c r="V3" s="194">
        <f t="shared" ref="V3:V44" si="4">IF(OR($U3="",$D3=""),"",$U3*$D3)</f>
        <v>5327.6</v>
      </c>
      <c r="W3" s="194">
        <f t="shared" ref="W3:W44" si="5">IF(OR($U3="",$M3=""),"",$U3*$M3)</f>
        <v>4845.4000000000005</v>
      </c>
      <c r="X3" s="195">
        <f t="shared" ref="X3:X44" si="6">IF(OR($V3="",$W3=""),"",$W3-$V3)</f>
        <v>-482.19999999999982</v>
      </c>
      <c r="Y3" s="189">
        <f t="shared" ref="Y3:Y9" si="7">$D3</f>
        <v>266.38</v>
      </c>
      <c r="Z3" s="194">
        <f t="shared" ref="Z3:Z44" si="8">IF(OR($U3="",$Y3=""),"",$U3*$Y3)</f>
        <v>5327.6</v>
      </c>
      <c r="AA3" s="195">
        <f t="shared" ref="AA3:AA44" si="9">IF(OR($Z3="",$W3=""),"",$W3-$Z3)</f>
        <v>-482.19999999999982</v>
      </c>
      <c r="AB3" s="191">
        <f t="shared" ref="AB3:AB44" si="10">IF(OR($Z3="",$W3=""),"",IF($Z3=0,"",$W3/$Z3-1))</f>
        <v>-9.050979803288528E-2</v>
      </c>
      <c r="AC3" s="195">
        <f t="shared" ref="AC3:AC44" si="11">IF(OR($V3="",$P3=""),"",$V3*$P3)</f>
        <v>36.58479166127853</v>
      </c>
    </row>
    <row r="4" spans="1:29" ht="15" customHeight="1" x14ac:dyDescent="0.2">
      <c r="A4" s="187" t="s">
        <v>174</v>
      </c>
      <c r="B4" s="126" t="s">
        <v>175</v>
      </c>
      <c r="C4" s="188">
        <v>46241</v>
      </c>
      <c r="D4" s="189">
        <v>488.77</v>
      </c>
      <c r="E4" s="190">
        <v>75.599999999999994</v>
      </c>
      <c r="F4" s="126" t="s">
        <v>349</v>
      </c>
      <c r="G4" s="126" t="s">
        <v>570</v>
      </c>
      <c r="H4" s="189">
        <v>773.26</v>
      </c>
      <c r="I4" s="126" t="s">
        <v>567</v>
      </c>
      <c r="J4" s="170"/>
      <c r="K4" s="189"/>
      <c r="L4" s="126"/>
      <c r="M4" s="189">
        <f>IFERROR(INDEX('Market Data'!$C$3:$C$300,MATCH($A4,'Market Data'!$A$3:$A$300,0)),"")</f>
        <v>510.08</v>
      </c>
      <c r="N4" s="189">
        <f t="shared" si="0"/>
        <v>778.57</v>
      </c>
      <c r="O4" s="191">
        <f t="shared" si="1"/>
        <v>4.3599238905824844E-2</v>
      </c>
      <c r="P4" s="191">
        <f t="shared" si="2"/>
        <v>6.8670304942710647E-3</v>
      </c>
      <c r="Q4" s="191">
        <f t="shared" si="3"/>
        <v>3.6732208411553779E-2</v>
      </c>
      <c r="R4" s="189" t="s">
        <v>568</v>
      </c>
      <c r="S4" s="189" t="s">
        <v>569</v>
      </c>
      <c r="T4" s="192">
        <v>25</v>
      </c>
      <c r="U4" s="193">
        <f>IF($A4="","",IF(OR($S4="System",$I4="Exited"),$T4,SUMIFS(CurrentPositionsTable[Quantity],CurrentPositionsTable[Ticker],$A4)-SUMIFS($T$3:$T$44,$A$3:$A$44,$A4,$S$3:$S$44,"System",$I$3:$I$44,"Held")))</f>
        <v>25</v>
      </c>
      <c r="V4" s="194">
        <f t="shared" si="4"/>
        <v>12219.25</v>
      </c>
      <c r="W4" s="194">
        <f t="shared" si="5"/>
        <v>12752</v>
      </c>
      <c r="X4" s="195">
        <f t="shared" si="6"/>
        <v>532.75</v>
      </c>
      <c r="Y4" s="189">
        <f t="shared" si="7"/>
        <v>488.77</v>
      </c>
      <c r="Z4" s="194">
        <f t="shared" si="8"/>
        <v>12219.25</v>
      </c>
      <c r="AA4" s="195">
        <f t="shared" si="9"/>
        <v>532.75</v>
      </c>
      <c r="AB4" s="191">
        <f t="shared" si="10"/>
        <v>4.3599238905824844E-2</v>
      </c>
      <c r="AC4" s="195">
        <f t="shared" si="11"/>
        <v>83.909962367121707</v>
      </c>
    </row>
    <row r="5" spans="1:29" ht="15" customHeight="1" x14ac:dyDescent="0.2">
      <c r="A5" s="187" t="s">
        <v>177</v>
      </c>
      <c r="B5" s="126" t="s">
        <v>355</v>
      </c>
      <c r="C5" s="188">
        <v>46241</v>
      </c>
      <c r="D5" s="189">
        <v>139.91999999999999</v>
      </c>
      <c r="E5" s="190">
        <v>82</v>
      </c>
      <c r="F5" s="126" t="s">
        <v>349</v>
      </c>
      <c r="G5" s="126" t="s">
        <v>566</v>
      </c>
      <c r="H5" s="189">
        <v>773.26</v>
      </c>
      <c r="I5" s="126" t="s">
        <v>567</v>
      </c>
      <c r="J5" s="170"/>
      <c r="K5" s="189"/>
      <c r="L5" s="126"/>
      <c r="M5" s="189">
        <f>IFERROR(INDEX('Market Data'!$C$3:$C$300,MATCH($A5,'Market Data'!$A$3:$A$300,0)),"")</f>
        <v>129.49</v>
      </c>
      <c r="N5" s="189">
        <f t="shared" si="0"/>
        <v>778.57</v>
      </c>
      <c r="O5" s="191">
        <f t="shared" si="1"/>
        <v>-7.4542595769010678E-2</v>
      </c>
      <c r="P5" s="191">
        <f t="shared" si="2"/>
        <v>6.8670304942710647E-3</v>
      </c>
      <c r="Q5" s="191">
        <f t="shared" si="3"/>
        <v>-8.1409626263281742E-2</v>
      </c>
      <c r="R5" s="189" t="s">
        <v>568</v>
      </c>
      <c r="S5" s="189" t="s">
        <v>569</v>
      </c>
      <c r="T5" s="192">
        <v>64</v>
      </c>
      <c r="U5" s="193">
        <f>IF($A5="","",IF(OR($S5="System",$I5="Exited"),$T5,SUMIFS(CurrentPositionsTable[Quantity],CurrentPositionsTable[Ticker],$A5)-SUMIFS($T$3:$T$44,$A$3:$A$44,$A5,$S$3:$S$44,"System",$I$3:$I$44,"Held")))</f>
        <v>64</v>
      </c>
      <c r="V5" s="194">
        <f t="shared" si="4"/>
        <v>8954.8799999999992</v>
      </c>
      <c r="W5" s="194">
        <f t="shared" si="5"/>
        <v>8287.36</v>
      </c>
      <c r="X5" s="195">
        <f t="shared" si="6"/>
        <v>-667.51999999999862</v>
      </c>
      <c r="Y5" s="189">
        <f t="shared" si="7"/>
        <v>139.91999999999999</v>
      </c>
      <c r="Z5" s="194">
        <f t="shared" si="8"/>
        <v>8954.8799999999992</v>
      </c>
      <c r="AA5" s="195">
        <f t="shared" si="9"/>
        <v>-667.51999999999862</v>
      </c>
      <c r="AB5" s="191">
        <f t="shared" si="10"/>
        <v>-7.4542595769010678E-2</v>
      </c>
      <c r="AC5" s="195">
        <f t="shared" si="11"/>
        <v>61.493434032538069</v>
      </c>
    </row>
    <row r="6" spans="1:29" ht="15" customHeight="1" x14ac:dyDescent="0.2">
      <c r="A6" s="187" t="s">
        <v>119</v>
      </c>
      <c r="B6" s="126" t="s">
        <v>120</v>
      </c>
      <c r="C6" s="188">
        <v>46273</v>
      </c>
      <c r="D6" s="189">
        <v>368.97</v>
      </c>
      <c r="E6" s="190">
        <v>86.4</v>
      </c>
      <c r="F6" s="126" t="s">
        <v>349</v>
      </c>
      <c r="G6" s="126" t="s">
        <v>566</v>
      </c>
      <c r="H6" s="189">
        <v>767.53</v>
      </c>
      <c r="I6" s="126" t="s">
        <v>567</v>
      </c>
      <c r="J6" s="170"/>
      <c r="K6" s="189"/>
      <c r="L6" s="126"/>
      <c r="M6" s="189">
        <f>IFERROR(INDEX('Market Data'!$C$3:$C$300,MATCH($A6,'Market Data'!$A$3:$A$300,0)),"")</f>
        <v>385.45</v>
      </c>
      <c r="N6" s="189">
        <f t="shared" si="0"/>
        <v>778.57</v>
      </c>
      <c r="O6" s="191">
        <f t="shared" si="1"/>
        <v>4.4664877903352496E-2</v>
      </c>
      <c r="P6" s="191">
        <f t="shared" si="2"/>
        <v>1.4383802587521144E-2</v>
      </c>
      <c r="Q6" s="191">
        <f t="shared" si="3"/>
        <v>3.0281075315831352E-2</v>
      </c>
      <c r="R6" s="189" t="s">
        <v>568</v>
      </c>
      <c r="S6" s="189" t="s">
        <v>569</v>
      </c>
      <c r="T6" s="192">
        <v>50</v>
      </c>
      <c r="U6" s="193">
        <f>IF($A6="","",IF(OR($S6="System",$I6="Exited"),$T6,SUMIFS(CurrentPositionsTable[Quantity],CurrentPositionsTable[Ticker],$A6)-SUMIFS($T$3:$T$44,$A$3:$A$44,$A6,$S$3:$S$44,"System",$I$3:$I$44,"Held")))</f>
        <v>50</v>
      </c>
      <c r="V6" s="194">
        <f t="shared" si="4"/>
        <v>18448.5</v>
      </c>
      <c r="W6" s="194">
        <f t="shared" si="5"/>
        <v>19272.5</v>
      </c>
      <c r="X6" s="195">
        <f t="shared" si="6"/>
        <v>824</v>
      </c>
      <c r="Y6" s="189">
        <f t="shared" si="7"/>
        <v>368.97</v>
      </c>
      <c r="Z6" s="194">
        <f t="shared" si="8"/>
        <v>18448.5</v>
      </c>
      <c r="AA6" s="195">
        <f t="shared" si="9"/>
        <v>824</v>
      </c>
      <c r="AB6" s="191">
        <f t="shared" si="10"/>
        <v>4.4664877903352496E-2</v>
      </c>
      <c r="AC6" s="195">
        <f t="shared" si="11"/>
        <v>265.35958203588382</v>
      </c>
    </row>
    <row r="7" spans="1:29" ht="15" customHeight="1" x14ac:dyDescent="0.2">
      <c r="A7" s="187" t="s">
        <v>174</v>
      </c>
      <c r="B7" s="126" t="s">
        <v>571</v>
      </c>
      <c r="C7" s="188">
        <v>46273</v>
      </c>
      <c r="D7" s="189">
        <v>527.47</v>
      </c>
      <c r="E7" s="190"/>
      <c r="F7" s="126"/>
      <c r="G7" s="126"/>
      <c r="H7" s="189">
        <v>767.53</v>
      </c>
      <c r="I7" s="126" t="s">
        <v>567</v>
      </c>
      <c r="J7" s="170"/>
      <c r="K7" s="189"/>
      <c r="L7" s="126"/>
      <c r="M7" s="189">
        <f>IFERROR(INDEX('Market Data'!$C$3:$C$300,MATCH($A7,'Market Data'!$A$3:$A$300,0)),"")</f>
        <v>510.08</v>
      </c>
      <c r="N7" s="189">
        <f t="shared" si="0"/>
        <v>778.57</v>
      </c>
      <c r="O7" s="191">
        <f t="shared" si="1"/>
        <v>-3.2968699641685917E-2</v>
      </c>
      <c r="P7" s="191">
        <f t="shared" si="2"/>
        <v>1.4383802587521144E-2</v>
      </c>
      <c r="Q7" s="191">
        <f t="shared" si="3"/>
        <v>-4.7352502229207061E-2</v>
      </c>
      <c r="R7" s="189" t="s">
        <v>568</v>
      </c>
      <c r="S7" s="189" t="s">
        <v>569</v>
      </c>
      <c r="T7" s="192">
        <v>15</v>
      </c>
      <c r="U7" s="193">
        <f>IF($A7="","",IF(OR($S7="System",$I7="Exited"),$T7,SUMIFS(CurrentPositionsTable[Quantity],CurrentPositionsTable[Ticker],$A7)-SUMIFS($T$3:$T$44,$A$3:$A$44,$A7,$S$3:$S$44,"System",$I$3:$I$44,"Held")))</f>
        <v>15</v>
      </c>
      <c r="V7" s="194">
        <f t="shared" si="4"/>
        <v>7912.05</v>
      </c>
      <c r="W7" s="194">
        <f t="shared" si="5"/>
        <v>7651.2</v>
      </c>
      <c r="X7" s="195">
        <f t="shared" si="6"/>
        <v>-260.85000000000036</v>
      </c>
      <c r="Y7" s="189">
        <f t="shared" si="7"/>
        <v>527.47</v>
      </c>
      <c r="Z7" s="194">
        <f t="shared" si="8"/>
        <v>7912.05</v>
      </c>
      <c r="AA7" s="195">
        <f t="shared" si="9"/>
        <v>-260.85000000000036</v>
      </c>
      <c r="AB7" s="191">
        <f t="shared" si="10"/>
        <v>-3.2968699641685806E-2</v>
      </c>
      <c r="AC7" s="195">
        <f t="shared" si="11"/>
        <v>113.80536526259667</v>
      </c>
    </row>
    <row r="8" spans="1:29" ht="15" customHeight="1" x14ac:dyDescent="0.2">
      <c r="A8" s="187" t="s">
        <v>143</v>
      </c>
      <c r="B8" s="126" t="s">
        <v>144</v>
      </c>
      <c r="C8" s="188">
        <v>46295</v>
      </c>
      <c r="D8" s="189">
        <v>314.70999999999998</v>
      </c>
      <c r="E8" s="190">
        <v>84.2</v>
      </c>
      <c r="F8" s="126" t="s">
        <v>349</v>
      </c>
      <c r="G8" s="126" t="s">
        <v>566</v>
      </c>
      <c r="H8" s="189">
        <v>766.29</v>
      </c>
      <c r="I8" s="126" t="s">
        <v>567</v>
      </c>
      <c r="J8" s="170"/>
      <c r="K8" s="189"/>
      <c r="L8" s="126"/>
      <c r="M8" s="189">
        <f>IFERROR(INDEX('Market Data'!$C$3:$C$300,MATCH($A8,'Market Data'!$A$3:$A$300,0)),"")</f>
        <v>308.2</v>
      </c>
      <c r="N8" s="189">
        <f t="shared" si="0"/>
        <v>778.57</v>
      </c>
      <c r="O8" s="191">
        <f t="shared" si="1"/>
        <v>-2.0685710654253064E-2</v>
      </c>
      <c r="P8" s="191">
        <f t="shared" si="2"/>
        <v>1.6025264586514432E-2</v>
      </c>
      <c r="Q8" s="191">
        <f t="shared" si="3"/>
        <v>-3.6710975240767496E-2</v>
      </c>
      <c r="R8" s="189" t="s">
        <v>568</v>
      </c>
      <c r="S8" s="189" t="s">
        <v>569</v>
      </c>
      <c r="T8" s="192">
        <v>75</v>
      </c>
      <c r="U8" s="193">
        <f>IF($A8="","",IF(OR($S8="System",$I8="Exited"),$T8,SUMIFS(CurrentPositionsTable[Quantity],CurrentPositionsTable[Ticker],$A8)-SUMIFS($T$3:$T$44,$A$3:$A$44,$A8,$S$3:$S$44,"System",$I$3:$I$44,"Held")))</f>
        <v>75</v>
      </c>
      <c r="V8" s="194">
        <f t="shared" si="4"/>
        <v>23603.25</v>
      </c>
      <c r="W8" s="194">
        <f t="shared" si="5"/>
        <v>23115</v>
      </c>
      <c r="X8" s="195">
        <f t="shared" si="6"/>
        <v>-488.25</v>
      </c>
      <c r="Y8" s="189">
        <f t="shared" si="7"/>
        <v>314.70999999999998</v>
      </c>
      <c r="Z8" s="194">
        <f t="shared" si="8"/>
        <v>23603.25</v>
      </c>
      <c r="AA8" s="195">
        <f t="shared" si="9"/>
        <v>-488.25</v>
      </c>
      <c r="AB8" s="191">
        <f t="shared" si="10"/>
        <v>-2.0685710654253175E-2</v>
      </c>
      <c r="AC8" s="195">
        <f t="shared" si="11"/>
        <v>378.24832635164677</v>
      </c>
    </row>
    <row r="9" spans="1:29" ht="15" customHeight="1" x14ac:dyDescent="0.2">
      <c r="A9" s="187" t="s">
        <v>146</v>
      </c>
      <c r="B9" s="126" t="s">
        <v>147</v>
      </c>
      <c r="C9" s="188">
        <v>46295</v>
      </c>
      <c r="D9" s="189">
        <v>69.795000000000002</v>
      </c>
      <c r="E9" s="190">
        <v>83.8</v>
      </c>
      <c r="F9" s="126" t="s">
        <v>349</v>
      </c>
      <c r="G9" s="126" t="s">
        <v>566</v>
      </c>
      <c r="H9" s="189">
        <v>766.29</v>
      </c>
      <c r="I9" s="126" t="s">
        <v>567</v>
      </c>
      <c r="J9" s="170"/>
      <c r="K9" s="189"/>
      <c r="L9" s="126"/>
      <c r="M9" s="189">
        <f>IFERROR(INDEX('Market Data'!$C$3:$C$300,MATCH($A9,'Market Data'!$A$3:$A$300,0)),"")</f>
        <v>70.3</v>
      </c>
      <c r="N9" s="189">
        <f t="shared" si="0"/>
        <v>778.57</v>
      </c>
      <c r="O9" s="191">
        <f t="shared" si="1"/>
        <v>7.2354753205816635E-3</v>
      </c>
      <c r="P9" s="191">
        <f t="shared" si="2"/>
        <v>1.6025264586514432E-2</v>
      </c>
      <c r="Q9" s="191">
        <f t="shared" si="3"/>
        <v>-8.7897892659327681E-3</v>
      </c>
      <c r="R9" s="189" t="s">
        <v>568</v>
      </c>
      <c r="S9" s="189" t="s">
        <v>569</v>
      </c>
      <c r="T9" s="192">
        <v>300</v>
      </c>
      <c r="U9" s="193">
        <f>IF($A9="","",IF(OR($S9="System",$I9="Exited"),$T9,SUMIFS(CurrentPositionsTable[Quantity],CurrentPositionsTable[Ticker],$A9)-SUMIFS($T$3:$T$44,$A$3:$A$44,$A9,$S$3:$S$44,"System",$I$3:$I$44,"Held")))</f>
        <v>300</v>
      </c>
      <c r="V9" s="194">
        <f t="shared" si="4"/>
        <v>20938.5</v>
      </c>
      <c r="W9" s="194">
        <f t="shared" si="5"/>
        <v>21090</v>
      </c>
      <c r="X9" s="195">
        <f t="shared" si="6"/>
        <v>151.5</v>
      </c>
      <c r="Y9" s="189">
        <f t="shared" si="7"/>
        <v>69.795000000000002</v>
      </c>
      <c r="Z9" s="194">
        <f t="shared" si="8"/>
        <v>20938.5</v>
      </c>
      <c r="AA9" s="195">
        <f t="shared" si="9"/>
        <v>151.5</v>
      </c>
      <c r="AB9" s="191">
        <f t="shared" si="10"/>
        <v>7.2354753205816635E-3</v>
      </c>
      <c r="AC9" s="195">
        <f t="shared" si="11"/>
        <v>335.54500254473243</v>
      </c>
    </row>
    <row r="10" spans="1:29" ht="15" customHeight="1" x14ac:dyDescent="0.2">
      <c r="A10" s="187" t="s">
        <v>96</v>
      </c>
      <c r="B10" s="126" t="s">
        <v>572</v>
      </c>
      <c r="C10" s="170">
        <v>46239</v>
      </c>
      <c r="D10" s="189">
        <v>259.32</v>
      </c>
      <c r="E10" s="190"/>
      <c r="F10" s="126"/>
      <c r="G10" s="126"/>
      <c r="H10" s="189">
        <f t="shared" ref="H10:H42" si="12">PT_SPY_0805</f>
        <v>769.79</v>
      </c>
      <c r="I10" s="126" t="s">
        <v>567</v>
      </c>
      <c r="J10" s="170"/>
      <c r="K10" s="189"/>
      <c r="L10" s="126"/>
      <c r="M10" s="189">
        <f>IFERROR(INDEX('Market Data'!$C$3:$C$300,MATCH($A10,'Market Data'!$A$3:$A$300,0)),"")</f>
        <v>242.27</v>
      </c>
      <c r="N10" s="189">
        <f t="shared" si="0"/>
        <v>778.57</v>
      </c>
      <c r="O10" s="191">
        <f t="shared" si="1"/>
        <v>-6.5748881690575245E-2</v>
      </c>
      <c r="P10" s="191">
        <f t="shared" si="2"/>
        <v>1.1405708050247654E-2</v>
      </c>
      <c r="Q10" s="191">
        <f t="shared" si="3"/>
        <v>-7.7154589740822899E-2</v>
      </c>
      <c r="R10" s="189" t="s">
        <v>568</v>
      </c>
      <c r="S10" s="189" t="s">
        <v>573</v>
      </c>
      <c r="T10" s="192">
        <v>45</v>
      </c>
      <c r="U10" s="193">
        <f>IF($A10="","",IF(OR($S10="System",$I10="Exited"),$T10,SUMIFS(CurrentPositionsTable[Quantity],CurrentPositionsTable[Ticker],$A10)-SUMIFS($T$3:$T$44,$A$3:$A$44,$A10,$S$3:$S$44,"System",$I$3:$I$44,"Held")))</f>
        <v>45</v>
      </c>
      <c r="V10" s="194">
        <f t="shared" si="4"/>
        <v>11669.4</v>
      </c>
      <c r="W10" s="194">
        <f t="shared" si="5"/>
        <v>10902.15</v>
      </c>
      <c r="X10" s="195">
        <f t="shared" si="6"/>
        <v>-767.25</v>
      </c>
      <c r="Y10" s="189">
        <v>349.99</v>
      </c>
      <c r="Z10" s="194">
        <f t="shared" si="8"/>
        <v>15749.550000000001</v>
      </c>
      <c r="AA10" s="195">
        <f t="shared" si="9"/>
        <v>-4847.4000000000015</v>
      </c>
      <c r="AB10" s="191">
        <f t="shared" si="10"/>
        <v>-0.30778022229206559</v>
      </c>
      <c r="AC10" s="195">
        <f t="shared" si="11"/>
        <v>133.09776952155997</v>
      </c>
    </row>
    <row r="11" spans="1:29" ht="15" customHeight="1" x14ac:dyDescent="0.2">
      <c r="A11" s="187" t="s">
        <v>174</v>
      </c>
      <c r="B11" s="126" t="s">
        <v>574</v>
      </c>
      <c r="C11" s="170">
        <v>46239</v>
      </c>
      <c r="D11" s="189">
        <v>484.83</v>
      </c>
      <c r="E11" s="190"/>
      <c r="F11" s="126"/>
      <c r="G11" s="126"/>
      <c r="H11" s="189">
        <f t="shared" si="12"/>
        <v>769.79</v>
      </c>
      <c r="I11" s="126" t="s">
        <v>567</v>
      </c>
      <c r="J11" s="170"/>
      <c r="K11" s="189"/>
      <c r="L11" s="126"/>
      <c r="M11" s="189">
        <f>IFERROR(INDEX('Market Data'!$C$3:$C$300,MATCH($A11,'Market Data'!$A$3:$A$300,0)),"")</f>
        <v>510.08</v>
      </c>
      <c r="N11" s="189">
        <f t="shared" si="0"/>
        <v>778.57</v>
      </c>
      <c r="O11" s="191">
        <f t="shared" si="1"/>
        <v>5.2080110554214798E-2</v>
      </c>
      <c r="P11" s="191">
        <f t="shared" si="2"/>
        <v>1.1405708050247654E-2</v>
      </c>
      <c r="Q11" s="191">
        <f t="shared" si="3"/>
        <v>4.0674402503967144E-2</v>
      </c>
      <c r="R11" s="189" t="s">
        <v>568</v>
      </c>
      <c r="S11" s="189" t="s">
        <v>573</v>
      </c>
      <c r="T11" s="192">
        <v>25</v>
      </c>
      <c r="U11" s="193">
        <f>IF($A11="","",IF(OR($S11="System",$I11="Exited"),$T11,SUMIFS(CurrentPositionsTable[Quantity],CurrentPositionsTable[Ticker],$A11)-SUMIFS($T$3:$T$44,$A$3:$A$44,$A11,$S$3:$S$44,"System",$I$3:$I$44,"Held")))</f>
        <v>25</v>
      </c>
      <c r="V11" s="194">
        <f t="shared" si="4"/>
        <v>12120.75</v>
      </c>
      <c r="W11" s="194">
        <f t="shared" si="5"/>
        <v>12752</v>
      </c>
      <c r="X11" s="195">
        <f t="shared" si="6"/>
        <v>631.25</v>
      </c>
      <c r="Y11" s="189">
        <v>453.36</v>
      </c>
      <c r="Z11" s="194">
        <f t="shared" si="8"/>
        <v>11334</v>
      </c>
      <c r="AA11" s="195">
        <f t="shared" si="9"/>
        <v>1418</v>
      </c>
      <c r="AB11" s="191">
        <f t="shared" si="10"/>
        <v>0.12511028763013932</v>
      </c>
      <c r="AC11" s="195">
        <f t="shared" si="11"/>
        <v>138.24573585003924</v>
      </c>
    </row>
    <row r="12" spans="1:29" ht="15" customHeight="1" x14ac:dyDescent="0.2">
      <c r="A12" s="187" t="s">
        <v>177</v>
      </c>
      <c r="B12" s="126" t="s">
        <v>575</v>
      </c>
      <c r="C12" s="170">
        <v>46239</v>
      </c>
      <c r="D12" s="189">
        <v>140.76</v>
      </c>
      <c r="E12" s="190"/>
      <c r="F12" s="126"/>
      <c r="G12" s="126"/>
      <c r="H12" s="189">
        <f t="shared" si="12"/>
        <v>769.79</v>
      </c>
      <c r="I12" s="126" t="s">
        <v>567</v>
      </c>
      <c r="J12" s="170"/>
      <c r="K12" s="189"/>
      <c r="L12" s="126"/>
      <c r="M12" s="189">
        <f>IFERROR(INDEX('Market Data'!$C$3:$C$300,MATCH($A12,'Market Data'!$A$3:$A$300,0)),"")</f>
        <v>129.49</v>
      </c>
      <c r="N12" s="189">
        <f t="shared" si="0"/>
        <v>778.57</v>
      </c>
      <c r="O12" s="191">
        <f t="shared" si="1"/>
        <v>-8.006535947712401E-2</v>
      </c>
      <c r="P12" s="191">
        <f t="shared" si="2"/>
        <v>1.1405708050247654E-2</v>
      </c>
      <c r="Q12" s="191">
        <f t="shared" si="3"/>
        <v>-9.1471067527371663E-2</v>
      </c>
      <c r="R12" s="189" t="s">
        <v>568</v>
      </c>
      <c r="S12" s="189" t="s">
        <v>573</v>
      </c>
      <c r="T12" s="192">
        <v>61.448369999999997</v>
      </c>
      <c r="U12" s="193">
        <f>IF($A12="","",IF(OR($S12="System",$I12="Exited"),$T12,SUMIFS(CurrentPositionsTable[Quantity],CurrentPositionsTable[Ticker],$A12)-SUMIFS($T$3:$T$44,$A$3:$A$44,$A12,$S$3:$S$44,"System",$I$3:$I$44,"Held")))</f>
        <v>61.448369999999997</v>
      </c>
      <c r="V12" s="194">
        <f t="shared" si="4"/>
        <v>8649.4725611999984</v>
      </c>
      <c r="W12" s="194">
        <f t="shared" si="5"/>
        <v>7956.9494313000005</v>
      </c>
      <c r="X12" s="195">
        <f t="shared" si="6"/>
        <v>-692.52312989999791</v>
      </c>
      <c r="Y12" s="189">
        <v>127.66</v>
      </c>
      <c r="Z12" s="194">
        <f t="shared" si="8"/>
        <v>7844.4989141999995</v>
      </c>
      <c r="AA12" s="195">
        <f t="shared" si="9"/>
        <v>112.45051710000098</v>
      </c>
      <c r="AB12" s="191">
        <f t="shared" si="10"/>
        <v>1.4334952216826125E-2</v>
      </c>
      <c r="AC12" s="195">
        <f t="shared" si="11"/>
        <v>98.653358821675013</v>
      </c>
    </row>
    <row r="13" spans="1:29" ht="15" customHeight="1" x14ac:dyDescent="0.2">
      <c r="A13" s="187" t="s">
        <v>101</v>
      </c>
      <c r="B13" s="126" t="s">
        <v>102</v>
      </c>
      <c r="C13" s="170">
        <v>46239</v>
      </c>
      <c r="D13" s="189">
        <v>197.31</v>
      </c>
      <c r="E13" s="190"/>
      <c r="F13" s="126"/>
      <c r="G13" s="126"/>
      <c r="H13" s="189">
        <f t="shared" si="12"/>
        <v>769.79</v>
      </c>
      <c r="I13" s="126" t="s">
        <v>567</v>
      </c>
      <c r="J13" s="170"/>
      <c r="K13" s="189"/>
      <c r="L13" s="126"/>
      <c r="M13" s="189">
        <f>IFERROR(INDEX('Market Data'!$C$3:$C$300,MATCH($A13,'Market Data'!$A$3:$A$300,0)),"")</f>
        <v>216.74</v>
      </c>
      <c r="N13" s="189">
        <f t="shared" si="0"/>
        <v>778.57</v>
      </c>
      <c r="O13" s="191">
        <f t="shared" si="1"/>
        <v>9.8474481779940337E-2</v>
      </c>
      <c r="P13" s="191">
        <f t="shared" si="2"/>
        <v>1.1405708050247654E-2</v>
      </c>
      <c r="Q13" s="191">
        <f t="shared" si="3"/>
        <v>8.7068773729692683E-2</v>
      </c>
      <c r="R13" s="189" t="s">
        <v>568</v>
      </c>
      <c r="S13" s="189" t="s">
        <v>573</v>
      </c>
      <c r="T13" s="192">
        <v>120</v>
      </c>
      <c r="U13" s="193">
        <f>IF($A13="","",IF(OR($S13="System",$I13="Exited"),$T13,SUMIFS(CurrentPositionsTable[Quantity],CurrentPositionsTable[Ticker],$A13)-SUMIFS($T$3:$T$44,$A$3:$A$44,$A13,$S$3:$S$44,"System",$I$3:$I$44,"Held")))</f>
        <v>120</v>
      </c>
      <c r="V13" s="194">
        <f t="shared" si="4"/>
        <v>23677.200000000001</v>
      </c>
      <c r="W13" s="194">
        <f t="shared" si="5"/>
        <v>26008.800000000003</v>
      </c>
      <c r="X13" s="195">
        <f t="shared" si="6"/>
        <v>2331.6000000000022</v>
      </c>
      <c r="Y13" s="189">
        <v>131.03</v>
      </c>
      <c r="Z13" s="194">
        <f t="shared" si="8"/>
        <v>15723.6</v>
      </c>
      <c r="AA13" s="195">
        <f t="shared" si="9"/>
        <v>10285.200000000003</v>
      </c>
      <c r="AB13" s="191">
        <f t="shared" si="10"/>
        <v>0.65412500953980013</v>
      </c>
      <c r="AC13" s="195">
        <f t="shared" si="11"/>
        <v>270.05523064732375</v>
      </c>
    </row>
    <row r="14" spans="1:29" ht="15" customHeight="1" x14ac:dyDescent="0.2">
      <c r="A14" s="187" t="s">
        <v>103</v>
      </c>
      <c r="B14" s="126" t="s">
        <v>104</v>
      </c>
      <c r="C14" s="170">
        <v>46239</v>
      </c>
      <c r="D14" s="189">
        <v>1678.22</v>
      </c>
      <c r="E14" s="190"/>
      <c r="F14" s="126"/>
      <c r="G14" s="126"/>
      <c r="H14" s="189">
        <f t="shared" si="12"/>
        <v>769.79</v>
      </c>
      <c r="I14" s="126" t="s">
        <v>567</v>
      </c>
      <c r="J14" s="170"/>
      <c r="K14" s="189"/>
      <c r="L14" s="126"/>
      <c r="M14" s="189">
        <f>IFERROR(INDEX('Market Data'!$C$3:$C$300,MATCH($A14,'Market Data'!$A$3:$A$300,0)),"")</f>
        <v>1780.34</v>
      </c>
      <c r="N14" s="189">
        <f t="shared" si="0"/>
        <v>778.57</v>
      </c>
      <c r="O14" s="191">
        <f t="shared" si="1"/>
        <v>6.0850186507132475E-2</v>
      </c>
      <c r="P14" s="191">
        <f t="shared" si="2"/>
        <v>1.1405708050247654E-2</v>
      </c>
      <c r="Q14" s="191">
        <f t="shared" si="3"/>
        <v>4.9444478456884822E-2</v>
      </c>
      <c r="R14" s="189" t="s">
        <v>568</v>
      </c>
      <c r="S14" s="189" t="s">
        <v>573</v>
      </c>
      <c r="T14" s="192">
        <v>7</v>
      </c>
      <c r="U14" s="193">
        <f>IF($A14="","",IF(OR($S14="System",$I14="Exited"),$T14,SUMIFS(CurrentPositionsTable[Quantity],CurrentPositionsTable[Ticker],$A14)-SUMIFS($T$3:$T$44,$A$3:$A$44,$A14,$S$3:$S$44,"System",$I$3:$I$44,"Held")))</f>
        <v>7</v>
      </c>
      <c r="V14" s="194">
        <f t="shared" si="4"/>
        <v>11747.54</v>
      </c>
      <c r="W14" s="194">
        <f t="shared" si="5"/>
        <v>12462.38</v>
      </c>
      <c r="X14" s="195">
        <f t="shared" si="6"/>
        <v>714.83999999999833</v>
      </c>
      <c r="Y14" s="189">
        <v>1069.8599999999999</v>
      </c>
      <c r="Z14" s="194">
        <f t="shared" si="8"/>
        <v>7489.0199999999995</v>
      </c>
      <c r="AA14" s="195">
        <f t="shared" si="9"/>
        <v>4973.3599999999997</v>
      </c>
      <c r="AB14" s="191">
        <f t="shared" si="10"/>
        <v>0.66408688987344133</v>
      </c>
      <c r="AC14" s="195">
        <f t="shared" si="11"/>
        <v>133.98901154860633</v>
      </c>
    </row>
    <row r="15" spans="1:29" ht="15" customHeight="1" x14ac:dyDescent="0.2">
      <c r="A15" s="187" t="s">
        <v>172</v>
      </c>
      <c r="B15" s="126" t="s">
        <v>173</v>
      </c>
      <c r="C15" s="170">
        <v>46239</v>
      </c>
      <c r="D15" s="189">
        <v>418.28</v>
      </c>
      <c r="E15" s="190"/>
      <c r="F15" s="126"/>
      <c r="G15" s="126"/>
      <c r="H15" s="189">
        <f t="shared" si="12"/>
        <v>769.79</v>
      </c>
      <c r="I15" s="126" t="s">
        <v>567</v>
      </c>
      <c r="J15" s="170"/>
      <c r="K15" s="189"/>
      <c r="L15" s="126"/>
      <c r="M15" s="189">
        <f>IFERROR(INDEX('Market Data'!$C$3:$C$300,MATCH($A15,'Market Data'!$A$3:$A$300,0)),"")</f>
        <v>361.54</v>
      </c>
      <c r="N15" s="189">
        <f t="shared" si="0"/>
        <v>778.57</v>
      </c>
      <c r="O15" s="191">
        <f t="shared" si="1"/>
        <v>-0.13565076025628753</v>
      </c>
      <c r="P15" s="191">
        <f t="shared" si="2"/>
        <v>1.1405708050247654E-2</v>
      </c>
      <c r="Q15" s="191">
        <f t="shared" si="3"/>
        <v>-0.14705646830653518</v>
      </c>
      <c r="R15" s="189" t="s">
        <v>568</v>
      </c>
      <c r="S15" s="189" t="s">
        <v>573</v>
      </c>
      <c r="T15" s="192">
        <v>35.075870000000002</v>
      </c>
      <c r="U15" s="193">
        <f>IF($A15="","",IF(OR($S15="System",$I15="Exited"),$T15,SUMIFS(CurrentPositionsTable[Quantity],CurrentPositionsTable[Ticker],$A15)-SUMIFS($T$3:$T$44,$A$3:$A$44,$A15,$S$3:$S$44,"System",$I$3:$I$44,"Held")))</f>
        <v>35.075870000000002</v>
      </c>
      <c r="V15" s="194">
        <f t="shared" si="4"/>
        <v>14671.534903600001</v>
      </c>
      <c r="W15" s="194">
        <f t="shared" si="5"/>
        <v>12681.330039800001</v>
      </c>
      <c r="X15" s="195">
        <f t="shared" si="6"/>
        <v>-1990.2048637999997</v>
      </c>
      <c r="Y15" s="189">
        <v>346.1</v>
      </c>
      <c r="Z15" s="194">
        <f t="shared" si="8"/>
        <v>12139.758607000002</v>
      </c>
      <c r="AA15" s="195">
        <f t="shared" si="9"/>
        <v>541.57143279999946</v>
      </c>
      <c r="AB15" s="191">
        <f t="shared" si="10"/>
        <v>4.4611383993065523E-2</v>
      </c>
      <c r="AC15" s="195">
        <f t="shared" si="11"/>
        <v>167.33924375947996</v>
      </c>
    </row>
    <row r="16" spans="1:29" ht="15" customHeight="1" x14ac:dyDescent="0.2">
      <c r="A16" s="187" t="s">
        <v>105</v>
      </c>
      <c r="B16" s="126" t="s">
        <v>106</v>
      </c>
      <c r="C16" s="170">
        <v>46239</v>
      </c>
      <c r="D16" s="189">
        <v>209.86</v>
      </c>
      <c r="E16" s="190"/>
      <c r="F16" s="126"/>
      <c r="G16" s="126"/>
      <c r="H16" s="189">
        <f t="shared" si="12"/>
        <v>769.79</v>
      </c>
      <c r="I16" s="126" t="s">
        <v>567</v>
      </c>
      <c r="J16" s="170"/>
      <c r="K16" s="189"/>
      <c r="L16" s="126"/>
      <c r="M16" s="189">
        <f>IFERROR(INDEX('Market Data'!$C$3:$C$300,MATCH($A16,'Market Data'!$A$3:$A$300,0)),"")</f>
        <v>275.04000000000002</v>
      </c>
      <c r="N16" s="189">
        <f t="shared" si="0"/>
        <v>778.57</v>
      </c>
      <c r="O16" s="191">
        <f t="shared" si="1"/>
        <v>0.31058801105498901</v>
      </c>
      <c r="P16" s="191">
        <f t="shared" si="2"/>
        <v>1.1405708050247654E-2</v>
      </c>
      <c r="Q16" s="191">
        <f t="shared" si="3"/>
        <v>0.29918230300474136</v>
      </c>
      <c r="R16" s="189" t="s">
        <v>568</v>
      </c>
      <c r="S16" s="189" t="s">
        <v>573</v>
      </c>
      <c r="T16" s="192">
        <v>85</v>
      </c>
      <c r="U16" s="193">
        <f>IF($A16="","",IF(OR($S16="System",$I16="Exited"),$T16,SUMIFS(CurrentPositionsTable[Quantity],CurrentPositionsTable[Ticker],$A16)-SUMIFS($T$3:$T$44,$A$3:$A$44,$A16,$S$3:$S$44,"System",$I$3:$I$44,"Held")))</f>
        <v>85</v>
      </c>
      <c r="V16" s="194">
        <f t="shared" si="4"/>
        <v>17838.100000000002</v>
      </c>
      <c r="W16" s="194">
        <f t="shared" si="5"/>
        <v>23378.400000000001</v>
      </c>
      <c r="X16" s="195">
        <f t="shared" si="6"/>
        <v>5540.2999999999993</v>
      </c>
      <c r="Y16" s="189">
        <v>117.19</v>
      </c>
      <c r="Z16" s="194">
        <f t="shared" si="8"/>
        <v>9961.15</v>
      </c>
      <c r="AA16" s="195">
        <f t="shared" si="9"/>
        <v>13417.250000000002</v>
      </c>
      <c r="AB16" s="191">
        <f t="shared" si="10"/>
        <v>1.3469579315641269</v>
      </c>
      <c r="AC16" s="195">
        <f t="shared" si="11"/>
        <v>203.45616077112271</v>
      </c>
    </row>
    <row r="17" spans="1:29" ht="15" customHeight="1" x14ac:dyDescent="0.2">
      <c r="A17" s="187" t="s">
        <v>107</v>
      </c>
      <c r="B17" s="126" t="s">
        <v>108</v>
      </c>
      <c r="C17" s="170">
        <v>46239</v>
      </c>
      <c r="D17" s="189">
        <v>192.8</v>
      </c>
      <c r="E17" s="190"/>
      <c r="F17" s="126"/>
      <c r="G17" s="126"/>
      <c r="H17" s="189">
        <f t="shared" si="12"/>
        <v>769.79</v>
      </c>
      <c r="I17" s="126" t="s">
        <v>567</v>
      </c>
      <c r="J17" s="170"/>
      <c r="K17" s="189"/>
      <c r="L17" s="126"/>
      <c r="M17" s="189">
        <f>IFERROR(INDEX('Market Data'!$C$3:$C$300,MATCH($A17,'Market Data'!$A$3:$A$300,0)),"")</f>
        <v>195.57</v>
      </c>
      <c r="N17" s="189">
        <f t="shared" si="0"/>
        <v>778.57</v>
      </c>
      <c r="O17" s="191">
        <f t="shared" si="1"/>
        <v>1.4367219917012397E-2</v>
      </c>
      <c r="P17" s="191">
        <f t="shared" si="2"/>
        <v>1.1405708050247654E-2</v>
      </c>
      <c r="Q17" s="191">
        <f t="shared" si="3"/>
        <v>2.9615118667647433E-3</v>
      </c>
      <c r="R17" s="189" t="s">
        <v>568</v>
      </c>
      <c r="S17" s="189" t="s">
        <v>573</v>
      </c>
      <c r="T17" s="192">
        <v>100</v>
      </c>
      <c r="U17" s="193">
        <f>IF($A17="","",IF(OR($S17="System",$I17="Exited"),$T17,SUMIFS(CurrentPositionsTable[Quantity],CurrentPositionsTable[Ticker],$A17)-SUMIFS($T$3:$T$44,$A$3:$A$44,$A17,$S$3:$S$44,"System",$I$3:$I$44,"Held")))</f>
        <v>100</v>
      </c>
      <c r="V17" s="194">
        <f t="shared" si="4"/>
        <v>19280</v>
      </c>
      <c r="W17" s="194">
        <f t="shared" si="5"/>
        <v>19557</v>
      </c>
      <c r="X17" s="195">
        <f t="shared" si="6"/>
        <v>277</v>
      </c>
      <c r="Y17" s="189">
        <v>121.508</v>
      </c>
      <c r="Z17" s="194">
        <f t="shared" si="8"/>
        <v>12150.8</v>
      </c>
      <c r="AA17" s="195">
        <f t="shared" si="9"/>
        <v>7406.2000000000007</v>
      </c>
      <c r="AB17" s="191">
        <f t="shared" si="10"/>
        <v>0.6095236527636041</v>
      </c>
      <c r="AC17" s="195">
        <f t="shared" si="11"/>
        <v>219.90205120877476</v>
      </c>
    </row>
    <row r="18" spans="1:29" ht="15" customHeight="1" x14ac:dyDescent="0.2">
      <c r="A18" s="187" t="s">
        <v>109</v>
      </c>
      <c r="B18" s="126" t="s">
        <v>110</v>
      </c>
      <c r="C18" s="170">
        <v>46239</v>
      </c>
      <c r="D18" s="189">
        <v>893.19</v>
      </c>
      <c r="E18" s="190"/>
      <c r="F18" s="126"/>
      <c r="G18" s="126"/>
      <c r="H18" s="189">
        <f t="shared" si="12"/>
        <v>769.79</v>
      </c>
      <c r="I18" s="126" t="s">
        <v>567</v>
      </c>
      <c r="J18" s="170"/>
      <c r="K18" s="189"/>
      <c r="L18" s="126"/>
      <c r="M18" s="189">
        <f>IFERROR(INDEX('Market Data'!$C$3:$C$300,MATCH($A18,'Market Data'!$A$3:$A$300,0)),"")</f>
        <v>1029</v>
      </c>
      <c r="N18" s="189">
        <f t="shared" si="0"/>
        <v>778.57</v>
      </c>
      <c r="O18" s="191">
        <f t="shared" si="1"/>
        <v>0.15205051556779625</v>
      </c>
      <c r="P18" s="191">
        <f t="shared" si="2"/>
        <v>1.1405708050247654E-2</v>
      </c>
      <c r="Q18" s="191">
        <f t="shared" si="3"/>
        <v>0.1406448075175486</v>
      </c>
      <c r="R18" s="189" t="s">
        <v>568</v>
      </c>
      <c r="S18" s="189" t="s">
        <v>573</v>
      </c>
      <c r="T18" s="192">
        <v>7</v>
      </c>
      <c r="U18" s="193">
        <f>IF($A18="","",IF(OR($S18="System",$I18="Exited"),$T18,SUMIFS(CurrentPositionsTable[Quantity],CurrentPositionsTable[Ticker],$A18)-SUMIFS($T$3:$T$44,$A$3:$A$44,$A18,$S$3:$S$44,"System",$I$3:$I$44,"Held")))</f>
        <v>7</v>
      </c>
      <c r="V18" s="194">
        <f t="shared" si="4"/>
        <v>6252.33</v>
      </c>
      <c r="W18" s="194">
        <f t="shared" si="5"/>
        <v>7203</v>
      </c>
      <c r="X18" s="195">
        <f t="shared" si="6"/>
        <v>950.67000000000007</v>
      </c>
      <c r="Y18" s="189">
        <v>285.41000000000003</v>
      </c>
      <c r="Z18" s="194">
        <f t="shared" si="8"/>
        <v>1997.8700000000001</v>
      </c>
      <c r="AA18" s="195">
        <f t="shared" si="9"/>
        <v>5205.13</v>
      </c>
      <c r="AB18" s="191">
        <f t="shared" si="10"/>
        <v>2.6053396867664058</v>
      </c>
      <c r="AC18" s="195">
        <f t="shared" si="11"/>
        <v>71.312250613804906</v>
      </c>
    </row>
    <row r="19" spans="1:29" ht="15" customHeight="1" x14ac:dyDescent="0.2">
      <c r="A19" s="187" t="s">
        <v>111</v>
      </c>
      <c r="B19" s="126" t="s">
        <v>112</v>
      </c>
      <c r="C19" s="170">
        <v>46239</v>
      </c>
      <c r="D19" s="189">
        <v>219.22</v>
      </c>
      <c r="E19" s="190"/>
      <c r="F19" s="126"/>
      <c r="G19" s="126"/>
      <c r="H19" s="189">
        <f t="shared" si="12"/>
        <v>769.79</v>
      </c>
      <c r="I19" s="126" t="s">
        <v>567</v>
      </c>
      <c r="J19" s="170"/>
      <c r="K19" s="189"/>
      <c r="L19" s="126"/>
      <c r="M19" s="189">
        <f>IFERROR(INDEX('Market Data'!$C$3:$C$300,MATCH($A19,'Market Data'!$A$3:$A$300,0)),"")</f>
        <v>229.28</v>
      </c>
      <c r="N19" s="189">
        <f t="shared" si="0"/>
        <v>778.57</v>
      </c>
      <c r="O19" s="191">
        <f t="shared" si="1"/>
        <v>4.588997354255997E-2</v>
      </c>
      <c r="P19" s="191">
        <f t="shared" si="2"/>
        <v>1.1405708050247654E-2</v>
      </c>
      <c r="Q19" s="191">
        <f t="shared" si="3"/>
        <v>3.4484265492312316E-2</v>
      </c>
      <c r="R19" s="189" t="s">
        <v>568</v>
      </c>
      <c r="S19" s="189" t="s">
        <v>573</v>
      </c>
      <c r="T19" s="192">
        <v>214.02188000000001</v>
      </c>
      <c r="U19" s="193">
        <f>IF($A19="","",IF(OR($S19="System",$I19="Exited"),$T19,SUMIFS(CurrentPositionsTable[Quantity],CurrentPositionsTable[Ticker],$A19)-SUMIFS($T$3:$T$44,$A$3:$A$44,$A19,$S$3:$S$44,"System",$I$3:$I$44,"Held")))</f>
        <v>214.02188000000001</v>
      </c>
      <c r="V19" s="194">
        <f t="shared" si="4"/>
        <v>46917.8765336</v>
      </c>
      <c r="W19" s="194">
        <f t="shared" si="5"/>
        <v>49070.936646400005</v>
      </c>
      <c r="X19" s="195">
        <f t="shared" si="6"/>
        <v>2153.0601128000053</v>
      </c>
      <c r="Y19" s="189">
        <v>186.5</v>
      </c>
      <c r="Z19" s="194">
        <f t="shared" si="8"/>
        <v>39915.080620000001</v>
      </c>
      <c r="AA19" s="195">
        <f t="shared" si="9"/>
        <v>9155.8560264000043</v>
      </c>
      <c r="AB19" s="191">
        <f t="shared" si="10"/>
        <v>0.22938337801608588</v>
      </c>
      <c r="AC19" s="195">
        <f t="shared" si="11"/>
        <v>535.13160207980695</v>
      </c>
    </row>
    <row r="20" spans="1:29" ht="15" customHeight="1" x14ac:dyDescent="0.2">
      <c r="A20" s="187" t="s">
        <v>113</v>
      </c>
      <c r="B20" s="126" t="s">
        <v>114</v>
      </c>
      <c r="C20" s="170">
        <v>46239</v>
      </c>
      <c r="D20" s="189">
        <v>158.43</v>
      </c>
      <c r="E20" s="190"/>
      <c r="F20" s="126"/>
      <c r="G20" s="126"/>
      <c r="H20" s="189">
        <f t="shared" si="12"/>
        <v>769.79</v>
      </c>
      <c r="I20" s="126" t="s">
        <v>567</v>
      </c>
      <c r="J20" s="170"/>
      <c r="K20" s="189"/>
      <c r="L20" s="126"/>
      <c r="M20" s="189">
        <f>IFERROR(INDEX('Market Data'!$C$3:$C$300,MATCH($A20,'Market Data'!$A$3:$A$300,0)),"")</f>
        <v>209.05</v>
      </c>
      <c r="N20" s="189">
        <f t="shared" si="0"/>
        <v>778.57</v>
      </c>
      <c r="O20" s="191">
        <f t="shared" si="1"/>
        <v>0.31951019377643131</v>
      </c>
      <c r="P20" s="191">
        <f t="shared" si="2"/>
        <v>1.1405708050247654E-2</v>
      </c>
      <c r="Q20" s="191">
        <f t="shared" si="3"/>
        <v>0.30810448572618365</v>
      </c>
      <c r="R20" s="189" t="s">
        <v>568</v>
      </c>
      <c r="S20" s="189" t="s">
        <v>573</v>
      </c>
      <c r="T20" s="192">
        <v>90</v>
      </c>
      <c r="U20" s="193">
        <f>IF($A20="","",IF(OR($S20="System",$I20="Exited"),$T20,SUMIFS(CurrentPositionsTable[Quantity],CurrentPositionsTable[Ticker],$A20)-SUMIFS($T$3:$T$44,$A$3:$A$44,$A20,$S$3:$S$44,"System",$I$3:$I$44,"Held")))</f>
        <v>90</v>
      </c>
      <c r="V20" s="194">
        <f t="shared" si="4"/>
        <v>14258.7</v>
      </c>
      <c r="W20" s="194">
        <f t="shared" si="5"/>
        <v>18814.5</v>
      </c>
      <c r="X20" s="195">
        <f t="shared" si="6"/>
        <v>4555.7999999999993</v>
      </c>
      <c r="Y20" s="189">
        <v>177.75</v>
      </c>
      <c r="Z20" s="194">
        <f t="shared" si="8"/>
        <v>15997.5</v>
      </c>
      <c r="AA20" s="195">
        <f t="shared" si="9"/>
        <v>2817</v>
      </c>
      <c r="AB20" s="191">
        <f t="shared" si="10"/>
        <v>0.17609001406469771</v>
      </c>
      <c r="AC20" s="195">
        <f t="shared" si="11"/>
        <v>162.63056937606623</v>
      </c>
    </row>
    <row r="21" spans="1:29" ht="15" customHeight="1" x14ac:dyDescent="0.2">
      <c r="A21" s="187" t="s">
        <v>115</v>
      </c>
      <c r="B21" s="126" t="s">
        <v>116</v>
      </c>
      <c r="C21" s="170">
        <v>46239</v>
      </c>
      <c r="D21" s="189">
        <v>414</v>
      </c>
      <c r="E21" s="190"/>
      <c r="F21" s="126"/>
      <c r="G21" s="126"/>
      <c r="H21" s="189">
        <f t="shared" si="12"/>
        <v>769.79</v>
      </c>
      <c r="I21" s="126" t="s">
        <v>567</v>
      </c>
      <c r="J21" s="170"/>
      <c r="K21" s="189"/>
      <c r="L21" s="126"/>
      <c r="M21" s="189">
        <f>IFERROR(INDEX('Market Data'!$C$3:$C$300,MATCH($A21,'Market Data'!$A$3:$A$300,0)),"")</f>
        <v>453.31</v>
      </c>
      <c r="N21" s="189">
        <f t="shared" si="0"/>
        <v>778.57</v>
      </c>
      <c r="O21" s="191">
        <f t="shared" si="1"/>
        <v>9.4951690821255985E-2</v>
      </c>
      <c r="P21" s="191">
        <f t="shared" si="2"/>
        <v>1.1405708050247654E-2</v>
      </c>
      <c r="Q21" s="191">
        <f t="shared" si="3"/>
        <v>8.3545982771008331E-2</v>
      </c>
      <c r="R21" s="189" t="s">
        <v>568</v>
      </c>
      <c r="S21" s="189" t="s">
        <v>573</v>
      </c>
      <c r="T21" s="192">
        <v>25</v>
      </c>
      <c r="U21" s="193">
        <f>IF($A21="","",IF(OR($S21="System",$I21="Exited"),$T21,SUMIFS(CurrentPositionsTable[Quantity],CurrentPositionsTable[Ticker],$A21)-SUMIFS($T$3:$T$44,$A$3:$A$44,$A21,$S$3:$S$44,"System",$I$3:$I$44,"Held")))</f>
        <v>25</v>
      </c>
      <c r="V21" s="194">
        <f t="shared" si="4"/>
        <v>10350</v>
      </c>
      <c r="W21" s="194">
        <f t="shared" si="5"/>
        <v>11332.75</v>
      </c>
      <c r="X21" s="195">
        <f t="shared" si="6"/>
        <v>982.75</v>
      </c>
      <c r="Y21" s="189">
        <v>303.89</v>
      </c>
      <c r="Z21" s="194">
        <f t="shared" si="8"/>
        <v>7597.25</v>
      </c>
      <c r="AA21" s="195">
        <f t="shared" si="9"/>
        <v>3735.5</v>
      </c>
      <c r="AB21" s="191">
        <f t="shared" si="10"/>
        <v>0.49169107242752319</v>
      </c>
      <c r="AC21" s="195">
        <f t="shared" si="11"/>
        <v>118.04907832006322</v>
      </c>
    </row>
    <row r="22" spans="1:29" ht="15" customHeight="1" x14ac:dyDescent="0.2">
      <c r="A22" s="187" t="s">
        <v>117</v>
      </c>
      <c r="B22" s="126" t="s">
        <v>118</v>
      </c>
      <c r="C22" s="170">
        <v>46239</v>
      </c>
      <c r="D22" s="189">
        <v>277.94</v>
      </c>
      <c r="E22" s="190"/>
      <c r="F22" s="126"/>
      <c r="G22" s="126"/>
      <c r="H22" s="189">
        <f t="shared" si="12"/>
        <v>769.79</v>
      </c>
      <c r="I22" s="126" t="s">
        <v>567</v>
      </c>
      <c r="J22" s="170"/>
      <c r="K22" s="189"/>
      <c r="L22" s="126"/>
      <c r="M22" s="189">
        <f>IFERROR(INDEX('Market Data'!$C$3:$C$300,MATCH($A22,'Market Data'!$A$3:$A$300,0)),"")</f>
        <v>242.78</v>
      </c>
      <c r="N22" s="189">
        <f t="shared" si="0"/>
        <v>778.57</v>
      </c>
      <c r="O22" s="191">
        <f t="shared" si="1"/>
        <v>-0.12650212276030792</v>
      </c>
      <c r="P22" s="191">
        <f t="shared" si="2"/>
        <v>1.1405708050247654E-2</v>
      </c>
      <c r="Q22" s="191">
        <f t="shared" si="3"/>
        <v>-0.13790783081055558</v>
      </c>
      <c r="R22" s="189" t="s">
        <v>568</v>
      </c>
      <c r="S22" s="189" t="s">
        <v>573</v>
      </c>
      <c r="T22" s="192">
        <v>30</v>
      </c>
      <c r="U22" s="193">
        <f>IF($A22="","",IF(OR($S22="System",$I22="Exited"),$T22,SUMIFS(CurrentPositionsTable[Quantity],CurrentPositionsTable[Ticker],$A22)-SUMIFS($T$3:$T$44,$A$3:$A$44,$A22,$S$3:$S$44,"System",$I$3:$I$44,"Held")))</f>
        <v>30</v>
      </c>
      <c r="V22" s="194">
        <f t="shared" si="4"/>
        <v>8338.2000000000007</v>
      </c>
      <c r="W22" s="194">
        <f t="shared" si="5"/>
        <v>7283.4</v>
      </c>
      <c r="X22" s="195">
        <f t="shared" si="6"/>
        <v>-1054.8000000000011</v>
      </c>
      <c r="Y22" s="189">
        <v>162.01</v>
      </c>
      <c r="Z22" s="194">
        <f t="shared" si="8"/>
        <v>4860.2999999999993</v>
      </c>
      <c r="AA22" s="195">
        <f t="shared" si="9"/>
        <v>2423.1000000000004</v>
      </c>
      <c r="AB22" s="191">
        <f t="shared" si="10"/>
        <v>0.49854947225479918</v>
      </c>
      <c r="AC22" s="195">
        <f t="shared" si="11"/>
        <v>95.103074864574992</v>
      </c>
    </row>
    <row r="23" spans="1:29" ht="15" customHeight="1" x14ac:dyDescent="0.2">
      <c r="A23" s="196" t="s">
        <v>163</v>
      </c>
      <c r="B23" s="126" t="s">
        <v>576</v>
      </c>
      <c r="C23" s="170">
        <v>46239</v>
      </c>
      <c r="D23" s="189">
        <v>127.24</v>
      </c>
      <c r="E23" s="190"/>
      <c r="F23" s="126"/>
      <c r="G23" s="126"/>
      <c r="H23" s="189">
        <f t="shared" si="12"/>
        <v>769.79</v>
      </c>
      <c r="I23" s="126" t="s">
        <v>567</v>
      </c>
      <c r="J23" s="170"/>
      <c r="K23" s="189"/>
      <c r="L23" s="126"/>
      <c r="M23" s="189">
        <f>IFERROR(INDEX('Market Data'!$C$3:$C$300,MATCH($A23,'Market Data'!$A$3:$A$300,0)),"")</f>
        <v>119.64</v>
      </c>
      <c r="N23" s="189">
        <f t="shared" si="0"/>
        <v>778.57</v>
      </c>
      <c r="O23" s="191">
        <f t="shared" si="1"/>
        <v>-5.9729644765796897E-2</v>
      </c>
      <c r="P23" s="191">
        <f t="shared" si="2"/>
        <v>1.1405708050247654E-2</v>
      </c>
      <c r="Q23" s="191">
        <f t="shared" si="3"/>
        <v>-7.113535281604455E-2</v>
      </c>
      <c r="R23" s="189" t="s">
        <v>577</v>
      </c>
      <c r="S23" s="189" t="s">
        <v>573</v>
      </c>
      <c r="T23" s="192">
        <v>400.00000999999997</v>
      </c>
      <c r="U23" s="193">
        <f>IF($A23="","",IF(OR($S23="System",$I23="Exited"),$T23,SUMIFS(CurrentPositionsTable[Quantity],CurrentPositionsTable[Ticker],$A23)-SUMIFS($T$3:$T$44,$A$3:$A$44,$A23,$S$3:$S$44,"System",$I$3:$I$44,"Held")))</f>
        <v>400.00000999999997</v>
      </c>
      <c r="V23" s="194">
        <f t="shared" si="4"/>
        <v>50896.001272399997</v>
      </c>
      <c r="W23" s="194">
        <f t="shared" si="5"/>
        <v>47856.0011964</v>
      </c>
      <c r="X23" s="195">
        <f t="shared" si="6"/>
        <v>-3040.0000759999966</v>
      </c>
      <c r="Y23" s="189">
        <v>101.98</v>
      </c>
      <c r="Z23" s="194">
        <f t="shared" si="8"/>
        <v>40792.001019800002</v>
      </c>
      <c r="AA23" s="195">
        <f t="shared" si="9"/>
        <v>7064.0001765999987</v>
      </c>
      <c r="AB23" s="191">
        <f t="shared" si="10"/>
        <v>0.17317121004118441</v>
      </c>
      <c r="AC23" s="195">
        <f t="shared" si="11"/>
        <v>580.50493143802748</v>
      </c>
    </row>
    <row r="24" spans="1:29" ht="15" customHeight="1" x14ac:dyDescent="0.2">
      <c r="A24" s="196" t="s">
        <v>128</v>
      </c>
      <c r="B24" s="126" t="s">
        <v>578</v>
      </c>
      <c r="C24" s="170">
        <v>46239</v>
      </c>
      <c r="D24" s="189">
        <v>161.66999999999999</v>
      </c>
      <c r="E24" s="190"/>
      <c r="F24" s="126"/>
      <c r="G24" s="126"/>
      <c r="H24" s="189">
        <f t="shared" si="12"/>
        <v>769.79</v>
      </c>
      <c r="I24" s="126" t="s">
        <v>567</v>
      </c>
      <c r="J24" s="170"/>
      <c r="K24" s="189"/>
      <c r="L24" s="126"/>
      <c r="M24" s="189">
        <f>IFERROR(INDEX('Market Data'!$C$3:$C$300,MATCH($A24,'Market Data'!$A$3:$A$300,0)),"")</f>
        <v>154.36000000000001</v>
      </c>
      <c r="N24" s="189">
        <f t="shared" si="0"/>
        <v>778.57</v>
      </c>
      <c r="O24" s="191">
        <f t="shared" si="1"/>
        <v>-4.5215562565720124E-2</v>
      </c>
      <c r="P24" s="191">
        <f t="shared" si="2"/>
        <v>1.1405708050247654E-2</v>
      </c>
      <c r="Q24" s="191">
        <f t="shared" si="3"/>
        <v>-5.6621270615967778E-2</v>
      </c>
      <c r="R24" s="189" t="s">
        <v>577</v>
      </c>
      <c r="S24" s="189" t="s">
        <v>573</v>
      </c>
      <c r="T24" s="192">
        <v>150</v>
      </c>
      <c r="U24" s="193">
        <f>IF($A24="","",IF(OR($S24="System",$I24="Exited"),$T24,SUMIFS(CurrentPositionsTable[Quantity],CurrentPositionsTable[Ticker],$A24)-SUMIFS($T$3:$T$44,$A$3:$A$44,$A24,$S$3:$S$44,"System",$I$3:$I$44,"Held")))</f>
        <v>150</v>
      </c>
      <c r="V24" s="194">
        <f t="shared" si="4"/>
        <v>24250.499999999996</v>
      </c>
      <c r="W24" s="194">
        <f t="shared" si="5"/>
        <v>23154.000000000004</v>
      </c>
      <c r="X24" s="195">
        <f t="shared" si="6"/>
        <v>-1096.4999999999927</v>
      </c>
      <c r="Y24" s="189">
        <v>141.13999999999999</v>
      </c>
      <c r="Z24" s="194">
        <f t="shared" si="8"/>
        <v>21170.999999999996</v>
      </c>
      <c r="AA24" s="195">
        <f t="shared" si="9"/>
        <v>1983.0000000000073</v>
      </c>
      <c r="AB24" s="191">
        <f t="shared" si="10"/>
        <v>9.3665863681451356E-2</v>
      </c>
      <c r="AC24" s="195">
        <f t="shared" si="11"/>
        <v>276.59412307253069</v>
      </c>
    </row>
    <row r="25" spans="1:29" ht="15" customHeight="1" x14ac:dyDescent="0.2">
      <c r="A25" s="196" t="s">
        <v>169</v>
      </c>
      <c r="B25" s="126" t="s">
        <v>579</v>
      </c>
      <c r="C25" s="170">
        <v>46239</v>
      </c>
      <c r="D25" s="189">
        <v>69.61</v>
      </c>
      <c r="E25" s="190"/>
      <c r="F25" s="126"/>
      <c r="G25" s="126"/>
      <c r="H25" s="189">
        <f t="shared" si="12"/>
        <v>769.79</v>
      </c>
      <c r="I25" s="126" t="s">
        <v>567</v>
      </c>
      <c r="J25" s="170"/>
      <c r="K25" s="189"/>
      <c r="L25" s="126"/>
      <c r="M25" s="189">
        <f>IFERROR(INDEX('Market Data'!$C$3:$C$300,MATCH($A25,'Market Data'!$A$3:$A$300,0)),"")</f>
        <v>69.97</v>
      </c>
      <c r="N25" s="189">
        <f t="shared" si="0"/>
        <v>778.57</v>
      </c>
      <c r="O25" s="191">
        <f t="shared" si="1"/>
        <v>5.1716707369631187E-3</v>
      </c>
      <c r="P25" s="191">
        <f t="shared" si="2"/>
        <v>1.1405708050247654E-2</v>
      </c>
      <c r="Q25" s="191">
        <f t="shared" si="3"/>
        <v>-6.234037313284535E-3</v>
      </c>
      <c r="R25" s="189" t="s">
        <v>577</v>
      </c>
      <c r="S25" s="189" t="s">
        <v>573</v>
      </c>
      <c r="T25" s="192">
        <v>500</v>
      </c>
      <c r="U25" s="193">
        <f>IF($A25="","",IF(OR($S25="System",$I25="Exited"),$T25,SUMIFS(CurrentPositionsTable[Quantity],CurrentPositionsTable[Ticker],$A25)-SUMIFS($T$3:$T$44,$A$3:$A$44,$A25,$S$3:$S$44,"System",$I$3:$I$44,"Held")))</f>
        <v>500</v>
      </c>
      <c r="V25" s="194">
        <f t="shared" si="4"/>
        <v>34805</v>
      </c>
      <c r="W25" s="194">
        <f t="shared" si="5"/>
        <v>34985</v>
      </c>
      <c r="X25" s="195">
        <f t="shared" si="6"/>
        <v>180</v>
      </c>
      <c r="Y25" s="189">
        <v>66.430000000000007</v>
      </c>
      <c r="Z25" s="194">
        <f t="shared" si="8"/>
        <v>33215</v>
      </c>
      <c r="AA25" s="195">
        <f t="shared" si="9"/>
        <v>1770</v>
      </c>
      <c r="AB25" s="191">
        <f t="shared" si="10"/>
        <v>5.328917657684773E-2</v>
      </c>
      <c r="AC25" s="195">
        <f t="shared" si="11"/>
        <v>396.97566868886958</v>
      </c>
    </row>
    <row r="26" spans="1:29" ht="15" customHeight="1" x14ac:dyDescent="0.2">
      <c r="A26" s="196" t="s">
        <v>195</v>
      </c>
      <c r="B26" s="126" t="s">
        <v>580</v>
      </c>
      <c r="C26" s="170">
        <v>46239</v>
      </c>
      <c r="D26" s="189">
        <v>57.51</v>
      </c>
      <c r="E26" s="190"/>
      <c r="F26" s="126"/>
      <c r="G26" s="126"/>
      <c r="H26" s="189">
        <f t="shared" si="12"/>
        <v>769.79</v>
      </c>
      <c r="I26" s="126" t="s">
        <v>567</v>
      </c>
      <c r="J26" s="170"/>
      <c r="K26" s="189"/>
      <c r="L26" s="126"/>
      <c r="M26" s="189">
        <f>IFERROR(INDEX('Market Data'!$C$3:$C$300,MATCH($A26,'Market Data'!$A$3:$A$300,0)),"")</f>
        <v>56.77</v>
      </c>
      <c r="N26" s="189">
        <f t="shared" si="0"/>
        <v>778.57</v>
      </c>
      <c r="O26" s="191">
        <f t="shared" si="1"/>
        <v>-1.2867327421317909E-2</v>
      </c>
      <c r="P26" s="191">
        <f t="shared" si="2"/>
        <v>1.1405708050247654E-2</v>
      </c>
      <c r="Q26" s="191">
        <f t="shared" si="3"/>
        <v>-2.4273035471565563E-2</v>
      </c>
      <c r="R26" s="189" t="s">
        <v>577</v>
      </c>
      <c r="S26" s="189" t="s">
        <v>573</v>
      </c>
      <c r="T26" s="192">
        <v>180</v>
      </c>
      <c r="U26" s="193">
        <f>IF($A26="","",IF(OR($S26="System",$I26="Exited"),$T26,SUMIFS(CurrentPositionsTable[Quantity],CurrentPositionsTable[Ticker],$A26)-SUMIFS($T$3:$T$44,$A$3:$A$44,$A26,$S$3:$S$44,"System",$I$3:$I$44,"Held")))</f>
        <v>180</v>
      </c>
      <c r="V26" s="194">
        <f t="shared" si="4"/>
        <v>10351.799999999999</v>
      </c>
      <c r="W26" s="194">
        <f t="shared" si="5"/>
        <v>10218.6</v>
      </c>
      <c r="X26" s="195">
        <f t="shared" si="6"/>
        <v>-133.19999999999891</v>
      </c>
      <c r="Y26" s="189">
        <v>57.24</v>
      </c>
      <c r="Z26" s="194">
        <f t="shared" si="8"/>
        <v>10303.200000000001</v>
      </c>
      <c r="AA26" s="195">
        <f t="shared" si="9"/>
        <v>-84.600000000000364</v>
      </c>
      <c r="AB26" s="191">
        <f t="shared" si="10"/>
        <v>-8.2110412299092328E-3</v>
      </c>
      <c r="AC26" s="195">
        <f t="shared" si="11"/>
        <v>118.06960859455366</v>
      </c>
    </row>
    <row r="27" spans="1:29" ht="15" customHeight="1" x14ac:dyDescent="0.2">
      <c r="A27" s="196" t="s">
        <v>159</v>
      </c>
      <c r="B27" s="126" t="s">
        <v>581</v>
      </c>
      <c r="C27" s="170">
        <v>46239</v>
      </c>
      <c r="D27" s="189">
        <v>59.38</v>
      </c>
      <c r="E27" s="190"/>
      <c r="F27" s="126"/>
      <c r="G27" s="126"/>
      <c r="H27" s="189">
        <f t="shared" si="12"/>
        <v>769.79</v>
      </c>
      <c r="I27" s="126" t="s">
        <v>567</v>
      </c>
      <c r="J27" s="170"/>
      <c r="K27" s="189"/>
      <c r="L27" s="126"/>
      <c r="M27" s="189">
        <f>IFERROR(INDEX('Market Data'!$C$3:$C$300,MATCH($A27,'Market Data'!$A$3:$A$300,0)),"")</f>
        <v>61.09</v>
      </c>
      <c r="N27" s="189">
        <f t="shared" si="0"/>
        <v>778.57</v>
      </c>
      <c r="O27" s="191">
        <f t="shared" si="1"/>
        <v>2.8797574941057613E-2</v>
      </c>
      <c r="P27" s="191">
        <f t="shared" si="2"/>
        <v>1.1405708050247654E-2</v>
      </c>
      <c r="Q27" s="191">
        <f t="shared" si="3"/>
        <v>1.7391866890809959E-2</v>
      </c>
      <c r="R27" s="189" t="s">
        <v>577</v>
      </c>
      <c r="S27" s="189" t="s">
        <v>573</v>
      </c>
      <c r="T27" s="192">
        <v>850.35693000000003</v>
      </c>
      <c r="U27" s="193">
        <f>IF($A27="","",IF(OR($S27="System",$I27="Exited"),$T27,SUMIFS(CurrentPositionsTable[Quantity],CurrentPositionsTable[Ticker],$A27)-SUMIFS($T$3:$T$44,$A$3:$A$44,$A27,$S$3:$S$44,"System",$I$3:$I$44,"Held")))</f>
        <v>850.35693000000003</v>
      </c>
      <c r="V27" s="194">
        <f t="shared" si="4"/>
        <v>50494.194503400002</v>
      </c>
      <c r="W27" s="194">
        <f t="shared" si="5"/>
        <v>51948.304853700007</v>
      </c>
      <c r="X27" s="195">
        <f t="shared" si="6"/>
        <v>1454.1103503000049</v>
      </c>
      <c r="Y27" s="189">
        <v>58.12</v>
      </c>
      <c r="Z27" s="194">
        <f t="shared" si="8"/>
        <v>49422.744771600002</v>
      </c>
      <c r="AA27" s="195">
        <f t="shared" si="9"/>
        <v>2525.5600821000044</v>
      </c>
      <c r="AB27" s="191">
        <f t="shared" si="10"/>
        <v>5.1101169993117868E-2</v>
      </c>
      <c r="AC27" s="195">
        <f t="shared" si="11"/>
        <v>575.92204073820028</v>
      </c>
    </row>
    <row r="28" spans="1:29" ht="15" customHeight="1" x14ac:dyDescent="0.2">
      <c r="A28" s="196" t="s">
        <v>138</v>
      </c>
      <c r="B28" s="126" t="s">
        <v>582</v>
      </c>
      <c r="C28" s="170">
        <v>46239</v>
      </c>
      <c r="D28" s="189">
        <v>52.9</v>
      </c>
      <c r="E28" s="190"/>
      <c r="F28" s="126"/>
      <c r="G28" s="126"/>
      <c r="H28" s="189">
        <f t="shared" si="12"/>
        <v>769.79</v>
      </c>
      <c r="I28" s="126" t="s">
        <v>567</v>
      </c>
      <c r="J28" s="170"/>
      <c r="K28" s="189"/>
      <c r="L28" s="126"/>
      <c r="M28" s="189">
        <f>IFERROR(INDEX('Market Data'!$C$3:$C$300,MATCH($A28,'Market Data'!$A$3:$A$300,0)),"")</f>
        <v>52.08</v>
      </c>
      <c r="N28" s="189">
        <f t="shared" si="0"/>
        <v>778.57</v>
      </c>
      <c r="O28" s="191">
        <f t="shared" si="1"/>
        <v>-1.5500945179584114E-2</v>
      </c>
      <c r="P28" s="191">
        <f t="shared" si="2"/>
        <v>1.1405708050247654E-2</v>
      </c>
      <c r="Q28" s="191">
        <f t="shared" si="3"/>
        <v>-2.6906653229831767E-2</v>
      </c>
      <c r="R28" s="189" t="s">
        <v>577</v>
      </c>
      <c r="S28" s="189" t="s">
        <v>573</v>
      </c>
      <c r="T28" s="192">
        <v>1000</v>
      </c>
      <c r="U28" s="193">
        <f>IF($A28="","",IF(OR($S28="System",$I28="Exited"),$T28,SUMIFS(CurrentPositionsTable[Quantity],CurrentPositionsTable[Ticker],$A28)-SUMIFS($T$3:$T$44,$A$3:$A$44,$A28,$S$3:$S$44,"System",$I$3:$I$44,"Held")))</f>
        <v>1000</v>
      </c>
      <c r="V28" s="194">
        <f t="shared" si="4"/>
        <v>52900</v>
      </c>
      <c r="W28" s="194">
        <f t="shared" si="5"/>
        <v>52080</v>
      </c>
      <c r="X28" s="195">
        <f t="shared" si="6"/>
        <v>-820</v>
      </c>
      <c r="Y28" s="189">
        <v>50.11</v>
      </c>
      <c r="Z28" s="194">
        <f t="shared" si="8"/>
        <v>50110</v>
      </c>
      <c r="AA28" s="195">
        <f t="shared" si="9"/>
        <v>1970</v>
      </c>
      <c r="AB28" s="191">
        <f t="shared" si="10"/>
        <v>3.9313510277389829E-2</v>
      </c>
      <c r="AC28" s="195">
        <f t="shared" si="11"/>
        <v>603.36195585810083</v>
      </c>
    </row>
    <row r="29" spans="1:29" ht="15" customHeight="1" x14ac:dyDescent="0.2">
      <c r="A29" s="196" t="s">
        <v>134</v>
      </c>
      <c r="B29" s="126" t="s">
        <v>583</v>
      </c>
      <c r="C29" s="170">
        <v>46239</v>
      </c>
      <c r="D29" s="189">
        <v>33.64</v>
      </c>
      <c r="E29" s="190"/>
      <c r="F29" s="126"/>
      <c r="G29" s="126"/>
      <c r="H29" s="189">
        <f t="shared" si="12"/>
        <v>769.79</v>
      </c>
      <c r="I29" s="126" t="s">
        <v>567</v>
      </c>
      <c r="J29" s="170"/>
      <c r="K29" s="189"/>
      <c r="L29" s="126"/>
      <c r="M29" s="189">
        <f>IFERROR(INDEX('Market Data'!$C$3:$C$300,MATCH($A29,'Market Data'!$A$3:$A$300,0)),"")</f>
        <v>33.04</v>
      </c>
      <c r="N29" s="189">
        <f t="shared" si="0"/>
        <v>778.57</v>
      </c>
      <c r="O29" s="191">
        <f t="shared" si="1"/>
        <v>-1.7835909631391256E-2</v>
      </c>
      <c r="P29" s="191">
        <f t="shared" si="2"/>
        <v>1.1405708050247654E-2</v>
      </c>
      <c r="Q29" s="191">
        <f t="shared" si="3"/>
        <v>-2.924161768163891E-2</v>
      </c>
      <c r="R29" s="189" t="s">
        <v>577</v>
      </c>
      <c r="S29" s="189" t="s">
        <v>573</v>
      </c>
      <c r="T29" s="192">
        <v>700</v>
      </c>
      <c r="U29" s="193">
        <f>IF($A29="","",IF(OR($S29="System",$I29="Exited"),$T29,SUMIFS(CurrentPositionsTable[Quantity],CurrentPositionsTable[Ticker],$A29)-SUMIFS($T$3:$T$44,$A$3:$A$44,$A29,$S$3:$S$44,"System",$I$3:$I$44,"Held")))</f>
        <v>700</v>
      </c>
      <c r="V29" s="194">
        <f t="shared" si="4"/>
        <v>23548</v>
      </c>
      <c r="W29" s="194">
        <f t="shared" si="5"/>
        <v>23128</v>
      </c>
      <c r="X29" s="195">
        <f t="shared" si="6"/>
        <v>-420</v>
      </c>
      <c r="Y29" s="189">
        <v>27.43</v>
      </c>
      <c r="Z29" s="194">
        <f t="shared" si="8"/>
        <v>19201</v>
      </c>
      <c r="AA29" s="195">
        <f t="shared" si="9"/>
        <v>3927</v>
      </c>
      <c r="AB29" s="191">
        <f t="shared" si="10"/>
        <v>0.2045205978855269</v>
      </c>
      <c r="AC29" s="195">
        <f t="shared" si="11"/>
        <v>268.58161316723175</v>
      </c>
    </row>
    <row r="30" spans="1:29" ht="15" customHeight="1" x14ac:dyDescent="0.2">
      <c r="A30" s="196" t="s">
        <v>140</v>
      </c>
      <c r="B30" s="126" t="s">
        <v>584</v>
      </c>
      <c r="C30" s="170">
        <v>46239</v>
      </c>
      <c r="D30" s="189">
        <v>150.27000000000001</v>
      </c>
      <c r="E30" s="190"/>
      <c r="F30" s="126"/>
      <c r="G30" s="126"/>
      <c r="H30" s="189">
        <f t="shared" si="12"/>
        <v>769.79</v>
      </c>
      <c r="I30" s="126" t="s">
        <v>567</v>
      </c>
      <c r="J30" s="170"/>
      <c r="K30" s="189"/>
      <c r="L30" s="126"/>
      <c r="M30" s="189">
        <f>IFERROR(INDEX('Market Data'!$C$3:$C$300,MATCH($A30,'Market Data'!$A$3:$A$300,0)),"")</f>
        <v>151.16</v>
      </c>
      <c r="N30" s="189">
        <f t="shared" si="0"/>
        <v>778.57</v>
      </c>
      <c r="O30" s="191">
        <f t="shared" si="1"/>
        <v>5.9226725227921051E-3</v>
      </c>
      <c r="P30" s="191">
        <f t="shared" si="2"/>
        <v>1.1405708050247654E-2</v>
      </c>
      <c r="Q30" s="191">
        <f t="shared" si="3"/>
        <v>-5.4830355274555487E-3</v>
      </c>
      <c r="R30" s="189" t="s">
        <v>577</v>
      </c>
      <c r="S30" s="189" t="s">
        <v>573</v>
      </c>
      <c r="T30" s="192">
        <v>146.93745000000001</v>
      </c>
      <c r="U30" s="193">
        <f>IF($A30="","",IF(OR($S30="System",$I30="Exited"),$T30,SUMIFS(CurrentPositionsTable[Quantity],CurrentPositionsTable[Ticker],$A30)-SUMIFS($T$3:$T$44,$A$3:$A$44,$A30,$S$3:$S$44,"System",$I$3:$I$44,"Held")))</f>
        <v>146.93745000000001</v>
      </c>
      <c r="V30" s="194">
        <f t="shared" si="4"/>
        <v>22080.290611500004</v>
      </c>
      <c r="W30" s="194">
        <f t="shared" si="5"/>
        <v>22211.064942000001</v>
      </c>
      <c r="X30" s="195">
        <f t="shared" si="6"/>
        <v>130.77433049999672</v>
      </c>
      <c r="Y30" s="189">
        <v>119.32</v>
      </c>
      <c r="Z30" s="194">
        <f t="shared" si="8"/>
        <v>17532.576534</v>
      </c>
      <c r="AA30" s="195">
        <f t="shared" si="9"/>
        <v>4678.4884080000011</v>
      </c>
      <c r="AB30" s="191">
        <f t="shared" si="10"/>
        <v>0.26684545759302725</v>
      </c>
      <c r="AC30" s="195">
        <f t="shared" si="11"/>
        <v>251.84134837939328</v>
      </c>
    </row>
    <row r="31" spans="1:29" ht="15" customHeight="1" x14ac:dyDescent="0.2">
      <c r="A31" s="196" t="s">
        <v>131</v>
      </c>
      <c r="B31" s="126" t="s">
        <v>585</v>
      </c>
      <c r="C31" s="170">
        <v>46239</v>
      </c>
      <c r="D31" s="189">
        <v>50.42</v>
      </c>
      <c r="E31" s="190"/>
      <c r="F31" s="126"/>
      <c r="G31" s="126"/>
      <c r="H31" s="189">
        <f t="shared" si="12"/>
        <v>769.79</v>
      </c>
      <c r="I31" s="126" t="s">
        <v>567</v>
      </c>
      <c r="J31" s="170"/>
      <c r="K31" s="189"/>
      <c r="L31" s="126"/>
      <c r="M31" s="189">
        <f>IFERROR(INDEX('Market Data'!$C$3:$C$300,MATCH($A31,'Market Data'!$A$3:$A$300,0)),"")</f>
        <v>52.84</v>
      </c>
      <c r="N31" s="189">
        <f t="shared" si="0"/>
        <v>778.57</v>
      </c>
      <c r="O31" s="191">
        <f t="shared" si="1"/>
        <v>4.7996826656088842E-2</v>
      </c>
      <c r="P31" s="191">
        <f t="shared" si="2"/>
        <v>1.1405708050247654E-2</v>
      </c>
      <c r="Q31" s="191">
        <f t="shared" si="3"/>
        <v>3.6591118605841189E-2</v>
      </c>
      <c r="R31" s="189" t="s">
        <v>577</v>
      </c>
      <c r="S31" s="189" t="s">
        <v>573</v>
      </c>
      <c r="T31" s="192">
        <v>651.30399999999997</v>
      </c>
      <c r="U31" s="193">
        <f>IF($A31="","",IF(OR($S31="System",$I31="Exited"),$T31,SUMIFS(CurrentPositionsTable[Quantity],CurrentPositionsTable[Ticker],$A31)-SUMIFS($T$3:$T$44,$A$3:$A$44,$A31,$S$3:$S$44,"System",$I$3:$I$44,"Held")))</f>
        <v>651.30399999999997</v>
      </c>
      <c r="V31" s="194">
        <f t="shared" si="4"/>
        <v>32838.74768</v>
      </c>
      <c r="W31" s="194">
        <f t="shared" si="5"/>
        <v>34414.903360000004</v>
      </c>
      <c r="X31" s="195">
        <f t="shared" si="6"/>
        <v>1576.1556800000035</v>
      </c>
      <c r="Y31" s="189">
        <v>39.380000000000003</v>
      </c>
      <c r="Z31" s="194">
        <f t="shared" si="8"/>
        <v>25648.35152</v>
      </c>
      <c r="AA31" s="195">
        <f t="shared" si="9"/>
        <v>8766.5518400000037</v>
      </c>
      <c r="AB31" s="191">
        <f t="shared" si="10"/>
        <v>0.34179786693753189</v>
      </c>
      <c r="AC31" s="195">
        <f t="shared" si="11"/>
        <v>374.54916877382749</v>
      </c>
    </row>
    <row r="32" spans="1:29" ht="15" customHeight="1" x14ac:dyDescent="0.2">
      <c r="A32" s="196" t="s">
        <v>136</v>
      </c>
      <c r="B32" s="126" t="s">
        <v>586</v>
      </c>
      <c r="C32" s="170">
        <v>46239</v>
      </c>
      <c r="D32" s="189">
        <v>165.13</v>
      </c>
      <c r="E32" s="190"/>
      <c r="F32" s="126"/>
      <c r="G32" s="126"/>
      <c r="H32" s="189">
        <f t="shared" si="12"/>
        <v>769.79</v>
      </c>
      <c r="I32" s="126" t="s">
        <v>567</v>
      </c>
      <c r="J32" s="170"/>
      <c r="K32" s="189"/>
      <c r="L32" s="126"/>
      <c r="M32" s="189">
        <f>IFERROR(INDEX('Market Data'!$C$3:$C$300,MATCH($A32,'Market Data'!$A$3:$A$300,0)),"")</f>
        <v>158.75</v>
      </c>
      <c r="N32" s="189">
        <f t="shared" si="0"/>
        <v>778.57</v>
      </c>
      <c r="O32" s="191">
        <f t="shared" si="1"/>
        <v>-3.8636226003754603E-2</v>
      </c>
      <c r="P32" s="191">
        <f t="shared" si="2"/>
        <v>1.1405708050247654E-2</v>
      </c>
      <c r="Q32" s="191">
        <f t="shared" si="3"/>
        <v>-5.0041934054002257E-2</v>
      </c>
      <c r="R32" s="189" t="s">
        <v>577</v>
      </c>
      <c r="S32" s="189" t="s">
        <v>573</v>
      </c>
      <c r="T32" s="192">
        <v>150</v>
      </c>
      <c r="U32" s="193">
        <f>IF($A32="","",IF(OR($S32="System",$I32="Exited"),$T32,SUMIFS(CurrentPositionsTable[Quantity],CurrentPositionsTable[Ticker],$A32)-SUMIFS($T$3:$T$44,$A$3:$A$44,$A32,$S$3:$S$44,"System",$I$3:$I$44,"Held")))</f>
        <v>150</v>
      </c>
      <c r="V32" s="194">
        <f t="shared" si="4"/>
        <v>24769.5</v>
      </c>
      <c r="W32" s="194">
        <f t="shared" si="5"/>
        <v>23812.5</v>
      </c>
      <c r="X32" s="195">
        <f t="shared" si="6"/>
        <v>-957</v>
      </c>
      <c r="Y32" s="189">
        <v>143.52000000000001</v>
      </c>
      <c r="Z32" s="194">
        <f t="shared" si="8"/>
        <v>21528</v>
      </c>
      <c r="AA32" s="195">
        <f t="shared" si="9"/>
        <v>2284.5</v>
      </c>
      <c r="AB32" s="191">
        <f t="shared" si="10"/>
        <v>0.10611761426978816</v>
      </c>
      <c r="AC32" s="195">
        <f t="shared" si="11"/>
        <v>282.51368555060924</v>
      </c>
    </row>
    <row r="33" spans="1:29" ht="15" customHeight="1" x14ac:dyDescent="0.2">
      <c r="A33" s="196" t="s">
        <v>122</v>
      </c>
      <c r="B33" s="126" t="s">
        <v>587</v>
      </c>
      <c r="C33" s="170">
        <v>46239</v>
      </c>
      <c r="D33" s="189">
        <v>1</v>
      </c>
      <c r="E33" s="190"/>
      <c r="F33" s="126"/>
      <c r="G33" s="126"/>
      <c r="H33" s="189">
        <f t="shared" si="12"/>
        <v>769.79</v>
      </c>
      <c r="I33" s="126" t="s">
        <v>567</v>
      </c>
      <c r="J33" s="170"/>
      <c r="K33" s="189"/>
      <c r="L33" s="126"/>
      <c r="M33" s="189">
        <v>1</v>
      </c>
      <c r="N33" s="189">
        <f t="shared" si="0"/>
        <v>778.57</v>
      </c>
      <c r="O33" s="191">
        <f t="shared" si="1"/>
        <v>0</v>
      </c>
      <c r="P33" s="191">
        <f t="shared" si="2"/>
        <v>1.1405708050247654E-2</v>
      </c>
      <c r="Q33" s="191">
        <f t="shared" si="3"/>
        <v>-1.1405708050247654E-2</v>
      </c>
      <c r="R33" s="189" t="s">
        <v>124</v>
      </c>
      <c r="S33" s="189" t="s">
        <v>573</v>
      </c>
      <c r="T33" s="192"/>
      <c r="U33" s="193">
        <f>IF($A33="","",IF(OR($S33="System",$I33="Exited"),$T33,SUMIFS(CurrentPositionsTable[Quantity],CurrentPositionsTable[Ticker],$A33)-SUMIFS($T$3:$T$44,$A$3:$A$44,$A33,$S$3:$S$44,"System",$I$3:$I$44,"Held")))</f>
        <v>15713.12</v>
      </c>
      <c r="V33" s="194">
        <f t="shared" si="4"/>
        <v>15713.12</v>
      </c>
      <c r="W33" s="194">
        <f t="shared" si="5"/>
        <v>15713.12</v>
      </c>
      <c r="X33" s="195">
        <f t="shared" si="6"/>
        <v>0</v>
      </c>
      <c r="Y33" s="189">
        <v>1</v>
      </c>
      <c r="Z33" s="194">
        <f t="shared" si="8"/>
        <v>15713.12</v>
      </c>
      <c r="AA33" s="195">
        <f t="shared" si="9"/>
        <v>0</v>
      </c>
      <c r="AB33" s="191">
        <f t="shared" si="10"/>
        <v>0</v>
      </c>
      <c r="AC33" s="195">
        <f t="shared" si="11"/>
        <v>179.21925927850742</v>
      </c>
    </row>
    <row r="34" spans="1:29" ht="15" customHeight="1" x14ac:dyDescent="0.2">
      <c r="A34" s="187" t="s">
        <v>126</v>
      </c>
      <c r="B34" s="126" t="s">
        <v>588</v>
      </c>
      <c r="C34" s="170">
        <v>46239</v>
      </c>
      <c r="D34" s="189">
        <v>1</v>
      </c>
      <c r="E34" s="190"/>
      <c r="F34" s="126"/>
      <c r="G34" s="126"/>
      <c r="H34" s="189">
        <f t="shared" si="12"/>
        <v>769.79</v>
      </c>
      <c r="I34" s="126" t="s">
        <v>589</v>
      </c>
      <c r="J34" s="170">
        <v>46296</v>
      </c>
      <c r="K34" s="189">
        <v>1</v>
      </c>
      <c r="L34" s="126" t="s">
        <v>590</v>
      </c>
      <c r="M34" s="189">
        <v>1</v>
      </c>
      <c r="N34" s="189">
        <v>763.99</v>
      </c>
      <c r="O34" s="191">
        <f t="shared" si="1"/>
        <v>0</v>
      </c>
      <c r="P34" s="191">
        <f t="shared" si="2"/>
        <v>-7.5345224022135282E-3</v>
      </c>
      <c r="Q34" s="191">
        <f t="shared" si="3"/>
        <v>7.5345224022135282E-3</v>
      </c>
      <c r="R34" s="189" t="s">
        <v>124</v>
      </c>
      <c r="S34" s="189" t="s">
        <v>573</v>
      </c>
      <c r="T34" s="192">
        <v>1174.01</v>
      </c>
      <c r="U34" s="193">
        <f>IF($A34="","",IF(OR($S34="System",$I34="Exited"),$T34,SUMIFS(CurrentPositionsTable[Quantity],CurrentPositionsTable[Ticker],$A34)-SUMIFS($T$3:$T$44,$A$3:$A$44,$A34,$S$3:$S$44,"System",$I$3:$I$44,"Held")))</f>
        <v>1174.01</v>
      </c>
      <c r="V34" s="194">
        <f t="shared" si="4"/>
        <v>1174.01</v>
      </c>
      <c r="W34" s="194">
        <f t="shared" si="5"/>
        <v>1174.01</v>
      </c>
      <c r="X34" s="195">
        <f t="shared" si="6"/>
        <v>0</v>
      </c>
      <c r="Y34" s="189">
        <v>1</v>
      </c>
      <c r="Z34" s="194">
        <f t="shared" si="8"/>
        <v>1174.01</v>
      </c>
      <c r="AA34" s="195">
        <f t="shared" si="9"/>
        <v>0</v>
      </c>
      <c r="AB34" s="191">
        <f t="shared" si="10"/>
        <v>0</v>
      </c>
      <c r="AC34" s="195">
        <f t="shared" si="11"/>
        <v>-8.8456046454227035</v>
      </c>
    </row>
    <row r="35" spans="1:29" ht="15" customHeight="1" x14ac:dyDescent="0.2">
      <c r="A35" s="196" t="s">
        <v>189</v>
      </c>
      <c r="B35" s="126" t="s">
        <v>591</v>
      </c>
      <c r="C35" s="170">
        <v>46239</v>
      </c>
      <c r="D35" s="189">
        <v>1</v>
      </c>
      <c r="E35" s="190"/>
      <c r="F35" s="126"/>
      <c r="G35" s="126"/>
      <c r="H35" s="189">
        <f t="shared" si="12"/>
        <v>769.79</v>
      </c>
      <c r="I35" s="126" t="s">
        <v>567</v>
      </c>
      <c r="J35" s="170"/>
      <c r="K35" s="189"/>
      <c r="L35" s="126"/>
      <c r="M35" s="189">
        <v>1</v>
      </c>
      <c r="N35" s="189">
        <f>PT_SPY_Now</f>
        <v>778.57</v>
      </c>
      <c r="O35" s="191">
        <f t="shared" si="1"/>
        <v>0</v>
      </c>
      <c r="P35" s="191">
        <f t="shared" si="2"/>
        <v>1.1405708050247654E-2</v>
      </c>
      <c r="Q35" s="191">
        <f t="shared" si="3"/>
        <v>-1.1405708050247654E-2</v>
      </c>
      <c r="R35" s="189" t="s">
        <v>124</v>
      </c>
      <c r="S35" s="189" t="s">
        <v>573</v>
      </c>
      <c r="T35" s="192"/>
      <c r="U35" s="193">
        <f>IF($A35="","",IF(OR($S35="System",$I35="Exited"),$T35,SUMIFS(CurrentPositionsTable[Quantity],CurrentPositionsTable[Ticker],$A35)-SUMIFS($T$3:$T$44,$A$3:$A$44,$A35,$S$3:$S$44,"System",$I$3:$I$44,"Held")))</f>
        <v>427.26</v>
      </c>
      <c r="V35" s="194">
        <f t="shared" si="4"/>
        <v>427.26</v>
      </c>
      <c r="W35" s="194">
        <f t="shared" si="5"/>
        <v>427.26</v>
      </c>
      <c r="X35" s="195">
        <f t="shared" si="6"/>
        <v>0</v>
      </c>
      <c r="Y35" s="189">
        <v>1</v>
      </c>
      <c r="Z35" s="194">
        <f t="shared" si="8"/>
        <v>427.26</v>
      </c>
      <c r="AA35" s="195">
        <f t="shared" si="9"/>
        <v>0</v>
      </c>
      <c r="AB35" s="191">
        <f t="shared" si="10"/>
        <v>0</v>
      </c>
      <c r="AC35" s="195">
        <f t="shared" si="11"/>
        <v>4.8732028215488121</v>
      </c>
    </row>
    <row r="36" spans="1:29" ht="15" customHeight="1" x14ac:dyDescent="0.2">
      <c r="A36" s="196" t="s">
        <v>156</v>
      </c>
      <c r="B36" s="126" t="s">
        <v>592</v>
      </c>
      <c r="C36" s="170">
        <v>46239</v>
      </c>
      <c r="D36" s="189">
        <v>1</v>
      </c>
      <c r="E36" s="190"/>
      <c r="F36" s="126"/>
      <c r="G36" s="126"/>
      <c r="H36" s="189">
        <f t="shared" si="12"/>
        <v>769.79</v>
      </c>
      <c r="I36" s="126" t="s">
        <v>567</v>
      </c>
      <c r="J36" s="170"/>
      <c r="K36" s="189"/>
      <c r="L36" s="126"/>
      <c r="M36" s="189">
        <v>1</v>
      </c>
      <c r="N36" s="189">
        <f>PT_SPY_Now</f>
        <v>778.57</v>
      </c>
      <c r="O36" s="191">
        <f t="shared" si="1"/>
        <v>0</v>
      </c>
      <c r="P36" s="191">
        <f t="shared" si="2"/>
        <v>1.1405708050247654E-2</v>
      </c>
      <c r="Q36" s="191">
        <f t="shared" si="3"/>
        <v>-1.1405708050247654E-2</v>
      </c>
      <c r="R36" s="189" t="s">
        <v>124</v>
      </c>
      <c r="S36" s="189" t="s">
        <v>573</v>
      </c>
      <c r="T36" s="192"/>
      <c r="U36" s="193">
        <f>IF($A36="","",IF(OR($S36="System",$I36="Exited"),$T36,SUMIFS(CurrentPositionsTable[Quantity],CurrentPositionsTable[Ticker],$A36)-SUMIFS($T$3:$T$44,$A$3:$A$44,$A36,$S$3:$S$44,"System",$I$3:$I$44,"Held")))</f>
        <v>27966.400000000001</v>
      </c>
      <c r="V36" s="194">
        <f t="shared" si="4"/>
        <v>27966.400000000001</v>
      </c>
      <c r="W36" s="194">
        <f t="shared" si="5"/>
        <v>27966.400000000001</v>
      </c>
      <c r="X36" s="195">
        <f t="shared" si="6"/>
        <v>0</v>
      </c>
      <c r="Y36" s="189">
        <v>1</v>
      </c>
      <c r="Z36" s="194">
        <f t="shared" si="8"/>
        <v>27966.400000000001</v>
      </c>
      <c r="AA36" s="195">
        <f t="shared" si="9"/>
        <v>0</v>
      </c>
      <c r="AB36" s="191">
        <f t="shared" si="10"/>
        <v>0</v>
      </c>
      <c r="AC36" s="195">
        <f t="shared" si="11"/>
        <v>318.976593616446</v>
      </c>
    </row>
    <row r="37" spans="1:29" ht="15" customHeight="1" x14ac:dyDescent="0.2">
      <c r="A37" s="187" t="s">
        <v>166</v>
      </c>
      <c r="B37" s="126" t="s">
        <v>593</v>
      </c>
      <c r="C37" s="170">
        <v>46239</v>
      </c>
      <c r="D37" s="189">
        <v>55.61</v>
      </c>
      <c r="E37" s="190"/>
      <c r="F37" s="126"/>
      <c r="G37" s="126"/>
      <c r="H37" s="189">
        <f t="shared" si="12"/>
        <v>769.79</v>
      </c>
      <c r="I37" s="126" t="s">
        <v>589</v>
      </c>
      <c r="J37" s="170">
        <v>46241</v>
      </c>
      <c r="K37" s="189">
        <v>56.1995</v>
      </c>
      <c r="L37" s="126" t="s">
        <v>594</v>
      </c>
      <c r="M37" s="189">
        <v>56.1995</v>
      </c>
      <c r="N37" s="189">
        <v>773.26</v>
      </c>
      <c r="O37" s="191">
        <f t="shared" si="1"/>
        <v>1.0600611400827242E-2</v>
      </c>
      <c r="P37" s="191">
        <f t="shared" si="2"/>
        <v>4.5077228854621954E-3</v>
      </c>
      <c r="Q37" s="191">
        <f t="shared" si="3"/>
        <v>6.0928885153650469E-3</v>
      </c>
      <c r="R37" s="189" t="s">
        <v>577</v>
      </c>
      <c r="S37" s="189" t="s">
        <v>573</v>
      </c>
      <c r="T37" s="192">
        <v>409.55</v>
      </c>
      <c r="U37" s="193">
        <f>IF($A37="","",IF(OR($S37="System",$I37="Exited"),$T37,SUMIFS(CurrentPositionsTable[Quantity],CurrentPositionsTable[Ticker],$A37)-SUMIFS($T$3:$T$44,$A$3:$A$44,$A37,$S$3:$S$44,"System",$I$3:$I$44,"Held")))</f>
        <v>409.55</v>
      </c>
      <c r="V37" s="194">
        <f t="shared" si="4"/>
        <v>22775.075499999999</v>
      </c>
      <c r="W37" s="194">
        <f t="shared" si="5"/>
        <v>23016.505225000001</v>
      </c>
      <c r="X37" s="195">
        <f t="shared" si="6"/>
        <v>241.42972500000178</v>
      </c>
      <c r="Y37" s="189">
        <v>44.37</v>
      </c>
      <c r="Z37" s="194">
        <f t="shared" si="8"/>
        <v>18171.733499999998</v>
      </c>
      <c r="AA37" s="195">
        <f t="shared" si="9"/>
        <v>4844.7717250000023</v>
      </c>
      <c r="AB37" s="191">
        <f t="shared" si="10"/>
        <v>0.26661032228983572</v>
      </c>
      <c r="AC37" s="195">
        <f t="shared" si="11"/>
        <v>102.66372904947934</v>
      </c>
    </row>
    <row r="38" spans="1:29" ht="15" customHeight="1" x14ac:dyDescent="0.2">
      <c r="A38" s="187" t="s">
        <v>192</v>
      </c>
      <c r="B38" s="126" t="s">
        <v>193</v>
      </c>
      <c r="C38" s="170">
        <v>46239</v>
      </c>
      <c r="D38" s="189">
        <v>38.19</v>
      </c>
      <c r="E38" s="190"/>
      <c r="F38" s="126"/>
      <c r="G38" s="126"/>
      <c r="H38" s="189">
        <f t="shared" si="12"/>
        <v>769.79</v>
      </c>
      <c r="I38" s="126" t="s">
        <v>589</v>
      </c>
      <c r="J38" s="170">
        <v>46241</v>
      </c>
      <c r="K38" s="189">
        <v>37.6492</v>
      </c>
      <c r="L38" s="126" t="s">
        <v>595</v>
      </c>
      <c r="M38" s="189">
        <v>37.6492</v>
      </c>
      <c r="N38" s="189">
        <v>773.26</v>
      </c>
      <c r="O38" s="191">
        <f t="shared" si="1"/>
        <v>-1.4160775072008303E-2</v>
      </c>
      <c r="P38" s="191">
        <f t="shared" si="2"/>
        <v>4.5077228854621954E-3</v>
      </c>
      <c r="Q38" s="191">
        <f t="shared" si="3"/>
        <v>-1.8668497957470498E-2</v>
      </c>
      <c r="R38" s="189" t="s">
        <v>568</v>
      </c>
      <c r="S38" s="189" t="s">
        <v>573</v>
      </c>
      <c r="T38" s="192">
        <v>100</v>
      </c>
      <c r="U38" s="193">
        <f>IF($A38="","",IF(OR($S38="System",$I38="Exited"),$T38,SUMIFS(CurrentPositionsTable[Quantity],CurrentPositionsTable[Ticker],$A38)-SUMIFS($T$3:$T$44,$A$3:$A$44,$A38,$S$3:$S$44,"System",$I$3:$I$44,"Held")))</f>
        <v>100</v>
      </c>
      <c r="V38" s="194">
        <f t="shared" si="4"/>
        <v>3819</v>
      </c>
      <c r="W38" s="194">
        <f t="shared" si="5"/>
        <v>3764.92</v>
      </c>
      <c r="X38" s="195">
        <f t="shared" si="6"/>
        <v>-54.079999999999927</v>
      </c>
      <c r="Y38" s="189">
        <v>46.48</v>
      </c>
      <c r="Z38" s="194">
        <f t="shared" si="8"/>
        <v>4648</v>
      </c>
      <c r="AA38" s="195">
        <f t="shared" si="9"/>
        <v>-883.07999999999993</v>
      </c>
      <c r="AB38" s="191">
        <f t="shared" si="10"/>
        <v>-0.18999139414802069</v>
      </c>
      <c r="AC38" s="195">
        <f t="shared" si="11"/>
        <v>17.214993699580123</v>
      </c>
    </row>
    <row r="39" spans="1:29" ht="15" customHeight="1" x14ac:dyDescent="0.2">
      <c r="A39" s="187" t="s">
        <v>180</v>
      </c>
      <c r="B39" s="126" t="s">
        <v>181</v>
      </c>
      <c r="C39" s="170">
        <v>46239</v>
      </c>
      <c r="D39" s="189">
        <v>85.12</v>
      </c>
      <c r="E39" s="190"/>
      <c r="F39" s="126"/>
      <c r="G39" s="126"/>
      <c r="H39" s="189">
        <f t="shared" si="12"/>
        <v>769.79</v>
      </c>
      <c r="I39" s="126" t="s">
        <v>589</v>
      </c>
      <c r="J39" s="170">
        <v>46241</v>
      </c>
      <c r="K39" s="189">
        <v>86.178200000000004</v>
      </c>
      <c r="L39" s="126" t="s">
        <v>595</v>
      </c>
      <c r="M39" s="189">
        <v>86.178200000000004</v>
      </c>
      <c r="N39" s="189">
        <v>773.26</v>
      </c>
      <c r="O39" s="191">
        <f t="shared" si="1"/>
        <v>1.2431860902255565E-2</v>
      </c>
      <c r="P39" s="191">
        <f t="shared" si="2"/>
        <v>4.5077228854621954E-3</v>
      </c>
      <c r="Q39" s="191">
        <f t="shared" si="3"/>
        <v>7.9241380167933695E-3</v>
      </c>
      <c r="R39" s="189" t="s">
        <v>568</v>
      </c>
      <c r="S39" s="189" t="s">
        <v>573</v>
      </c>
      <c r="T39" s="192">
        <v>65</v>
      </c>
      <c r="U39" s="193">
        <f>IF($A39="","",IF(OR($S39="System",$I39="Exited"),$T39,SUMIFS(CurrentPositionsTable[Quantity],CurrentPositionsTable[Ticker],$A39)-SUMIFS($T$3:$T$44,$A$3:$A$44,$A39,$S$3:$S$44,"System",$I$3:$I$44,"Held")))</f>
        <v>65</v>
      </c>
      <c r="V39" s="194">
        <f t="shared" si="4"/>
        <v>5532.8</v>
      </c>
      <c r="W39" s="194">
        <f t="shared" si="5"/>
        <v>5601.5830000000005</v>
      </c>
      <c r="X39" s="195">
        <f t="shared" si="6"/>
        <v>68.783000000000357</v>
      </c>
      <c r="Y39" s="189">
        <v>79.67</v>
      </c>
      <c r="Z39" s="194">
        <f t="shared" si="8"/>
        <v>5178.55</v>
      </c>
      <c r="AA39" s="195">
        <f t="shared" si="9"/>
        <v>423.03300000000036</v>
      </c>
      <c r="AB39" s="191">
        <f t="shared" si="10"/>
        <v>8.1689469059871955E-2</v>
      </c>
      <c r="AC39" s="195">
        <f t="shared" si="11"/>
        <v>24.940329180685236</v>
      </c>
    </row>
    <row r="40" spans="1:29" ht="15" customHeight="1" x14ac:dyDescent="0.2">
      <c r="A40" s="187" t="s">
        <v>183</v>
      </c>
      <c r="B40" s="126" t="s">
        <v>184</v>
      </c>
      <c r="C40" s="170">
        <v>46239</v>
      </c>
      <c r="D40" s="189">
        <v>321.55</v>
      </c>
      <c r="E40" s="190"/>
      <c r="F40" s="126"/>
      <c r="G40" s="126"/>
      <c r="H40" s="189">
        <f t="shared" si="12"/>
        <v>769.79</v>
      </c>
      <c r="I40" s="126" t="s">
        <v>589</v>
      </c>
      <c r="J40" s="170">
        <v>46241</v>
      </c>
      <c r="K40" s="189">
        <v>318.88330000000002</v>
      </c>
      <c r="L40" s="126" t="s">
        <v>596</v>
      </c>
      <c r="M40" s="189">
        <v>318.88330000000002</v>
      </c>
      <c r="N40" s="189">
        <v>773.26</v>
      </c>
      <c r="O40" s="191">
        <f t="shared" si="1"/>
        <v>-8.2932669880266818E-3</v>
      </c>
      <c r="P40" s="191">
        <f t="shared" si="2"/>
        <v>4.5077228854621954E-3</v>
      </c>
      <c r="Q40" s="191">
        <f t="shared" si="3"/>
        <v>-1.2800989873488877E-2</v>
      </c>
      <c r="R40" s="189" t="s">
        <v>568</v>
      </c>
      <c r="S40" s="189" t="s">
        <v>573</v>
      </c>
      <c r="T40" s="192">
        <v>15</v>
      </c>
      <c r="U40" s="193">
        <f>IF($A40="","",IF(OR($S40="System",$I40="Exited"),$T40,SUMIFS(CurrentPositionsTable[Quantity],CurrentPositionsTable[Ticker],$A40)-SUMIFS($T$3:$T$44,$A$3:$A$44,$A40,$S$3:$S$44,"System",$I$3:$I$44,"Held")))</f>
        <v>15</v>
      </c>
      <c r="V40" s="194">
        <f t="shared" si="4"/>
        <v>4823.25</v>
      </c>
      <c r="W40" s="194">
        <f t="shared" si="5"/>
        <v>4783.2494999999999</v>
      </c>
      <c r="X40" s="195">
        <f t="shared" si="6"/>
        <v>-40.000500000000102</v>
      </c>
      <c r="Y40" s="189">
        <v>449.72</v>
      </c>
      <c r="Z40" s="194">
        <f t="shared" si="8"/>
        <v>6745.8</v>
      </c>
      <c r="AA40" s="195">
        <f t="shared" si="9"/>
        <v>-1962.5505000000003</v>
      </c>
      <c r="AB40" s="191">
        <f t="shared" si="10"/>
        <v>-0.2909292448634706</v>
      </c>
      <c r="AC40" s="195">
        <f t="shared" si="11"/>
        <v>21.741874407305534</v>
      </c>
    </row>
    <row r="41" spans="1:29" ht="15" customHeight="1" x14ac:dyDescent="0.2">
      <c r="A41" s="187" t="s">
        <v>186</v>
      </c>
      <c r="B41" s="126" t="s">
        <v>597</v>
      </c>
      <c r="C41" s="170">
        <v>46239</v>
      </c>
      <c r="D41" s="189">
        <v>119.72</v>
      </c>
      <c r="E41" s="190"/>
      <c r="F41" s="126"/>
      <c r="G41" s="126"/>
      <c r="H41" s="189">
        <f t="shared" si="12"/>
        <v>769.79</v>
      </c>
      <c r="I41" s="126" t="s">
        <v>589</v>
      </c>
      <c r="J41" s="170">
        <v>46241</v>
      </c>
      <c r="K41" s="189">
        <v>120.7437</v>
      </c>
      <c r="L41" s="126" t="s">
        <v>598</v>
      </c>
      <c r="M41" s="189">
        <v>120.7437</v>
      </c>
      <c r="N41" s="189">
        <v>773.26</v>
      </c>
      <c r="O41" s="191">
        <f t="shared" si="1"/>
        <v>8.5507851653858769E-3</v>
      </c>
      <c r="P41" s="191">
        <f t="shared" si="2"/>
        <v>4.5077228854621954E-3</v>
      </c>
      <c r="Q41" s="191">
        <f t="shared" si="3"/>
        <v>4.0430622799236815E-3</v>
      </c>
      <c r="R41" s="189" t="s">
        <v>577</v>
      </c>
      <c r="S41" s="189" t="s">
        <v>573</v>
      </c>
      <c r="T41" s="192">
        <v>40.18</v>
      </c>
      <c r="U41" s="193">
        <f>IF($A41="","",IF(OR($S41="System",$I41="Exited"),$T41,SUMIFS(CurrentPositionsTable[Quantity],CurrentPositionsTable[Ticker],$A41)-SUMIFS($T$3:$T$44,$A$3:$A$44,$A41,$S$3:$S$44,"System",$I$3:$I$44,"Held")))</f>
        <v>40.18</v>
      </c>
      <c r="V41" s="194">
        <f t="shared" si="4"/>
        <v>4810.3495999999996</v>
      </c>
      <c r="W41" s="194">
        <f t="shared" si="5"/>
        <v>4851.4818660000001</v>
      </c>
      <c r="X41" s="195">
        <f t="shared" si="6"/>
        <v>41.132266000000527</v>
      </c>
      <c r="Y41" s="189">
        <v>94.222499999999997</v>
      </c>
      <c r="Z41" s="194">
        <f t="shared" si="8"/>
        <v>3785.8600499999998</v>
      </c>
      <c r="AA41" s="195">
        <f t="shared" si="9"/>
        <v>1065.6218160000003</v>
      </c>
      <c r="AB41" s="191">
        <f t="shared" si="10"/>
        <v>0.28147417018228138</v>
      </c>
      <c r="AC41" s="195">
        <f t="shared" si="11"/>
        <v>21.683722978993917</v>
      </c>
    </row>
    <row r="42" spans="1:29" ht="15" customHeight="1" x14ac:dyDescent="0.2">
      <c r="A42" s="187" t="s">
        <v>140</v>
      </c>
      <c r="B42" s="126" t="s">
        <v>584</v>
      </c>
      <c r="C42" s="170">
        <v>46239</v>
      </c>
      <c r="D42" s="189">
        <v>150.27000000000001</v>
      </c>
      <c r="E42" s="190"/>
      <c r="F42" s="126"/>
      <c r="G42" s="126"/>
      <c r="H42" s="189">
        <f t="shared" si="12"/>
        <v>769.79</v>
      </c>
      <c r="I42" s="126" t="s">
        <v>589</v>
      </c>
      <c r="J42" s="170">
        <v>46301</v>
      </c>
      <c r="K42" s="189">
        <v>153.54</v>
      </c>
      <c r="L42" s="126" t="s">
        <v>599</v>
      </c>
      <c r="M42" s="189">
        <v>153.54</v>
      </c>
      <c r="N42" s="189">
        <v>779.09</v>
      </c>
      <c r="O42" s="191">
        <f t="shared" si="1"/>
        <v>2.17608305050907E-2</v>
      </c>
      <c r="P42" s="191">
        <f t="shared" si="2"/>
        <v>1.2081216955273533E-2</v>
      </c>
      <c r="Q42" s="191">
        <f t="shared" si="3"/>
        <v>9.6796135498171676E-3</v>
      </c>
      <c r="R42" s="189" t="s">
        <v>577</v>
      </c>
      <c r="S42" s="189" t="s">
        <v>573</v>
      </c>
      <c r="T42" s="192">
        <v>30</v>
      </c>
      <c r="U42" s="193">
        <f>IF($A42="","",IF(OR($S42="System",$I42="Exited"),$T42,SUMIFS(CurrentPositionsTable[Quantity],CurrentPositionsTable[Ticker],$A42)-SUMIFS($T$3:$T$44,$A$3:$A$44,$A42,$S$3:$S$44,"System",$I$3:$I$44,"Held")))</f>
        <v>30</v>
      </c>
      <c r="V42" s="194">
        <f t="shared" si="4"/>
        <v>4508.1000000000004</v>
      </c>
      <c r="W42" s="194">
        <f t="shared" si="5"/>
        <v>4606.2</v>
      </c>
      <c r="X42" s="195">
        <f t="shared" si="6"/>
        <v>98.099999999999454</v>
      </c>
      <c r="Y42" s="189">
        <v>119.32</v>
      </c>
      <c r="Z42" s="194">
        <f t="shared" si="8"/>
        <v>3579.6</v>
      </c>
      <c r="AA42" s="195">
        <f t="shared" si="9"/>
        <v>1026.5999999999999</v>
      </c>
      <c r="AB42" s="191">
        <f t="shared" si="10"/>
        <v>0.28679182031511896</v>
      </c>
      <c r="AC42" s="195">
        <f t="shared" si="11"/>
        <v>54.463334156068619</v>
      </c>
    </row>
    <row r="43" spans="1:29" ht="15" customHeight="1" x14ac:dyDescent="0.2">
      <c r="A43" s="187" t="s">
        <v>149</v>
      </c>
      <c r="B43" s="126" t="s">
        <v>423</v>
      </c>
      <c r="C43" s="170">
        <v>46302</v>
      </c>
      <c r="D43" s="189">
        <v>283.25</v>
      </c>
      <c r="E43" s="190">
        <v>81.599999999999994</v>
      </c>
      <c r="F43" s="126" t="s">
        <v>349</v>
      </c>
      <c r="G43" s="126" t="s">
        <v>566</v>
      </c>
      <c r="H43" s="189">
        <v>777.22</v>
      </c>
      <c r="I43" s="126" t="s">
        <v>567</v>
      </c>
      <c r="J43" s="170"/>
      <c r="K43" s="189"/>
      <c r="L43" s="126"/>
      <c r="M43" s="189">
        <f>IFERROR(INDEX('Market Data'!$C$3:$C$300,MATCH($A43,'Market Data'!$A$3:$A$300,0)),"")</f>
        <v>296.13</v>
      </c>
      <c r="N43" s="189">
        <f>PT_SPY_Now</f>
        <v>778.57</v>
      </c>
      <c r="O43" s="191">
        <f t="shared" si="1"/>
        <v>4.5472197705207495E-2</v>
      </c>
      <c r="P43" s="191">
        <f t="shared" si="2"/>
        <v>1.7369599341241493E-3</v>
      </c>
      <c r="Q43" s="191">
        <f t="shared" si="3"/>
        <v>4.3735237771083346E-2</v>
      </c>
      <c r="R43" s="189" t="s">
        <v>568</v>
      </c>
      <c r="S43" s="189" t="s">
        <v>569</v>
      </c>
      <c r="T43" s="192">
        <v>100</v>
      </c>
      <c r="U43" s="193">
        <f>IF($A43="","",IF(OR($S43="System",$I43="Exited"),$T43,SUMIFS(CurrentPositionsTable[Quantity],CurrentPositionsTable[Ticker],$A43)-SUMIFS($T$3:$T$44,$A$3:$A$44,$A43,$S$3:$S$44,"System",$I$3:$I$44,"Held")))</f>
        <v>100</v>
      </c>
      <c r="V43" s="194">
        <f t="shared" si="4"/>
        <v>28325</v>
      </c>
      <c r="W43" s="194">
        <f t="shared" si="5"/>
        <v>29613</v>
      </c>
      <c r="X43" s="195">
        <f t="shared" si="6"/>
        <v>1288</v>
      </c>
      <c r="Y43" s="189">
        <f>$D43</f>
        <v>283.25</v>
      </c>
      <c r="Z43" s="194">
        <f t="shared" si="8"/>
        <v>28325</v>
      </c>
      <c r="AA43" s="195">
        <f t="shared" si="9"/>
        <v>1288</v>
      </c>
      <c r="AB43" s="191">
        <f t="shared" si="10"/>
        <v>4.5472197705207495E-2</v>
      </c>
      <c r="AC43" s="195">
        <f t="shared" si="11"/>
        <v>49.199390134066526</v>
      </c>
    </row>
    <row r="44" spans="1:29" ht="15" customHeight="1" x14ac:dyDescent="0.2">
      <c r="A44" s="187"/>
      <c r="B44" s="126"/>
      <c r="C44" s="170"/>
      <c r="D44" s="189"/>
      <c r="E44" s="190"/>
      <c r="F44" s="126"/>
      <c r="G44" s="126"/>
      <c r="H44" s="189"/>
      <c r="I44" s="126"/>
      <c r="J44" s="170"/>
      <c r="K44" s="189"/>
      <c r="L44" s="126"/>
      <c r="M44" s="189"/>
      <c r="N44" s="189"/>
      <c r="O44" s="191" t="str">
        <f t="shared" si="1"/>
        <v/>
      </c>
      <c r="P44" s="191" t="str">
        <f t="shared" si="2"/>
        <v/>
      </c>
      <c r="Q44" s="191" t="str">
        <f t="shared" si="3"/>
        <v/>
      </c>
      <c r="R44" s="189"/>
      <c r="S44" s="189"/>
      <c r="T44" s="192"/>
      <c r="U44" s="193" t="str">
        <f>IF($A44="","",IF(OR($S44="System",$I44="Exited"),$T44,SUMIFS(CurrentPositionsTable[Quantity],CurrentPositionsTable[Ticker],$A44)-SUMIFS($T$3:$T$44,$A$3:$A$44,$A44,$S$3:$S$44,"System",$I$3:$I$44,"Held")))</f>
        <v/>
      </c>
      <c r="V44" s="194" t="str">
        <f t="shared" si="4"/>
        <v/>
      </c>
      <c r="W44" s="194" t="str">
        <f t="shared" si="5"/>
        <v/>
      </c>
      <c r="X44" s="195" t="str">
        <f t="shared" si="6"/>
        <v/>
      </c>
      <c r="Y44" s="189"/>
      <c r="Z44" s="194" t="str">
        <f t="shared" si="8"/>
        <v/>
      </c>
      <c r="AA44" s="195" t="str">
        <f t="shared" si="9"/>
        <v/>
      </c>
      <c r="AB44" s="191" t="str">
        <f t="shared" si="10"/>
        <v/>
      </c>
      <c r="AC44" s="195" t="str">
        <f t="shared" si="11"/>
        <v/>
      </c>
    </row>
    <row r="46" spans="1:29" ht="18" customHeight="1" x14ac:dyDescent="0.2">
      <c r="A46" s="197" t="s">
        <v>600</v>
      </c>
      <c r="B46" s="198"/>
      <c r="C46" s="198"/>
      <c r="D46" s="198" t="s">
        <v>601</v>
      </c>
      <c r="E46" s="198" t="s">
        <v>602</v>
      </c>
      <c r="F46" s="198" t="s">
        <v>603</v>
      </c>
      <c r="G46" s="198" t="s">
        <v>604</v>
      </c>
      <c r="H46" s="198" t="s">
        <v>605</v>
      </c>
      <c r="I46" s="198" t="s">
        <v>606</v>
      </c>
      <c r="J46" s="197" t="s">
        <v>607</v>
      </c>
      <c r="K46" s="198"/>
      <c r="L46" s="198"/>
      <c r="M46" s="198"/>
      <c r="N46" s="198"/>
      <c r="O46" s="198"/>
      <c r="P46" s="198"/>
      <c r="Q46" s="198"/>
      <c r="R46" s="199"/>
      <c r="S46" s="199"/>
      <c r="T46" s="199"/>
      <c r="U46" s="199"/>
      <c r="V46" s="199"/>
      <c r="W46" s="199"/>
      <c r="X46" s="199"/>
      <c r="Y46" s="199"/>
      <c r="Z46" s="199"/>
      <c r="AA46" s="199"/>
      <c r="AB46" s="199"/>
      <c r="AC46" s="199"/>
    </row>
    <row r="47" spans="1:29" ht="15" customHeight="1" x14ac:dyDescent="0.2">
      <c r="A47" s="248" t="s">
        <v>608</v>
      </c>
      <c r="B47" s="248"/>
      <c r="C47" s="248"/>
      <c r="D47" s="200">
        <f>SUMIFS($V$3:$V$44,$R$3:$R$44,"Stock",$I$3:$I$44,"Held")</f>
        <v>331500.13399840001</v>
      </c>
      <c r="E47" s="200">
        <f>SUMIFS($W$3:$W$44,$R$3:$R$44,"Stock",$I$3:$I$44,"Held")</f>
        <v>346030.0561175</v>
      </c>
      <c r="F47" s="200">
        <f t="shared" ref="F47:F52" si="13">E47-D47</f>
        <v>14529.922119099996</v>
      </c>
      <c r="G47" s="201">
        <f t="shared" ref="G47:G52" si="14">IF(D47=0,"",F47/D47)</f>
        <v>4.3830818237829507E-2</v>
      </c>
      <c r="H47" s="201">
        <f>IF(D47=0,"",SUMIFS($AC$3:$AC$44,$R$3:$R$44,"Stock",$I$3:$I$44,"Held")/D47)</f>
        <v>1.1074236826071631E-2</v>
      </c>
      <c r="I47" s="201">
        <f t="shared" ref="I47:I53" si="15">IF(OR(G47="",H47=""),"",G47-H47)</f>
        <v>3.2756581411757878E-2</v>
      </c>
      <c r="J47" s="202" t="s">
        <v>609</v>
      </c>
      <c r="K47" s="199"/>
      <c r="L47" s="199"/>
      <c r="M47" s="199"/>
      <c r="N47" s="199"/>
      <c r="O47" s="199"/>
      <c r="P47" s="199"/>
      <c r="Q47" s="199"/>
      <c r="R47" s="199"/>
      <c r="S47" s="199"/>
      <c r="T47" s="199"/>
      <c r="U47" s="199"/>
      <c r="V47" s="199"/>
      <c r="W47" s="199"/>
      <c r="X47" s="199"/>
      <c r="Y47" s="199"/>
      <c r="Z47" s="199"/>
      <c r="AA47" s="199"/>
      <c r="AB47" s="199"/>
      <c r="AC47" s="199"/>
    </row>
    <row r="48" spans="1:29" ht="15" customHeight="1" x14ac:dyDescent="0.2">
      <c r="A48" s="249" t="s">
        <v>610</v>
      </c>
      <c r="B48" s="249"/>
      <c r="C48" s="249"/>
      <c r="D48" s="203">
        <f>SUMIFS($V$3:$V$44,$I$3:$I$44,"Held")</f>
        <v>702540.94806570013</v>
      </c>
      <c r="E48" s="203">
        <f>SUMIFS($W$3:$W$44,$I$3:$I$44,"Held")</f>
        <v>713945.21046959993</v>
      </c>
      <c r="F48" s="203">
        <f t="shared" si="13"/>
        <v>11404.262403899804</v>
      </c>
      <c r="G48" s="204">
        <f t="shared" si="14"/>
        <v>1.6232879286679387E-2</v>
      </c>
      <c r="H48" s="204">
        <f>IF(D48=0,"",SUMIFS($AC$3:$AC$44,$I$3:$I$44,"Held")/D48)</f>
        <v>1.1249300433675972E-2</v>
      </c>
      <c r="I48" s="204">
        <f t="shared" si="15"/>
        <v>4.9835788530034151E-3</v>
      </c>
      <c r="J48" s="202" t="s">
        <v>611</v>
      </c>
      <c r="K48" s="199"/>
      <c r="L48" s="199"/>
      <c r="M48" s="199"/>
      <c r="N48" s="199"/>
      <c r="O48" s="199"/>
      <c r="P48" s="199"/>
      <c r="Q48" s="199"/>
      <c r="R48" s="199"/>
      <c r="S48" s="199"/>
      <c r="T48" s="199"/>
      <c r="U48" s="199"/>
      <c r="V48" s="199"/>
      <c r="W48" s="199"/>
      <c r="X48" s="199"/>
      <c r="Y48" s="199"/>
      <c r="Z48" s="199"/>
      <c r="AA48" s="199"/>
      <c r="AB48" s="199"/>
      <c r="AC48" s="199"/>
    </row>
    <row r="49" spans="1:29" ht="15" customHeight="1" x14ac:dyDescent="0.2">
      <c r="A49" s="248" t="s">
        <v>612</v>
      </c>
      <c r="B49" s="248"/>
      <c r="C49" s="248"/>
      <c r="D49" s="200">
        <f>SUMIFS($Z$3:$Z$44,$R$3:$R$44,"Stock")</f>
        <v>305061.75814119994</v>
      </c>
      <c r="E49" s="200">
        <f>SUMIFS($W$3:$W$44,$R$3:$R$44,"Stock")</f>
        <v>360179.80861749995</v>
      </c>
      <c r="F49" s="200">
        <f t="shared" si="13"/>
        <v>55118.050476300006</v>
      </c>
      <c r="G49" s="201">
        <f t="shared" si="14"/>
        <v>0.18067833481372725</v>
      </c>
      <c r="H49" s="201">
        <f>PT_SPY_Now/PT_SPY_1231-1</f>
        <v>0.14173216799624599</v>
      </c>
      <c r="I49" s="201">
        <f t="shared" si="15"/>
        <v>3.8946166817481254E-2</v>
      </c>
      <c r="J49" s="202" t="s">
        <v>613</v>
      </c>
      <c r="K49" s="199"/>
      <c r="L49" s="199"/>
      <c r="M49" s="199"/>
      <c r="N49" s="199"/>
      <c r="O49" s="199"/>
      <c r="P49" s="199"/>
      <c r="Q49" s="199"/>
      <c r="R49" s="199"/>
      <c r="S49" s="199"/>
      <c r="T49" s="199"/>
      <c r="U49" s="199"/>
      <c r="V49" s="199"/>
      <c r="W49" s="199"/>
      <c r="X49" s="199"/>
      <c r="Y49" s="199"/>
      <c r="Z49" s="199"/>
      <c r="AA49" s="199"/>
      <c r="AB49" s="199"/>
      <c r="AC49" s="199"/>
    </row>
    <row r="50" spans="1:29" ht="15" customHeight="1" x14ac:dyDescent="0.2">
      <c r="A50" s="249" t="s">
        <v>614</v>
      </c>
      <c r="B50" s="249"/>
      <c r="C50" s="249"/>
      <c r="D50" s="203">
        <f>SUM($Z$3:$Z$44)</f>
        <v>664803.61553660012</v>
      </c>
      <c r="E50" s="203">
        <f>SUM($W$3:$W$44)</f>
        <v>761743.16006059991</v>
      </c>
      <c r="F50" s="203">
        <f t="shared" si="13"/>
        <v>96939.544523999793</v>
      </c>
      <c r="G50" s="204">
        <f t="shared" si="14"/>
        <v>0.14581681305351277</v>
      </c>
      <c r="H50" s="204">
        <f>PT_SPY_Now/PT_SPY_1231-1</f>
        <v>0.14173216799624599</v>
      </c>
      <c r="I50" s="204">
        <f t="shared" si="15"/>
        <v>4.0846450572667725E-3</v>
      </c>
      <c r="J50" s="202" t="s">
        <v>615</v>
      </c>
      <c r="K50" s="199"/>
      <c r="L50" s="199"/>
      <c r="M50" s="199"/>
      <c r="N50" s="199"/>
      <c r="O50" s="199"/>
      <c r="P50" s="199"/>
      <c r="Q50" s="199"/>
      <c r="R50" s="199"/>
      <c r="S50" s="199"/>
      <c r="T50" s="199"/>
      <c r="U50" s="199"/>
      <c r="V50" s="199"/>
      <c r="W50" s="199"/>
      <c r="X50" s="199"/>
      <c r="Y50" s="199"/>
      <c r="Z50" s="199"/>
      <c r="AA50" s="199"/>
      <c r="AB50" s="199"/>
      <c r="AC50" s="199"/>
    </row>
    <row r="51" spans="1:29" ht="15" customHeight="1" x14ac:dyDescent="0.2">
      <c r="A51" s="248" t="s">
        <v>616</v>
      </c>
      <c r="B51" s="248"/>
      <c r="C51" s="248"/>
      <c r="D51" s="200">
        <f>SUMIFS($V$3:$V$44,$R$3:$R$44,"Stock")</f>
        <v>345675.1839984</v>
      </c>
      <c r="E51" s="200">
        <f>SUMIFS($W$3:$W$44,$R$3:$R$44,"Stock")</f>
        <v>360179.80861749995</v>
      </c>
      <c r="F51" s="200">
        <f t="shared" si="13"/>
        <v>14504.624619099952</v>
      </c>
      <c r="G51" s="201">
        <f t="shared" si="14"/>
        <v>4.1960271638033141E-2</v>
      </c>
      <c r="H51" s="201">
        <f>PT_SPY_Now/PT_SPY_0805-1</f>
        <v>1.1405708050247654E-2</v>
      </c>
      <c r="I51" s="201">
        <f t="shared" si="15"/>
        <v>3.0554563587785487E-2</v>
      </c>
      <c r="J51" s="202" t="s">
        <v>617</v>
      </c>
      <c r="K51" s="199"/>
      <c r="L51" s="199"/>
      <c r="M51" s="199"/>
      <c r="N51" s="199"/>
      <c r="O51" s="199"/>
      <c r="P51" s="199"/>
      <c r="Q51" s="199"/>
      <c r="R51" s="199"/>
      <c r="S51" s="199"/>
      <c r="T51" s="199"/>
      <c r="U51" s="199"/>
      <c r="V51" s="199"/>
      <c r="W51" s="199"/>
      <c r="X51" s="199"/>
      <c r="Y51" s="199"/>
      <c r="Z51" s="199"/>
      <c r="AA51" s="199"/>
      <c r="AB51" s="199"/>
      <c r="AC51" s="199"/>
    </row>
    <row r="52" spans="1:29" ht="15" customHeight="1" x14ac:dyDescent="0.2">
      <c r="A52" s="249" t="s">
        <v>618</v>
      </c>
      <c r="B52" s="249"/>
      <c r="C52" s="249"/>
      <c r="D52" s="203">
        <f>SUM($V$3:$V$44)</f>
        <v>749983.53316570015</v>
      </c>
      <c r="E52" s="203">
        <f>SUM($W$3:$W$44)</f>
        <v>761743.16006059991</v>
      </c>
      <c r="F52" s="203">
        <f t="shared" si="13"/>
        <v>11759.62689489976</v>
      </c>
      <c r="G52" s="204">
        <f t="shared" si="14"/>
        <v>1.5679846789784926E-2</v>
      </c>
      <c r="H52" s="204">
        <f>PT_SPY_Now/PT_SPY_0805-1</f>
        <v>1.1405708050247654E-2</v>
      </c>
      <c r="I52" s="204">
        <f t="shared" si="15"/>
        <v>4.2741387395372719E-3</v>
      </c>
      <c r="J52" s="202" t="s">
        <v>619</v>
      </c>
      <c r="K52" s="199"/>
      <c r="L52" s="199"/>
      <c r="M52" s="199"/>
      <c r="N52" s="199"/>
      <c r="O52" s="199"/>
      <c r="P52" s="199"/>
      <c r="Q52" s="199"/>
      <c r="R52" s="199"/>
      <c r="S52" s="199"/>
      <c r="T52" s="199"/>
      <c r="U52" s="199"/>
      <c r="V52" s="199"/>
      <c r="W52" s="199"/>
      <c r="X52" s="199"/>
      <c r="Y52" s="199"/>
      <c r="Z52" s="199"/>
      <c r="AA52" s="199"/>
      <c r="AB52" s="199"/>
      <c r="AC52" s="199"/>
    </row>
    <row r="53" spans="1:29" ht="15" customHeight="1" x14ac:dyDescent="0.2">
      <c r="A53" s="249" t="s">
        <v>620</v>
      </c>
      <c r="B53" s="249"/>
      <c r="C53" s="249"/>
      <c r="D53" s="203"/>
      <c r="E53" s="203"/>
      <c r="F53" s="203">
        <f>IF((PT_AsOf-PT_Inception)/365&gt;0,F52/((PT_AsOf-PT_Inception)/365),"")</f>
        <v>66034.827948283273</v>
      </c>
      <c r="G53" s="204">
        <f>IF((PT_AsOf-PT_Inception)/365&gt;0,G52/((PT_AsOf-PT_Inception)/365),"")</f>
        <v>8.8048370434946122E-2</v>
      </c>
      <c r="H53" s="204">
        <f>IF((PT_AsOf-PT_Inception)/365&gt;0,H52/((PT_AsOf-PT_Inception)/365),"")</f>
        <v>6.4047437512929142E-2</v>
      </c>
      <c r="I53" s="204">
        <f t="shared" si="15"/>
        <v>2.4000932922016979E-2</v>
      </c>
      <c r="J53" s="202" t="s">
        <v>621</v>
      </c>
      <c r="K53" s="199"/>
      <c r="L53" s="199"/>
      <c r="M53" s="199"/>
      <c r="N53" s="199"/>
      <c r="O53" s="199"/>
      <c r="P53" s="199"/>
      <c r="Q53" s="199"/>
      <c r="R53" s="199"/>
      <c r="S53" s="199"/>
      <c r="T53" s="199"/>
      <c r="U53" s="199"/>
      <c r="V53" s="199"/>
      <c r="W53" s="199"/>
      <c r="X53" s="199"/>
      <c r="Y53" s="199"/>
      <c r="Z53" s="199"/>
      <c r="AA53" s="199"/>
      <c r="AB53" s="199"/>
      <c r="AC53" s="199"/>
    </row>
    <row r="54" spans="1:29" ht="15" customHeight="1" x14ac:dyDescent="0.2">
      <c r="A54" s="199"/>
      <c r="B54" s="199"/>
      <c r="C54" s="199"/>
      <c r="D54" s="199"/>
      <c r="E54" s="199"/>
      <c r="F54" s="199"/>
      <c r="G54" s="199"/>
      <c r="H54" s="199"/>
      <c r="I54" s="199"/>
      <c r="J54" s="199"/>
      <c r="K54" s="199"/>
      <c r="L54" s="199"/>
      <c r="M54" s="199"/>
      <c r="N54" s="199"/>
      <c r="O54" s="199"/>
      <c r="P54" s="199"/>
      <c r="Q54" s="199"/>
      <c r="R54" s="199"/>
      <c r="S54" s="199"/>
      <c r="T54" s="199"/>
      <c r="U54" s="199"/>
      <c r="V54" s="199"/>
      <c r="W54" s="199"/>
      <c r="X54" s="199"/>
      <c r="Y54" s="199"/>
      <c r="Z54" s="199"/>
      <c r="AA54" s="199"/>
      <c r="AB54" s="199"/>
      <c r="AC54" s="199"/>
    </row>
    <row r="55" spans="1:29" ht="18" customHeight="1" x14ac:dyDescent="0.2">
      <c r="A55" s="197" t="s">
        <v>622</v>
      </c>
      <c r="B55" s="198"/>
      <c r="C55" s="198"/>
      <c r="D55" s="198" t="s">
        <v>601</v>
      </c>
      <c r="E55" s="198" t="s">
        <v>602</v>
      </c>
      <c r="F55" s="198" t="s">
        <v>603</v>
      </c>
      <c r="G55" s="198" t="s">
        <v>604</v>
      </c>
      <c r="H55" s="198" t="s">
        <v>605</v>
      </c>
      <c r="I55" s="198" t="s">
        <v>606</v>
      </c>
      <c r="J55" s="197" t="s">
        <v>607</v>
      </c>
      <c r="K55" s="198"/>
      <c r="L55" s="198"/>
      <c r="M55" s="198"/>
      <c r="N55" s="198"/>
      <c r="O55" s="198"/>
      <c r="P55" s="198"/>
      <c r="Q55" s="198"/>
      <c r="R55" s="199"/>
      <c r="S55" s="199"/>
      <c r="T55" s="199"/>
      <c r="U55" s="199"/>
      <c r="V55" s="199"/>
      <c r="W55" s="199"/>
      <c r="X55" s="199"/>
      <c r="Y55" s="199"/>
      <c r="Z55" s="199"/>
      <c r="AA55" s="199"/>
      <c r="AB55" s="199"/>
      <c r="AC55" s="199"/>
    </row>
    <row r="56" spans="1:29" ht="15" customHeight="1" x14ac:dyDescent="0.2">
      <c r="A56" s="248" t="s">
        <v>623</v>
      </c>
      <c r="B56" s="248"/>
      <c r="C56" s="248"/>
      <c r="D56" s="200">
        <f>SUMIFS($V$3:$V$44,$S$3:$S$44,"System")</f>
        <v>125729.03</v>
      </c>
      <c r="E56" s="200">
        <f>SUMIFS($W$3:$W$44,$S$3:$S$44,"System")</f>
        <v>126626.45999999999</v>
      </c>
      <c r="F56" s="200">
        <f>E56-D56</f>
        <v>897.42999999999302</v>
      </c>
      <c r="G56" s="201">
        <f>IF(D56=0,"",F56/D56)</f>
        <v>7.1378105756482258E-3</v>
      </c>
      <c r="H56" s="201">
        <f>IF(D56=0,"",SUMIFS($AC$3:$AC$44,$S$3:$S$44,"System")/D56)</f>
        <v>1.0531743181267402E-2</v>
      </c>
      <c r="I56" s="201">
        <f>IF(OR(G56="",H56=""),"",G56-H56)</f>
        <v>-3.393932605619176E-3</v>
      </c>
      <c r="J56" s="202" t="s">
        <v>624</v>
      </c>
      <c r="K56" s="199"/>
      <c r="L56" s="199"/>
      <c r="M56" s="199"/>
      <c r="N56" s="199"/>
      <c r="O56" s="199"/>
      <c r="P56" s="199"/>
      <c r="Q56" s="199"/>
      <c r="R56" s="199"/>
      <c r="S56" s="199"/>
      <c r="T56" s="199"/>
      <c r="U56" s="199"/>
      <c r="V56" s="199"/>
      <c r="W56" s="199"/>
      <c r="X56" s="199"/>
      <c r="Y56" s="199"/>
      <c r="Z56" s="199"/>
      <c r="AA56" s="199"/>
      <c r="AB56" s="199"/>
      <c r="AC56" s="199"/>
    </row>
    <row r="57" spans="1:29" ht="15" customHeight="1" x14ac:dyDescent="0.2">
      <c r="A57" s="248" t="s">
        <v>625</v>
      </c>
      <c r="B57" s="248"/>
      <c r="C57" s="248"/>
      <c r="D57" s="200">
        <f>SUMIFS($V$3:$V$44,$S$3:$S$44,"Baseline",$R$3:$R$44,"Stock")</f>
        <v>219946.1539984</v>
      </c>
      <c r="E57" s="200">
        <f>SUMIFS($W$3:$W$44,$S$3:$S$44,"Baseline",$R$3:$R$44,"Stock")</f>
        <v>233553.34861750004</v>
      </c>
      <c r="F57" s="200">
        <f>E57-D57</f>
        <v>13607.194619100046</v>
      </c>
      <c r="G57" s="201">
        <f>IF(D57=0,"",F57/D57)</f>
        <v>6.1866026623948293E-2</v>
      </c>
      <c r="H57" s="201">
        <f>IF(D57=0,"",SUMIFS($AC$3:$AC$44,$S$3:$S$44,"Baseline",$R$3:$R$44,"Stock")/D57)</f>
        <v>1.0961147948456543E-2</v>
      </c>
      <c r="I57" s="201">
        <f>IF(OR(G57="",H57=""),"",G57-H57)</f>
        <v>5.0904878675491746E-2</v>
      </c>
      <c r="J57" s="202" t="s">
        <v>626</v>
      </c>
      <c r="K57" s="199"/>
      <c r="L57" s="199"/>
      <c r="M57" s="199"/>
      <c r="N57" s="199"/>
      <c r="O57" s="199"/>
      <c r="P57" s="199"/>
      <c r="Q57" s="199"/>
      <c r="R57" s="199"/>
      <c r="S57" s="199"/>
      <c r="T57" s="199"/>
      <c r="U57" s="199"/>
      <c r="V57" s="199"/>
      <c r="W57" s="199"/>
      <c r="X57" s="199"/>
      <c r="Y57" s="199"/>
      <c r="Z57" s="199"/>
      <c r="AA57" s="199"/>
      <c r="AB57" s="199"/>
      <c r="AC57" s="199"/>
    </row>
    <row r="58" spans="1:29" ht="15" customHeight="1" x14ac:dyDescent="0.2">
      <c r="A58" s="248" t="s">
        <v>627</v>
      </c>
      <c r="B58" s="248"/>
      <c r="C58" s="248"/>
      <c r="D58" s="200">
        <f>SUMIFS($V$3:$V$44,$S$3:$S$44,"Baseline",$R$3:$R$44,"ETF")</f>
        <v>359027.5591673</v>
      </c>
      <c r="E58" s="200">
        <f>SUMIFS($W$3:$W$44,$S$3:$S$44,"Baseline",$R$3:$R$44,"ETF")</f>
        <v>356282.56144310004</v>
      </c>
      <c r="F58" s="200">
        <f>E58-D58</f>
        <v>-2744.9977241999586</v>
      </c>
      <c r="G58" s="201">
        <f>IF(D58=0,"",F58/D58)</f>
        <v>-7.6456462856681201E-3</v>
      </c>
      <c r="H58" s="201">
        <f>IF(D58=0,"",SUMIFS($AC$3:$AC$44,$S$3:$S$44,"Baseline",$R$3:$R$44,"ETF")/D58)</f>
        <v>1.0884192120262728E-2</v>
      </c>
      <c r="I58" s="201">
        <f>IF(OR(G58="",H58=""),"",G58-H58)</f>
        <v>-1.8529838405930848E-2</v>
      </c>
      <c r="J58" s="202" t="s">
        <v>628</v>
      </c>
      <c r="K58" s="199"/>
      <c r="L58" s="199"/>
      <c r="M58" s="199"/>
      <c r="N58" s="199"/>
      <c r="O58" s="199"/>
      <c r="P58" s="199"/>
      <c r="Q58" s="199"/>
      <c r="R58" s="199"/>
      <c r="S58" s="199"/>
      <c r="T58" s="199"/>
      <c r="U58" s="199"/>
      <c r="V58" s="199"/>
      <c r="W58" s="199"/>
      <c r="X58" s="199"/>
      <c r="Y58" s="199"/>
      <c r="Z58" s="199"/>
      <c r="AA58" s="199"/>
      <c r="AB58" s="199"/>
      <c r="AC58" s="199"/>
    </row>
    <row r="59" spans="1:29" ht="15" customHeight="1" x14ac:dyDescent="0.2">
      <c r="A59" s="248" t="s">
        <v>629</v>
      </c>
      <c r="B59" s="248"/>
      <c r="C59" s="248"/>
      <c r="D59" s="200">
        <f>SUMIFS($V$3:$V$44,$S$3:$S$44,"Baseline",$R$3:$R$44,"Cash")</f>
        <v>45280.79</v>
      </c>
      <c r="E59" s="200">
        <f>SUMIFS($W$3:$W$44,$S$3:$S$44,"Baseline",$R$3:$R$44,"Cash")</f>
        <v>45280.79</v>
      </c>
      <c r="F59" s="200">
        <f>E59-D59</f>
        <v>0</v>
      </c>
      <c r="G59" s="201">
        <f>IF(D59=0,"",F59/D59)</f>
        <v>0</v>
      </c>
      <c r="H59" s="201">
        <f>IF(D59=0,"",SUMIFS($AC$3:$AC$44,$S$3:$S$44,"Baseline",$R$3:$R$44,"Cash")/D59)</f>
        <v>1.0914638438752493E-2</v>
      </c>
      <c r="I59" s="201">
        <f>IF(OR(G59="",H59=""),"",G59-H59)</f>
        <v>-1.0914638438752493E-2</v>
      </c>
      <c r="J59" s="202" t="s">
        <v>630</v>
      </c>
      <c r="K59" s="199"/>
      <c r="L59" s="199"/>
      <c r="M59" s="199"/>
      <c r="N59" s="199"/>
      <c r="O59" s="199"/>
      <c r="P59" s="199"/>
      <c r="Q59" s="199"/>
      <c r="R59" s="199"/>
      <c r="S59" s="199"/>
      <c r="T59" s="199"/>
      <c r="U59" s="199"/>
      <c r="V59" s="199"/>
      <c r="W59" s="199"/>
      <c r="X59" s="199"/>
      <c r="Y59" s="199"/>
      <c r="Z59" s="199"/>
      <c r="AA59" s="199"/>
      <c r="AB59" s="199"/>
      <c r="AC59" s="199"/>
    </row>
    <row r="60" spans="1:29" ht="15" customHeight="1" x14ac:dyDescent="0.2">
      <c r="A60" s="249" t="s">
        <v>631</v>
      </c>
      <c r="B60" s="249"/>
      <c r="C60" s="249"/>
      <c r="D60" s="203">
        <f>D56+D57+D58+D59</f>
        <v>749983.53316570004</v>
      </c>
      <c r="E60" s="203">
        <f>E56+E57+E58+E59</f>
        <v>761743.16006060014</v>
      </c>
      <c r="F60" s="203">
        <f>E60-D60</f>
        <v>11759.62689490011</v>
      </c>
      <c r="G60" s="204">
        <f>IF(D60=0,"",F60/D60)</f>
        <v>1.5679846789785394E-2</v>
      </c>
      <c r="H60" s="204">
        <f>IF(D60=0,"",(SUMIFS($AC$3:$AC$44,$S$3:$S$44,"System")+SUMIFS($AC$3:$AC$44,$S$3:$S$44,"Baseline",$R$3:$R$44,"Stock")+SUMIFS($AC$3:$AC$44,$S$3:$S$44,"Baseline",$R$3:$R$44,"ETF")+SUMIFS($AC$3:$AC$44,$S$3:$S$44,"Baseline",$R$3:$R$44,"Cash"))/D60)</f>
        <v>1.0849513636960793E-2</v>
      </c>
      <c r="I60" s="204">
        <f>IF(OR(G60="",H60=""),"",G60-H60)</f>
        <v>4.8303331528246011E-3</v>
      </c>
      <c r="J60" s="202" t="str">
        <f>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199"/>
      <c r="L60" s="199"/>
      <c r="M60" s="199"/>
      <c r="N60" s="199"/>
      <c r="O60" s="199"/>
      <c r="P60" s="199"/>
      <c r="Q60" s="199"/>
      <c r="R60" s="199"/>
      <c r="S60" s="199"/>
      <c r="T60" s="199"/>
      <c r="U60" s="199"/>
      <c r="V60" s="199"/>
      <c r="W60" s="199"/>
      <c r="X60" s="199"/>
      <c r="Y60" s="199"/>
      <c r="Z60" s="199"/>
      <c r="AA60" s="199"/>
      <c r="AB60" s="199"/>
      <c r="AC60" s="199"/>
    </row>
    <row r="61" spans="1:29" ht="15" customHeight="1" x14ac:dyDescent="0.2">
      <c r="A61" s="199"/>
      <c r="B61" s="199"/>
      <c r="C61" s="199"/>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c r="AB61" s="199"/>
      <c r="AC61" s="199"/>
    </row>
    <row r="62" spans="1:29" ht="18" customHeight="1" x14ac:dyDescent="0.2">
      <c r="A62" s="197" t="s">
        <v>632</v>
      </c>
      <c r="B62" s="197"/>
      <c r="C62" s="197"/>
      <c r="D62" s="197"/>
      <c r="E62" s="197"/>
      <c r="F62" s="197"/>
      <c r="G62" s="197"/>
      <c r="H62" s="197"/>
      <c r="I62" s="197"/>
      <c r="J62" s="197"/>
      <c r="K62" s="197"/>
      <c r="L62" s="197"/>
      <c r="M62" s="197"/>
      <c r="N62" s="197"/>
      <c r="O62" s="197"/>
      <c r="P62" s="197"/>
      <c r="Q62" s="197"/>
      <c r="R62" s="199"/>
      <c r="S62" s="199"/>
      <c r="T62" s="199"/>
      <c r="U62" s="199"/>
      <c r="V62" s="199"/>
      <c r="W62" s="199"/>
      <c r="X62" s="199"/>
      <c r="Y62" s="199"/>
      <c r="Z62" s="199"/>
      <c r="AA62" s="199"/>
      <c r="AB62" s="199"/>
      <c r="AC62" s="199"/>
    </row>
    <row r="63" spans="1:29" ht="15" customHeight="1" x14ac:dyDescent="0.2">
      <c r="A63" s="250" t="s">
        <v>633</v>
      </c>
      <c r="B63" s="250"/>
      <c r="C63" s="250"/>
      <c r="D63" s="205">
        <v>46304</v>
      </c>
      <c r="E63" s="202" t="s">
        <v>634</v>
      </c>
      <c r="F63" s="199"/>
      <c r="G63" s="199"/>
      <c r="H63" s="199"/>
      <c r="I63" s="199"/>
      <c r="J63" s="199"/>
      <c r="K63" s="199"/>
      <c r="L63" s="199"/>
      <c r="M63" s="199"/>
      <c r="N63" s="199"/>
      <c r="O63" s="199"/>
      <c r="P63" s="199"/>
      <c r="Q63" s="199"/>
      <c r="R63" s="199"/>
      <c r="S63" s="199"/>
      <c r="T63" s="199"/>
      <c r="U63" s="199"/>
      <c r="V63" s="199"/>
      <c r="W63" s="199"/>
      <c r="X63" s="199"/>
      <c r="Y63" s="199"/>
      <c r="Z63" s="199"/>
      <c r="AA63" s="199"/>
      <c r="AB63" s="199"/>
      <c r="AC63" s="199"/>
    </row>
    <row r="64" spans="1:29" ht="15" customHeight="1" x14ac:dyDescent="0.2">
      <c r="A64" s="250" t="s">
        <v>635</v>
      </c>
      <c r="B64" s="250"/>
      <c r="C64" s="250"/>
      <c r="D64" s="206">
        <v>778.57</v>
      </c>
      <c r="E64" s="202" t="s">
        <v>636</v>
      </c>
      <c r="F64" s="199"/>
      <c r="G64" s="199"/>
      <c r="H64" s="199"/>
      <c r="I64" s="199"/>
      <c r="J64" s="199"/>
      <c r="K64" s="199"/>
      <c r="L64" s="199"/>
      <c r="M64" s="199"/>
      <c r="N64" s="199"/>
      <c r="O64" s="199"/>
      <c r="P64" s="199"/>
      <c r="Q64" s="199"/>
      <c r="R64" s="199"/>
      <c r="S64" s="199"/>
      <c r="T64" s="199"/>
      <c r="U64" s="199"/>
      <c r="V64" s="199"/>
      <c r="W64" s="199"/>
      <c r="X64" s="199"/>
      <c r="Y64" s="199"/>
      <c r="Z64" s="199"/>
      <c r="AA64" s="199"/>
      <c r="AB64" s="199"/>
      <c r="AC64" s="199"/>
    </row>
    <row r="65" spans="1:29" ht="15" customHeight="1" x14ac:dyDescent="0.2">
      <c r="A65" s="250" t="s">
        <v>637</v>
      </c>
      <c r="B65" s="250"/>
      <c r="C65" s="250"/>
      <c r="D65" s="206">
        <v>769.79</v>
      </c>
      <c r="E65" s="202" t="s">
        <v>638</v>
      </c>
      <c r="F65" s="199"/>
      <c r="G65" s="199"/>
      <c r="H65" s="199"/>
      <c r="I65" s="199"/>
      <c r="J65" s="199"/>
      <c r="K65" s="199"/>
      <c r="L65" s="199"/>
      <c r="M65" s="199"/>
      <c r="N65" s="199"/>
      <c r="O65" s="199"/>
      <c r="P65" s="199"/>
      <c r="Q65" s="199"/>
      <c r="R65" s="199"/>
      <c r="S65" s="199"/>
      <c r="T65" s="199"/>
      <c r="U65" s="199"/>
      <c r="V65" s="199"/>
      <c r="W65" s="199"/>
      <c r="X65" s="199"/>
      <c r="Y65" s="199"/>
      <c r="Z65" s="199"/>
      <c r="AA65" s="199"/>
      <c r="AB65" s="199"/>
      <c r="AC65" s="199"/>
    </row>
    <row r="66" spans="1:29" ht="15" customHeight="1" x14ac:dyDescent="0.2">
      <c r="A66" s="250" t="s">
        <v>639</v>
      </c>
      <c r="B66" s="250"/>
      <c r="C66" s="250"/>
      <c r="D66" s="206">
        <v>681.92</v>
      </c>
      <c r="E66" s="202" t="s">
        <v>640</v>
      </c>
      <c r="F66" s="199"/>
      <c r="G66" s="199"/>
      <c r="H66" s="199"/>
      <c r="I66" s="199"/>
      <c r="J66" s="199"/>
      <c r="K66" s="199"/>
      <c r="L66" s="199"/>
      <c r="M66" s="199"/>
      <c r="N66" s="199"/>
      <c r="O66" s="199"/>
      <c r="P66" s="199"/>
      <c r="Q66" s="199"/>
      <c r="R66" s="199"/>
      <c r="S66" s="199"/>
      <c r="T66" s="199"/>
      <c r="U66" s="199"/>
      <c r="V66" s="199"/>
      <c r="W66" s="199"/>
      <c r="X66" s="199"/>
      <c r="Y66" s="199"/>
      <c r="Z66" s="199"/>
      <c r="AA66" s="199"/>
      <c r="AB66" s="199"/>
      <c r="AC66" s="199"/>
    </row>
    <row r="67" spans="1:29" ht="15" customHeight="1" x14ac:dyDescent="0.2">
      <c r="A67" s="250" t="s">
        <v>641</v>
      </c>
      <c r="B67" s="250"/>
      <c r="C67" s="250"/>
      <c r="D67" s="205">
        <v>46239</v>
      </c>
      <c r="E67" s="202" t="s">
        <v>642</v>
      </c>
      <c r="F67" s="199"/>
      <c r="G67" s="199"/>
      <c r="H67" s="199"/>
      <c r="I67" s="199"/>
      <c r="J67" s="199"/>
      <c r="K67" s="199"/>
      <c r="L67" s="199"/>
      <c r="M67" s="199"/>
      <c r="N67" s="199"/>
      <c r="O67" s="199"/>
      <c r="P67" s="199"/>
      <c r="Q67" s="199"/>
      <c r="R67" s="199"/>
      <c r="S67" s="199"/>
      <c r="T67" s="199"/>
      <c r="U67" s="199"/>
      <c r="V67" s="199"/>
      <c r="W67" s="199"/>
      <c r="X67" s="199"/>
      <c r="Y67" s="199"/>
      <c r="Z67" s="199"/>
      <c r="AA67" s="199"/>
      <c r="AB67" s="199"/>
      <c r="AC67" s="199"/>
    </row>
    <row r="68" spans="1:29" ht="15" customHeight="1" x14ac:dyDescent="0.2">
      <c r="A68" s="199"/>
      <c r="B68" s="199"/>
      <c r="C68" s="199"/>
      <c r="D68" s="199"/>
      <c r="E68" s="199"/>
      <c r="F68" s="199"/>
      <c r="G68" s="199"/>
      <c r="H68" s="199"/>
      <c r="I68" s="199"/>
      <c r="J68" s="199"/>
      <c r="K68" s="199"/>
      <c r="L68" s="199"/>
      <c r="M68" s="199"/>
      <c r="N68" s="199"/>
      <c r="O68" s="199"/>
      <c r="P68" s="199"/>
      <c r="Q68" s="199"/>
      <c r="R68" s="199"/>
      <c r="S68" s="199"/>
      <c r="T68" s="199"/>
      <c r="U68" s="199"/>
      <c r="V68" s="199"/>
      <c r="W68" s="199"/>
      <c r="X68" s="199"/>
      <c r="Y68" s="199"/>
      <c r="Z68" s="199"/>
      <c r="AA68" s="199"/>
      <c r="AB68" s="199"/>
      <c r="AC68" s="199"/>
    </row>
    <row r="69" spans="1:29" ht="72" customHeight="1" x14ac:dyDescent="0.2">
      <c r="A69" s="251" t="s">
        <v>643</v>
      </c>
      <c r="B69" s="251"/>
      <c r="C69" s="251"/>
      <c r="D69" s="251"/>
      <c r="E69" s="251"/>
      <c r="F69" s="251"/>
      <c r="G69" s="251"/>
      <c r="H69" s="251"/>
      <c r="I69" s="251"/>
      <c r="J69" s="251"/>
      <c r="K69" s="251"/>
      <c r="L69" s="251"/>
      <c r="M69" s="251"/>
      <c r="N69" s="251"/>
      <c r="O69" s="251"/>
      <c r="P69" s="251"/>
      <c r="Q69" s="251"/>
      <c r="R69" s="199"/>
      <c r="S69" s="199"/>
      <c r="T69" s="199"/>
      <c r="U69" s="199"/>
      <c r="V69" s="199"/>
      <c r="W69" s="199"/>
      <c r="X69" s="199"/>
      <c r="Y69" s="199"/>
      <c r="Z69" s="199"/>
      <c r="AA69" s="199"/>
      <c r="AB69" s="199"/>
      <c r="AC69" s="199"/>
    </row>
  </sheetData>
  <mergeCells count="19">
    <mergeCell ref="A65:C65"/>
    <mergeCell ref="A66:C66"/>
    <mergeCell ref="A67:C67"/>
    <mergeCell ref="A69:Q69"/>
    <mergeCell ref="A58:C58"/>
    <mergeCell ref="A59:C59"/>
    <mergeCell ref="A60:C60"/>
    <mergeCell ref="A63:C63"/>
    <mergeCell ref="A64:C64"/>
    <mergeCell ref="A51:C51"/>
    <mergeCell ref="A52:C52"/>
    <mergeCell ref="A53:C53"/>
    <mergeCell ref="A56:C56"/>
    <mergeCell ref="A57:C57"/>
    <mergeCell ref="A1:P1"/>
    <mergeCell ref="A47:C47"/>
    <mergeCell ref="A48:C48"/>
    <mergeCell ref="A49:C49"/>
    <mergeCell ref="A50:C50"/>
  </mergeCells>
  <conditionalFormatting sqref="F47:I53">
    <cfRule type="cellIs" dxfId="33" priority="16" operator="greaterThan">
      <formula>0</formula>
    </cfRule>
    <cfRule type="cellIs" dxfId="32" priority="17" operator="lessThan">
      <formula>0</formula>
    </cfRule>
  </conditionalFormatting>
  <conditionalFormatting sqref="F56:I60">
    <cfRule type="cellIs" dxfId="31" priority="31" operator="lessThan">
      <formula>0</formula>
    </cfRule>
    <cfRule type="cellIs" dxfId="30" priority="30" operator="greaterThan">
      <formula>0</formula>
    </cfRule>
  </conditionalFormatting>
  <conditionalFormatting sqref="O3:O44">
    <cfRule type="cellIs" dxfId="29" priority="2" operator="greaterThan">
      <formula>0</formula>
    </cfRule>
    <cfRule type="cellIs" dxfId="28" priority="3" operator="lessThan">
      <formula>0</formula>
    </cfRule>
  </conditionalFormatting>
  <conditionalFormatting sqref="P3:P44">
    <cfRule type="cellIs" dxfId="27" priority="4" operator="greaterThan">
      <formula>0</formula>
    </cfRule>
    <cfRule type="cellIs" dxfId="26" priority="5" operator="lessThan">
      <formula>0</formula>
    </cfRule>
  </conditionalFormatting>
  <conditionalFormatting sqref="Q3:Q44">
    <cfRule type="cellIs" dxfId="25" priority="6" operator="greaterThan">
      <formula>0</formula>
    </cfRule>
    <cfRule type="cellIs" dxfId="24" priority="7" operator="lessThan">
      <formula>0</formula>
    </cfRule>
  </conditionalFormatting>
  <conditionalFormatting sqref="X3:X44">
    <cfRule type="cellIs" dxfId="23" priority="8" operator="greaterThan">
      <formula>0</formula>
    </cfRule>
    <cfRule type="cellIs" dxfId="22" priority="9" operator="lessThan">
      <formula>0</formula>
    </cfRule>
  </conditionalFormatting>
  <conditionalFormatting sqref="AA3:AA44">
    <cfRule type="cellIs" dxfId="21" priority="10" operator="greaterThan">
      <formula>0</formula>
    </cfRule>
    <cfRule type="cellIs" dxfId="20" priority="11" operator="lessThan">
      <formula>0</formula>
    </cfRule>
  </conditionalFormatting>
  <conditionalFormatting sqref="AB3:AB44">
    <cfRule type="cellIs" dxfId="19" priority="12" operator="greaterThan">
      <formula>0</formula>
    </cfRule>
    <cfRule type="cellIs" dxfId="18" priority="13" operator="lessThan">
      <formula>0</formula>
    </cfRule>
  </conditionalFormatting>
  <conditionalFormatting sqref="AC3:AC44">
    <cfRule type="cellIs" dxfId="17" priority="14" operator="greaterThan">
      <formula>0</formula>
    </cfRule>
    <cfRule type="cellIs" dxfId="16" priority="15" operator="lessThan">
      <formula>0</formula>
    </cfRule>
  </conditionalFormatting>
  <dataValidations count="4">
    <dataValidation type="list" allowBlank="1" sqref="I3:I44" xr:uid="{00000000-0002-0000-0F00-000000000000}">
      <formula1>"Held,Exited"</formula1>
      <formula2>0</formula2>
    </dataValidation>
    <dataValidation type="list" allowBlank="1" sqref="G3:G44" xr:uid="{00000000-0002-0000-0F00-000001000000}">
      <formula1>"Strong Buy,Buy"</formula1>
      <formula2>0</formula2>
    </dataValidation>
    <dataValidation type="list" allowBlank="1" sqref="R3:R44" xr:uid="{00000000-0002-0000-0F00-000002000000}">
      <formula1>"Stock,ETF,Cash"</formula1>
      <formula2>0</formula2>
    </dataValidation>
    <dataValidation type="list" allowBlank="1" sqref="S3:S44" xr:uid="{00000000-0002-0000-0F00-000003000000}">
      <formula1>"System,Baseline"</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302"/>
  <sheetViews>
    <sheetView showGridLines="0" zoomScaleNormal="100" workbookViewId="0">
      <pane ySplit="2" topLeftCell="A85" activePane="bottomLeft" state="frozen"/>
      <selection pane="bottomLeft" activeCell="C53" sqref="C53"/>
    </sheetView>
  </sheetViews>
  <sheetFormatPr baseColWidth="10" defaultColWidth="8.6640625" defaultRowHeight="15" x14ac:dyDescent="0.2"/>
  <cols>
    <col min="1" max="1" width="8.83203125" style="207" customWidth="1"/>
    <col min="2" max="2" width="15.33203125" style="207" customWidth="1"/>
    <col min="3" max="3" width="98.5" customWidth="1"/>
  </cols>
  <sheetData>
    <row r="1" spans="1:3" ht="27.75" customHeight="1" x14ac:dyDescent="0.2">
      <c r="A1" s="252" t="s">
        <v>644</v>
      </c>
      <c r="B1" s="252"/>
      <c r="C1" s="252"/>
    </row>
    <row r="2" spans="1:3" ht="18" customHeight="1" x14ac:dyDescent="0.2">
      <c r="A2" s="148" t="s">
        <v>476</v>
      </c>
      <c r="B2" s="148" t="s">
        <v>82</v>
      </c>
      <c r="C2" s="148" t="s">
        <v>219</v>
      </c>
    </row>
    <row r="3" spans="1:3" ht="27.75" customHeight="1" x14ac:dyDescent="0.2">
      <c r="A3" s="208">
        <v>46241</v>
      </c>
      <c r="B3" s="209" t="s">
        <v>180</v>
      </c>
      <c r="C3" s="210" t="s">
        <v>645</v>
      </c>
    </row>
    <row r="4" spans="1:3" ht="27.75" customHeight="1" x14ac:dyDescent="0.2">
      <c r="A4" s="208">
        <v>46241</v>
      </c>
      <c r="B4" s="209" t="s">
        <v>183</v>
      </c>
      <c r="C4" s="210" t="s">
        <v>646</v>
      </c>
    </row>
    <row r="5" spans="1:3" ht="15" customHeight="1" x14ac:dyDescent="0.2">
      <c r="A5" s="208">
        <v>46241</v>
      </c>
      <c r="B5" s="209" t="s">
        <v>192</v>
      </c>
      <c r="C5" s="210" t="s">
        <v>647</v>
      </c>
    </row>
    <row r="6" spans="1:3" ht="40.5" customHeight="1" x14ac:dyDescent="0.2">
      <c r="A6" s="208">
        <v>46241</v>
      </c>
      <c r="B6" s="209" t="s">
        <v>174</v>
      </c>
      <c r="C6" s="210" t="s">
        <v>648</v>
      </c>
    </row>
    <row r="7" spans="1:3" ht="27.75" customHeight="1" x14ac:dyDescent="0.2">
      <c r="A7" s="208">
        <v>46241</v>
      </c>
      <c r="B7" s="209" t="s">
        <v>649</v>
      </c>
      <c r="C7" s="210" t="s">
        <v>650</v>
      </c>
    </row>
    <row r="8" spans="1:3" ht="27.75" customHeight="1" x14ac:dyDescent="0.2">
      <c r="A8" s="208">
        <v>46241</v>
      </c>
      <c r="B8" s="209" t="s">
        <v>649</v>
      </c>
      <c r="C8" s="210" t="s">
        <v>651</v>
      </c>
    </row>
    <row r="9" spans="1:3" ht="27.75" customHeight="1" x14ac:dyDescent="0.2">
      <c r="A9" s="208">
        <v>46241</v>
      </c>
      <c r="B9" s="209" t="s">
        <v>652</v>
      </c>
      <c r="C9" s="210" t="s">
        <v>653</v>
      </c>
    </row>
    <row r="10" spans="1:3" ht="27.75" customHeight="1" x14ac:dyDescent="0.2">
      <c r="A10" s="208">
        <v>46241</v>
      </c>
      <c r="B10" s="209" t="s">
        <v>654</v>
      </c>
      <c r="C10" s="210" t="s">
        <v>655</v>
      </c>
    </row>
    <row r="11" spans="1:3" ht="27.75" customHeight="1" x14ac:dyDescent="0.2">
      <c r="A11" s="208">
        <v>46241</v>
      </c>
      <c r="B11" s="209" t="s">
        <v>131</v>
      </c>
      <c r="C11" s="210" t="s">
        <v>656</v>
      </c>
    </row>
    <row r="12" spans="1:3" ht="78.75" customHeight="1" x14ac:dyDescent="0.2">
      <c r="A12" s="208">
        <v>46273</v>
      </c>
      <c r="B12" s="209" t="s">
        <v>657</v>
      </c>
      <c r="C12" s="210" t="s">
        <v>658</v>
      </c>
    </row>
    <row r="13" spans="1:3" ht="53.25" customHeight="1" x14ac:dyDescent="0.2">
      <c r="A13" s="208">
        <v>46295</v>
      </c>
      <c r="B13" s="209" t="s">
        <v>659</v>
      </c>
      <c r="C13" s="210" t="s">
        <v>660</v>
      </c>
    </row>
    <row r="14" spans="1:3" ht="66" customHeight="1" x14ac:dyDescent="0.2">
      <c r="A14" s="208">
        <v>46302</v>
      </c>
      <c r="B14" s="209" t="s">
        <v>661</v>
      </c>
      <c r="C14" s="210" t="s">
        <v>662</v>
      </c>
    </row>
    <row r="15" spans="1:3" ht="91.5" customHeight="1" x14ac:dyDescent="0.2">
      <c r="A15" s="208">
        <v>46320</v>
      </c>
      <c r="B15" s="209" t="s">
        <v>663</v>
      </c>
      <c r="C15" s="210" t="s">
        <v>664</v>
      </c>
    </row>
    <row r="16" spans="1:3" ht="53.25" customHeight="1" x14ac:dyDescent="0.2">
      <c r="A16" s="208">
        <v>46335</v>
      </c>
      <c r="B16" s="209" t="s">
        <v>665</v>
      </c>
      <c r="C16" s="210" t="s">
        <v>666</v>
      </c>
    </row>
    <row r="17" spans="1:3" ht="27.75" customHeight="1" x14ac:dyDescent="0.2">
      <c r="A17" s="208">
        <v>46387</v>
      </c>
      <c r="B17" s="209" t="s">
        <v>667</v>
      </c>
      <c r="C17" s="210" t="s">
        <v>668</v>
      </c>
    </row>
    <row r="18" spans="1:3" ht="66" customHeight="1" x14ac:dyDescent="0.2">
      <c r="A18" s="208">
        <v>46412</v>
      </c>
      <c r="B18" s="209" t="s">
        <v>669</v>
      </c>
      <c r="C18" s="210" t="s">
        <v>670</v>
      </c>
    </row>
    <row r="19" spans="1:3" ht="91.5" customHeight="1" x14ac:dyDescent="0.2">
      <c r="A19" s="208">
        <v>46252</v>
      </c>
      <c r="B19" s="209" t="s">
        <v>671</v>
      </c>
      <c r="C19" s="210" t="s">
        <v>672</v>
      </c>
    </row>
    <row r="20" spans="1:3" ht="66" customHeight="1" x14ac:dyDescent="0.2">
      <c r="A20" s="208">
        <v>46258</v>
      </c>
      <c r="B20" s="209" t="s">
        <v>673</v>
      </c>
      <c r="C20" s="210" t="s">
        <v>674</v>
      </c>
    </row>
    <row r="21" spans="1:3" ht="104.25" customHeight="1" x14ac:dyDescent="0.2">
      <c r="A21" s="208">
        <v>46260</v>
      </c>
      <c r="B21" s="209" t="s">
        <v>675</v>
      </c>
      <c r="C21" s="210" t="s">
        <v>676</v>
      </c>
    </row>
    <row r="22" spans="1:3" ht="155.25" customHeight="1" x14ac:dyDescent="0.2">
      <c r="A22" s="208">
        <v>46272</v>
      </c>
      <c r="B22" s="209" t="s">
        <v>677</v>
      </c>
      <c r="C22" s="210" t="s">
        <v>678</v>
      </c>
    </row>
    <row r="23" spans="1:3" ht="53.25" customHeight="1" x14ac:dyDescent="0.2">
      <c r="A23" s="208">
        <v>46302</v>
      </c>
      <c r="B23" s="209" t="s">
        <v>679</v>
      </c>
      <c r="C23" s="210" t="s">
        <v>680</v>
      </c>
    </row>
    <row r="24" spans="1:3" ht="53.25" customHeight="1" x14ac:dyDescent="0.2">
      <c r="A24" s="208">
        <v>46310</v>
      </c>
      <c r="B24" s="209" t="s">
        <v>681</v>
      </c>
      <c r="C24" s="210" t="s">
        <v>680</v>
      </c>
    </row>
    <row r="25" spans="1:3" ht="53.25" customHeight="1" x14ac:dyDescent="0.2">
      <c r="A25" s="208">
        <v>46335</v>
      </c>
      <c r="B25" s="209" t="s">
        <v>682</v>
      </c>
      <c r="C25" s="210" t="s">
        <v>680</v>
      </c>
    </row>
    <row r="26" spans="1:3" ht="53.25" customHeight="1" x14ac:dyDescent="0.2">
      <c r="A26" s="208">
        <v>46342</v>
      </c>
      <c r="B26" s="209" t="s">
        <v>683</v>
      </c>
      <c r="C26" s="210" t="s">
        <v>680</v>
      </c>
    </row>
    <row r="27" spans="1:3" ht="53.25" customHeight="1" x14ac:dyDescent="0.2">
      <c r="A27" s="208">
        <v>46363</v>
      </c>
      <c r="B27" s="209" t="s">
        <v>684</v>
      </c>
      <c r="C27" s="210" t="s">
        <v>680</v>
      </c>
    </row>
    <row r="28" spans="1:3" ht="53.25" customHeight="1" x14ac:dyDescent="0.2">
      <c r="A28" s="208">
        <v>46371</v>
      </c>
      <c r="B28" s="209" t="s">
        <v>685</v>
      </c>
      <c r="C28" s="210" t="s">
        <v>680</v>
      </c>
    </row>
    <row r="29" spans="1:3" ht="53.25" customHeight="1" x14ac:dyDescent="0.2">
      <c r="A29" s="208">
        <v>46394</v>
      </c>
      <c r="B29" s="209" t="s">
        <v>686</v>
      </c>
      <c r="C29" s="210" t="s">
        <v>680</v>
      </c>
    </row>
    <row r="30" spans="1:3" ht="53.25" customHeight="1" x14ac:dyDescent="0.2">
      <c r="A30" s="208">
        <v>46402</v>
      </c>
      <c r="B30" s="209" t="s">
        <v>687</v>
      </c>
      <c r="C30" s="210" t="s">
        <v>680</v>
      </c>
    </row>
    <row r="31" spans="1:3" ht="53.25" customHeight="1" x14ac:dyDescent="0.2">
      <c r="A31" s="208">
        <v>46426</v>
      </c>
      <c r="B31" s="209" t="s">
        <v>688</v>
      </c>
      <c r="C31" s="210" t="s">
        <v>680</v>
      </c>
    </row>
    <row r="32" spans="1:3" ht="53.25" customHeight="1" x14ac:dyDescent="0.2">
      <c r="A32" s="208">
        <v>46434</v>
      </c>
      <c r="B32" s="209" t="s">
        <v>689</v>
      </c>
      <c r="C32" s="210" t="s">
        <v>680</v>
      </c>
    </row>
    <row r="33" spans="1:3" ht="53.25" customHeight="1" x14ac:dyDescent="0.2">
      <c r="A33" s="208">
        <v>46454</v>
      </c>
      <c r="B33" s="209" t="s">
        <v>690</v>
      </c>
      <c r="C33" s="210" t="s">
        <v>680</v>
      </c>
    </row>
    <row r="34" spans="1:3" ht="53.25" customHeight="1" x14ac:dyDescent="0.2">
      <c r="A34" s="208">
        <v>46461</v>
      </c>
      <c r="B34" s="209" t="s">
        <v>691</v>
      </c>
      <c r="C34" s="210" t="s">
        <v>692</v>
      </c>
    </row>
    <row r="35" spans="1:3" ht="117" customHeight="1" x14ac:dyDescent="0.2">
      <c r="A35" s="208">
        <v>46273</v>
      </c>
      <c r="B35" s="209" t="s">
        <v>693</v>
      </c>
      <c r="C35" s="210" t="s">
        <v>694</v>
      </c>
    </row>
    <row r="36" spans="1:3" ht="155.25" customHeight="1" x14ac:dyDescent="0.2">
      <c r="A36" s="208">
        <v>46276</v>
      </c>
      <c r="B36" s="209" t="s">
        <v>695</v>
      </c>
      <c r="C36" s="210" t="s">
        <v>696</v>
      </c>
    </row>
    <row r="37" spans="1:3" ht="91.5" customHeight="1" x14ac:dyDescent="0.2">
      <c r="A37" s="208">
        <v>46276</v>
      </c>
      <c r="B37" s="209" t="s">
        <v>697</v>
      </c>
      <c r="C37" s="210" t="s">
        <v>698</v>
      </c>
    </row>
    <row r="38" spans="1:3" ht="78.75" customHeight="1" x14ac:dyDescent="0.2">
      <c r="A38" s="208">
        <v>46276</v>
      </c>
      <c r="B38" s="209" t="s">
        <v>699</v>
      </c>
      <c r="C38" s="210" t="s">
        <v>700</v>
      </c>
    </row>
    <row r="39" spans="1:3" ht="168" customHeight="1" x14ac:dyDescent="0.2">
      <c r="A39" s="208">
        <v>46276</v>
      </c>
      <c r="B39" s="209" t="s">
        <v>701</v>
      </c>
      <c r="C39" s="210" t="s">
        <v>702</v>
      </c>
    </row>
    <row r="40" spans="1:3" ht="129.75" customHeight="1" x14ac:dyDescent="0.2">
      <c r="A40" s="208">
        <v>46276</v>
      </c>
      <c r="B40" s="209" t="s">
        <v>701</v>
      </c>
      <c r="C40" s="210" t="s">
        <v>703</v>
      </c>
    </row>
    <row r="41" spans="1:3" ht="129.75" customHeight="1" x14ac:dyDescent="0.2">
      <c r="A41" s="208">
        <v>46276</v>
      </c>
      <c r="B41" s="209" t="s">
        <v>174</v>
      </c>
      <c r="C41" s="210" t="s">
        <v>704</v>
      </c>
    </row>
    <row r="42" spans="1:3" ht="155.25" customHeight="1" x14ac:dyDescent="0.2">
      <c r="A42" s="208">
        <v>46276</v>
      </c>
      <c r="B42" s="209" t="s">
        <v>701</v>
      </c>
      <c r="C42" s="210" t="s">
        <v>705</v>
      </c>
    </row>
    <row r="43" spans="1:3" ht="168" customHeight="1" x14ac:dyDescent="0.2">
      <c r="A43" s="208">
        <v>46276</v>
      </c>
      <c r="B43" s="209" t="s">
        <v>706</v>
      </c>
      <c r="C43" s="210" t="s">
        <v>707</v>
      </c>
    </row>
    <row r="44" spans="1:3" ht="155.25" customHeight="1" x14ac:dyDescent="0.2">
      <c r="A44" s="208">
        <v>46276</v>
      </c>
      <c r="B44" s="209" t="s">
        <v>708</v>
      </c>
      <c r="C44" s="210" t="s">
        <v>709</v>
      </c>
    </row>
    <row r="45" spans="1:3" ht="27.75" customHeight="1" x14ac:dyDescent="0.2">
      <c r="A45" s="208">
        <v>46295</v>
      </c>
      <c r="B45" s="209" t="s">
        <v>710</v>
      </c>
      <c r="C45" s="210" t="s">
        <v>711</v>
      </c>
    </row>
    <row r="46" spans="1:3" ht="40.5" customHeight="1" x14ac:dyDescent="0.2">
      <c r="A46" s="208">
        <v>46302</v>
      </c>
      <c r="B46" s="209" t="s">
        <v>712</v>
      </c>
      <c r="C46" s="210" t="s">
        <v>713</v>
      </c>
    </row>
    <row r="47" spans="1:3" ht="15" customHeight="1" x14ac:dyDescent="0.2">
      <c r="A47" s="208">
        <v>46317</v>
      </c>
      <c r="B47" s="209" t="s">
        <v>714</v>
      </c>
      <c r="C47" s="210" t="s">
        <v>715</v>
      </c>
    </row>
    <row r="48" spans="1:3" ht="27.75" customHeight="1" x14ac:dyDescent="0.2">
      <c r="A48" s="208">
        <v>46335</v>
      </c>
      <c r="B48" s="209" t="s">
        <v>716</v>
      </c>
      <c r="C48" s="210" t="s">
        <v>717</v>
      </c>
    </row>
    <row r="49" spans="1:3" ht="27.75" customHeight="1" x14ac:dyDescent="0.2">
      <c r="A49" s="208">
        <v>46349</v>
      </c>
      <c r="B49" s="209" t="s">
        <v>718</v>
      </c>
      <c r="C49" s="210" t="s">
        <v>719</v>
      </c>
    </row>
    <row r="50" spans="1:3" ht="15" customHeight="1" x14ac:dyDescent="0.2">
      <c r="A50" s="208">
        <v>46363</v>
      </c>
      <c r="B50" s="209" t="s">
        <v>720</v>
      </c>
      <c r="C50" s="210" t="s">
        <v>715</v>
      </c>
    </row>
    <row r="51" spans="1:3" ht="15" customHeight="1" x14ac:dyDescent="0.2">
      <c r="A51" s="208">
        <v>46378</v>
      </c>
      <c r="B51" s="209" t="s">
        <v>721</v>
      </c>
      <c r="C51" s="210" t="s">
        <v>715</v>
      </c>
    </row>
    <row r="52" spans="1:3" ht="27.75" customHeight="1" x14ac:dyDescent="0.2">
      <c r="A52" s="208">
        <v>46394</v>
      </c>
      <c r="B52" s="209" t="s">
        <v>722</v>
      </c>
      <c r="C52" s="210" t="s">
        <v>723</v>
      </c>
    </row>
    <row r="53" spans="1:3" ht="295.5" customHeight="1" x14ac:dyDescent="0.2">
      <c r="A53" s="208">
        <v>46276</v>
      </c>
      <c r="B53" s="209" t="s">
        <v>724</v>
      </c>
      <c r="C53" s="210" t="s">
        <v>725</v>
      </c>
    </row>
    <row r="54" spans="1:3" ht="359.25" customHeight="1" x14ac:dyDescent="0.2">
      <c r="A54" s="208">
        <v>46278</v>
      </c>
      <c r="B54" s="209" t="s">
        <v>726</v>
      </c>
      <c r="C54" s="210" t="s">
        <v>727</v>
      </c>
    </row>
    <row r="55" spans="1:3" ht="270" customHeight="1" x14ac:dyDescent="0.2">
      <c r="A55" s="208">
        <v>46278</v>
      </c>
      <c r="B55" s="209" t="s">
        <v>728</v>
      </c>
      <c r="C55" s="210" t="s">
        <v>729</v>
      </c>
    </row>
    <row r="56" spans="1:3" ht="409.5" customHeight="1" x14ac:dyDescent="0.2">
      <c r="A56" s="208">
        <v>46278</v>
      </c>
      <c r="B56" s="209" t="s">
        <v>730</v>
      </c>
      <c r="C56" s="210" t="s">
        <v>731</v>
      </c>
    </row>
    <row r="57" spans="1:3" ht="193.5" customHeight="1" x14ac:dyDescent="0.2">
      <c r="A57" s="208">
        <v>46278</v>
      </c>
      <c r="B57" s="209" t="s">
        <v>732</v>
      </c>
      <c r="C57" s="210" t="s">
        <v>733</v>
      </c>
    </row>
    <row r="58" spans="1:3" ht="384.75" customHeight="1" x14ac:dyDescent="0.2">
      <c r="A58" s="208">
        <v>46278</v>
      </c>
      <c r="B58" s="209" t="s">
        <v>734</v>
      </c>
      <c r="C58" s="210" t="s">
        <v>735</v>
      </c>
    </row>
    <row r="59" spans="1:3" ht="409.5" customHeight="1" x14ac:dyDescent="0.2">
      <c r="A59" s="208">
        <v>46278</v>
      </c>
      <c r="B59" s="209" t="s">
        <v>736</v>
      </c>
      <c r="C59" s="210" t="s">
        <v>737</v>
      </c>
    </row>
    <row r="60" spans="1:3" ht="397.5" customHeight="1" x14ac:dyDescent="0.2">
      <c r="A60" s="208">
        <v>46278</v>
      </c>
      <c r="B60" s="209" t="s">
        <v>738</v>
      </c>
      <c r="C60" s="210" t="s">
        <v>739</v>
      </c>
    </row>
    <row r="61" spans="1:3" ht="409.5" customHeight="1" x14ac:dyDescent="0.2">
      <c r="A61" s="208">
        <v>46278</v>
      </c>
      <c r="B61" s="209" t="s">
        <v>740</v>
      </c>
      <c r="C61" s="210" t="s">
        <v>741</v>
      </c>
    </row>
    <row r="62" spans="1:3" ht="409.5" customHeight="1" x14ac:dyDescent="0.2">
      <c r="A62" s="208">
        <v>46294</v>
      </c>
      <c r="B62" s="209" t="s">
        <v>742</v>
      </c>
      <c r="C62" s="210" t="s">
        <v>743</v>
      </c>
    </row>
    <row r="63" spans="1:3" ht="129.75" customHeight="1" x14ac:dyDescent="0.2">
      <c r="A63" s="208">
        <v>46294</v>
      </c>
      <c r="B63" s="209" t="s">
        <v>744</v>
      </c>
      <c r="C63" s="210" t="s">
        <v>745</v>
      </c>
    </row>
    <row r="64" spans="1:3" ht="155.25" customHeight="1" x14ac:dyDescent="0.2">
      <c r="A64" s="208">
        <v>46295</v>
      </c>
      <c r="B64" s="209" t="s">
        <v>710</v>
      </c>
      <c r="C64" s="210" t="s">
        <v>746</v>
      </c>
    </row>
    <row r="65" spans="1:3" ht="104.25" customHeight="1" x14ac:dyDescent="0.2">
      <c r="A65" s="208">
        <v>46295</v>
      </c>
      <c r="B65" s="209" t="s">
        <v>747</v>
      </c>
      <c r="C65" s="210" t="s">
        <v>748</v>
      </c>
    </row>
    <row r="66" spans="1:3" ht="282.75" customHeight="1" x14ac:dyDescent="0.2">
      <c r="A66" s="208">
        <v>46295</v>
      </c>
      <c r="B66" s="209" t="s">
        <v>96</v>
      </c>
      <c r="C66" s="210" t="s">
        <v>749</v>
      </c>
    </row>
    <row r="67" spans="1:3" ht="155.25" customHeight="1" x14ac:dyDescent="0.2">
      <c r="A67" s="208">
        <v>46295</v>
      </c>
      <c r="B67" s="209"/>
      <c r="C67" s="210" t="s">
        <v>750</v>
      </c>
    </row>
    <row r="68" spans="1:3" ht="155.25" customHeight="1" x14ac:dyDescent="0.2">
      <c r="A68" s="208">
        <v>46295</v>
      </c>
      <c r="B68" s="209"/>
      <c r="C68" s="210" t="s">
        <v>751</v>
      </c>
    </row>
    <row r="69" spans="1:3" ht="219" customHeight="1" x14ac:dyDescent="0.2">
      <c r="A69" s="208">
        <v>46295</v>
      </c>
      <c r="B69" s="209" t="s">
        <v>752</v>
      </c>
      <c r="C69" s="210" t="s">
        <v>753</v>
      </c>
    </row>
    <row r="70" spans="1:3" ht="206.25" customHeight="1" x14ac:dyDescent="0.2">
      <c r="A70" s="208">
        <v>46295</v>
      </c>
      <c r="B70" s="209" t="s">
        <v>754</v>
      </c>
      <c r="C70" s="210" t="s">
        <v>755</v>
      </c>
    </row>
    <row r="71" spans="1:3" ht="409.5" customHeight="1" x14ac:dyDescent="0.2">
      <c r="A71" s="208">
        <v>46296</v>
      </c>
      <c r="B71" s="209" t="s">
        <v>146</v>
      </c>
      <c r="C71" s="210" t="s">
        <v>756</v>
      </c>
    </row>
    <row r="72" spans="1:3" ht="295.5" customHeight="1" x14ac:dyDescent="0.2">
      <c r="A72" s="208">
        <v>46296</v>
      </c>
      <c r="B72" s="209"/>
      <c r="C72" s="210" t="s">
        <v>757</v>
      </c>
    </row>
    <row r="73" spans="1:3" ht="282.75" customHeight="1" x14ac:dyDescent="0.2">
      <c r="A73" s="208">
        <v>46296</v>
      </c>
      <c r="B73" s="209" t="s">
        <v>758</v>
      </c>
      <c r="C73" s="210" t="s">
        <v>759</v>
      </c>
    </row>
    <row r="74" spans="1:3" ht="142.5" customHeight="1" x14ac:dyDescent="0.2">
      <c r="A74" s="208">
        <v>46296</v>
      </c>
      <c r="B74" s="209" t="s">
        <v>760</v>
      </c>
      <c r="C74" s="210" t="s">
        <v>761</v>
      </c>
    </row>
    <row r="75" spans="1:3" ht="117" customHeight="1" x14ac:dyDescent="0.2">
      <c r="A75" s="208">
        <v>46297</v>
      </c>
      <c r="B75" s="209" t="s">
        <v>762</v>
      </c>
      <c r="C75" s="210" t="s">
        <v>763</v>
      </c>
    </row>
    <row r="76" spans="1:3" ht="53.25" customHeight="1" x14ac:dyDescent="0.2">
      <c r="A76" s="208">
        <v>46297</v>
      </c>
      <c r="B76" s="209" t="s">
        <v>146</v>
      </c>
      <c r="C76" s="210" t="s">
        <v>764</v>
      </c>
    </row>
    <row r="77" spans="1:3" ht="155.25" customHeight="1" x14ac:dyDescent="0.2">
      <c r="A77" s="208">
        <v>46297</v>
      </c>
      <c r="B77" s="209" t="s">
        <v>765</v>
      </c>
      <c r="C77" s="210" t="s">
        <v>766</v>
      </c>
    </row>
    <row r="78" spans="1:3" ht="295.5" customHeight="1" x14ac:dyDescent="0.2">
      <c r="A78" s="208">
        <v>46297</v>
      </c>
      <c r="B78" s="209" t="s">
        <v>767</v>
      </c>
      <c r="C78" s="210" t="s">
        <v>768</v>
      </c>
    </row>
    <row r="79" spans="1:3" ht="282.75" customHeight="1" x14ac:dyDescent="0.2">
      <c r="A79" s="208">
        <v>46297</v>
      </c>
      <c r="B79" s="209" t="s">
        <v>769</v>
      </c>
      <c r="C79" s="210" t="s">
        <v>770</v>
      </c>
    </row>
    <row r="80" spans="1:3" ht="257.25" customHeight="1" x14ac:dyDescent="0.2">
      <c r="A80" s="208">
        <v>46297</v>
      </c>
      <c r="B80" s="209" t="s">
        <v>149</v>
      </c>
      <c r="C80" s="210" t="s">
        <v>771</v>
      </c>
    </row>
    <row r="81" spans="1:3" ht="282.75" customHeight="1" x14ac:dyDescent="0.2">
      <c r="A81" s="208">
        <v>46299</v>
      </c>
      <c r="B81" s="209" t="s">
        <v>772</v>
      </c>
      <c r="C81" s="210" t="s">
        <v>773</v>
      </c>
    </row>
    <row r="82" spans="1:3" ht="321" customHeight="1" x14ac:dyDescent="0.2">
      <c r="A82" s="208">
        <v>46299</v>
      </c>
      <c r="B82" s="209" t="s">
        <v>774</v>
      </c>
      <c r="C82" s="210" t="s">
        <v>775</v>
      </c>
    </row>
    <row r="83" spans="1:3" ht="129.75" customHeight="1" x14ac:dyDescent="0.2">
      <c r="A83" s="208">
        <v>46299</v>
      </c>
      <c r="B83" s="209" t="s">
        <v>774</v>
      </c>
      <c r="C83" s="210" t="s">
        <v>776</v>
      </c>
    </row>
    <row r="84" spans="1:3" ht="346.5" customHeight="1" x14ac:dyDescent="0.2">
      <c r="A84" s="208">
        <v>46299</v>
      </c>
      <c r="B84" s="209" t="s">
        <v>777</v>
      </c>
      <c r="C84" s="210" t="s">
        <v>778</v>
      </c>
    </row>
    <row r="85" spans="1:3" ht="168" customHeight="1" x14ac:dyDescent="0.2">
      <c r="A85" s="208">
        <v>46299</v>
      </c>
      <c r="B85" s="209" t="s">
        <v>779</v>
      </c>
      <c r="C85" s="210" t="s">
        <v>780</v>
      </c>
    </row>
    <row r="86" spans="1:3" ht="257.25" customHeight="1" x14ac:dyDescent="0.2">
      <c r="A86" s="208">
        <v>46299</v>
      </c>
      <c r="B86" s="209" t="s">
        <v>781</v>
      </c>
      <c r="C86" s="210" t="s">
        <v>782</v>
      </c>
    </row>
    <row r="87" spans="1:3" ht="155.25" customHeight="1" x14ac:dyDescent="0.2">
      <c r="A87" s="208">
        <v>46299</v>
      </c>
      <c r="B87" s="209" t="s">
        <v>783</v>
      </c>
      <c r="C87" s="210" t="s">
        <v>784</v>
      </c>
    </row>
    <row r="88" spans="1:3" ht="206.25" customHeight="1" x14ac:dyDescent="0.2">
      <c r="A88" s="208">
        <v>46299</v>
      </c>
      <c r="B88" s="209" t="s">
        <v>785</v>
      </c>
      <c r="C88" s="210" t="s">
        <v>786</v>
      </c>
    </row>
    <row r="89" spans="1:3" ht="270" customHeight="1" x14ac:dyDescent="0.2">
      <c r="A89" s="208">
        <v>46299</v>
      </c>
      <c r="B89" s="209" t="s">
        <v>787</v>
      </c>
      <c r="C89" s="210" t="s">
        <v>788</v>
      </c>
    </row>
    <row r="90" spans="1:3" ht="219" customHeight="1" x14ac:dyDescent="0.2">
      <c r="A90" s="208">
        <v>46300</v>
      </c>
      <c r="B90" s="209" t="s">
        <v>789</v>
      </c>
      <c r="C90" s="210" t="s">
        <v>790</v>
      </c>
    </row>
    <row r="91" spans="1:3" ht="244.5" customHeight="1" x14ac:dyDescent="0.2">
      <c r="A91" s="208">
        <v>46300</v>
      </c>
      <c r="B91" s="209" t="s">
        <v>791</v>
      </c>
      <c r="C91" s="210" t="s">
        <v>792</v>
      </c>
    </row>
    <row r="92" spans="1:3" ht="308.25" customHeight="1" x14ac:dyDescent="0.2">
      <c r="A92" s="208">
        <v>46300</v>
      </c>
      <c r="B92" s="209" t="s">
        <v>793</v>
      </c>
      <c r="C92" s="210" t="s">
        <v>794</v>
      </c>
    </row>
    <row r="93" spans="1:3" ht="244.5" customHeight="1" x14ac:dyDescent="0.2">
      <c r="A93" s="208">
        <v>46300</v>
      </c>
      <c r="B93" s="209" t="s">
        <v>795</v>
      </c>
      <c r="C93" s="210" t="s">
        <v>796</v>
      </c>
    </row>
    <row r="94" spans="1:3" ht="270" customHeight="1" x14ac:dyDescent="0.2">
      <c r="A94" s="208">
        <v>46300</v>
      </c>
      <c r="B94" s="209" t="s">
        <v>797</v>
      </c>
      <c r="C94" s="210" t="s">
        <v>798</v>
      </c>
    </row>
    <row r="95" spans="1:3" ht="359.25" customHeight="1" x14ac:dyDescent="0.2">
      <c r="A95" s="208">
        <v>46300</v>
      </c>
      <c r="B95" s="209" t="s">
        <v>799</v>
      </c>
      <c r="C95" s="210" t="s">
        <v>800</v>
      </c>
    </row>
    <row r="96" spans="1:3" ht="384.75" customHeight="1" x14ac:dyDescent="0.2">
      <c r="A96" s="208">
        <v>46300</v>
      </c>
      <c r="B96" s="209" t="s">
        <v>801</v>
      </c>
      <c r="C96" s="210" t="s">
        <v>802</v>
      </c>
    </row>
    <row r="97" spans="1:3" ht="142.5" customHeight="1" x14ac:dyDescent="0.2">
      <c r="A97" s="208">
        <v>46300</v>
      </c>
      <c r="B97" s="209" t="s">
        <v>803</v>
      </c>
      <c r="C97" s="210" t="s">
        <v>804</v>
      </c>
    </row>
    <row r="98" spans="1:3" ht="308.25" customHeight="1" x14ac:dyDescent="0.2">
      <c r="A98" s="208">
        <v>46300</v>
      </c>
      <c r="B98" s="209" t="s">
        <v>805</v>
      </c>
      <c r="C98" s="210" t="s">
        <v>806</v>
      </c>
    </row>
    <row r="99" spans="1:3" ht="384.75" customHeight="1" x14ac:dyDescent="0.2">
      <c r="A99" s="208">
        <v>46300</v>
      </c>
      <c r="B99" s="209" t="s">
        <v>807</v>
      </c>
      <c r="C99" s="210" t="s">
        <v>808</v>
      </c>
    </row>
    <row r="100" spans="1:3" ht="333.75" customHeight="1" x14ac:dyDescent="0.2">
      <c r="A100" s="208">
        <v>46301</v>
      </c>
      <c r="B100" s="209" t="s">
        <v>809</v>
      </c>
      <c r="C100" s="210" t="s">
        <v>810</v>
      </c>
    </row>
    <row r="101" spans="1:3" ht="282.75" customHeight="1" x14ac:dyDescent="0.2">
      <c r="A101" s="208">
        <v>46301</v>
      </c>
      <c r="B101" s="209" t="s">
        <v>811</v>
      </c>
      <c r="C101" s="210" t="s">
        <v>812</v>
      </c>
    </row>
    <row r="102" spans="1:3" ht="295.5" customHeight="1" x14ac:dyDescent="0.2">
      <c r="A102" s="208">
        <v>46301</v>
      </c>
      <c r="B102" s="209" t="s">
        <v>813</v>
      </c>
      <c r="C102" s="210" t="s">
        <v>814</v>
      </c>
    </row>
    <row r="103" spans="1:3" ht="104.25" customHeight="1" x14ac:dyDescent="0.2">
      <c r="A103" s="208">
        <v>46301</v>
      </c>
      <c r="B103" s="209" t="s">
        <v>815</v>
      </c>
      <c r="C103" s="210" t="s">
        <v>816</v>
      </c>
    </row>
    <row r="104" spans="1:3" ht="257.25" customHeight="1" x14ac:dyDescent="0.2">
      <c r="A104" s="208">
        <v>46302</v>
      </c>
      <c r="B104" s="209" t="s">
        <v>817</v>
      </c>
      <c r="C104" s="210" t="s">
        <v>818</v>
      </c>
    </row>
    <row r="105" spans="1:3" ht="155.25" customHeight="1" x14ac:dyDescent="0.2">
      <c r="A105" s="208">
        <v>46302</v>
      </c>
      <c r="B105" s="209" t="s">
        <v>819</v>
      </c>
      <c r="C105" s="210" t="s">
        <v>820</v>
      </c>
    </row>
    <row r="106" spans="1:3" ht="206.25" customHeight="1" x14ac:dyDescent="0.2">
      <c r="A106" s="208">
        <v>46302</v>
      </c>
      <c r="B106" s="209" t="s">
        <v>821</v>
      </c>
      <c r="C106" s="210" t="s">
        <v>822</v>
      </c>
    </row>
    <row r="107" spans="1:3" ht="282.75" customHeight="1" x14ac:dyDescent="0.2">
      <c r="A107" s="208">
        <v>46302</v>
      </c>
      <c r="B107" s="209" t="s">
        <v>823</v>
      </c>
      <c r="C107" s="210" t="s">
        <v>824</v>
      </c>
    </row>
    <row r="108" spans="1:3" ht="308.25" customHeight="1" x14ac:dyDescent="0.2">
      <c r="A108" s="208">
        <v>46302</v>
      </c>
      <c r="B108" s="209" t="s">
        <v>825</v>
      </c>
      <c r="C108" s="210" t="s">
        <v>826</v>
      </c>
    </row>
    <row r="109" spans="1:3" ht="206.25" customHeight="1" x14ac:dyDescent="0.2">
      <c r="A109" s="208">
        <v>46303</v>
      </c>
      <c r="B109" s="209" t="s">
        <v>827</v>
      </c>
      <c r="C109" s="210" t="s">
        <v>828</v>
      </c>
    </row>
    <row r="110" spans="1:3" ht="244.5" customHeight="1" x14ac:dyDescent="0.2">
      <c r="A110" s="208">
        <v>46303</v>
      </c>
      <c r="B110" s="209" t="s">
        <v>829</v>
      </c>
      <c r="C110" s="210" t="s">
        <v>830</v>
      </c>
    </row>
    <row r="111" spans="1:3" ht="142.5" customHeight="1" x14ac:dyDescent="0.2">
      <c r="A111" s="208">
        <v>46303</v>
      </c>
      <c r="B111" s="209" t="s">
        <v>831</v>
      </c>
      <c r="C111" s="210" t="s">
        <v>832</v>
      </c>
    </row>
    <row r="112" spans="1:3" ht="206.25" customHeight="1" x14ac:dyDescent="0.2">
      <c r="A112" s="208">
        <v>46303</v>
      </c>
      <c r="B112" s="209" t="s">
        <v>833</v>
      </c>
      <c r="C112" s="210" t="s">
        <v>834</v>
      </c>
    </row>
    <row r="113" spans="1:3" ht="206.25" customHeight="1" x14ac:dyDescent="0.2">
      <c r="A113" s="208">
        <v>46303</v>
      </c>
      <c r="B113" s="209" t="s">
        <v>835</v>
      </c>
      <c r="C113" s="210" t="s">
        <v>836</v>
      </c>
    </row>
    <row r="114" spans="1:3" ht="295.5" customHeight="1" x14ac:dyDescent="0.2">
      <c r="A114" s="208">
        <v>46303</v>
      </c>
      <c r="B114" s="209" t="s">
        <v>837</v>
      </c>
      <c r="C114" s="210" t="s">
        <v>838</v>
      </c>
    </row>
    <row r="115" spans="1:3" ht="168" customHeight="1" x14ac:dyDescent="0.2">
      <c r="A115" s="208">
        <v>46303</v>
      </c>
      <c r="B115" s="209" t="s">
        <v>839</v>
      </c>
      <c r="C115" s="210" t="s">
        <v>840</v>
      </c>
    </row>
    <row r="116" spans="1:3" ht="295.5" customHeight="1" x14ac:dyDescent="0.2">
      <c r="A116" s="208">
        <v>46303</v>
      </c>
      <c r="B116" s="209" t="s">
        <v>841</v>
      </c>
      <c r="C116" s="210" t="s">
        <v>842</v>
      </c>
    </row>
    <row r="117" spans="1:3" ht="231.75" customHeight="1" x14ac:dyDescent="0.2">
      <c r="A117" s="208">
        <v>46303</v>
      </c>
      <c r="B117" s="209" t="s">
        <v>843</v>
      </c>
      <c r="C117" s="210" t="s">
        <v>844</v>
      </c>
    </row>
    <row r="118" spans="1:3" ht="206.25" customHeight="1" x14ac:dyDescent="0.2">
      <c r="A118" s="208">
        <v>46303</v>
      </c>
      <c r="B118" s="209" t="s">
        <v>845</v>
      </c>
      <c r="C118" s="210" t="s">
        <v>846</v>
      </c>
    </row>
    <row r="119" spans="1:3" ht="308.25" customHeight="1" x14ac:dyDescent="0.2">
      <c r="A119" s="208">
        <v>46303</v>
      </c>
      <c r="B119" s="209" t="s">
        <v>847</v>
      </c>
      <c r="C119" s="210" t="s">
        <v>848</v>
      </c>
    </row>
    <row r="120" spans="1:3" ht="155.25" customHeight="1" x14ac:dyDescent="0.2">
      <c r="A120" s="208">
        <v>46303</v>
      </c>
      <c r="B120" s="209" t="s">
        <v>849</v>
      </c>
      <c r="C120" s="210" t="s">
        <v>850</v>
      </c>
    </row>
    <row r="121" spans="1:3" ht="206.25" customHeight="1" x14ac:dyDescent="0.2">
      <c r="A121" s="208">
        <v>46303</v>
      </c>
      <c r="B121" s="209" t="s">
        <v>851</v>
      </c>
      <c r="C121" s="210" t="s">
        <v>852</v>
      </c>
    </row>
    <row r="122" spans="1:3" ht="219" customHeight="1" x14ac:dyDescent="0.2">
      <c r="A122" s="208">
        <v>46303</v>
      </c>
      <c r="B122" s="209" t="s">
        <v>853</v>
      </c>
      <c r="C122" s="210" t="s">
        <v>854</v>
      </c>
    </row>
    <row r="123" spans="1:3" ht="219" customHeight="1" x14ac:dyDescent="0.2">
      <c r="A123" s="208">
        <v>46303</v>
      </c>
      <c r="B123" s="209" t="s">
        <v>855</v>
      </c>
      <c r="C123" s="210" t="s">
        <v>856</v>
      </c>
    </row>
    <row r="124" spans="1:3" ht="231.75" customHeight="1" x14ac:dyDescent="0.2">
      <c r="A124" s="208">
        <v>46303</v>
      </c>
      <c r="B124" s="209" t="s">
        <v>857</v>
      </c>
      <c r="C124" s="210" t="s">
        <v>858</v>
      </c>
    </row>
    <row r="125" spans="1:3" ht="129.75" customHeight="1" x14ac:dyDescent="0.2">
      <c r="A125" s="208">
        <v>46303</v>
      </c>
      <c r="B125" s="209" t="s">
        <v>859</v>
      </c>
      <c r="C125" s="210" t="s">
        <v>860</v>
      </c>
    </row>
    <row r="126" spans="1:3" ht="270" customHeight="1" x14ac:dyDescent="0.2">
      <c r="A126" s="208">
        <v>46303</v>
      </c>
      <c r="B126" s="209" t="s">
        <v>861</v>
      </c>
      <c r="C126" s="210" t="s">
        <v>862</v>
      </c>
    </row>
    <row r="127" spans="1:3" ht="409.5" customHeight="1" x14ac:dyDescent="0.2">
      <c r="A127" s="208">
        <v>46304</v>
      </c>
      <c r="B127" s="209" t="s">
        <v>863</v>
      </c>
      <c r="C127" s="210" t="s">
        <v>864</v>
      </c>
    </row>
    <row r="128" spans="1:3" ht="397.5" customHeight="1" x14ac:dyDescent="0.2">
      <c r="A128" s="208">
        <v>46305</v>
      </c>
      <c r="B128" s="209" t="s">
        <v>865</v>
      </c>
      <c r="C128" s="210" t="s">
        <v>866</v>
      </c>
    </row>
    <row r="129" spans="1:3" ht="14.25" customHeight="1" x14ac:dyDescent="0.2">
      <c r="A129" s="208"/>
      <c r="B129" s="209"/>
      <c r="C129" s="210"/>
    </row>
    <row r="130" spans="1:3" ht="14.25" customHeight="1" x14ac:dyDescent="0.2">
      <c r="A130" s="208"/>
      <c r="B130" s="209"/>
      <c r="C130" s="210"/>
    </row>
    <row r="131" spans="1:3" ht="14.25" customHeight="1" x14ac:dyDescent="0.2">
      <c r="A131" s="208"/>
      <c r="B131" s="209"/>
      <c r="C131" s="210"/>
    </row>
    <row r="132" spans="1:3" ht="14.25" customHeight="1" x14ac:dyDescent="0.2">
      <c r="A132" s="208"/>
      <c r="B132" s="209"/>
      <c r="C132" s="210"/>
    </row>
    <row r="133" spans="1:3" ht="14.25" customHeight="1" x14ac:dyDescent="0.2">
      <c r="A133" s="208"/>
      <c r="B133" s="209"/>
      <c r="C133" s="210"/>
    </row>
    <row r="134" spans="1:3" ht="14.25" customHeight="1" x14ac:dyDescent="0.2">
      <c r="A134" s="208"/>
      <c r="B134" s="209"/>
      <c r="C134" s="210"/>
    </row>
    <row r="135" spans="1:3" ht="14.25" customHeight="1" x14ac:dyDescent="0.2">
      <c r="A135" s="208"/>
      <c r="B135" s="209"/>
      <c r="C135" s="210"/>
    </row>
    <row r="136" spans="1:3" ht="14.25" customHeight="1" x14ac:dyDescent="0.2">
      <c r="A136" s="208"/>
      <c r="B136" s="209"/>
      <c r="C136" s="210"/>
    </row>
    <row r="137" spans="1:3" ht="14.25" customHeight="1" x14ac:dyDescent="0.2">
      <c r="A137" s="208"/>
      <c r="B137" s="209"/>
      <c r="C137" s="210"/>
    </row>
    <row r="138" spans="1:3" ht="14.25" customHeight="1" x14ac:dyDescent="0.2">
      <c r="A138" s="208"/>
      <c r="B138" s="209"/>
      <c r="C138" s="210"/>
    </row>
    <row r="139" spans="1:3" ht="14.25" customHeight="1" x14ac:dyDescent="0.2">
      <c r="A139" s="208"/>
      <c r="B139" s="209"/>
      <c r="C139" s="210"/>
    </row>
    <row r="140" spans="1:3" ht="14.25" customHeight="1" x14ac:dyDescent="0.2">
      <c r="A140" s="208"/>
      <c r="B140" s="209"/>
      <c r="C140" s="210"/>
    </row>
    <row r="141" spans="1:3" ht="14.25" customHeight="1" x14ac:dyDescent="0.2">
      <c r="A141" s="208"/>
      <c r="B141" s="209"/>
      <c r="C141" s="210"/>
    </row>
    <row r="142" spans="1:3" ht="14.25" customHeight="1" x14ac:dyDescent="0.2">
      <c r="A142" s="208"/>
      <c r="B142" s="209"/>
      <c r="C142" s="210"/>
    </row>
    <row r="143" spans="1:3" ht="14.25" customHeight="1" x14ac:dyDescent="0.2">
      <c r="A143" s="208"/>
      <c r="B143" s="209"/>
      <c r="C143" s="210"/>
    </row>
    <row r="144" spans="1:3" ht="14.25" customHeight="1" x14ac:dyDescent="0.2">
      <c r="A144" s="208"/>
      <c r="B144" s="209"/>
      <c r="C144" s="210"/>
    </row>
    <row r="145" spans="1:3" ht="14.25" customHeight="1" x14ac:dyDescent="0.2">
      <c r="A145" s="208"/>
      <c r="B145" s="209"/>
      <c r="C145" s="210"/>
    </row>
    <row r="146" spans="1:3" ht="14.25" customHeight="1" x14ac:dyDescent="0.2">
      <c r="A146" s="208"/>
      <c r="B146" s="209"/>
      <c r="C146" s="210"/>
    </row>
    <row r="147" spans="1:3" ht="14.25" customHeight="1" x14ac:dyDescent="0.2">
      <c r="A147" s="208"/>
      <c r="B147" s="209"/>
      <c r="C147" s="210"/>
    </row>
    <row r="148" spans="1:3" ht="14.25" customHeight="1" x14ac:dyDescent="0.2">
      <c r="A148" s="208"/>
      <c r="B148" s="209"/>
      <c r="C148" s="210"/>
    </row>
    <row r="149" spans="1:3" ht="14.25" customHeight="1" x14ac:dyDescent="0.2">
      <c r="A149" s="208"/>
      <c r="B149" s="209"/>
      <c r="C149" s="210"/>
    </row>
    <row r="150" spans="1:3" ht="14.25" customHeight="1" x14ac:dyDescent="0.2">
      <c r="A150" s="208"/>
      <c r="B150" s="209"/>
      <c r="C150" s="210"/>
    </row>
    <row r="151" spans="1:3" ht="14.25" customHeight="1" x14ac:dyDescent="0.2">
      <c r="A151" s="208"/>
      <c r="B151" s="209"/>
      <c r="C151" s="210"/>
    </row>
    <row r="152" spans="1:3" ht="14.25" customHeight="1" x14ac:dyDescent="0.2">
      <c r="A152" s="208"/>
      <c r="B152" s="209"/>
      <c r="C152" s="210"/>
    </row>
    <row r="153" spans="1:3" ht="14.25" customHeight="1" x14ac:dyDescent="0.2">
      <c r="A153" s="208"/>
      <c r="B153" s="209"/>
      <c r="C153" s="210"/>
    </row>
    <row r="154" spans="1:3" ht="14.25" customHeight="1" x14ac:dyDescent="0.2">
      <c r="A154" s="208"/>
      <c r="B154" s="209"/>
      <c r="C154" s="210"/>
    </row>
    <row r="155" spans="1:3" ht="14.25" customHeight="1" x14ac:dyDescent="0.2">
      <c r="A155" s="208"/>
      <c r="B155" s="209"/>
      <c r="C155" s="210"/>
    </row>
    <row r="156" spans="1:3" ht="14.25" customHeight="1" x14ac:dyDescent="0.2">
      <c r="A156" s="208"/>
      <c r="B156" s="209"/>
      <c r="C156" s="210"/>
    </row>
    <row r="157" spans="1:3" ht="14.25" customHeight="1" x14ac:dyDescent="0.2">
      <c r="A157" s="208"/>
      <c r="B157" s="209"/>
      <c r="C157" s="210"/>
    </row>
    <row r="158" spans="1:3" ht="14.25" customHeight="1" x14ac:dyDescent="0.2">
      <c r="A158" s="208"/>
      <c r="B158" s="209"/>
      <c r="C158" s="210"/>
    </row>
    <row r="159" spans="1:3" ht="14.25" customHeight="1" x14ac:dyDescent="0.2">
      <c r="A159" s="208"/>
      <c r="B159" s="209"/>
      <c r="C159" s="210"/>
    </row>
    <row r="160" spans="1:3" ht="14.25" customHeight="1" x14ac:dyDescent="0.2">
      <c r="A160" s="208"/>
      <c r="B160" s="209"/>
      <c r="C160" s="210"/>
    </row>
    <row r="161" spans="1:3" ht="14.25" customHeight="1" x14ac:dyDescent="0.2">
      <c r="A161" s="208"/>
      <c r="B161" s="209"/>
      <c r="C161" s="210"/>
    </row>
    <row r="162" spans="1:3" ht="14.25" customHeight="1" x14ac:dyDescent="0.2">
      <c r="A162" s="208"/>
      <c r="B162" s="209"/>
      <c r="C162" s="210"/>
    </row>
    <row r="163" spans="1:3" ht="14.25" customHeight="1" x14ac:dyDescent="0.2">
      <c r="A163" s="208"/>
      <c r="B163" s="209"/>
      <c r="C163" s="210"/>
    </row>
    <row r="164" spans="1:3" ht="14.25" customHeight="1" x14ac:dyDescent="0.2">
      <c r="A164" s="208"/>
      <c r="B164" s="209"/>
      <c r="C164" s="210"/>
    </row>
    <row r="165" spans="1:3" ht="14.25" customHeight="1" x14ac:dyDescent="0.2">
      <c r="A165" s="208"/>
      <c r="B165" s="209"/>
      <c r="C165" s="210"/>
    </row>
    <row r="166" spans="1:3" ht="14.25" customHeight="1" x14ac:dyDescent="0.2">
      <c r="A166" s="208"/>
      <c r="B166" s="209"/>
      <c r="C166" s="210"/>
    </row>
    <row r="167" spans="1:3" ht="14.25" customHeight="1" x14ac:dyDescent="0.2">
      <c r="A167" s="208"/>
      <c r="B167" s="209"/>
      <c r="C167" s="210"/>
    </row>
    <row r="168" spans="1:3" ht="14.25" customHeight="1" x14ac:dyDescent="0.2">
      <c r="A168" s="208"/>
      <c r="B168" s="209"/>
      <c r="C168" s="210"/>
    </row>
    <row r="169" spans="1:3" ht="14.25" customHeight="1" x14ac:dyDescent="0.2">
      <c r="A169" s="208"/>
      <c r="B169" s="209"/>
      <c r="C169" s="210"/>
    </row>
    <row r="170" spans="1:3" ht="14.25" customHeight="1" x14ac:dyDescent="0.2">
      <c r="A170" s="208"/>
      <c r="B170" s="209"/>
      <c r="C170" s="210"/>
    </row>
    <row r="171" spans="1:3" ht="14.25" customHeight="1" x14ac:dyDescent="0.2">
      <c r="A171" s="208"/>
      <c r="B171" s="209"/>
      <c r="C171" s="210"/>
    </row>
    <row r="172" spans="1:3" ht="14.25" customHeight="1" x14ac:dyDescent="0.2">
      <c r="A172" s="208"/>
      <c r="B172" s="209"/>
      <c r="C172" s="210"/>
    </row>
    <row r="173" spans="1:3" ht="14.25" customHeight="1" x14ac:dyDescent="0.2">
      <c r="A173" s="208"/>
      <c r="B173" s="209"/>
      <c r="C173" s="210"/>
    </row>
    <row r="174" spans="1:3" ht="14.25" customHeight="1" x14ac:dyDescent="0.2">
      <c r="A174" s="208"/>
      <c r="B174" s="209"/>
      <c r="C174" s="210"/>
    </row>
    <row r="175" spans="1:3" ht="14.25" customHeight="1" x14ac:dyDescent="0.2">
      <c r="A175" s="208"/>
      <c r="B175" s="209"/>
      <c r="C175" s="210"/>
    </row>
    <row r="176" spans="1:3" ht="14.25" customHeight="1" x14ac:dyDescent="0.2">
      <c r="A176" s="208"/>
      <c r="B176" s="209"/>
      <c r="C176" s="210"/>
    </row>
    <row r="177" spans="1:3" ht="14.25" customHeight="1" x14ac:dyDescent="0.2">
      <c r="A177" s="208"/>
      <c r="B177" s="209"/>
      <c r="C177" s="210"/>
    </row>
    <row r="178" spans="1:3" ht="14.25" customHeight="1" x14ac:dyDescent="0.2">
      <c r="A178" s="208"/>
      <c r="B178" s="209"/>
      <c r="C178" s="210"/>
    </row>
    <row r="179" spans="1:3" ht="14.25" customHeight="1" x14ac:dyDescent="0.2">
      <c r="A179" s="208"/>
      <c r="B179" s="209"/>
      <c r="C179" s="210"/>
    </row>
    <row r="180" spans="1:3" ht="14.25" customHeight="1" x14ac:dyDescent="0.2">
      <c r="A180" s="208"/>
      <c r="B180" s="209"/>
      <c r="C180" s="210"/>
    </row>
    <row r="181" spans="1:3" ht="14.25" customHeight="1" x14ac:dyDescent="0.2">
      <c r="A181" s="208"/>
      <c r="B181" s="209"/>
      <c r="C181" s="210"/>
    </row>
    <row r="182" spans="1:3" ht="14.25" customHeight="1" x14ac:dyDescent="0.2">
      <c r="A182" s="208"/>
      <c r="B182" s="209"/>
      <c r="C182" s="210"/>
    </row>
    <row r="183" spans="1:3" ht="14.25" customHeight="1" x14ac:dyDescent="0.2">
      <c r="A183" s="208"/>
      <c r="B183" s="209"/>
      <c r="C183" s="210"/>
    </row>
    <row r="184" spans="1:3" ht="14.25" customHeight="1" x14ac:dyDescent="0.2">
      <c r="A184" s="208"/>
      <c r="B184" s="209"/>
      <c r="C184" s="210"/>
    </row>
    <row r="185" spans="1:3" ht="14.25" customHeight="1" x14ac:dyDescent="0.2">
      <c r="A185" s="208"/>
      <c r="B185" s="209"/>
      <c r="C185" s="210"/>
    </row>
    <row r="186" spans="1:3" ht="14.25" customHeight="1" x14ac:dyDescent="0.2">
      <c r="A186" s="208"/>
      <c r="B186" s="209"/>
      <c r="C186" s="210"/>
    </row>
    <row r="187" spans="1:3" ht="14.25" customHeight="1" x14ac:dyDescent="0.2">
      <c r="A187" s="208"/>
      <c r="B187" s="209"/>
      <c r="C187" s="210"/>
    </row>
    <row r="188" spans="1:3" ht="14.25" customHeight="1" x14ac:dyDescent="0.2">
      <c r="A188" s="208"/>
      <c r="B188" s="209"/>
      <c r="C188" s="210"/>
    </row>
    <row r="189" spans="1:3" ht="14.25" customHeight="1" x14ac:dyDescent="0.2">
      <c r="A189" s="208"/>
      <c r="B189" s="209"/>
      <c r="C189" s="210"/>
    </row>
    <row r="190" spans="1:3" ht="14.25" customHeight="1" x14ac:dyDescent="0.2">
      <c r="A190" s="208"/>
      <c r="B190" s="209"/>
      <c r="C190" s="210"/>
    </row>
    <row r="191" spans="1:3" ht="14.25" customHeight="1" x14ac:dyDescent="0.2">
      <c r="A191" s="208"/>
      <c r="B191" s="209"/>
      <c r="C191" s="210"/>
    </row>
    <row r="192" spans="1:3" ht="14.25" customHeight="1" x14ac:dyDescent="0.2">
      <c r="A192" s="208"/>
      <c r="B192" s="209"/>
      <c r="C192" s="210"/>
    </row>
    <row r="193" spans="1:3" ht="14.25" customHeight="1" x14ac:dyDescent="0.2">
      <c r="A193" s="208"/>
      <c r="B193" s="209"/>
      <c r="C193" s="210"/>
    </row>
    <row r="194" spans="1:3" ht="14.25" customHeight="1" x14ac:dyDescent="0.2">
      <c r="A194" s="208"/>
      <c r="B194" s="209"/>
      <c r="C194" s="210"/>
    </row>
    <row r="195" spans="1:3" ht="14.25" customHeight="1" x14ac:dyDescent="0.2">
      <c r="A195" s="208"/>
      <c r="B195" s="209"/>
      <c r="C195" s="210"/>
    </row>
    <row r="196" spans="1:3" ht="14.25" customHeight="1" x14ac:dyDescent="0.2">
      <c r="A196" s="208"/>
      <c r="B196" s="209"/>
      <c r="C196" s="210"/>
    </row>
    <row r="197" spans="1:3" ht="14.25" customHeight="1" x14ac:dyDescent="0.2">
      <c r="A197" s="208"/>
      <c r="B197" s="209"/>
      <c r="C197" s="210"/>
    </row>
    <row r="198" spans="1:3" ht="14.25" customHeight="1" x14ac:dyDescent="0.2">
      <c r="A198" s="208"/>
      <c r="B198" s="209"/>
      <c r="C198" s="210"/>
    </row>
    <row r="199" spans="1:3" ht="14.25" customHeight="1" x14ac:dyDescent="0.2">
      <c r="A199" s="208"/>
      <c r="B199" s="209"/>
      <c r="C199" s="210"/>
    </row>
    <row r="200" spans="1:3" ht="14.25" customHeight="1" x14ac:dyDescent="0.2">
      <c r="A200" s="208"/>
      <c r="B200" s="209"/>
      <c r="C200" s="210"/>
    </row>
    <row r="201" spans="1:3" ht="14.25" customHeight="1" x14ac:dyDescent="0.2">
      <c r="A201" s="208"/>
      <c r="B201" s="209"/>
      <c r="C201" s="210"/>
    </row>
    <row r="202" spans="1:3" ht="14.25" customHeight="1" x14ac:dyDescent="0.2">
      <c r="A202" s="208"/>
      <c r="B202" s="209"/>
      <c r="C202" s="210"/>
    </row>
    <row r="203" spans="1:3" ht="14.25" customHeight="1" x14ac:dyDescent="0.2">
      <c r="A203" s="208"/>
      <c r="B203" s="209"/>
      <c r="C203" s="210"/>
    </row>
    <row r="204" spans="1:3" ht="14.25" customHeight="1" x14ac:dyDescent="0.2">
      <c r="A204" s="208"/>
      <c r="B204" s="209"/>
      <c r="C204" s="210"/>
    </row>
    <row r="205" spans="1:3" ht="14.25" customHeight="1" x14ac:dyDescent="0.2">
      <c r="A205" s="208"/>
      <c r="B205" s="209"/>
      <c r="C205" s="210"/>
    </row>
    <row r="206" spans="1:3" ht="14.25" customHeight="1" x14ac:dyDescent="0.2">
      <c r="A206" s="208"/>
      <c r="B206" s="209"/>
      <c r="C206" s="210"/>
    </row>
    <row r="207" spans="1:3" ht="14.25" customHeight="1" x14ac:dyDescent="0.2">
      <c r="A207" s="208"/>
      <c r="B207" s="209"/>
      <c r="C207" s="210"/>
    </row>
    <row r="208" spans="1:3" ht="14.25" customHeight="1" x14ac:dyDescent="0.2">
      <c r="A208" s="208"/>
      <c r="B208" s="209"/>
      <c r="C208" s="210"/>
    </row>
    <row r="209" spans="1:3" ht="14.25" customHeight="1" x14ac:dyDescent="0.2">
      <c r="A209" s="208"/>
      <c r="B209" s="209"/>
      <c r="C209" s="210"/>
    </row>
    <row r="210" spans="1:3" ht="14.25" customHeight="1" x14ac:dyDescent="0.2">
      <c r="A210" s="208"/>
      <c r="B210" s="209"/>
      <c r="C210" s="210"/>
    </row>
    <row r="211" spans="1:3" ht="14.25" customHeight="1" x14ac:dyDescent="0.2">
      <c r="A211" s="208"/>
      <c r="B211" s="209"/>
      <c r="C211" s="210"/>
    </row>
    <row r="212" spans="1:3" ht="14.25" customHeight="1" x14ac:dyDescent="0.2">
      <c r="A212" s="208"/>
      <c r="B212" s="209"/>
      <c r="C212" s="210"/>
    </row>
    <row r="213" spans="1:3" ht="14.25" customHeight="1" x14ac:dyDescent="0.2">
      <c r="A213" s="208"/>
      <c r="B213" s="209"/>
      <c r="C213" s="210"/>
    </row>
    <row r="214" spans="1:3" ht="14.25" customHeight="1" x14ac:dyDescent="0.2">
      <c r="A214" s="208"/>
      <c r="B214" s="209"/>
      <c r="C214" s="210"/>
    </row>
    <row r="215" spans="1:3" ht="14.25" customHeight="1" x14ac:dyDescent="0.2">
      <c r="A215" s="208"/>
      <c r="B215" s="209"/>
      <c r="C215" s="210"/>
    </row>
    <row r="216" spans="1:3" ht="14.25" customHeight="1" x14ac:dyDescent="0.2">
      <c r="A216" s="208"/>
      <c r="B216" s="209"/>
      <c r="C216" s="210"/>
    </row>
    <row r="217" spans="1:3" ht="14.25" customHeight="1" x14ac:dyDescent="0.2">
      <c r="A217" s="208"/>
      <c r="B217" s="209"/>
      <c r="C217" s="210"/>
    </row>
    <row r="218" spans="1:3" ht="14.25" customHeight="1" x14ac:dyDescent="0.2">
      <c r="A218" s="208"/>
      <c r="B218" s="209"/>
      <c r="C218" s="210"/>
    </row>
    <row r="219" spans="1:3" ht="14.25" customHeight="1" x14ac:dyDescent="0.2">
      <c r="A219" s="208"/>
      <c r="B219" s="209"/>
      <c r="C219" s="210"/>
    </row>
    <row r="220" spans="1:3" ht="14.25" customHeight="1" x14ac:dyDescent="0.2">
      <c r="A220" s="208"/>
      <c r="B220" s="209"/>
      <c r="C220" s="210"/>
    </row>
    <row r="221" spans="1:3" ht="14.25" customHeight="1" x14ac:dyDescent="0.2">
      <c r="A221" s="208"/>
      <c r="B221" s="209"/>
      <c r="C221" s="210"/>
    </row>
    <row r="222" spans="1:3" ht="14.25" customHeight="1" x14ac:dyDescent="0.2">
      <c r="A222" s="208"/>
      <c r="B222" s="209"/>
      <c r="C222" s="210"/>
    </row>
    <row r="223" spans="1:3" ht="14.25" customHeight="1" x14ac:dyDescent="0.2">
      <c r="A223" s="208"/>
      <c r="B223" s="209"/>
      <c r="C223" s="210"/>
    </row>
    <row r="224" spans="1:3" ht="14.25" customHeight="1" x14ac:dyDescent="0.2">
      <c r="A224" s="208"/>
      <c r="B224" s="209"/>
      <c r="C224" s="210"/>
    </row>
    <row r="225" spans="1:3" ht="14.25" customHeight="1" x14ac:dyDescent="0.2">
      <c r="A225" s="208"/>
      <c r="B225" s="209"/>
      <c r="C225" s="210"/>
    </row>
    <row r="226" spans="1:3" ht="14.25" customHeight="1" x14ac:dyDescent="0.2">
      <c r="A226" s="208"/>
      <c r="B226" s="209"/>
      <c r="C226" s="210"/>
    </row>
    <row r="227" spans="1:3" ht="14.25" customHeight="1" x14ac:dyDescent="0.2">
      <c r="A227" s="208"/>
      <c r="B227" s="209"/>
      <c r="C227" s="210"/>
    </row>
    <row r="228" spans="1:3" ht="14.25" customHeight="1" x14ac:dyDescent="0.2">
      <c r="A228" s="208"/>
      <c r="B228" s="209"/>
      <c r="C228" s="210"/>
    </row>
    <row r="229" spans="1:3" ht="14.25" customHeight="1" x14ac:dyDescent="0.2">
      <c r="A229" s="208"/>
      <c r="B229" s="209"/>
      <c r="C229" s="210"/>
    </row>
    <row r="230" spans="1:3" ht="14.25" customHeight="1" x14ac:dyDescent="0.2">
      <c r="A230" s="208"/>
      <c r="B230" s="209"/>
      <c r="C230" s="210"/>
    </row>
    <row r="231" spans="1:3" ht="14.25" customHeight="1" x14ac:dyDescent="0.2">
      <c r="A231" s="208"/>
      <c r="B231" s="209"/>
      <c r="C231" s="210"/>
    </row>
    <row r="232" spans="1:3" ht="14.25" customHeight="1" x14ac:dyDescent="0.2">
      <c r="A232" s="208"/>
      <c r="B232" s="209"/>
      <c r="C232" s="210"/>
    </row>
    <row r="233" spans="1:3" ht="14.25" customHeight="1" x14ac:dyDescent="0.2">
      <c r="A233" s="208"/>
      <c r="B233" s="209"/>
      <c r="C233" s="210"/>
    </row>
    <row r="234" spans="1:3" ht="14.25" customHeight="1" x14ac:dyDescent="0.2">
      <c r="A234" s="208"/>
      <c r="B234" s="209"/>
      <c r="C234" s="210"/>
    </row>
    <row r="235" spans="1:3" ht="14.25" customHeight="1" x14ac:dyDescent="0.2">
      <c r="A235" s="208"/>
      <c r="B235" s="209"/>
      <c r="C235" s="210"/>
    </row>
    <row r="236" spans="1:3" ht="14.25" customHeight="1" x14ac:dyDescent="0.2">
      <c r="A236" s="208"/>
      <c r="B236" s="209"/>
      <c r="C236" s="210"/>
    </row>
    <row r="237" spans="1:3" ht="14.25" customHeight="1" x14ac:dyDescent="0.2">
      <c r="A237" s="208"/>
      <c r="B237" s="209"/>
      <c r="C237" s="210"/>
    </row>
    <row r="238" spans="1:3" ht="14.25" customHeight="1" x14ac:dyDescent="0.2">
      <c r="A238" s="208"/>
      <c r="B238" s="209"/>
      <c r="C238" s="210"/>
    </row>
    <row r="239" spans="1:3" ht="14.25" customHeight="1" x14ac:dyDescent="0.2">
      <c r="A239" s="208"/>
      <c r="B239" s="209"/>
      <c r="C239" s="210"/>
    </row>
    <row r="240" spans="1:3" ht="14.25" customHeight="1" x14ac:dyDescent="0.2">
      <c r="A240" s="208"/>
      <c r="B240" s="209"/>
      <c r="C240" s="210"/>
    </row>
    <row r="241" spans="1:3" ht="14.25" customHeight="1" x14ac:dyDescent="0.2">
      <c r="A241" s="208"/>
      <c r="B241" s="209"/>
      <c r="C241" s="210"/>
    </row>
    <row r="242" spans="1:3" ht="14.25" customHeight="1" x14ac:dyDescent="0.2">
      <c r="A242" s="208"/>
      <c r="B242" s="209"/>
      <c r="C242" s="210"/>
    </row>
    <row r="243" spans="1:3" ht="14.25" customHeight="1" x14ac:dyDescent="0.2">
      <c r="A243" s="208"/>
      <c r="B243" s="209"/>
      <c r="C243" s="210"/>
    </row>
    <row r="244" spans="1:3" ht="14.25" customHeight="1" x14ac:dyDescent="0.2">
      <c r="A244" s="208"/>
      <c r="B244" s="209"/>
      <c r="C244" s="210"/>
    </row>
    <row r="245" spans="1:3" ht="14.25" customHeight="1" x14ac:dyDescent="0.2">
      <c r="A245" s="208"/>
      <c r="B245" s="209"/>
      <c r="C245" s="210"/>
    </row>
    <row r="246" spans="1:3" ht="14.25" customHeight="1" x14ac:dyDescent="0.2">
      <c r="A246" s="208"/>
      <c r="B246" s="209"/>
      <c r="C246" s="210"/>
    </row>
    <row r="247" spans="1:3" ht="14.25" customHeight="1" x14ac:dyDescent="0.2">
      <c r="A247" s="208"/>
      <c r="B247" s="209"/>
      <c r="C247" s="210"/>
    </row>
    <row r="248" spans="1:3" ht="14.25" customHeight="1" x14ac:dyDescent="0.2">
      <c r="A248" s="208"/>
      <c r="B248" s="209"/>
      <c r="C248" s="210"/>
    </row>
    <row r="249" spans="1:3" ht="14.25" customHeight="1" x14ac:dyDescent="0.2">
      <c r="A249" s="208"/>
      <c r="B249" s="209"/>
      <c r="C249" s="210"/>
    </row>
    <row r="250" spans="1:3" ht="14.25" customHeight="1" x14ac:dyDescent="0.2">
      <c r="A250" s="208"/>
      <c r="B250" s="209"/>
      <c r="C250" s="210"/>
    </row>
    <row r="251" spans="1:3" ht="14.25" customHeight="1" x14ac:dyDescent="0.2">
      <c r="A251" s="208"/>
      <c r="B251" s="209"/>
      <c r="C251" s="210"/>
    </row>
    <row r="252" spans="1:3" ht="14.25" customHeight="1" x14ac:dyDescent="0.2">
      <c r="A252" s="208"/>
      <c r="B252" s="209"/>
      <c r="C252" s="210"/>
    </row>
    <row r="253" spans="1:3" ht="14.25" customHeight="1" x14ac:dyDescent="0.2">
      <c r="A253" s="208"/>
      <c r="B253" s="209"/>
      <c r="C253" s="210"/>
    </row>
    <row r="254" spans="1:3" ht="14.25" customHeight="1" x14ac:dyDescent="0.2">
      <c r="A254" s="208"/>
      <c r="B254" s="209"/>
      <c r="C254" s="210"/>
    </row>
    <row r="255" spans="1:3" ht="14.25" customHeight="1" x14ac:dyDescent="0.2">
      <c r="A255" s="208"/>
      <c r="B255" s="209"/>
      <c r="C255" s="210"/>
    </row>
    <row r="256" spans="1:3" ht="14.25" customHeight="1" x14ac:dyDescent="0.2">
      <c r="A256" s="208"/>
      <c r="B256" s="209"/>
      <c r="C256" s="210"/>
    </row>
    <row r="257" spans="1:3" ht="14.25" customHeight="1" x14ac:dyDescent="0.2">
      <c r="A257" s="208"/>
      <c r="B257" s="209"/>
      <c r="C257" s="210"/>
    </row>
    <row r="258" spans="1:3" ht="14.25" customHeight="1" x14ac:dyDescent="0.2">
      <c r="A258" s="208"/>
      <c r="B258" s="209"/>
      <c r="C258" s="210"/>
    </row>
    <row r="259" spans="1:3" ht="14.25" customHeight="1" x14ac:dyDescent="0.2">
      <c r="A259" s="208"/>
      <c r="B259" s="209"/>
      <c r="C259" s="210"/>
    </row>
    <row r="260" spans="1:3" ht="14.25" customHeight="1" x14ac:dyDescent="0.2">
      <c r="A260" s="208"/>
      <c r="B260" s="209"/>
      <c r="C260" s="210"/>
    </row>
    <row r="261" spans="1:3" ht="14.25" customHeight="1" x14ac:dyDescent="0.2">
      <c r="A261" s="208"/>
      <c r="B261" s="209"/>
      <c r="C261" s="210"/>
    </row>
    <row r="262" spans="1:3" ht="14.25" customHeight="1" x14ac:dyDescent="0.2">
      <c r="A262" s="208"/>
      <c r="B262" s="209"/>
      <c r="C262" s="210"/>
    </row>
    <row r="263" spans="1:3" ht="14.25" customHeight="1" x14ac:dyDescent="0.2">
      <c r="A263" s="208"/>
      <c r="B263" s="209"/>
      <c r="C263" s="210"/>
    </row>
    <row r="264" spans="1:3" ht="14.25" customHeight="1" x14ac:dyDescent="0.2">
      <c r="A264" s="208"/>
      <c r="B264" s="209"/>
      <c r="C264" s="210"/>
    </row>
    <row r="265" spans="1:3" ht="14.25" customHeight="1" x14ac:dyDescent="0.2">
      <c r="A265" s="208"/>
      <c r="B265" s="209"/>
      <c r="C265" s="210"/>
    </row>
    <row r="266" spans="1:3" ht="14.25" customHeight="1" x14ac:dyDescent="0.2">
      <c r="A266" s="208"/>
      <c r="B266" s="209"/>
      <c r="C266" s="210"/>
    </row>
    <row r="267" spans="1:3" ht="14.25" customHeight="1" x14ac:dyDescent="0.2">
      <c r="A267" s="208"/>
      <c r="B267" s="209"/>
      <c r="C267" s="210"/>
    </row>
    <row r="268" spans="1:3" ht="14.25" customHeight="1" x14ac:dyDescent="0.2">
      <c r="A268" s="208"/>
      <c r="B268" s="209"/>
      <c r="C268" s="210"/>
    </row>
    <row r="269" spans="1:3" ht="14.25" customHeight="1" x14ac:dyDescent="0.2">
      <c r="A269" s="208"/>
      <c r="B269" s="209"/>
      <c r="C269" s="210"/>
    </row>
    <row r="270" spans="1:3" ht="14.25" customHeight="1" x14ac:dyDescent="0.2">
      <c r="A270" s="208"/>
      <c r="B270" s="209"/>
      <c r="C270" s="210"/>
    </row>
    <row r="271" spans="1:3" ht="14.25" customHeight="1" x14ac:dyDescent="0.2">
      <c r="A271" s="208"/>
      <c r="B271" s="209"/>
      <c r="C271" s="210"/>
    </row>
    <row r="272" spans="1:3" ht="14.25" customHeight="1" x14ac:dyDescent="0.2">
      <c r="A272" s="208"/>
      <c r="B272" s="209"/>
      <c r="C272" s="210"/>
    </row>
    <row r="273" spans="1:3" ht="14.25" customHeight="1" x14ac:dyDescent="0.2">
      <c r="A273" s="208"/>
      <c r="B273" s="209"/>
      <c r="C273" s="210"/>
    </row>
    <row r="274" spans="1:3" ht="14.25" customHeight="1" x14ac:dyDescent="0.2">
      <c r="A274" s="208"/>
      <c r="B274" s="209"/>
      <c r="C274" s="210"/>
    </row>
    <row r="275" spans="1:3" ht="14.25" customHeight="1" x14ac:dyDescent="0.2">
      <c r="A275" s="208"/>
      <c r="B275" s="209"/>
      <c r="C275" s="210"/>
    </row>
    <row r="276" spans="1:3" ht="14.25" customHeight="1" x14ac:dyDescent="0.2">
      <c r="A276" s="208"/>
      <c r="B276" s="209"/>
      <c r="C276" s="210"/>
    </row>
    <row r="277" spans="1:3" ht="14.25" customHeight="1" x14ac:dyDescent="0.2">
      <c r="A277" s="208"/>
      <c r="B277" s="209"/>
      <c r="C277" s="210"/>
    </row>
    <row r="278" spans="1:3" ht="14.25" customHeight="1" x14ac:dyDescent="0.2">
      <c r="A278" s="208"/>
      <c r="B278" s="209"/>
      <c r="C278" s="210"/>
    </row>
    <row r="279" spans="1:3" ht="14.25" customHeight="1" x14ac:dyDescent="0.2">
      <c r="A279" s="208"/>
      <c r="B279" s="209"/>
      <c r="C279" s="210"/>
    </row>
    <row r="280" spans="1:3" ht="14.25" customHeight="1" x14ac:dyDescent="0.2">
      <c r="A280" s="208"/>
      <c r="B280" s="209"/>
      <c r="C280" s="210"/>
    </row>
    <row r="281" spans="1:3" ht="14.25" customHeight="1" x14ac:dyDescent="0.2">
      <c r="A281" s="208"/>
      <c r="B281" s="209"/>
      <c r="C281" s="210"/>
    </row>
    <row r="282" spans="1:3" ht="14.25" customHeight="1" x14ac:dyDescent="0.2">
      <c r="A282" s="208"/>
      <c r="B282" s="209"/>
      <c r="C282" s="210"/>
    </row>
    <row r="283" spans="1:3" ht="14.25" customHeight="1" x14ac:dyDescent="0.2">
      <c r="A283" s="208"/>
      <c r="B283" s="209"/>
      <c r="C283" s="210"/>
    </row>
    <row r="284" spans="1:3" ht="14.25" customHeight="1" x14ac:dyDescent="0.2">
      <c r="A284" s="208"/>
      <c r="B284" s="209"/>
      <c r="C284" s="210"/>
    </row>
    <row r="285" spans="1:3" ht="14.25" customHeight="1" x14ac:dyDescent="0.2">
      <c r="A285" s="208"/>
      <c r="B285" s="209"/>
      <c r="C285" s="210"/>
    </row>
    <row r="286" spans="1:3" ht="14.25" customHeight="1" x14ac:dyDescent="0.2">
      <c r="A286" s="208"/>
      <c r="B286" s="209"/>
      <c r="C286" s="210"/>
    </row>
    <row r="287" spans="1:3" ht="14.25" customHeight="1" x14ac:dyDescent="0.2">
      <c r="A287" s="208"/>
      <c r="B287" s="209"/>
      <c r="C287" s="210"/>
    </row>
    <row r="288" spans="1:3" ht="14.25" customHeight="1" x14ac:dyDescent="0.2">
      <c r="A288" s="208"/>
      <c r="B288" s="209"/>
      <c r="C288" s="210"/>
    </row>
    <row r="289" spans="1:3" ht="14.25" customHeight="1" x14ac:dyDescent="0.2">
      <c r="A289" s="208"/>
      <c r="B289" s="209"/>
      <c r="C289" s="210"/>
    </row>
    <row r="290" spans="1:3" ht="14.25" customHeight="1" x14ac:dyDescent="0.2">
      <c r="A290" s="208"/>
      <c r="B290" s="209"/>
      <c r="C290" s="210"/>
    </row>
    <row r="291" spans="1:3" ht="14.25" customHeight="1" x14ac:dyDescent="0.2">
      <c r="A291" s="208"/>
      <c r="B291" s="209"/>
      <c r="C291" s="210"/>
    </row>
    <row r="292" spans="1:3" ht="14.25" customHeight="1" x14ac:dyDescent="0.2">
      <c r="A292" s="208"/>
      <c r="B292" s="209"/>
      <c r="C292" s="210"/>
    </row>
    <row r="293" spans="1:3" ht="14.25" customHeight="1" x14ac:dyDescent="0.2">
      <c r="A293" s="208"/>
      <c r="B293" s="209"/>
      <c r="C293" s="210"/>
    </row>
    <row r="294" spans="1:3" ht="14.25" customHeight="1" x14ac:dyDescent="0.2">
      <c r="A294" s="208"/>
      <c r="B294" s="209"/>
      <c r="C294" s="210"/>
    </row>
    <row r="295" spans="1:3" ht="14.25" customHeight="1" x14ac:dyDescent="0.2">
      <c r="A295" s="208"/>
      <c r="B295" s="209"/>
      <c r="C295" s="210"/>
    </row>
    <row r="296" spans="1:3" ht="14.25" customHeight="1" x14ac:dyDescent="0.2">
      <c r="A296" s="208"/>
      <c r="B296" s="209"/>
      <c r="C296" s="210"/>
    </row>
    <row r="297" spans="1:3" ht="14.25" customHeight="1" x14ac:dyDescent="0.2">
      <c r="A297" s="208"/>
      <c r="B297" s="209"/>
      <c r="C297" s="210"/>
    </row>
    <row r="298" spans="1:3" ht="14.25" customHeight="1" x14ac:dyDescent="0.2">
      <c r="A298" s="208"/>
      <c r="B298" s="209"/>
      <c r="C298" s="210"/>
    </row>
    <row r="299" spans="1:3" ht="14.25" customHeight="1" x14ac:dyDescent="0.2">
      <c r="A299" s="208"/>
      <c r="B299" s="209"/>
      <c r="C299" s="210"/>
    </row>
    <row r="300" spans="1:3" ht="14.25" customHeight="1" x14ac:dyDescent="0.2">
      <c r="A300" s="208"/>
      <c r="B300" s="209"/>
      <c r="C300" s="210"/>
    </row>
    <row r="301" spans="1:3" ht="14.25" customHeight="1" x14ac:dyDescent="0.2">
      <c r="A301" s="208"/>
      <c r="B301" s="209"/>
      <c r="C301" s="210"/>
    </row>
    <row r="302" spans="1:3" ht="14.25" customHeight="1" x14ac:dyDescent="0.2">
      <c r="A302" s="208"/>
      <c r="B302" s="209"/>
      <c r="C302" s="210"/>
    </row>
  </sheetData>
  <mergeCells count="1">
    <mergeCell ref="A1:C1"/>
  </mergeCells>
  <pageMargins left="0.25" right="0.25" top="0.3" bottom="0.4" header="0.511811023622047" footer="0.17013888888888901"/>
  <pageSetup fitToHeight="0"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21"/>
  <sheetViews>
    <sheetView showGridLines="0" topLeftCell="A105" zoomScaleNormal="100" workbookViewId="0">
      <selection activeCell="C101" sqref="C101"/>
    </sheetView>
  </sheetViews>
  <sheetFormatPr baseColWidth="10" defaultColWidth="8.6640625" defaultRowHeight="15" x14ac:dyDescent="0.2"/>
  <cols>
    <col min="1" max="1" width="16" customWidth="1"/>
    <col min="2" max="2" width="95" customWidth="1"/>
    <col min="3" max="3" width="10" customWidth="1"/>
    <col min="4" max="4" width="15.5" customWidth="1"/>
    <col min="5" max="5" width="13" customWidth="1"/>
    <col min="6" max="6" width="11" customWidth="1"/>
  </cols>
  <sheetData>
    <row r="1" spans="1:6" ht="23.25" customHeight="1" x14ac:dyDescent="0.2">
      <c r="A1" s="253" t="s">
        <v>867</v>
      </c>
      <c r="B1" s="253"/>
      <c r="C1" s="253"/>
      <c r="D1" s="253"/>
      <c r="E1" s="253"/>
      <c r="F1" s="253"/>
    </row>
    <row r="2" spans="1:6" ht="15" customHeight="1" x14ac:dyDescent="0.2">
      <c r="A2" s="154" t="s">
        <v>868</v>
      </c>
      <c r="C2" s="211">
        <f ca="1">COUNTIF(F5:F500,"OVERDUE")</f>
        <v>7</v>
      </c>
    </row>
    <row r="4" spans="1:6" ht="27.75" customHeight="1" x14ac:dyDescent="0.2">
      <c r="A4" s="156" t="s">
        <v>869</v>
      </c>
      <c r="B4" s="156" t="s">
        <v>870</v>
      </c>
      <c r="C4" s="156" t="s">
        <v>871</v>
      </c>
      <c r="D4" s="156" t="s">
        <v>872</v>
      </c>
      <c r="E4" s="156" t="s">
        <v>873</v>
      </c>
      <c r="F4" s="156" t="s">
        <v>480</v>
      </c>
    </row>
    <row r="5" spans="1:6" ht="15" customHeight="1" x14ac:dyDescent="0.2">
      <c r="A5" s="160" t="s">
        <v>659</v>
      </c>
      <c r="B5" s="212" t="s">
        <v>874</v>
      </c>
      <c r="C5" s="160" t="s">
        <v>222</v>
      </c>
      <c r="D5" s="213">
        <v>46299</v>
      </c>
      <c r="E5" s="214">
        <f>IFERROR(INDEX(Journal!$A:$A,MATCH($A5,Journal!$B:$B,0)),"")</f>
        <v>46295</v>
      </c>
      <c r="F5" s="160" t="str">
        <f t="shared" ref="F5:F36" ca="1" si="0">IF(C5="Y","Done",IF(AND(E5&lt;&gt;"",TODAY()&gt;E5),"OVERDUE","Pending"))</f>
        <v>Done</v>
      </c>
    </row>
    <row r="6" spans="1:6" ht="15" customHeight="1" x14ac:dyDescent="0.2">
      <c r="A6" s="160" t="s">
        <v>659</v>
      </c>
      <c r="B6" s="212" t="s">
        <v>875</v>
      </c>
      <c r="C6" s="160"/>
      <c r="D6" s="160"/>
      <c r="E6" s="214">
        <f>IFERROR(INDEX(Journal!$A:$A,MATCH($A6,Journal!$B:$B,0)),"")</f>
        <v>46295</v>
      </c>
      <c r="F6" s="160" t="str">
        <f t="shared" ca="1" si="0"/>
        <v>OVERDUE</v>
      </c>
    </row>
    <row r="7" spans="1:6" ht="15" customHeight="1" x14ac:dyDescent="0.2">
      <c r="A7" s="160" t="s">
        <v>659</v>
      </c>
      <c r="B7" s="212" t="s">
        <v>876</v>
      </c>
      <c r="C7" s="160"/>
      <c r="D7" s="160"/>
      <c r="E7" s="214">
        <f>IFERROR(INDEX(Journal!$A:$A,MATCH($A7,Journal!$B:$B,0)),"")</f>
        <v>46295</v>
      </c>
      <c r="F7" s="160" t="str">
        <f t="shared" ca="1" si="0"/>
        <v>OVERDUE</v>
      </c>
    </row>
    <row r="8" spans="1:6" ht="42" x14ac:dyDescent="0.2">
      <c r="A8" s="160" t="s">
        <v>659</v>
      </c>
      <c r="B8" s="212" t="s">
        <v>877</v>
      </c>
      <c r="C8" s="160"/>
      <c r="D8" s="160"/>
      <c r="E8" s="214">
        <f>IFERROR(INDEX(Journal!$A:$A,MATCH($A8,Journal!$B:$B,0)),"")</f>
        <v>46295</v>
      </c>
      <c r="F8" s="160" t="str">
        <f t="shared" ca="1" si="0"/>
        <v>OVERDUE</v>
      </c>
    </row>
    <row r="9" spans="1:6" ht="56" x14ac:dyDescent="0.2">
      <c r="A9" s="160" t="s">
        <v>659</v>
      </c>
      <c r="B9" s="212" t="s">
        <v>878</v>
      </c>
      <c r="C9" s="160"/>
      <c r="D9" s="160"/>
      <c r="E9" s="214">
        <f>IFERROR(INDEX(Journal!$A:$A,MATCH($A9,Journal!$B:$B,0)),"")</f>
        <v>46295</v>
      </c>
      <c r="F9" s="160" t="str">
        <f t="shared" ca="1" si="0"/>
        <v>OVERDUE</v>
      </c>
    </row>
    <row r="10" spans="1:6" x14ac:dyDescent="0.2">
      <c r="A10" s="160" t="s">
        <v>659</v>
      </c>
      <c r="B10" s="212" t="s">
        <v>879</v>
      </c>
      <c r="C10" s="160"/>
      <c r="D10" s="160"/>
      <c r="E10" s="214">
        <f>IFERROR(INDEX(Journal!$A:$A,MATCH($A10,Journal!$B:$B,0)),"")</f>
        <v>46295</v>
      </c>
      <c r="F10" s="160" t="str">
        <f t="shared" ca="1" si="0"/>
        <v>OVERDUE</v>
      </c>
    </row>
    <row r="11" spans="1:6" ht="15" customHeight="1" x14ac:dyDescent="0.2">
      <c r="A11" s="160" t="s">
        <v>659</v>
      </c>
      <c r="B11" s="212" t="s">
        <v>880</v>
      </c>
      <c r="C11" s="160"/>
      <c r="D11" s="160"/>
      <c r="E11" s="214">
        <f>IFERROR(INDEX(Journal!$A:$A,MATCH($A11,Journal!$B:$B,0)),"")</f>
        <v>46295</v>
      </c>
      <c r="F11" s="160" t="str">
        <f t="shared" ca="1" si="0"/>
        <v>OVERDUE</v>
      </c>
    </row>
    <row r="12" spans="1:6" ht="15" customHeight="1" x14ac:dyDescent="0.2">
      <c r="A12" s="160" t="s">
        <v>659</v>
      </c>
      <c r="B12" s="212" t="s">
        <v>881</v>
      </c>
      <c r="C12" s="160"/>
      <c r="D12" s="160"/>
      <c r="E12" s="214">
        <f>IFERROR(INDEX(Journal!$A:$A,MATCH($A12,Journal!$B:$B,0)),"")</f>
        <v>46295</v>
      </c>
      <c r="F12" s="160" t="str">
        <f t="shared" ca="1" si="0"/>
        <v>OVERDUE</v>
      </c>
    </row>
    <row r="13" spans="1:6" ht="28" x14ac:dyDescent="0.2">
      <c r="A13" s="160" t="s">
        <v>663</v>
      </c>
      <c r="B13" s="212" t="s">
        <v>882</v>
      </c>
      <c r="C13" s="160"/>
      <c r="D13" s="160"/>
      <c r="E13" s="214">
        <f>IFERROR(INDEX(Journal!$A:$A,MATCH($A13,Journal!$B:$B,0)),"")</f>
        <v>46320</v>
      </c>
      <c r="F13" s="160" t="str">
        <f t="shared" ca="1" si="0"/>
        <v>Pending</v>
      </c>
    </row>
    <row r="14" spans="1:6" ht="15" customHeight="1" x14ac:dyDescent="0.2">
      <c r="A14" s="160" t="s">
        <v>663</v>
      </c>
      <c r="B14" s="212" t="s">
        <v>883</v>
      </c>
      <c r="C14" s="160"/>
      <c r="D14" s="160"/>
      <c r="E14" s="214">
        <f>IFERROR(INDEX(Journal!$A:$A,MATCH($A14,Journal!$B:$B,0)),"")</f>
        <v>46320</v>
      </c>
      <c r="F14" s="160" t="str">
        <f t="shared" ca="1" si="0"/>
        <v>Pending</v>
      </c>
    </row>
    <row r="15" spans="1:6" ht="23.25" customHeight="1" x14ac:dyDescent="0.2">
      <c r="A15" s="160" t="s">
        <v>663</v>
      </c>
      <c r="B15" s="212" t="s">
        <v>884</v>
      </c>
      <c r="C15" s="160"/>
      <c r="D15" s="160"/>
      <c r="E15" s="214">
        <f>IFERROR(INDEX(Journal!$A:$A,MATCH($A15,Journal!$B:$B,0)),"")</f>
        <v>46320</v>
      </c>
      <c r="F15" s="160" t="str">
        <f t="shared" ca="1" si="0"/>
        <v>Pending</v>
      </c>
    </row>
    <row r="16" spans="1:6" ht="42" x14ac:dyDescent="0.2">
      <c r="A16" s="160" t="s">
        <v>663</v>
      </c>
      <c r="B16" s="212" t="s">
        <v>877</v>
      </c>
      <c r="C16" s="160"/>
      <c r="D16" s="160"/>
      <c r="E16" s="214">
        <f>IFERROR(INDEX(Journal!$A:$A,MATCH($A16,Journal!$B:$B,0)),"")</f>
        <v>46320</v>
      </c>
      <c r="F16" s="160" t="str">
        <f t="shared" ca="1" si="0"/>
        <v>Pending</v>
      </c>
    </row>
    <row r="17" spans="1:6" ht="56" x14ac:dyDescent="0.2">
      <c r="A17" s="160" t="s">
        <v>663</v>
      </c>
      <c r="B17" s="212" t="s">
        <v>885</v>
      </c>
      <c r="C17" s="160"/>
      <c r="D17" s="160"/>
      <c r="E17" s="214">
        <f>IFERROR(INDEX(Journal!$A:$A,MATCH($A17,Journal!$B:$B,0)),"")</f>
        <v>46320</v>
      </c>
      <c r="F17" s="160" t="str">
        <f t="shared" ca="1" si="0"/>
        <v>Pending</v>
      </c>
    </row>
    <row r="18" spans="1:6" ht="15" customHeight="1" x14ac:dyDescent="0.2">
      <c r="A18" s="160" t="s">
        <v>663</v>
      </c>
      <c r="B18" s="212" t="s">
        <v>879</v>
      </c>
      <c r="C18" s="160"/>
      <c r="D18" s="160"/>
      <c r="E18" s="214">
        <f>IFERROR(INDEX(Journal!$A:$A,MATCH($A18,Journal!$B:$B,0)),"")</f>
        <v>46320</v>
      </c>
      <c r="F18" s="160" t="str">
        <f t="shared" ca="1" si="0"/>
        <v>Pending</v>
      </c>
    </row>
    <row r="19" spans="1:6" ht="15" customHeight="1" x14ac:dyDescent="0.2">
      <c r="A19" s="160" t="s">
        <v>663</v>
      </c>
      <c r="B19" s="212" t="s">
        <v>880</v>
      </c>
      <c r="C19" s="160"/>
      <c r="D19" s="160"/>
      <c r="E19" s="214">
        <f>IFERROR(INDEX(Journal!$A:$A,MATCH($A19,Journal!$B:$B,0)),"")</f>
        <v>46320</v>
      </c>
      <c r="F19" s="160" t="str">
        <f t="shared" ca="1" si="0"/>
        <v>Pending</v>
      </c>
    </row>
    <row r="20" spans="1:6" ht="15" customHeight="1" x14ac:dyDescent="0.2">
      <c r="A20" s="160" t="s">
        <v>663</v>
      </c>
      <c r="B20" s="212" t="s">
        <v>881</v>
      </c>
      <c r="C20" s="160"/>
      <c r="D20" s="160"/>
      <c r="E20" s="214">
        <f>IFERROR(INDEX(Journal!$A:$A,MATCH($A20,Journal!$B:$B,0)),"")</f>
        <v>46320</v>
      </c>
      <c r="F20" s="160" t="str">
        <f t="shared" ca="1" si="0"/>
        <v>Pending</v>
      </c>
    </row>
    <row r="21" spans="1:6" ht="15" customHeight="1" x14ac:dyDescent="0.2">
      <c r="A21" s="160" t="s">
        <v>667</v>
      </c>
      <c r="B21" s="212" t="s">
        <v>874</v>
      </c>
      <c r="C21" s="160"/>
      <c r="D21" s="160"/>
      <c r="E21" s="214">
        <f>IFERROR(INDEX(Journal!$A:$A,MATCH($A21,Journal!$B:$B,0)),"")</f>
        <v>46387</v>
      </c>
      <c r="F21" s="160" t="str">
        <f t="shared" ca="1" si="0"/>
        <v>Pending</v>
      </c>
    </row>
    <row r="22" spans="1:6" ht="15" customHeight="1" x14ac:dyDescent="0.2">
      <c r="A22" s="160" t="s">
        <v>667</v>
      </c>
      <c r="B22" s="212" t="s">
        <v>875</v>
      </c>
      <c r="C22" s="160"/>
      <c r="D22" s="160"/>
      <c r="E22" s="214">
        <f>IFERROR(INDEX(Journal!$A:$A,MATCH($A22,Journal!$B:$B,0)),"")</f>
        <v>46387</v>
      </c>
      <c r="F22" s="160" t="str">
        <f t="shared" ca="1" si="0"/>
        <v>Pending</v>
      </c>
    </row>
    <row r="23" spans="1:6" ht="15" customHeight="1" x14ac:dyDescent="0.2">
      <c r="A23" s="160" t="s">
        <v>667</v>
      </c>
      <c r="B23" s="212" t="s">
        <v>876</v>
      </c>
      <c r="C23" s="160"/>
      <c r="D23" s="160"/>
      <c r="E23" s="214">
        <f>IFERROR(INDEX(Journal!$A:$A,MATCH($A23,Journal!$B:$B,0)),"")</f>
        <v>46387</v>
      </c>
      <c r="F23" s="160" t="str">
        <f t="shared" ca="1" si="0"/>
        <v>Pending</v>
      </c>
    </row>
    <row r="24" spans="1:6" ht="42" x14ac:dyDescent="0.2">
      <c r="A24" s="160" t="s">
        <v>667</v>
      </c>
      <c r="B24" s="212" t="s">
        <v>877</v>
      </c>
      <c r="C24" s="160"/>
      <c r="D24" s="160"/>
      <c r="E24" s="214">
        <f>IFERROR(INDEX(Journal!$A:$A,MATCH($A24,Journal!$B:$B,0)),"")</f>
        <v>46387</v>
      </c>
      <c r="F24" s="160" t="str">
        <f t="shared" ca="1" si="0"/>
        <v>Pending</v>
      </c>
    </row>
    <row r="25" spans="1:6" ht="56" x14ac:dyDescent="0.2">
      <c r="A25" s="160" t="s">
        <v>667</v>
      </c>
      <c r="B25" s="212" t="s">
        <v>878</v>
      </c>
      <c r="C25" s="160"/>
      <c r="D25" s="160"/>
      <c r="E25" s="214">
        <f>IFERROR(INDEX(Journal!$A:$A,MATCH($A25,Journal!$B:$B,0)),"")</f>
        <v>46387</v>
      </c>
      <c r="F25" s="160" t="str">
        <f t="shared" ca="1" si="0"/>
        <v>Pending</v>
      </c>
    </row>
    <row r="26" spans="1:6" ht="15" customHeight="1" x14ac:dyDescent="0.2">
      <c r="A26" s="160" t="s">
        <v>667</v>
      </c>
      <c r="B26" s="212" t="s">
        <v>879</v>
      </c>
      <c r="C26" s="160"/>
      <c r="D26" s="160"/>
      <c r="E26" s="214">
        <f>IFERROR(INDEX(Journal!$A:$A,MATCH($A26,Journal!$B:$B,0)),"")</f>
        <v>46387</v>
      </c>
      <c r="F26" s="160" t="str">
        <f t="shared" ca="1" si="0"/>
        <v>Pending</v>
      </c>
    </row>
    <row r="27" spans="1:6" ht="15" customHeight="1" x14ac:dyDescent="0.2">
      <c r="A27" s="160" t="s">
        <v>667</v>
      </c>
      <c r="B27" s="212" t="s">
        <v>880</v>
      </c>
      <c r="C27" s="160"/>
      <c r="D27" s="160"/>
      <c r="E27" s="214">
        <f>IFERROR(INDEX(Journal!$A:$A,MATCH($A27,Journal!$B:$B,0)),"")</f>
        <v>46387</v>
      </c>
      <c r="F27" s="160" t="str">
        <f t="shared" ca="1" si="0"/>
        <v>Pending</v>
      </c>
    </row>
    <row r="28" spans="1:6" ht="15" customHeight="1" x14ac:dyDescent="0.2">
      <c r="A28" s="160" t="s">
        <v>667</v>
      </c>
      <c r="B28" s="212" t="s">
        <v>881</v>
      </c>
      <c r="C28" s="160"/>
      <c r="D28" s="160"/>
      <c r="E28" s="214">
        <f>IFERROR(INDEX(Journal!$A:$A,MATCH($A28,Journal!$B:$B,0)),"")</f>
        <v>46387</v>
      </c>
      <c r="F28" s="160" t="str">
        <f t="shared" ca="1" si="0"/>
        <v>Pending</v>
      </c>
    </row>
    <row r="29" spans="1:6" ht="15" customHeight="1" x14ac:dyDescent="0.2">
      <c r="A29" s="160" t="s">
        <v>669</v>
      </c>
      <c r="B29" s="212" t="s">
        <v>886</v>
      </c>
      <c r="C29" s="160"/>
      <c r="D29" s="160"/>
      <c r="E29" s="214">
        <f>IFERROR(INDEX(Journal!$A:$A,MATCH($A29,Journal!$B:$B,0)),"")</f>
        <v>46412</v>
      </c>
      <c r="F29" s="160" t="str">
        <f t="shared" ca="1" si="0"/>
        <v>Pending</v>
      </c>
    </row>
    <row r="30" spans="1:6" ht="28" x14ac:dyDescent="0.2">
      <c r="A30" s="160" t="s">
        <v>669</v>
      </c>
      <c r="B30" s="212" t="s">
        <v>887</v>
      </c>
      <c r="C30" s="160"/>
      <c r="D30" s="160"/>
      <c r="E30" s="214">
        <f>IFERROR(INDEX(Journal!$A:$A,MATCH($A30,Journal!$B:$B,0)),"")</f>
        <v>46412</v>
      </c>
      <c r="F30" s="160" t="str">
        <f t="shared" ca="1" si="0"/>
        <v>Pending</v>
      </c>
    </row>
    <row r="31" spans="1:6" ht="42" x14ac:dyDescent="0.2">
      <c r="A31" s="160" t="s">
        <v>669</v>
      </c>
      <c r="B31" s="212" t="s">
        <v>877</v>
      </c>
      <c r="C31" s="160"/>
      <c r="D31" s="160"/>
      <c r="E31" s="214">
        <f>IFERROR(INDEX(Journal!$A:$A,MATCH($A31,Journal!$B:$B,0)),"")</f>
        <v>46412</v>
      </c>
      <c r="F31" s="160" t="str">
        <f t="shared" ca="1" si="0"/>
        <v>Pending</v>
      </c>
    </row>
    <row r="32" spans="1:6" ht="56" x14ac:dyDescent="0.2">
      <c r="A32" s="160" t="s">
        <v>669</v>
      </c>
      <c r="B32" s="212" t="s">
        <v>885</v>
      </c>
      <c r="C32" s="160"/>
      <c r="D32" s="213"/>
      <c r="E32" s="214">
        <f>IFERROR(INDEX(Journal!$A:$A,MATCH($A32,Journal!$B:$B,0)),"")</f>
        <v>46412</v>
      </c>
      <c r="F32" s="160" t="str">
        <f t="shared" ca="1" si="0"/>
        <v>Pending</v>
      </c>
    </row>
    <row r="33" spans="1:6" ht="15" customHeight="1" x14ac:dyDescent="0.2">
      <c r="A33" s="160" t="s">
        <v>669</v>
      </c>
      <c r="B33" s="212" t="s">
        <v>879</v>
      </c>
      <c r="C33" s="160"/>
      <c r="D33" s="213"/>
      <c r="E33" s="214">
        <f>IFERROR(INDEX(Journal!$A:$A,MATCH($A33,Journal!$B:$B,0)),"")</f>
        <v>46412</v>
      </c>
      <c r="F33" s="160" t="str">
        <f t="shared" ca="1" si="0"/>
        <v>Pending</v>
      </c>
    </row>
    <row r="34" spans="1:6" ht="15" customHeight="1" x14ac:dyDescent="0.2">
      <c r="A34" s="160" t="s">
        <v>669</v>
      </c>
      <c r="B34" s="212" t="s">
        <v>880</v>
      </c>
      <c r="C34" s="160"/>
      <c r="D34" s="213"/>
      <c r="E34" s="214">
        <f>IFERROR(INDEX(Journal!$A:$A,MATCH($A34,Journal!$B:$B,0)),"")</f>
        <v>46412</v>
      </c>
      <c r="F34" s="160" t="str">
        <f t="shared" ca="1" si="0"/>
        <v>Pending</v>
      </c>
    </row>
    <row r="35" spans="1:6" ht="15" customHeight="1" x14ac:dyDescent="0.2">
      <c r="A35" s="160" t="s">
        <v>669</v>
      </c>
      <c r="B35" s="212" t="s">
        <v>881</v>
      </c>
      <c r="C35" s="160"/>
      <c r="D35" s="213"/>
      <c r="E35" s="214">
        <f>IFERROR(INDEX(Journal!$A:$A,MATCH($A35,Journal!$B:$B,0)),"")</f>
        <v>46412</v>
      </c>
      <c r="F35" s="160" t="str">
        <f t="shared" ca="1" si="0"/>
        <v>Pending</v>
      </c>
    </row>
    <row r="36" spans="1:6" ht="15" customHeight="1" x14ac:dyDescent="0.2">
      <c r="A36" s="160" t="s">
        <v>710</v>
      </c>
      <c r="B36" s="212" t="s">
        <v>888</v>
      </c>
      <c r="C36" s="160" t="s">
        <v>222</v>
      </c>
      <c r="D36" s="213">
        <v>46295</v>
      </c>
      <c r="E36" s="214">
        <f>IFERROR(INDEX(Journal!$A:$A,MATCH($A36,Journal!$B:$B,0)),"")</f>
        <v>46295</v>
      </c>
      <c r="F36" s="160" t="str">
        <f t="shared" ca="1" si="0"/>
        <v>Done</v>
      </c>
    </row>
    <row r="37" spans="1:6" ht="15" customHeight="1" x14ac:dyDescent="0.2">
      <c r="A37" s="160" t="s">
        <v>710</v>
      </c>
      <c r="B37" s="212" t="s">
        <v>889</v>
      </c>
      <c r="C37" s="160" t="s">
        <v>222</v>
      </c>
      <c r="D37" s="213">
        <v>46295</v>
      </c>
      <c r="E37" s="214">
        <f>IFERROR(INDEX(Journal!$A:$A,MATCH($A37,Journal!$B:$B,0)),"")</f>
        <v>46295</v>
      </c>
      <c r="F37" s="160" t="str">
        <f t="shared" ref="F37:F68" ca="1" si="1">IF(C37="Y","Done",IF(AND(E37&lt;&gt;"",TODAY()&gt;E37),"OVERDUE","Pending"))</f>
        <v>Done</v>
      </c>
    </row>
    <row r="38" spans="1:6" ht="45.75" customHeight="1" x14ac:dyDescent="0.2">
      <c r="A38" s="160" t="s">
        <v>710</v>
      </c>
      <c r="B38" s="212" t="s">
        <v>890</v>
      </c>
      <c r="C38" s="160" t="s">
        <v>222</v>
      </c>
      <c r="D38" s="213">
        <v>46295</v>
      </c>
      <c r="E38" s="214">
        <f>IFERROR(INDEX(Journal!$A:$A,MATCH($A38,Journal!$B:$B,0)),"")</f>
        <v>46295</v>
      </c>
      <c r="F38" s="160" t="str">
        <f t="shared" ca="1" si="1"/>
        <v>Done</v>
      </c>
    </row>
    <row r="39" spans="1:6" ht="15" customHeight="1" x14ac:dyDescent="0.2">
      <c r="A39" s="160" t="s">
        <v>710</v>
      </c>
      <c r="B39" s="212" t="s">
        <v>891</v>
      </c>
      <c r="C39" s="160" t="s">
        <v>222</v>
      </c>
      <c r="D39" s="213">
        <v>46295</v>
      </c>
      <c r="E39" s="214">
        <f>IFERROR(INDEX(Journal!$A:$A,MATCH($A39,Journal!$B:$B,0)),"")</f>
        <v>46295</v>
      </c>
      <c r="F39" s="160" t="str">
        <f t="shared" ca="1" si="1"/>
        <v>Done</v>
      </c>
    </row>
    <row r="40" spans="1:6" ht="42" x14ac:dyDescent="0.2">
      <c r="A40" s="160" t="s">
        <v>710</v>
      </c>
      <c r="B40" s="212" t="s">
        <v>892</v>
      </c>
      <c r="C40" s="160" t="s">
        <v>222</v>
      </c>
      <c r="D40" s="213">
        <v>46295</v>
      </c>
      <c r="E40" s="214">
        <f>IFERROR(INDEX(Journal!$A:$A,MATCH($A40,Journal!$B:$B,0)),"")</f>
        <v>46295</v>
      </c>
      <c r="F40" s="160" t="str">
        <f t="shared" ca="1" si="1"/>
        <v>Done</v>
      </c>
    </row>
    <row r="41" spans="1:6" ht="15" customHeight="1" x14ac:dyDescent="0.2">
      <c r="A41" s="160" t="s">
        <v>710</v>
      </c>
      <c r="B41" s="212" t="s">
        <v>893</v>
      </c>
      <c r="C41" s="160" t="s">
        <v>222</v>
      </c>
      <c r="D41" s="213">
        <v>46295</v>
      </c>
      <c r="E41" s="214">
        <f>IFERROR(INDEX(Journal!$A:$A,MATCH($A41,Journal!$B:$B,0)),"")</f>
        <v>46295</v>
      </c>
      <c r="F41" s="160" t="str">
        <f t="shared" ca="1" si="1"/>
        <v>Done</v>
      </c>
    </row>
    <row r="42" spans="1:6" ht="15" customHeight="1" x14ac:dyDescent="0.2">
      <c r="A42" s="160" t="s">
        <v>710</v>
      </c>
      <c r="B42" s="212" t="s">
        <v>879</v>
      </c>
      <c r="C42" s="160" t="s">
        <v>222</v>
      </c>
      <c r="D42" s="213">
        <v>46295</v>
      </c>
      <c r="E42" s="214">
        <f>IFERROR(INDEX(Journal!$A:$A,MATCH($A42,Journal!$B:$B,0)),"")</f>
        <v>46295</v>
      </c>
      <c r="F42" s="160" t="str">
        <f t="shared" ca="1" si="1"/>
        <v>Done</v>
      </c>
    </row>
    <row r="43" spans="1:6" ht="15" customHeight="1" x14ac:dyDescent="0.2">
      <c r="A43" s="160" t="s">
        <v>710</v>
      </c>
      <c r="B43" s="212" t="s">
        <v>880</v>
      </c>
      <c r="C43" s="160" t="s">
        <v>222</v>
      </c>
      <c r="D43" s="213">
        <v>46295</v>
      </c>
      <c r="E43" s="214">
        <f>IFERROR(INDEX(Journal!$A:$A,MATCH($A43,Journal!$B:$B,0)),"")</f>
        <v>46295</v>
      </c>
      <c r="F43" s="160" t="str">
        <f t="shared" ca="1" si="1"/>
        <v>Done</v>
      </c>
    </row>
    <row r="44" spans="1:6" ht="15" customHeight="1" x14ac:dyDescent="0.2">
      <c r="A44" s="160" t="s">
        <v>710</v>
      </c>
      <c r="B44" s="212" t="s">
        <v>881</v>
      </c>
      <c r="C44" s="160" t="s">
        <v>222</v>
      </c>
      <c r="D44" s="213">
        <v>46295</v>
      </c>
      <c r="E44" s="214">
        <f>IFERROR(INDEX(Journal!$A:$A,MATCH($A44,Journal!$B:$B,0)),"")</f>
        <v>46295</v>
      </c>
      <c r="F44" s="160" t="str">
        <f t="shared" ca="1" si="1"/>
        <v>Done</v>
      </c>
    </row>
    <row r="45" spans="1:6" ht="15" customHeight="1" x14ac:dyDescent="0.2">
      <c r="A45" s="160" t="s">
        <v>712</v>
      </c>
      <c r="B45" s="212" t="s">
        <v>888</v>
      </c>
      <c r="C45" s="160" t="s">
        <v>222</v>
      </c>
      <c r="D45" s="213">
        <v>46302</v>
      </c>
      <c r="E45" s="214">
        <f>IFERROR(INDEX(Journal!$A:$A,MATCH($A45,Journal!$B:$B,0)),"")</f>
        <v>46302</v>
      </c>
      <c r="F45" s="160" t="str">
        <f t="shared" ca="1" si="1"/>
        <v>Done</v>
      </c>
    </row>
    <row r="46" spans="1:6" ht="15" customHeight="1" x14ac:dyDescent="0.2">
      <c r="A46" s="160" t="s">
        <v>712</v>
      </c>
      <c r="B46" s="212" t="s">
        <v>889</v>
      </c>
      <c r="C46" s="160" t="s">
        <v>222</v>
      </c>
      <c r="D46" s="213">
        <v>46302</v>
      </c>
      <c r="E46" s="214">
        <f>IFERROR(INDEX(Journal!$A:$A,MATCH($A46,Journal!$B:$B,0)),"")</f>
        <v>46302</v>
      </c>
      <c r="F46" s="160" t="str">
        <f t="shared" ca="1" si="1"/>
        <v>Done</v>
      </c>
    </row>
    <row r="47" spans="1:6" ht="45.75" customHeight="1" x14ac:dyDescent="0.2">
      <c r="A47" s="160" t="s">
        <v>712</v>
      </c>
      <c r="B47" s="212" t="s">
        <v>890</v>
      </c>
      <c r="C47" s="160" t="s">
        <v>222</v>
      </c>
      <c r="D47" s="213">
        <v>46302</v>
      </c>
      <c r="E47" s="214">
        <f>IFERROR(INDEX(Journal!$A:$A,MATCH($A47,Journal!$B:$B,0)),"")</f>
        <v>46302</v>
      </c>
      <c r="F47" s="160" t="str">
        <f t="shared" ca="1" si="1"/>
        <v>Done</v>
      </c>
    </row>
    <row r="48" spans="1:6" ht="15" customHeight="1" x14ac:dyDescent="0.2">
      <c r="A48" s="160" t="s">
        <v>712</v>
      </c>
      <c r="B48" s="212" t="s">
        <v>891</v>
      </c>
      <c r="C48" s="160" t="s">
        <v>222</v>
      </c>
      <c r="D48" s="213">
        <v>46302</v>
      </c>
      <c r="E48" s="214">
        <f>IFERROR(INDEX(Journal!$A:$A,MATCH($A48,Journal!$B:$B,0)),"")</f>
        <v>46302</v>
      </c>
      <c r="F48" s="160" t="str">
        <f t="shared" ca="1" si="1"/>
        <v>Done</v>
      </c>
    </row>
    <row r="49" spans="1:6" ht="42" x14ac:dyDescent="0.2">
      <c r="A49" s="160" t="s">
        <v>712</v>
      </c>
      <c r="B49" s="212" t="s">
        <v>892</v>
      </c>
      <c r="C49" s="160" t="s">
        <v>222</v>
      </c>
      <c r="D49" s="213">
        <v>46302</v>
      </c>
      <c r="E49" s="214">
        <f>IFERROR(INDEX(Journal!$A:$A,MATCH($A49,Journal!$B:$B,0)),"")</f>
        <v>46302</v>
      </c>
      <c r="F49" s="160" t="str">
        <f t="shared" ca="1" si="1"/>
        <v>Done</v>
      </c>
    </row>
    <row r="50" spans="1:6" ht="42" x14ac:dyDescent="0.2">
      <c r="A50" s="160" t="s">
        <v>712</v>
      </c>
      <c r="B50" s="212" t="s">
        <v>894</v>
      </c>
      <c r="C50" s="160" t="s">
        <v>222</v>
      </c>
      <c r="D50" s="213">
        <v>46302</v>
      </c>
      <c r="E50" s="214">
        <f>IFERROR(INDEX(Journal!$A:$A,MATCH($A50,Journal!$B:$B,0)),"")</f>
        <v>46302</v>
      </c>
      <c r="F50" s="160" t="str">
        <f t="shared" ca="1" si="1"/>
        <v>Done</v>
      </c>
    </row>
    <row r="51" spans="1:6" ht="42" x14ac:dyDescent="0.2">
      <c r="A51" s="160" t="s">
        <v>712</v>
      </c>
      <c r="B51" s="212" t="s">
        <v>895</v>
      </c>
      <c r="C51" s="160" t="s">
        <v>222</v>
      </c>
      <c r="D51" s="213">
        <v>46302</v>
      </c>
      <c r="E51" s="214">
        <f>IFERROR(INDEX(Journal!$A:$A,MATCH($A51,Journal!$B:$B,0)),"")</f>
        <v>46302</v>
      </c>
      <c r="F51" s="160" t="str">
        <f t="shared" ca="1" si="1"/>
        <v>Done</v>
      </c>
    </row>
    <row r="52" spans="1:6" ht="15" customHeight="1" x14ac:dyDescent="0.2">
      <c r="A52" s="160" t="s">
        <v>712</v>
      </c>
      <c r="B52" s="212" t="s">
        <v>893</v>
      </c>
      <c r="C52" s="160" t="s">
        <v>222</v>
      </c>
      <c r="D52" s="213">
        <v>46302</v>
      </c>
      <c r="E52" s="214">
        <f>IFERROR(INDEX(Journal!$A:$A,MATCH($A52,Journal!$B:$B,0)),"")</f>
        <v>46302</v>
      </c>
      <c r="F52" s="160" t="str">
        <f t="shared" ca="1" si="1"/>
        <v>Done</v>
      </c>
    </row>
    <row r="53" spans="1:6" ht="15" customHeight="1" x14ac:dyDescent="0.2">
      <c r="A53" s="160" t="s">
        <v>712</v>
      </c>
      <c r="B53" s="212" t="s">
        <v>879</v>
      </c>
      <c r="C53" s="160" t="s">
        <v>222</v>
      </c>
      <c r="D53" s="213">
        <v>46302</v>
      </c>
      <c r="E53" s="214">
        <f>IFERROR(INDEX(Journal!$A:$A,MATCH($A53,Journal!$B:$B,0)),"")</f>
        <v>46302</v>
      </c>
      <c r="F53" s="160" t="str">
        <f t="shared" ca="1" si="1"/>
        <v>Done</v>
      </c>
    </row>
    <row r="54" spans="1:6" ht="15" customHeight="1" x14ac:dyDescent="0.2">
      <c r="A54" s="160" t="s">
        <v>712</v>
      </c>
      <c r="B54" s="212" t="s">
        <v>880</v>
      </c>
      <c r="C54" s="160" t="s">
        <v>222</v>
      </c>
      <c r="D54" s="213">
        <v>46302</v>
      </c>
      <c r="E54" s="214">
        <f>IFERROR(INDEX(Journal!$A:$A,MATCH($A54,Journal!$B:$B,0)),"")</f>
        <v>46302</v>
      </c>
      <c r="F54" s="160" t="str">
        <f t="shared" ca="1" si="1"/>
        <v>Done</v>
      </c>
    </row>
    <row r="55" spans="1:6" ht="15" customHeight="1" x14ac:dyDescent="0.2">
      <c r="A55" s="160" t="s">
        <v>712</v>
      </c>
      <c r="B55" s="212" t="s">
        <v>881</v>
      </c>
      <c r="C55" s="160" t="s">
        <v>222</v>
      </c>
      <c r="D55" s="213">
        <v>46302</v>
      </c>
      <c r="E55" s="214">
        <f>IFERROR(INDEX(Journal!$A:$A,MATCH($A55,Journal!$B:$B,0)),"")</f>
        <v>46302</v>
      </c>
      <c r="F55" s="160" t="str">
        <f t="shared" ca="1" si="1"/>
        <v>Done</v>
      </c>
    </row>
    <row r="56" spans="1:6" ht="15" customHeight="1" x14ac:dyDescent="0.2">
      <c r="A56" s="160" t="s">
        <v>714</v>
      </c>
      <c r="B56" s="212" t="s">
        <v>888</v>
      </c>
      <c r="C56" s="160"/>
      <c r="D56" s="160"/>
      <c r="E56" s="214">
        <f>IFERROR(INDEX(Journal!$A:$A,MATCH($A56,Journal!$B:$B,0)),"")</f>
        <v>46317</v>
      </c>
      <c r="F56" s="160" t="str">
        <f t="shared" ca="1" si="1"/>
        <v>Pending</v>
      </c>
    </row>
    <row r="57" spans="1:6" ht="15" customHeight="1" x14ac:dyDescent="0.2">
      <c r="A57" s="160" t="s">
        <v>714</v>
      </c>
      <c r="B57" s="212" t="s">
        <v>889</v>
      </c>
      <c r="C57" s="160"/>
      <c r="D57" s="160"/>
      <c r="E57" s="214">
        <f>IFERROR(INDEX(Journal!$A:$A,MATCH($A57,Journal!$B:$B,0)),"")</f>
        <v>46317</v>
      </c>
      <c r="F57" s="160" t="str">
        <f t="shared" ca="1" si="1"/>
        <v>Pending</v>
      </c>
    </row>
    <row r="58" spans="1:6" ht="45.75" customHeight="1" x14ac:dyDescent="0.2">
      <c r="A58" s="160" t="s">
        <v>714</v>
      </c>
      <c r="B58" s="212" t="s">
        <v>890</v>
      </c>
      <c r="C58" s="160"/>
      <c r="D58" s="160"/>
      <c r="E58" s="214">
        <f>IFERROR(INDEX(Journal!$A:$A,MATCH($A58,Journal!$B:$B,0)),"")</f>
        <v>46317</v>
      </c>
      <c r="F58" s="160" t="str">
        <f t="shared" ca="1" si="1"/>
        <v>Pending</v>
      </c>
    </row>
    <row r="59" spans="1:6" ht="15" customHeight="1" x14ac:dyDescent="0.2">
      <c r="A59" s="160" t="s">
        <v>714</v>
      </c>
      <c r="B59" s="212" t="s">
        <v>891</v>
      </c>
      <c r="C59" s="160"/>
      <c r="D59" s="160"/>
      <c r="E59" s="214">
        <f>IFERROR(INDEX(Journal!$A:$A,MATCH($A59,Journal!$B:$B,0)),"")</f>
        <v>46317</v>
      </c>
      <c r="F59" s="160" t="str">
        <f t="shared" ca="1" si="1"/>
        <v>Pending</v>
      </c>
    </row>
    <row r="60" spans="1:6" ht="42" x14ac:dyDescent="0.2">
      <c r="A60" s="160" t="s">
        <v>714</v>
      </c>
      <c r="B60" s="212" t="s">
        <v>892</v>
      </c>
      <c r="C60" s="160"/>
      <c r="D60" s="160"/>
      <c r="E60" s="214">
        <f>IFERROR(INDEX(Journal!$A:$A,MATCH($A60,Journal!$B:$B,0)),"")</f>
        <v>46317</v>
      </c>
      <c r="F60" s="160" t="str">
        <f t="shared" ca="1" si="1"/>
        <v>Pending</v>
      </c>
    </row>
    <row r="61" spans="1:6" ht="42" x14ac:dyDescent="0.2">
      <c r="A61" s="160" t="s">
        <v>714</v>
      </c>
      <c r="B61" s="212" t="s">
        <v>894</v>
      </c>
      <c r="C61" s="160"/>
      <c r="D61" s="160"/>
      <c r="E61" s="214">
        <f>IFERROR(INDEX(Journal!$A:$A,MATCH($A61,Journal!$B:$B,0)),"")</f>
        <v>46317</v>
      </c>
      <c r="F61" s="160" t="str">
        <f t="shared" ca="1" si="1"/>
        <v>Pending</v>
      </c>
    </row>
    <row r="62" spans="1:6" ht="42" x14ac:dyDescent="0.2">
      <c r="A62" s="160" t="s">
        <v>714</v>
      </c>
      <c r="B62" s="212" t="s">
        <v>895</v>
      </c>
      <c r="C62" s="160"/>
      <c r="D62" s="160"/>
      <c r="E62" s="214">
        <f>IFERROR(INDEX(Journal!$A:$A,MATCH($A62,Journal!$B:$B,0)),"")</f>
        <v>46317</v>
      </c>
      <c r="F62" s="160" t="str">
        <f t="shared" ca="1" si="1"/>
        <v>Pending</v>
      </c>
    </row>
    <row r="63" spans="1:6" ht="15" customHeight="1" x14ac:dyDescent="0.2">
      <c r="A63" s="160" t="s">
        <v>714</v>
      </c>
      <c r="B63" s="212" t="s">
        <v>893</v>
      </c>
      <c r="C63" s="160"/>
      <c r="D63" s="160"/>
      <c r="E63" s="214">
        <f>IFERROR(INDEX(Journal!$A:$A,MATCH($A63,Journal!$B:$B,0)),"")</f>
        <v>46317</v>
      </c>
      <c r="F63" s="160" t="str">
        <f t="shared" ca="1" si="1"/>
        <v>Pending</v>
      </c>
    </row>
    <row r="64" spans="1:6" ht="15" customHeight="1" x14ac:dyDescent="0.2">
      <c r="A64" s="160" t="s">
        <v>714</v>
      </c>
      <c r="B64" s="212" t="s">
        <v>879</v>
      </c>
      <c r="C64" s="160"/>
      <c r="D64" s="160"/>
      <c r="E64" s="214">
        <f>IFERROR(INDEX(Journal!$A:$A,MATCH($A64,Journal!$B:$B,0)),"")</f>
        <v>46317</v>
      </c>
      <c r="F64" s="160" t="str">
        <f t="shared" ca="1" si="1"/>
        <v>Pending</v>
      </c>
    </row>
    <row r="65" spans="1:6" ht="15" customHeight="1" x14ac:dyDescent="0.2">
      <c r="A65" s="160" t="s">
        <v>714</v>
      </c>
      <c r="B65" s="212" t="s">
        <v>880</v>
      </c>
      <c r="C65" s="160"/>
      <c r="D65" s="160"/>
      <c r="E65" s="214">
        <f>IFERROR(INDEX(Journal!$A:$A,MATCH($A65,Journal!$B:$B,0)),"")</f>
        <v>46317</v>
      </c>
      <c r="F65" s="160" t="str">
        <f t="shared" ca="1" si="1"/>
        <v>Pending</v>
      </c>
    </row>
    <row r="66" spans="1:6" ht="15" customHeight="1" x14ac:dyDescent="0.2">
      <c r="A66" s="160" t="s">
        <v>714</v>
      </c>
      <c r="B66" s="212" t="s">
        <v>881</v>
      </c>
      <c r="C66" s="160"/>
      <c r="D66" s="160"/>
      <c r="E66" s="214">
        <f>IFERROR(INDEX(Journal!$A:$A,MATCH($A66,Journal!$B:$B,0)),"")</f>
        <v>46317</v>
      </c>
      <c r="F66" s="160" t="str">
        <f t="shared" ca="1" si="1"/>
        <v>Pending</v>
      </c>
    </row>
    <row r="67" spans="1:6" ht="15" customHeight="1" x14ac:dyDescent="0.2">
      <c r="A67" s="160" t="s">
        <v>716</v>
      </c>
      <c r="B67" s="212" t="s">
        <v>888</v>
      </c>
      <c r="C67" s="160"/>
      <c r="D67" s="160"/>
      <c r="E67" s="214">
        <f>IFERROR(INDEX(Journal!$A:$A,MATCH($A67,Journal!$B:$B,0)),"")</f>
        <v>46335</v>
      </c>
      <c r="F67" s="160" t="str">
        <f t="shared" ca="1" si="1"/>
        <v>Pending</v>
      </c>
    </row>
    <row r="68" spans="1:6" ht="15" customHeight="1" x14ac:dyDescent="0.2">
      <c r="A68" s="160" t="s">
        <v>716</v>
      </c>
      <c r="B68" s="212" t="s">
        <v>889</v>
      </c>
      <c r="C68" s="160"/>
      <c r="D68" s="160"/>
      <c r="E68" s="214">
        <f>IFERROR(INDEX(Journal!$A:$A,MATCH($A68,Journal!$B:$B,0)),"")</f>
        <v>46335</v>
      </c>
      <c r="F68" s="160" t="str">
        <f t="shared" ca="1" si="1"/>
        <v>Pending</v>
      </c>
    </row>
    <row r="69" spans="1:6" ht="45.75" customHeight="1" x14ac:dyDescent="0.2">
      <c r="A69" s="160" t="s">
        <v>716</v>
      </c>
      <c r="B69" s="212" t="s">
        <v>890</v>
      </c>
      <c r="C69" s="160"/>
      <c r="D69" s="160"/>
      <c r="E69" s="214">
        <f>IFERROR(INDEX(Journal!$A:$A,MATCH($A69,Journal!$B:$B,0)),"")</f>
        <v>46335</v>
      </c>
      <c r="F69" s="160" t="str">
        <f t="shared" ref="F69:F100" ca="1" si="2">IF(C69="Y","Done",IF(AND(E69&lt;&gt;"",TODAY()&gt;E69),"OVERDUE","Pending"))</f>
        <v>Pending</v>
      </c>
    </row>
    <row r="70" spans="1:6" ht="15" customHeight="1" x14ac:dyDescent="0.2">
      <c r="A70" s="160" t="s">
        <v>716</v>
      </c>
      <c r="B70" s="212" t="s">
        <v>891</v>
      </c>
      <c r="C70" s="160"/>
      <c r="D70" s="160"/>
      <c r="E70" s="214">
        <f>IFERROR(INDEX(Journal!$A:$A,MATCH($A70,Journal!$B:$B,0)),"")</f>
        <v>46335</v>
      </c>
      <c r="F70" s="160" t="str">
        <f t="shared" ca="1" si="2"/>
        <v>Pending</v>
      </c>
    </row>
    <row r="71" spans="1:6" ht="42" x14ac:dyDescent="0.2">
      <c r="A71" s="160" t="s">
        <v>716</v>
      </c>
      <c r="B71" s="212" t="s">
        <v>892</v>
      </c>
      <c r="C71" s="160"/>
      <c r="D71" s="160"/>
      <c r="E71" s="214">
        <f>IFERROR(INDEX(Journal!$A:$A,MATCH($A71,Journal!$B:$B,0)),"")</f>
        <v>46335</v>
      </c>
      <c r="F71" s="160" t="str">
        <f t="shared" ca="1" si="2"/>
        <v>Pending</v>
      </c>
    </row>
    <row r="72" spans="1:6" ht="42" x14ac:dyDescent="0.2">
      <c r="A72" s="160" t="s">
        <v>716</v>
      </c>
      <c r="B72" s="212" t="s">
        <v>894</v>
      </c>
      <c r="C72" s="160"/>
      <c r="D72" s="160"/>
      <c r="E72" s="214">
        <f>IFERROR(INDEX(Journal!$A:$A,MATCH($A72,Journal!$B:$B,0)),"")</f>
        <v>46335</v>
      </c>
      <c r="F72" s="160" t="str">
        <f t="shared" ca="1" si="2"/>
        <v>Pending</v>
      </c>
    </row>
    <row r="73" spans="1:6" ht="42" x14ac:dyDescent="0.2">
      <c r="A73" s="160" t="s">
        <v>716</v>
      </c>
      <c r="B73" s="212" t="s">
        <v>895</v>
      </c>
      <c r="C73" s="160"/>
      <c r="D73" s="160"/>
      <c r="E73" s="214">
        <f>IFERROR(INDEX(Journal!$A:$A,MATCH($A73,Journal!$B:$B,0)),"")</f>
        <v>46335</v>
      </c>
      <c r="F73" s="160" t="str">
        <f t="shared" ca="1" si="2"/>
        <v>Pending</v>
      </c>
    </row>
    <row r="74" spans="1:6" ht="15" customHeight="1" x14ac:dyDescent="0.2">
      <c r="A74" s="160" t="s">
        <v>716</v>
      </c>
      <c r="B74" s="212" t="s">
        <v>893</v>
      </c>
      <c r="C74" s="160"/>
      <c r="D74" s="160"/>
      <c r="E74" s="214">
        <f>IFERROR(INDEX(Journal!$A:$A,MATCH($A74,Journal!$B:$B,0)),"")</f>
        <v>46335</v>
      </c>
      <c r="F74" s="160" t="str">
        <f t="shared" ca="1" si="2"/>
        <v>Pending</v>
      </c>
    </row>
    <row r="75" spans="1:6" ht="15" customHeight="1" x14ac:dyDescent="0.2">
      <c r="A75" s="160" t="s">
        <v>716</v>
      </c>
      <c r="B75" s="212" t="s">
        <v>879</v>
      </c>
      <c r="C75" s="160"/>
      <c r="D75" s="160"/>
      <c r="E75" s="214">
        <f>IFERROR(INDEX(Journal!$A:$A,MATCH($A75,Journal!$B:$B,0)),"")</f>
        <v>46335</v>
      </c>
      <c r="F75" s="160" t="str">
        <f t="shared" ca="1" si="2"/>
        <v>Pending</v>
      </c>
    </row>
    <row r="76" spans="1:6" ht="15" customHeight="1" x14ac:dyDescent="0.2">
      <c r="A76" s="160" t="s">
        <v>716</v>
      </c>
      <c r="B76" s="212" t="s">
        <v>880</v>
      </c>
      <c r="C76" s="160"/>
      <c r="D76" s="160"/>
      <c r="E76" s="214">
        <f>IFERROR(INDEX(Journal!$A:$A,MATCH($A76,Journal!$B:$B,0)),"")</f>
        <v>46335</v>
      </c>
      <c r="F76" s="160" t="str">
        <f t="shared" ca="1" si="2"/>
        <v>Pending</v>
      </c>
    </row>
    <row r="77" spans="1:6" ht="15" customHeight="1" x14ac:dyDescent="0.2">
      <c r="A77" s="160" t="s">
        <v>716</v>
      </c>
      <c r="B77" s="212" t="s">
        <v>881</v>
      </c>
      <c r="C77" s="160"/>
      <c r="D77" s="160"/>
      <c r="E77" s="214">
        <f>IFERROR(INDEX(Journal!$A:$A,MATCH($A77,Journal!$B:$B,0)),"")</f>
        <v>46335</v>
      </c>
      <c r="F77" s="160" t="str">
        <f t="shared" ca="1" si="2"/>
        <v>Pending</v>
      </c>
    </row>
    <row r="78" spans="1:6" ht="15" customHeight="1" x14ac:dyDescent="0.2">
      <c r="A78" s="160" t="s">
        <v>718</v>
      </c>
      <c r="B78" s="212" t="s">
        <v>888</v>
      </c>
      <c r="C78" s="160"/>
      <c r="D78" s="160"/>
      <c r="E78" s="214">
        <f>IFERROR(INDEX(Journal!$A:$A,MATCH($A78,Journal!$B:$B,0)),"")</f>
        <v>46349</v>
      </c>
      <c r="F78" s="160" t="str">
        <f t="shared" ca="1" si="2"/>
        <v>Pending</v>
      </c>
    </row>
    <row r="79" spans="1:6" ht="15" customHeight="1" x14ac:dyDescent="0.2">
      <c r="A79" s="160" t="s">
        <v>718</v>
      </c>
      <c r="B79" s="212" t="s">
        <v>889</v>
      </c>
      <c r="C79" s="160"/>
      <c r="D79" s="160"/>
      <c r="E79" s="214">
        <f>IFERROR(INDEX(Journal!$A:$A,MATCH($A79,Journal!$B:$B,0)),"")</f>
        <v>46349</v>
      </c>
      <c r="F79" s="160" t="str">
        <f t="shared" ca="1" si="2"/>
        <v>Pending</v>
      </c>
    </row>
    <row r="80" spans="1:6" ht="45.75" customHeight="1" x14ac:dyDescent="0.2">
      <c r="A80" s="160" t="s">
        <v>718</v>
      </c>
      <c r="B80" s="212" t="s">
        <v>890</v>
      </c>
      <c r="C80" s="160"/>
      <c r="D80" s="160"/>
      <c r="E80" s="214">
        <f>IFERROR(INDEX(Journal!$A:$A,MATCH($A80,Journal!$B:$B,0)),"")</f>
        <v>46349</v>
      </c>
      <c r="F80" s="160" t="str">
        <f t="shared" ca="1" si="2"/>
        <v>Pending</v>
      </c>
    </row>
    <row r="81" spans="1:6" ht="15" customHeight="1" x14ac:dyDescent="0.2">
      <c r="A81" s="160" t="s">
        <v>718</v>
      </c>
      <c r="B81" s="212" t="s">
        <v>891</v>
      </c>
      <c r="C81" s="160"/>
      <c r="D81" s="160"/>
      <c r="E81" s="214">
        <f>IFERROR(INDEX(Journal!$A:$A,MATCH($A81,Journal!$B:$B,0)),"")</f>
        <v>46349</v>
      </c>
      <c r="F81" s="160" t="str">
        <f t="shared" ca="1" si="2"/>
        <v>Pending</v>
      </c>
    </row>
    <row r="82" spans="1:6" ht="42" x14ac:dyDescent="0.2">
      <c r="A82" s="160" t="s">
        <v>718</v>
      </c>
      <c r="B82" s="212" t="s">
        <v>892</v>
      </c>
      <c r="C82" s="160"/>
      <c r="D82" s="160"/>
      <c r="E82" s="214">
        <f>IFERROR(INDEX(Journal!$A:$A,MATCH($A82,Journal!$B:$B,0)),"")</f>
        <v>46349</v>
      </c>
      <c r="F82" s="160" t="str">
        <f t="shared" ca="1" si="2"/>
        <v>Pending</v>
      </c>
    </row>
    <row r="83" spans="1:6" ht="42" x14ac:dyDescent="0.2">
      <c r="A83" s="160" t="s">
        <v>718</v>
      </c>
      <c r="B83" s="212" t="s">
        <v>894</v>
      </c>
      <c r="C83" s="160"/>
      <c r="D83" s="160"/>
      <c r="E83" s="214">
        <f>IFERROR(INDEX(Journal!$A:$A,MATCH($A83,Journal!$B:$B,0)),"")</f>
        <v>46349</v>
      </c>
      <c r="F83" s="160" t="str">
        <f t="shared" ca="1" si="2"/>
        <v>Pending</v>
      </c>
    </row>
    <row r="84" spans="1:6" ht="42" x14ac:dyDescent="0.2">
      <c r="A84" s="160" t="s">
        <v>718</v>
      </c>
      <c r="B84" s="212" t="s">
        <v>895</v>
      </c>
      <c r="C84" s="160"/>
      <c r="D84" s="160"/>
      <c r="E84" s="214">
        <f>IFERROR(INDEX(Journal!$A:$A,MATCH($A84,Journal!$B:$B,0)),"")</f>
        <v>46349</v>
      </c>
      <c r="F84" s="160" t="str">
        <f t="shared" ca="1" si="2"/>
        <v>Pending</v>
      </c>
    </row>
    <row r="85" spans="1:6" ht="15" customHeight="1" x14ac:dyDescent="0.2">
      <c r="A85" s="160" t="s">
        <v>718</v>
      </c>
      <c r="B85" s="212" t="s">
        <v>893</v>
      </c>
      <c r="C85" s="160"/>
      <c r="D85" s="160"/>
      <c r="E85" s="214">
        <f>IFERROR(INDEX(Journal!$A:$A,MATCH($A85,Journal!$B:$B,0)),"")</f>
        <v>46349</v>
      </c>
      <c r="F85" s="160" t="str">
        <f t="shared" ca="1" si="2"/>
        <v>Pending</v>
      </c>
    </row>
    <row r="86" spans="1:6" ht="15" customHeight="1" x14ac:dyDescent="0.2">
      <c r="A86" s="160" t="s">
        <v>718</v>
      </c>
      <c r="B86" s="212" t="s">
        <v>879</v>
      </c>
      <c r="C86" s="160"/>
      <c r="D86" s="160"/>
      <c r="E86" s="214">
        <f>IFERROR(INDEX(Journal!$A:$A,MATCH($A86,Journal!$B:$B,0)),"")</f>
        <v>46349</v>
      </c>
      <c r="F86" s="160" t="str">
        <f t="shared" ca="1" si="2"/>
        <v>Pending</v>
      </c>
    </row>
    <row r="87" spans="1:6" ht="15" customHeight="1" x14ac:dyDescent="0.2">
      <c r="A87" s="160" t="s">
        <v>718</v>
      </c>
      <c r="B87" s="212" t="s">
        <v>880</v>
      </c>
      <c r="C87" s="160"/>
      <c r="D87" s="160"/>
      <c r="E87" s="214">
        <f>IFERROR(INDEX(Journal!$A:$A,MATCH($A87,Journal!$B:$B,0)),"")</f>
        <v>46349</v>
      </c>
      <c r="F87" s="160" t="str">
        <f t="shared" ca="1" si="2"/>
        <v>Pending</v>
      </c>
    </row>
    <row r="88" spans="1:6" ht="15" customHeight="1" x14ac:dyDescent="0.2">
      <c r="A88" s="160" t="s">
        <v>718</v>
      </c>
      <c r="B88" s="212" t="s">
        <v>881</v>
      </c>
      <c r="C88" s="160"/>
      <c r="D88" s="160"/>
      <c r="E88" s="214">
        <f>IFERROR(INDEX(Journal!$A:$A,MATCH($A88,Journal!$B:$B,0)),"")</f>
        <v>46349</v>
      </c>
      <c r="F88" s="160" t="str">
        <f t="shared" ca="1" si="2"/>
        <v>Pending</v>
      </c>
    </row>
    <row r="89" spans="1:6" ht="15" customHeight="1" x14ac:dyDescent="0.2">
      <c r="A89" s="160" t="s">
        <v>720</v>
      </c>
      <c r="B89" s="212" t="s">
        <v>888</v>
      </c>
      <c r="C89" s="160"/>
      <c r="D89" s="160"/>
      <c r="E89" s="214">
        <f>IFERROR(INDEX(Journal!$A:$A,MATCH($A89,Journal!$B:$B,0)),"")</f>
        <v>46363</v>
      </c>
      <c r="F89" s="160" t="str">
        <f t="shared" ca="1" si="2"/>
        <v>Pending</v>
      </c>
    </row>
    <row r="90" spans="1:6" ht="15" customHeight="1" x14ac:dyDescent="0.2">
      <c r="A90" s="160" t="s">
        <v>720</v>
      </c>
      <c r="B90" s="212" t="s">
        <v>889</v>
      </c>
      <c r="C90" s="160"/>
      <c r="D90" s="160"/>
      <c r="E90" s="214">
        <f>IFERROR(INDEX(Journal!$A:$A,MATCH($A90,Journal!$B:$B,0)),"")</f>
        <v>46363</v>
      </c>
      <c r="F90" s="160" t="str">
        <f t="shared" ca="1" si="2"/>
        <v>Pending</v>
      </c>
    </row>
    <row r="91" spans="1:6" ht="45.75" customHeight="1" x14ac:dyDescent="0.2">
      <c r="A91" s="160" t="s">
        <v>720</v>
      </c>
      <c r="B91" s="212" t="s">
        <v>890</v>
      </c>
      <c r="C91" s="160"/>
      <c r="D91" s="160"/>
      <c r="E91" s="214">
        <f>IFERROR(INDEX(Journal!$A:$A,MATCH($A91,Journal!$B:$B,0)),"")</f>
        <v>46363</v>
      </c>
      <c r="F91" s="160" t="str">
        <f t="shared" ca="1" si="2"/>
        <v>Pending</v>
      </c>
    </row>
    <row r="92" spans="1:6" ht="15" customHeight="1" x14ac:dyDescent="0.2">
      <c r="A92" s="160" t="s">
        <v>720</v>
      </c>
      <c r="B92" s="212" t="s">
        <v>891</v>
      </c>
      <c r="C92" s="160"/>
      <c r="D92" s="160"/>
      <c r="E92" s="214">
        <f>IFERROR(INDEX(Journal!$A:$A,MATCH($A92,Journal!$B:$B,0)),"")</f>
        <v>46363</v>
      </c>
      <c r="F92" s="160" t="str">
        <f t="shared" ca="1" si="2"/>
        <v>Pending</v>
      </c>
    </row>
    <row r="93" spans="1:6" ht="42" x14ac:dyDescent="0.2">
      <c r="A93" s="160" t="s">
        <v>720</v>
      </c>
      <c r="B93" s="212" t="s">
        <v>892</v>
      </c>
      <c r="C93" s="160"/>
      <c r="D93" s="160"/>
      <c r="E93" s="214">
        <f>IFERROR(INDEX(Journal!$A:$A,MATCH($A93,Journal!$B:$B,0)),"")</f>
        <v>46363</v>
      </c>
      <c r="F93" s="160" t="str">
        <f t="shared" ca="1" si="2"/>
        <v>Pending</v>
      </c>
    </row>
    <row r="94" spans="1:6" ht="42" x14ac:dyDescent="0.2">
      <c r="A94" s="160" t="s">
        <v>720</v>
      </c>
      <c r="B94" s="212" t="s">
        <v>894</v>
      </c>
      <c r="C94" s="160"/>
      <c r="D94" s="160"/>
      <c r="E94" s="214">
        <f>IFERROR(INDEX(Journal!$A:$A,MATCH($A94,Journal!$B:$B,0)),"")</f>
        <v>46363</v>
      </c>
      <c r="F94" s="160" t="str">
        <f t="shared" ca="1" si="2"/>
        <v>Pending</v>
      </c>
    </row>
    <row r="95" spans="1:6" ht="42" x14ac:dyDescent="0.2">
      <c r="A95" s="160" t="s">
        <v>720</v>
      </c>
      <c r="B95" s="212" t="s">
        <v>895</v>
      </c>
      <c r="C95" s="160"/>
      <c r="D95" s="160"/>
      <c r="E95" s="214">
        <f>IFERROR(INDEX(Journal!$A:$A,MATCH($A95,Journal!$B:$B,0)),"")</f>
        <v>46363</v>
      </c>
      <c r="F95" s="160" t="str">
        <f t="shared" ca="1" si="2"/>
        <v>Pending</v>
      </c>
    </row>
    <row r="96" spans="1:6" ht="15" customHeight="1" x14ac:dyDescent="0.2">
      <c r="A96" s="160" t="s">
        <v>720</v>
      </c>
      <c r="B96" s="212" t="s">
        <v>893</v>
      </c>
      <c r="C96" s="160"/>
      <c r="D96" s="160"/>
      <c r="E96" s="214">
        <f>IFERROR(INDEX(Journal!$A:$A,MATCH($A96,Journal!$B:$B,0)),"")</f>
        <v>46363</v>
      </c>
      <c r="F96" s="160" t="str">
        <f t="shared" ca="1" si="2"/>
        <v>Pending</v>
      </c>
    </row>
    <row r="97" spans="1:6" ht="15" customHeight="1" x14ac:dyDescent="0.2">
      <c r="A97" s="160" t="s">
        <v>720</v>
      </c>
      <c r="B97" s="212" t="s">
        <v>879</v>
      </c>
      <c r="C97" s="160"/>
      <c r="D97" s="160"/>
      <c r="E97" s="214">
        <f>IFERROR(INDEX(Journal!$A:$A,MATCH($A97,Journal!$B:$B,0)),"")</f>
        <v>46363</v>
      </c>
      <c r="F97" s="160" t="str">
        <f t="shared" ca="1" si="2"/>
        <v>Pending</v>
      </c>
    </row>
    <row r="98" spans="1:6" ht="15" customHeight="1" x14ac:dyDescent="0.2">
      <c r="A98" s="160" t="s">
        <v>720</v>
      </c>
      <c r="B98" s="212" t="s">
        <v>880</v>
      </c>
      <c r="C98" s="160"/>
      <c r="D98" s="160"/>
      <c r="E98" s="214">
        <f>IFERROR(INDEX(Journal!$A:$A,MATCH($A98,Journal!$B:$B,0)),"")</f>
        <v>46363</v>
      </c>
      <c r="F98" s="160" t="str">
        <f t="shared" ca="1" si="2"/>
        <v>Pending</v>
      </c>
    </row>
    <row r="99" spans="1:6" ht="15" customHeight="1" x14ac:dyDescent="0.2">
      <c r="A99" s="160" t="s">
        <v>720</v>
      </c>
      <c r="B99" s="212" t="s">
        <v>881</v>
      </c>
      <c r="C99" s="160"/>
      <c r="D99" s="160"/>
      <c r="E99" s="214">
        <f>IFERROR(INDEX(Journal!$A:$A,MATCH($A99,Journal!$B:$B,0)),"")</f>
        <v>46363</v>
      </c>
      <c r="F99" s="160" t="str">
        <f t="shared" ca="1" si="2"/>
        <v>Pending</v>
      </c>
    </row>
    <row r="100" spans="1:6" ht="15" customHeight="1" x14ac:dyDescent="0.2">
      <c r="A100" s="160" t="s">
        <v>721</v>
      </c>
      <c r="B100" s="212" t="s">
        <v>888</v>
      </c>
      <c r="C100" s="160"/>
      <c r="D100" s="160"/>
      <c r="E100" s="214">
        <f>IFERROR(INDEX(Journal!$A:$A,MATCH($A100,Journal!$B:$B,0)),"")</f>
        <v>46378</v>
      </c>
      <c r="F100" s="160" t="str">
        <f t="shared" ca="1" si="2"/>
        <v>Pending</v>
      </c>
    </row>
    <row r="101" spans="1:6" ht="15" customHeight="1" x14ac:dyDescent="0.2">
      <c r="A101" s="160" t="s">
        <v>721</v>
      </c>
      <c r="B101" s="212" t="s">
        <v>889</v>
      </c>
      <c r="C101" s="160"/>
      <c r="D101" s="160"/>
      <c r="E101" s="214">
        <f>IFERROR(INDEX(Journal!$A:$A,MATCH($A101,Journal!$B:$B,0)),"")</f>
        <v>46378</v>
      </c>
      <c r="F101" s="160" t="str">
        <f t="shared" ref="F101:F132" ca="1" si="3">IF(C101="Y","Done",IF(AND(E101&lt;&gt;"",TODAY()&gt;E101),"OVERDUE","Pending"))</f>
        <v>Pending</v>
      </c>
    </row>
    <row r="102" spans="1:6" ht="45.75" customHeight="1" x14ac:dyDescent="0.2">
      <c r="A102" s="160" t="s">
        <v>721</v>
      </c>
      <c r="B102" s="212" t="s">
        <v>890</v>
      </c>
      <c r="C102" s="160"/>
      <c r="D102" s="160"/>
      <c r="E102" s="214">
        <f>IFERROR(INDEX(Journal!$A:$A,MATCH($A102,Journal!$B:$B,0)),"")</f>
        <v>46378</v>
      </c>
      <c r="F102" s="160" t="str">
        <f t="shared" ca="1" si="3"/>
        <v>Pending</v>
      </c>
    </row>
    <row r="103" spans="1:6" ht="15" customHeight="1" x14ac:dyDescent="0.2">
      <c r="A103" s="160" t="s">
        <v>721</v>
      </c>
      <c r="B103" s="212" t="s">
        <v>891</v>
      </c>
      <c r="C103" s="160"/>
      <c r="D103" s="160"/>
      <c r="E103" s="214">
        <f>IFERROR(INDEX(Journal!$A:$A,MATCH($A103,Journal!$B:$B,0)),"")</f>
        <v>46378</v>
      </c>
      <c r="F103" s="160" t="str">
        <f t="shared" ca="1" si="3"/>
        <v>Pending</v>
      </c>
    </row>
    <row r="104" spans="1:6" ht="42" x14ac:dyDescent="0.2">
      <c r="A104" s="160" t="s">
        <v>721</v>
      </c>
      <c r="B104" s="212" t="s">
        <v>892</v>
      </c>
      <c r="C104" s="160"/>
      <c r="D104" s="160"/>
      <c r="E104" s="214">
        <f>IFERROR(INDEX(Journal!$A:$A,MATCH($A104,Journal!$B:$B,0)),"")</f>
        <v>46378</v>
      </c>
      <c r="F104" s="160" t="str">
        <f t="shared" ca="1" si="3"/>
        <v>Pending</v>
      </c>
    </row>
    <row r="105" spans="1:6" ht="42" x14ac:dyDescent="0.2">
      <c r="A105" s="160" t="s">
        <v>721</v>
      </c>
      <c r="B105" s="212" t="s">
        <v>894</v>
      </c>
      <c r="C105" s="160"/>
      <c r="D105" s="160"/>
      <c r="E105" s="214">
        <f>IFERROR(INDEX(Journal!$A:$A,MATCH($A105,Journal!$B:$B,0)),"")</f>
        <v>46378</v>
      </c>
      <c r="F105" s="160" t="str">
        <f t="shared" ca="1" si="3"/>
        <v>Pending</v>
      </c>
    </row>
    <row r="106" spans="1:6" ht="42" x14ac:dyDescent="0.2">
      <c r="A106" s="160" t="s">
        <v>721</v>
      </c>
      <c r="B106" s="212" t="s">
        <v>895</v>
      </c>
      <c r="C106" s="160"/>
      <c r="D106" s="160"/>
      <c r="E106" s="214">
        <f>IFERROR(INDEX(Journal!$A:$A,MATCH($A106,Journal!$B:$B,0)),"")</f>
        <v>46378</v>
      </c>
      <c r="F106" s="160" t="str">
        <f t="shared" ca="1" si="3"/>
        <v>Pending</v>
      </c>
    </row>
    <row r="107" spans="1:6" ht="15" customHeight="1" x14ac:dyDescent="0.2">
      <c r="A107" s="160" t="s">
        <v>721</v>
      </c>
      <c r="B107" s="212" t="s">
        <v>893</v>
      </c>
      <c r="C107" s="160"/>
      <c r="D107" s="160"/>
      <c r="E107" s="214">
        <f>IFERROR(INDEX(Journal!$A:$A,MATCH($A107,Journal!$B:$B,0)),"")</f>
        <v>46378</v>
      </c>
      <c r="F107" s="160" t="str">
        <f t="shared" ca="1" si="3"/>
        <v>Pending</v>
      </c>
    </row>
    <row r="108" spans="1:6" ht="15" customHeight="1" x14ac:dyDescent="0.2">
      <c r="A108" s="160" t="s">
        <v>721</v>
      </c>
      <c r="B108" s="212" t="s">
        <v>879</v>
      </c>
      <c r="C108" s="160"/>
      <c r="D108" s="160"/>
      <c r="E108" s="214">
        <f>IFERROR(INDEX(Journal!$A:$A,MATCH($A108,Journal!$B:$B,0)),"")</f>
        <v>46378</v>
      </c>
      <c r="F108" s="160" t="str">
        <f t="shared" ca="1" si="3"/>
        <v>Pending</v>
      </c>
    </row>
    <row r="109" spans="1:6" ht="15" customHeight="1" x14ac:dyDescent="0.2">
      <c r="A109" s="160" t="s">
        <v>721</v>
      </c>
      <c r="B109" s="212" t="s">
        <v>880</v>
      </c>
      <c r="C109" s="160"/>
      <c r="D109" s="160"/>
      <c r="E109" s="214">
        <f>IFERROR(INDEX(Journal!$A:$A,MATCH($A109,Journal!$B:$B,0)),"")</f>
        <v>46378</v>
      </c>
      <c r="F109" s="160" t="str">
        <f t="shared" ca="1" si="3"/>
        <v>Pending</v>
      </c>
    </row>
    <row r="110" spans="1:6" ht="15" customHeight="1" x14ac:dyDescent="0.2">
      <c r="A110" s="160" t="s">
        <v>721</v>
      </c>
      <c r="B110" s="212" t="s">
        <v>881</v>
      </c>
      <c r="C110" s="160"/>
      <c r="D110" s="160"/>
      <c r="E110" s="214">
        <f>IFERROR(INDEX(Journal!$A:$A,MATCH($A110,Journal!$B:$B,0)),"")</f>
        <v>46378</v>
      </c>
      <c r="F110" s="160" t="str">
        <f t="shared" ca="1" si="3"/>
        <v>Pending</v>
      </c>
    </row>
    <row r="111" spans="1:6" ht="15" customHeight="1" x14ac:dyDescent="0.2">
      <c r="A111" s="160" t="s">
        <v>722</v>
      </c>
      <c r="B111" s="212" t="s">
        <v>888</v>
      </c>
      <c r="C111" s="160"/>
      <c r="D111" s="160"/>
      <c r="E111" s="214">
        <f>IFERROR(INDEX(Journal!$A:$A,MATCH($A111,Journal!$B:$B,0)),"")</f>
        <v>46394</v>
      </c>
      <c r="F111" s="160" t="str">
        <f t="shared" ca="1" si="3"/>
        <v>Pending</v>
      </c>
    </row>
    <row r="112" spans="1:6" ht="15" customHeight="1" x14ac:dyDescent="0.2">
      <c r="A112" s="160" t="s">
        <v>722</v>
      </c>
      <c r="B112" s="212" t="s">
        <v>889</v>
      </c>
      <c r="C112" s="160"/>
      <c r="D112" s="160"/>
      <c r="E112" s="214">
        <f>IFERROR(INDEX(Journal!$A:$A,MATCH($A112,Journal!$B:$B,0)),"")</f>
        <v>46394</v>
      </c>
      <c r="F112" s="160" t="str">
        <f t="shared" ca="1" si="3"/>
        <v>Pending</v>
      </c>
    </row>
    <row r="113" spans="1:6" ht="45.75" customHeight="1" x14ac:dyDescent="0.2">
      <c r="A113" s="160" t="s">
        <v>722</v>
      </c>
      <c r="B113" s="212" t="s">
        <v>890</v>
      </c>
      <c r="C113" s="160"/>
      <c r="D113" s="160"/>
      <c r="E113" s="214">
        <f>IFERROR(INDEX(Journal!$A:$A,MATCH($A113,Journal!$B:$B,0)),"")</f>
        <v>46394</v>
      </c>
      <c r="F113" s="160" t="str">
        <f t="shared" ca="1" si="3"/>
        <v>Pending</v>
      </c>
    </row>
    <row r="114" spans="1:6" ht="15" customHeight="1" x14ac:dyDescent="0.2">
      <c r="A114" s="160" t="s">
        <v>722</v>
      </c>
      <c r="B114" s="212" t="s">
        <v>891</v>
      </c>
      <c r="C114" s="160"/>
      <c r="D114" s="160"/>
      <c r="E114" s="214">
        <f>IFERROR(INDEX(Journal!$A:$A,MATCH($A114,Journal!$B:$B,0)),"")</f>
        <v>46394</v>
      </c>
      <c r="F114" s="160" t="str">
        <f t="shared" ca="1" si="3"/>
        <v>Pending</v>
      </c>
    </row>
    <row r="115" spans="1:6" ht="42" x14ac:dyDescent="0.2">
      <c r="A115" s="160" t="s">
        <v>722</v>
      </c>
      <c r="B115" s="212" t="s">
        <v>892</v>
      </c>
      <c r="C115" s="160"/>
      <c r="D115" s="160"/>
      <c r="E115" s="214">
        <f>IFERROR(INDEX(Journal!$A:$A,MATCH($A115,Journal!$B:$B,0)),"")</f>
        <v>46394</v>
      </c>
      <c r="F115" s="160" t="str">
        <f t="shared" ca="1" si="3"/>
        <v>Pending</v>
      </c>
    </row>
    <row r="116" spans="1:6" ht="42" x14ac:dyDescent="0.2">
      <c r="A116" s="160" t="s">
        <v>722</v>
      </c>
      <c r="B116" s="212" t="s">
        <v>894</v>
      </c>
      <c r="C116" s="160"/>
      <c r="D116" s="160"/>
      <c r="E116" s="214">
        <f>IFERROR(INDEX(Journal!$A:$A,MATCH($A116,Journal!$B:$B,0)),"")</f>
        <v>46394</v>
      </c>
      <c r="F116" s="160" t="str">
        <f t="shared" ca="1" si="3"/>
        <v>Pending</v>
      </c>
    </row>
    <row r="117" spans="1:6" ht="42" x14ac:dyDescent="0.2">
      <c r="A117" s="160" t="s">
        <v>722</v>
      </c>
      <c r="B117" s="212" t="s">
        <v>895</v>
      </c>
      <c r="C117" s="160"/>
      <c r="D117" s="160"/>
      <c r="E117" s="214">
        <f>IFERROR(INDEX(Journal!$A:$A,MATCH($A117,Journal!$B:$B,0)),"")</f>
        <v>46394</v>
      </c>
      <c r="F117" s="160" t="str">
        <f t="shared" ca="1" si="3"/>
        <v>Pending</v>
      </c>
    </row>
    <row r="118" spans="1:6" ht="15" customHeight="1" x14ac:dyDescent="0.2">
      <c r="A118" s="160" t="s">
        <v>722</v>
      </c>
      <c r="B118" s="212" t="s">
        <v>893</v>
      </c>
      <c r="C118" s="160"/>
      <c r="D118" s="160"/>
      <c r="E118" s="214">
        <f>IFERROR(INDEX(Journal!$A:$A,MATCH($A118,Journal!$B:$B,0)),"")</f>
        <v>46394</v>
      </c>
      <c r="F118" s="160" t="str">
        <f t="shared" ca="1" si="3"/>
        <v>Pending</v>
      </c>
    </row>
    <row r="119" spans="1:6" ht="15" customHeight="1" x14ac:dyDescent="0.2">
      <c r="A119" s="160" t="s">
        <v>722</v>
      </c>
      <c r="B119" s="212" t="s">
        <v>879</v>
      </c>
      <c r="C119" s="160"/>
      <c r="D119" s="160"/>
      <c r="E119" s="214">
        <f>IFERROR(INDEX(Journal!$A:$A,MATCH($A119,Journal!$B:$B,0)),"")</f>
        <v>46394</v>
      </c>
      <c r="F119" s="160" t="str">
        <f t="shared" ca="1" si="3"/>
        <v>Pending</v>
      </c>
    </row>
    <row r="120" spans="1:6" ht="15" customHeight="1" x14ac:dyDescent="0.2">
      <c r="A120" s="160" t="s">
        <v>722</v>
      </c>
      <c r="B120" s="212" t="s">
        <v>880</v>
      </c>
      <c r="C120" s="160"/>
      <c r="D120" s="160"/>
      <c r="E120" s="214">
        <f>IFERROR(INDEX(Journal!$A:$A,MATCH($A120,Journal!$B:$B,0)),"")</f>
        <v>46394</v>
      </c>
      <c r="F120" s="160" t="str">
        <f t="shared" ca="1" si="3"/>
        <v>Pending</v>
      </c>
    </row>
    <row r="121" spans="1:6" ht="15" customHeight="1" x14ac:dyDescent="0.2">
      <c r="A121" s="160" t="s">
        <v>722</v>
      </c>
      <c r="B121" s="212" t="s">
        <v>881</v>
      </c>
      <c r="C121" s="160"/>
      <c r="D121" s="160"/>
      <c r="E121" s="214">
        <f>IFERROR(INDEX(Journal!$A:$A,MATCH($A121,Journal!$B:$B,0)),"")</f>
        <v>46394</v>
      </c>
      <c r="F121" s="160" t="str">
        <f t="shared" ca="1" si="3"/>
        <v>Pending</v>
      </c>
    </row>
  </sheetData>
  <mergeCells count="1">
    <mergeCell ref="A1:F1"/>
  </mergeCells>
  <conditionalFormatting sqref="C2">
    <cfRule type="cellIs" dxfId="15" priority="4" operator="greaterThan">
      <formula>0</formula>
    </cfRule>
  </conditionalFormatting>
  <conditionalFormatting sqref="F5:F121">
    <cfRule type="cellIs" dxfId="14" priority="2" operator="equal">
      <formula>"OVERDUE"</formula>
    </cfRule>
    <cfRule type="cellIs" dxfId="13" priority="3" operator="equal">
      <formula>"Done"</formula>
    </cfRule>
  </conditionalFormatting>
  <pageMargins left="0.25" right="0.25" top="0.3" bottom="0.4" header="0.511811023622047" footer="0.17013888888888901"/>
  <pageSetup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305"/>
  <sheetViews>
    <sheetView showGridLines="0" zoomScaleNormal="100" workbookViewId="0">
      <pane xSplit="1" ySplit="4" topLeftCell="B48" activePane="bottomRight" state="frozen"/>
      <selection pane="topRight" activeCell="B1" sqref="B1"/>
      <selection pane="bottomLeft" activeCell="A5" sqref="A5"/>
      <selection pane="bottomRight" activeCell="F41" sqref="F41"/>
    </sheetView>
  </sheetViews>
  <sheetFormatPr baseColWidth="10" defaultColWidth="8.6640625" defaultRowHeight="14" x14ac:dyDescent="0.15"/>
  <cols>
    <col min="1" max="1" width="5" style="215" customWidth="1"/>
    <col min="2" max="2" width="80" style="28" customWidth="1"/>
    <col min="3" max="3" width="9" style="28" customWidth="1"/>
    <col min="4" max="4" width="12" style="28" customWidth="1"/>
    <col min="5" max="5" width="16.83203125" style="215" customWidth="1"/>
    <col min="6" max="6" width="75.83203125" style="216" customWidth="1"/>
    <col min="7" max="16384" width="8.6640625" style="28"/>
  </cols>
  <sheetData>
    <row r="1" spans="1:6" ht="23.25" customHeight="1" x14ac:dyDescent="0.15">
      <c r="A1" s="254" t="s">
        <v>896</v>
      </c>
      <c r="B1" s="254"/>
      <c r="C1" s="254"/>
      <c r="D1" s="254"/>
      <c r="E1" s="254"/>
      <c r="F1" s="254"/>
    </row>
    <row r="2" spans="1:6" ht="13.5" customHeight="1" x14ac:dyDescent="0.15">
      <c r="A2" s="217" t="s">
        <v>897</v>
      </c>
      <c r="B2" s="218"/>
      <c r="C2" s="219">
        <f>SUMPRODUCT(($A$5:$A$200&lt;&gt;"")*($C$5:$C$200&lt;&gt;"Y"))</f>
        <v>32</v>
      </c>
      <c r="D2" s="218"/>
      <c r="F2" s="220"/>
    </row>
    <row r="3" spans="1:6" ht="13.5" customHeight="1" x14ac:dyDescent="0.15">
      <c r="A3" s="218"/>
      <c r="B3" s="218"/>
      <c r="C3" s="218"/>
      <c r="D3" s="218"/>
      <c r="F3" s="220"/>
    </row>
    <row r="4" spans="1:6" ht="33.75" customHeight="1" x14ac:dyDescent="0.15">
      <c r="A4" s="156" t="s">
        <v>898</v>
      </c>
      <c r="B4" s="156" t="s">
        <v>899</v>
      </c>
      <c r="C4" s="156" t="s">
        <v>871</v>
      </c>
      <c r="D4" s="156" t="s">
        <v>900</v>
      </c>
      <c r="E4" s="156" t="s">
        <v>901</v>
      </c>
      <c r="F4" s="156" t="s">
        <v>219</v>
      </c>
    </row>
    <row r="5" spans="1:6" ht="27.75" customHeight="1" x14ac:dyDescent="0.15">
      <c r="A5" s="221">
        <v>1</v>
      </c>
      <c r="B5" s="222" t="s">
        <v>902</v>
      </c>
      <c r="C5" s="221" t="s">
        <v>222</v>
      </c>
      <c r="D5" s="223">
        <v>46276</v>
      </c>
      <c r="E5" s="223">
        <v>46276</v>
      </c>
      <c r="F5" s="222" t="s">
        <v>903</v>
      </c>
    </row>
    <row r="6" spans="1:6" ht="27.75" customHeight="1" x14ac:dyDescent="0.15">
      <c r="A6" s="221">
        <v>2</v>
      </c>
      <c r="B6" s="222" t="s">
        <v>904</v>
      </c>
      <c r="C6" s="221" t="s">
        <v>222</v>
      </c>
      <c r="D6" s="223">
        <v>46276</v>
      </c>
      <c r="E6" s="223">
        <v>46276</v>
      </c>
      <c r="F6" s="222" t="s">
        <v>905</v>
      </c>
    </row>
    <row r="7" spans="1:6" ht="27.75" customHeight="1" x14ac:dyDescent="0.15">
      <c r="A7" s="221">
        <v>3</v>
      </c>
      <c r="B7" s="222" t="s">
        <v>906</v>
      </c>
      <c r="C7" s="221" t="s">
        <v>222</v>
      </c>
      <c r="D7" s="223">
        <v>46260</v>
      </c>
      <c r="E7" s="223">
        <v>46278</v>
      </c>
      <c r="F7" s="222" t="s">
        <v>907</v>
      </c>
    </row>
    <row r="8" spans="1:6" ht="27.75" customHeight="1" x14ac:dyDescent="0.15">
      <c r="A8" s="221">
        <v>4</v>
      </c>
      <c r="B8" s="222" t="s">
        <v>908</v>
      </c>
      <c r="C8" s="221"/>
      <c r="D8" s="223">
        <v>46273</v>
      </c>
      <c r="E8" s="223"/>
      <c r="F8" s="222"/>
    </row>
    <row r="9" spans="1:6" ht="27.75" customHeight="1" x14ac:dyDescent="0.15">
      <c r="A9" s="221">
        <v>5</v>
      </c>
      <c r="B9" s="222" t="s">
        <v>909</v>
      </c>
      <c r="C9" s="221"/>
      <c r="D9" s="223">
        <v>46273</v>
      </c>
      <c r="E9" s="223"/>
      <c r="F9" s="222"/>
    </row>
    <row r="10" spans="1:6" ht="27.75" customHeight="1" x14ac:dyDescent="0.15">
      <c r="A10" s="221">
        <v>6</v>
      </c>
      <c r="B10" s="222" t="s">
        <v>910</v>
      </c>
      <c r="C10" s="221"/>
      <c r="D10" s="223">
        <v>46273</v>
      </c>
      <c r="E10" s="223"/>
      <c r="F10" s="222"/>
    </row>
    <row r="11" spans="1:6" ht="283" customHeight="1" x14ac:dyDescent="0.15">
      <c r="A11" s="221">
        <v>7</v>
      </c>
      <c r="B11" s="222" t="s">
        <v>911</v>
      </c>
      <c r="C11" s="221"/>
      <c r="D11" s="223">
        <v>46258</v>
      </c>
      <c r="E11" s="223"/>
      <c r="F11" s="222" t="s">
        <v>912</v>
      </c>
    </row>
    <row r="12" spans="1:6" ht="27.75" customHeight="1" x14ac:dyDescent="0.15">
      <c r="A12" s="221">
        <v>8</v>
      </c>
      <c r="B12" s="222" t="s">
        <v>913</v>
      </c>
      <c r="C12" s="221"/>
      <c r="D12" s="223">
        <v>46252</v>
      </c>
      <c r="E12" s="223"/>
      <c r="F12" s="222"/>
    </row>
    <row r="13" spans="1:6" ht="42" customHeight="1" x14ac:dyDescent="0.15">
      <c r="A13" s="221">
        <v>9</v>
      </c>
      <c r="B13" s="222" t="s">
        <v>914</v>
      </c>
      <c r="C13" s="221"/>
      <c r="D13" s="223">
        <v>46276</v>
      </c>
      <c r="E13" s="223"/>
      <c r="F13" s="222" t="s">
        <v>915</v>
      </c>
    </row>
    <row r="14" spans="1:6" ht="27.75" customHeight="1" x14ac:dyDescent="0.15">
      <c r="A14" s="221">
        <v>10</v>
      </c>
      <c r="B14" s="222" t="s">
        <v>916</v>
      </c>
      <c r="C14" s="221"/>
      <c r="D14" s="223">
        <v>46260</v>
      </c>
      <c r="E14" s="223"/>
      <c r="F14" s="222"/>
    </row>
    <row r="15" spans="1:6" ht="70.5" customHeight="1" x14ac:dyDescent="0.15">
      <c r="A15" s="221">
        <v>11</v>
      </c>
      <c r="B15" s="222" t="s">
        <v>917</v>
      </c>
      <c r="C15" s="221" t="s">
        <v>222</v>
      </c>
      <c r="D15" s="223">
        <v>46276</v>
      </c>
      <c r="E15" s="224">
        <v>46278</v>
      </c>
      <c r="F15" s="222" t="s">
        <v>918</v>
      </c>
    </row>
    <row r="16" spans="1:6" ht="45" customHeight="1" x14ac:dyDescent="0.15">
      <c r="A16" s="221">
        <v>12</v>
      </c>
      <c r="B16" s="222" t="s">
        <v>919</v>
      </c>
      <c r="C16" s="225" t="s">
        <v>222</v>
      </c>
      <c r="D16" s="226">
        <v>46278</v>
      </c>
      <c r="E16" s="227">
        <v>46278</v>
      </c>
      <c r="F16" s="228" t="s">
        <v>920</v>
      </c>
    </row>
    <row r="17" spans="1:6" ht="55.5" customHeight="1" x14ac:dyDescent="0.15">
      <c r="A17" s="221">
        <v>13</v>
      </c>
      <c r="B17" s="222" t="s">
        <v>921</v>
      </c>
      <c r="C17" s="225"/>
      <c r="D17" s="226">
        <v>46294</v>
      </c>
      <c r="E17" s="229"/>
      <c r="F17" s="228"/>
    </row>
    <row r="18" spans="1:6" ht="165" x14ac:dyDescent="0.15">
      <c r="A18" s="221">
        <v>14</v>
      </c>
      <c r="B18" s="222" t="s">
        <v>922</v>
      </c>
      <c r="C18" s="225"/>
      <c r="D18" s="226">
        <v>46295</v>
      </c>
      <c r="E18" s="229"/>
      <c r="F18" s="228" t="s">
        <v>923</v>
      </c>
    </row>
    <row r="19" spans="1:6" ht="42" customHeight="1" x14ac:dyDescent="0.15">
      <c r="A19" s="221">
        <v>15</v>
      </c>
      <c r="B19" s="222" t="s">
        <v>924</v>
      </c>
      <c r="C19" s="225"/>
      <c r="D19" s="226">
        <v>46295</v>
      </c>
      <c r="E19" s="229"/>
      <c r="F19" s="228" t="s">
        <v>925</v>
      </c>
    </row>
    <row r="20" spans="1:6" ht="27.75" customHeight="1" x14ac:dyDescent="0.15">
      <c r="A20" s="221">
        <v>16</v>
      </c>
      <c r="B20" s="222" t="s">
        <v>926</v>
      </c>
      <c r="C20" s="225"/>
      <c r="D20" s="226">
        <v>46295</v>
      </c>
      <c r="E20" s="229"/>
      <c r="F20" s="228" t="s">
        <v>927</v>
      </c>
    </row>
    <row r="21" spans="1:6" ht="55.5" customHeight="1" x14ac:dyDescent="0.15">
      <c r="A21" s="221">
        <v>17</v>
      </c>
      <c r="B21" s="222" t="s">
        <v>928</v>
      </c>
      <c r="C21" s="225"/>
      <c r="D21" s="226">
        <v>46296</v>
      </c>
      <c r="E21" s="229"/>
      <c r="F21" s="228" t="s">
        <v>929</v>
      </c>
    </row>
    <row r="22" spans="1:6" ht="69.75" customHeight="1" x14ac:dyDescent="0.15">
      <c r="A22" s="221">
        <v>18</v>
      </c>
      <c r="B22" s="222" t="s">
        <v>930</v>
      </c>
      <c r="C22" s="225"/>
      <c r="D22" s="226">
        <v>46296</v>
      </c>
      <c r="E22" s="229"/>
      <c r="F22" s="228" t="s">
        <v>931</v>
      </c>
    </row>
    <row r="23" spans="1:6" ht="131" customHeight="1" x14ac:dyDescent="0.15">
      <c r="A23" s="221">
        <v>19</v>
      </c>
      <c r="B23" s="222" t="s">
        <v>932</v>
      </c>
      <c r="C23" s="225"/>
      <c r="D23" s="226">
        <v>46297</v>
      </c>
      <c r="E23" s="229"/>
      <c r="F23" s="228" t="s">
        <v>933</v>
      </c>
    </row>
    <row r="24" spans="1:6" ht="325.5" customHeight="1" x14ac:dyDescent="0.15">
      <c r="A24" s="221">
        <v>20</v>
      </c>
      <c r="B24" s="222" t="s">
        <v>934</v>
      </c>
      <c r="C24" s="225"/>
      <c r="D24" s="226">
        <v>46297</v>
      </c>
      <c r="E24" s="229"/>
      <c r="F24" s="228" t="s">
        <v>935</v>
      </c>
    </row>
    <row r="25" spans="1:6" ht="60" customHeight="1" x14ac:dyDescent="0.15">
      <c r="A25" s="221">
        <v>21</v>
      </c>
      <c r="B25" s="222" t="s">
        <v>936</v>
      </c>
      <c r="C25" s="225"/>
      <c r="D25" s="226">
        <v>46297</v>
      </c>
      <c r="E25" s="229"/>
      <c r="F25" s="228" t="s">
        <v>937</v>
      </c>
    </row>
    <row r="26" spans="1:6" ht="55.5" customHeight="1" x14ac:dyDescent="0.15">
      <c r="A26" s="221">
        <v>22</v>
      </c>
      <c r="B26" s="222" t="s">
        <v>938</v>
      </c>
      <c r="C26" s="225"/>
      <c r="D26" s="226">
        <v>46297</v>
      </c>
      <c r="E26" s="229"/>
      <c r="F26" s="228" t="s">
        <v>939</v>
      </c>
    </row>
    <row r="27" spans="1:6" ht="42" customHeight="1" x14ac:dyDescent="0.15">
      <c r="A27" s="221">
        <v>23</v>
      </c>
      <c r="B27" s="222" t="s">
        <v>940</v>
      </c>
      <c r="C27" s="225"/>
      <c r="D27" s="226">
        <v>46297</v>
      </c>
      <c r="E27" s="229"/>
      <c r="F27" s="228" t="s">
        <v>941</v>
      </c>
    </row>
    <row r="28" spans="1:6" ht="124.5" customHeight="1" x14ac:dyDescent="0.15">
      <c r="A28" s="221">
        <v>24</v>
      </c>
      <c r="B28" s="222" t="s">
        <v>942</v>
      </c>
      <c r="C28" s="225" t="s">
        <v>222</v>
      </c>
      <c r="D28" s="226">
        <v>46297</v>
      </c>
      <c r="E28" s="227">
        <v>46301</v>
      </c>
      <c r="F28" s="228" t="s">
        <v>943</v>
      </c>
    </row>
    <row r="29" spans="1:6" ht="55.5" customHeight="1" x14ac:dyDescent="0.15">
      <c r="A29" s="221">
        <v>25</v>
      </c>
      <c r="B29" s="222" t="s">
        <v>944</v>
      </c>
      <c r="C29" s="225"/>
      <c r="D29" s="226">
        <v>46299</v>
      </c>
      <c r="E29" s="229"/>
      <c r="F29" s="228" t="s">
        <v>945</v>
      </c>
    </row>
    <row r="30" spans="1:6" ht="30" customHeight="1" x14ac:dyDescent="0.15">
      <c r="A30" s="221">
        <v>26</v>
      </c>
      <c r="B30" s="222" t="s">
        <v>946</v>
      </c>
      <c r="C30" s="225"/>
      <c r="D30" s="226">
        <v>46299</v>
      </c>
      <c r="E30" s="229"/>
      <c r="F30" s="228" t="s">
        <v>947</v>
      </c>
    </row>
    <row r="31" spans="1:6" ht="42" customHeight="1" x14ac:dyDescent="0.15">
      <c r="A31" s="221">
        <v>27</v>
      </c>
      <c r="B31" s="222" t="s">
        <v>948</v>
      </c>
      <c r="C31" s="225"/>
      <c r="D31" s="226">
        <v>46299</v>
      </c>
      <c r="E31" s="229"/>
      <c r="F31" s="228" t="s">
        <v>949</v>
      </c>
    </row>
    <row r="32" spans="1:6" ht="69.75" customHeight="1" x14ac:dyDescent="0.15">
      <c r="A32" s="221">
        <v>28</v>
      </c>
      <c r="B32" s="222" t="s">
        <v>950</v>
      </c>
      <c r="C32" s="225" t="s">
        <v>222</v>
      </c>
      <c r="D32" s="226">
        <v>46299</v>
      </c>
      <c r="E32" s="223">
        <v>46299</v>
      </c>
      <c r="F32" s="228" t="s">
        <v>951</v>
      </c>
    </row>
    <row r="33" spans="1:6" ht="181.5" customHeight="1" x14ac:dyDescent="0.15">
      <c r="A33" s="221">
        <v>29</v>
      </c>
      <c r="B33" s="222" t="s">
        <v>952</v>
      </c>
      <c r="C33" s="225" t="s">
        <v>222</v>
      </c>
      <c r="D33" s="226">
        <v>46299</v>
      </c>
      <c r="E33" s="223">
        <v>46299</v>
      </c>
      <c r="F33" s="228" t="s">
        <v>953</v>
      </c>
    </row>
    <row r="34" spans="1:6" ht="75" x14ac:dyDescent="0.15">
      <c r="A34" s="221">
        <v>30</v>
      </c>
      <c r="B34" s="222" t="s">
        <v>954</v>
      </c>
      <c r="C34" s="225"/>
      <c r="D34" s="226">
        <v>46299</v>
      </c>
      <c r="E34" s="223"/>
      <c r="F34" s="228" t="s">
        <v>955</v>
      </c>
    </row>
    <row r="35" spans="1:6" ht="210" x14ac:dyDescent="0.15">
      <c r="A35" s="221">
        <v>31</v>
      </c>
      <c r="B35" s="222" t="s">
        <v>956</v>
      </c>
      <c r="C35" s="225" t="s">
        <v>222</v>
      </c>
      <c r="D35" s="226">
        <v>46300</v>
      </c>
      <c r="E35" s="223">
        <v>46300</v>
      </c>
      <c r="F35" s="228" t="s">
        <v>957</v>
      </c>
    </row>
    <row r="36" spans="1:6" ht="94.5" customHeight="1" x14ac:dyDescent="0.15">
      <c r="A36" s="221">
        <v>32</v>
      </c>
      <c r="B36" s="222" t="s">
        <v>958</v>
      </c>
      <c r="C36" s="225"/>
      <c r="D36" s="226">
        <v>46300</v>
      </c>
      <c r="E36" s="223"/>
      <c r="F36" s="228" t="s">
        <v>959</v>
      </c>
    </row>
    <row r="37" spans="1:6" ht="120" x14ac:dyDescent="0.15">
      <c r="A37" s="221">
        <v>33</v>
      </c>
      <c r="B37" s="222" t="s">
        <v>960</v>
      </c>
      <c r="C37" s="225"/>
      <c r="D37" s="226">
        <v>46301</v>
      </c>
      <c r="E37" s="223"/>
      <c r="F37" s="228" t="s">
        <v>961</v>
      </c>
    </row>
    <row r="38" spans="1:6" ht="98" x14ac:dyDescent="0.15">
      <c r="A38" s="221">
        <v>34</v>
      </c>
      <c r="B38" s="222" t="s">
        <v>962</v>
      </c>
      <c r="C38" s="225"/>
      <c r="D38" s="226">
        <v>46301</v>
      </c>
      <c r="E38" s="223"/>
      <c r="F38" s="228" t="s">
        <v>963</v>
      </c>
    </row>
    <row r="39" spans="1:6" ht="84" x14ac:dyDescent="0.15">
      <c r="A39" s="221">
        <v>35</v>
      </c>
      <c r="B39" s="222" t="s">
        <v>964</v>
      </c>
      <c r="C39" s="225"/>
      <c r="D39" s="226">
        <v>46301</v>
      </c>
      <c r="E39" s="223"/>
      <c r="F39" s="228" t="s">
        <v>965</v>
      </c>
    </row>
    <row r="40" spans="1:6" ht="156" customHeight="1" x14ac:dyDescent="0.15">
      <c r="A40" s="221">
        <v>36</v>
      </c>
      <c r="B40" s="222" t="s">
        <v>966</v>
      </c>
      <c r="C40" s="225"/>
      <c r="D40" s="226">
        <v>46302</v>
      </c>
      <c r="E40" s="223"/>
      <c r="F40" s="228" t="s">
        <v>967</v>
      </c>
    </row>
    <row r="41" spans="1:6" ht="408" customHeight="1" x14ac:dyDescent="0.15">
      <c r="A41" s="221">
        <v>37</v>
      </c>
      <c r="B41" s="222" t="s">
        <v>968</v>
      </c>
      <c r="C41" s="225"/>
      <c r="D41" s="226">
        <v>46302</v>
      </c>
      <c r="E41" s="223"/>
      <c r="F41" s="228" t="s">
        <v>969</v>
      </c>
    </row>
    <row r="42" spans="1:6" ht="57" customHeight="1" x14ac:dyDescent="0.15">
      <c r="A42" s="221">
        <v>38</v>
      </c>
      <c r="B42" s="222" t="s">
        <v>970</v>
      </c>
      <c r="C42" s="225"/>
      <c r="D42" s="226">
        <v>46302</v>
      </c>
      <c r="E42" s="223"/>
      <c r="F42" s="228" t="s">
        <v>971</v>
      </c>
    </row>
    <row r="43" spans="1:6" ht="125" customHeight="1" x14ac:dyDescent="0.15">
      <c r="A43" s="221">
        <v>39</v>
      </c>
      <c r="B43" s="222" t="s">
        <v>972</v>
      </c>
      <c r="C43" s="225" t="s">
        <v>222</v>
      </c>
      <c r="D43" s="226">
        <v>46302</v>
      </c>
      <c r="E43" s="223">
        <v>46303</v>
      </c>
      <c r="F43" s="228" t="s">
        <v>973</v>
      </c>
    </row>
    <row r="44" spans="1:6" ht="212" customHeight="1" x14ac:dyDescent="0.15">
      <c r="A44" s="221">
        <v>40</v>
      </c>
      <c r="B44" s="222" t="s">
        <v>974</v>
      </c>
      <c r="C44" s="225" t="s">
        <v>222</v>
      </c>
      <c r="D44" s="226">
        <v>46302</v>
      </c>
      <c r="E44" s="223">
        <v>46303</v>
      </c>
      <c r="F44" s="228" t="s">
        <v>975</v>
      </c>
    </row>
    <row r="45" spans="1:6" ht="210" customHeight="1" x14ac:dyDescent="0.15">
      <c r="A45" s="221">
        <v>41</v>
      </c>
      <c r="B45" s="222" t="s">
        <v>976</v>
      </c>
      <c r="C45" s="225" t="s">
        <v>222</v>
      </c>
      <c r="D45" s="226">
        <v>46303</v>
      </c>
      <c r="E45" s="223">
        <v>46303</v>
      </c>
      <c r="F45" s="228" t="s">
        <v>977</v>
      </c>
    </row>
    <row r="46" spans="1:6" ht="178.5" customHeight="1" x14ac:dyDescent="0.15">
      <c r="A46" s="221">
        <v>42</v>
      </c>
      <c r="B46" s="222" t="s">
        <v>978</v>
      </c>
      <c r="C46" s="225"/>
      <c r="D46" s="226">
        <v>46303</v>
      </c>
      <c r="E46" s="223"/>
      <c r="F46" s="228" t="s">
        <v>979</v>
      </c>
    </row>
    <row r="47" spans="1:6" ht="334" customHeight="1" x14ac:dyDescent="0.15">
      <c r="A47" s="221">
        <v>43</v>
      </c>
      <c r="B47" s="222" t="s">
        <v>980</v>
      </c>
      <c r="C47" s="225"/>
      <c r="D47" s="226">
        <v>46303</v>
      </c>
      <c r="E47" s="223"/>
      <c r="F47" s="228" t="s">
        <v>981</v>
      </c>
    </row>
    <row r="48" spans="1:6" ht="137" customHeight="1" x14ac:dyDescent="0.15">
      <c r="A48" s="221">
        <v>44</v>
      </c>
      <c r="B48" s="222" t="s">
        <v>982</v>
      </c>
      <c r="C48" s="225"/>
      <c r="D48" s="226">
        <v>46303</v>
      </c>
      <c r="E48" s="223"/>
      <c r="F48" s="228" t="s">
        <v>983</v>
      </c>
    </row>
    <row r="49" spans="1:6" ht="202" customHeight="1" x14ac:dyDescent="0.15">
      <c r="A49" s="221">
        <v>45</v>
      </c>
      <c r="B49" s="222" t="s">
        <v>984</v>
      </c>
      <c r="C49" s="225" t="s">
        <v>222</v>
      </c>
      <c r="D49" s="226">
        <v>46303</v>
      </c>
      <c r="E49" s="223">
        <v>46303</v>
      </c>
      <c r="F49" s="228" t="s">
        <v>985</v>
      </c>
    </row>
    <row r="50" spans="1:6" ht="13.5" customHeight="1" x14ac:dyDescent="0.15">
      <c r="A50" s="229"/>
      <c r="B50" s="225"/>
      <c r="C50" s="225"/>
      <c r="D50" s="225"/>
      <c r="E50" s="229"/>
      <c r="F50" s="228"/>
    </row>
    <row r="51" spans="1:6" ht="13.5" customHeight="1" x14ac:dyDescent="0.15">
      <c r="A51" s="229"/>
      <c r="B51" s="225"/>
      <c r="C51" s="225"/>
      <c r="D51" s="225"/>
      <c r="E51" s="229"/>
      <c r="F51" s="228"/>
    </row>
    <row r="52" spans="1:6" ht="13.5" customHeight="1" x14ac:dyDescent="0.15">
      <c r="A52" s="229"/>
      <c r="B52" s="225"/>
      <c r="C52" s="225"/>
      <c r="D52" s="225"/>
      <c r="E52" s="229"/>
      <c r="F52" s="228"/>
    </row>
    <row r="53" spans="1:6" ht="13.5" customHeight="1" x14ac:dyDescent="0.15">
      <c r="A53" s="229"/>
      <c r="B53" s="225"/>
      <c r="C53" s="225"/>
      <c r="D53" s="225"/>
      <c r="E53" s="229"/>
      <c r="F53" s="228"/>
    </row>
    <row r="54" spans="1:6" ht="13.5" customHeight="1" x14ac:dyDescent="0.15">
      <c r="A54" s="229"/>
      <c r="B54" s="225"/>
      <c r="C54" s="225"/>
      <c r="D54" s="225"/>
      <c r="E54" s="229"/>
      <c r="F54" s="228"/>
    </row>
    <row r="55" spans="1:6" ht="13.5" customHeight="1" x14ac:dyDescent="0.15">
      <c r="A55" s="229"/>
      <c r="B55" s="225"/>
      <c r="C55" s="225"/>
      <c r="D55" s="225"/>
      <c r="E55" s="229"/>
      <c r="F55" s="228"/>
    </row>
    <row r="56" spans="1:6" ht="13.5" customHeight="1" x14ac:dyDescent="0.15">
      <c r="A56" s="229"/>
      <c r="B56" s="225"/>
      <c r="C56" s="225"/>
      <c r="D56" s="225"/>
      <c r="E56" s="229"/>
      <c r="F56" s="228"/>
    </row>
    <row r="57" spans="1:6" ht="13.5" customHeight="1" x14ac:dyDescent="0.15">
      <c r="A57" s="229"/>
      <c r="B57" s="225"/>
      <c r="C57" s="225"/>
      <c r="D57" s="225"/>
      <c r="E57" s="229"/>
      <c r="F57" s="228"/>
    </row>
    <row r="58" spans="1:6" ht="13.5" customHeight="1" x14ac:dyDescent="0.15">
      <c r="A58" s="229"/>
      <c r="B58" s="225"/>
      <c r="C58" s="225"/>
      <c r="D58" s="225"/>
      <c r="E58" s="229"/>
      <c r="F58" s="228"/>
    </row>
    <row r="59" spans="1:6" ht="13.5" customHeight="1" x14ac:dyDescent="0.15">
      <c r="A59" s="229"/>
      <c r="B59" s="225"/>
      <c r="C59" s="225"/>
      <c r="D59" s="225"/>
      <c r="E59" s="229"/>
      <c r="F59" s="228"/>
    </row>
    <row r="60" spans="1:6" ht="13.5" customHeight="1" x14ac:dyDescent="0.15">
      <c r="A60" s="229"/>
      <c r="B60" s="225"/>
      <c r="C60" s="225"/>
      <c r="D60" s="225"/>
      <c r="E60" s="229"/>
      <c r="F60" s="228"/>
    </row>
    <row r="61" spans="1:6" ht="13.5" customHeight="1" x14ac:dyDescent="0.15">
      <c r="A61" s="229"/>
      <c r="B61" s="225"/>
      <c r="C61" s="225"/>
      <c r="D61" s="225"/>
      <c r="E61" s="229"/>
      <c r="F61" s="228"/>
    </row>
    <row r="62" spans="1:6" ht="13.5" customHeight="1" x14ac:dyDescent="0.15">
      <c r="A62" s="229"/>
      <c r="B62" s="225"/>
      <c r="C62" s="225"/>
      <c r="D62" s="225"/>
      <c r="E62" s="229"/>
      <c r="F62" s="228"/>
    </row>
    <row r="63" spans="1:6" ht="13.5" customHeight="1" x14ac:dyDescent="0.15">
      <c r="A63" s="229"/>
      <c r="B63" s="225"/>
      <c r="C63" s="225"/>
      <c r="D63" s="225"/>
      <c r="E63" s="229"/>
      <c r="F63" s="228"/>
    </row>
    <row r="64" spans="1:6" ht="13.5" customHeight="1" x14ac:dyDescent="0.15">
      <c r="A64" s="229"/>
      <c r="B64" s="225"/>
      <c r="C64" s="225"/>
      <c r="D64" s="225"/>
      <c r="E64" s="229"/>
      <c r="F64" s="228"/>
    </row>
    <row r="65" spans="1:6" ht="13.5" customHeight="1" x14ac:dyDescent="0.15">
      <c r="A65" s="229"/>
      <c r="B65" s="225"/>
      <c r="C65" s="225"/>
      <c r="D65" s="225"/>
      <c r="E65" s="229"/>
      <c r="F65" s="228"/>
    </row>
    <row r="66" spans="1:6" ht="13.5" customHeight="1" x14ac:dyDescent="0.15">
      <c r="A66" s="229"/>
      <c r="B66" s="225"/>
      <c r="C66" s="225"/>
      <c r="D66" s="225"/>
      <c r="E66" s="229"/>
      <c r="F66" s="228"/>
    </row>
    <row r="67" spans="1:6" ht="13.5" customHeight="1" x14ac:dyDescent="0.15">
      <c r="A67" s="229"/>
      <c r="B67" s="225"/>
      <c r="C67" s="225"/>
      <c r="D67" s="225"/>
      <c r="E67" s="229"/>
      <c r="F67" s="228"/>
    </row>
    <row r="68" spans="1:6" ht="13.5" customHeight="1" x14ac:dyDescent="0.15">
      <c r="A68" s="229"/>
      <c r="B68" s="225"/>
      <c r="C68" s="225"/>
      <c r="D68" s="225"/>
      <c r="E68" s="229"/>
      <c r="F68" s="228"/>
    </row>
    <row r="69" spans="1:6" ht="13.5" customHeight="1" x14ac:dyDescent="0.15">
      <c r="A69" s="229"/>
      <c r="B69" s="225"/>
      <c r="C69" s="225"/>
      <c r="D69" s="225"/>
      <c r="E69" s="229"/>
      <c r="F69" s="228"/>
    </row>
    <row r="70" spans="1:6" ht="13.5" customHeight="1" x14ac:dyDescent="0.15">
      <c r="A70" s="229"/>
      <c r="B70" s="225"/>
      <c r="C70" s="225"/>
      <c r="D70" s="225"/>
      <c r="E70" s="229"/>
      <c r="F70" s="228"/>
    </row>
    <row r="71" spans="1:6" ht="13.5" customHeight="1" x14ac:dyDescent="0.15">
      <c r="A71" s="229"/>
      <c r="B71" s="225"/>
      <c r="C71" s="225"/>
      <c r="D71" s="225"/>
      <c r="E71" s="229"/>
      <c r="F71" s="228"/>
    </row>
    <row r="72" spans="1:6" ht="13.5" customHeight="1" x14ac:dyDescent="0.15">
      <c r="A72" s="229"/>
      <c r="B72" s="225"/>
      <c r="C72" s="225"/>
      <c r="D72" s="225"/>
      <c r="E72" s="229"/>
      <c r="F72" s="228"/>
    </row>
    <row r="73" spans="1:6" ht="13.5" customHeight="1" x14ac:dyDescent="0.15">
      <c r="A73" s="229"/>
      <c r="B73" s="225"/>
      <c r="C73" s="225"/>
      <c r="D73" s="225"/>
      <c r="E73" s="229"/>
      <c r="F73" s="228"/>
    </row>
    <row r="74" spans="1:6" ht="13.5" customHeight="1" x14ac:dyDescent="0.15">
      <c r="A74" s="229"/>
      <c r="B74" s="225"/>
      <c r="C74" s="225"/>
      <c r="D74" s="225"/>
      <c r="E74" s="229"/>
      <c r="F74" s="228"/>
    </row>
    <row r="75" spans="1:6" ht="13.5" customHeight="1" x14ac:dyDescent="0.15">
      <c r="A75" s="229"/>
      <c r="B75" s="225"/>
      <c r="C75" s="225"/>
      <c r="D75" s="225"/>
      <c r="E75" s="229"/>
      <c r="F75" s="228"/>
    </row>
    <row r="76" spans="1:6" ht="13.5" customHeight="1" x14ac:dyDescent="0.15">
      <c r="A76" s="229"/>
      <c r="B76" s="225"/>
      <c r="C76" s="225"/>
      <c r="D76" s="225"/>
      <c r="E76" s="229"/>
      <c r="F76" s="228"/>
    </row>
    <row r="77" spans="1:6" ht="13.5" customHeight="1" x14ac:dyDescent="0.15">
      <c r="A77" s="229"/>
      <c r="B77" s="225"/>
      <c r="C77" s="225"/>
      <c r="D77" s="225"/>
      <c r="E77" s="229"/>
      <c r="F77" s="228"/>
    </row>
    <row r="78" spans="1:6" ht="13.5" customHeight="1" x14ac:dyDescent="0.15">
      <c r="A78" s="229"/>
      <c r="B78" s="225"/>
      <c r="C78" s="225"/>
      <c r="D78" s="225"/>
      <c r="E78" s="229"/>
      <c r="F78" s="228"/>
    </row>
    <row r="79" spans="1:6" ht="13.5" customHeight="1" x14ac:dyDescent="0.15">
      <c r="A79" s="229"/>
      <c r="B79" s="225"/>
      <c r="C79" s="225"/>
      <c r="D79" s="225"/>
      <c r="E79" s="229"/>
      <c r="F79" s="228"/>
    </row>
    <row r="80" spans="1:6" ht="13.5" customHeight="1" x14ac:dyDescent="0.15">
      <c r="A80" s="229"/>
      <c r="B80" s="225"/>
      <c r="C80" s="225"/>
      <c r="D80" s="225"/>
      <c r="E80" s="229"/>
      <c r="F80" s="228"/>
    </row>
    <row r="81" spans="1:6" ht="13.5" customHeight="1" x14ac:dyDescent="0.15">
      <c r="A81" s="229"/>
      <c r="B81" s="225"/>
      <c r="C81" s="225"/>
      <c r="D81" s="225"/>
      <c r="E81" s="229"/>
      <c r="F81" s="228"/>
    </row>
    <row r="82" spans="1:6" ht="13.5" customHeight="1" x14ac:dyDescent="0.15">
      <c r="A82" s="229"/>
      <c r="B82" s="225"/>
      <c r="C82" s="225"/>
      <c r="D82" s="225"/>
      <c r="E82" s="229"/>
      <c r="F82" s="228"/>
    </row>
    <row r="83" spans="1:6" ht="13.5" customHeight="1" x14ac:dyDescent="0.15">
      <c r="A83" s="229"/>
      <c r="B83" s="225"/>
      <c r="C83" s="225"/>
      <c r="D83" s="225"/>
      <c r="E83" s="229"/>
      <c r="F83" s="228"/>
    </row>
    <row r="84" spans="1:6" ht="13.5" customHeight="1" x14ac:dyDescent="0.15">
      <c r="A84" s="229"/>
      <c r="B84" s="225"/>
      <c r="C84" s="225"/>
      <c r="D84" s="225"/>
      <c r="E84" s="229"/>
      <c r="F84" s="228"/>
    </row>
    <row r="85" spans="1:6" ht="13.5" customHeight="1" x14ac:dyDescent="0.15">
      <c r="A85" s="229"/>
      <c r="B85" s="225"/>
      <c r="C85" s="225"/>
      <c r="D85" s="225"/>
      <c r="E85" s="229"/>
      <c r="F85" s="228"/>
    </row>
    <row r="86" spans="1:6" ht="13.5" customHeight="1" x14ac:dyDescent="0.15">
      <c r="A86" s="229"/>
      <c r="B86" s="225"/>
      <c r="C86" s="225"/>
      <c r="D86" s="225"/>
      <c r="E86" s="229"/>
      <c r="F86" s="228"/>
    </row>
    <row r="87" spans="1:6" ht="13.5" customHeight="1" x14ac:dyDescent="0.15">
      <c r="A87" s="229"/>
      <c r="B87" s="225"/>
      <c r="C87" s="225"/>
      <c r="D87" s="225"/>
      <c r="E87" s="229"/>
      <c r="F87" s="228"/>
    </row>
    <row r="88" spans="1:6" ht="13.5" customHeight="1" x14ac:dyDescent="0.15">
      <c r="A88" s="229"/>
      <c r="B88" s="225"/>
      <c r="C88" s="225"/>
      <c r="D88" s="225"/>
      <c r="E88" s="229"/>
      <c r="F88" s="228"/>
    </row>
    <row r="89" spans="1:6" ht="13.5" customHeight="1" x14ac:dyDescent="0.15">
      <c r="A89" s="229"/>
      <c r="B89" s="225"/>
      <c r="C89" s="225"/>
      <c r="D89" s="225"/>
      <c r="E89" s="229"/>
      <c r="F89" s="228"/>
    </row>
    <row r="90" spans="1:6" ht="13.5" customHeight="1" x14ac:dyDescent="0.15">
      <c r="A90" s="229"/>
      <c r="B90" s="225"/>
      <c r="C90" s="225"/>
      <c r="D90" s="225"/>
      <c r="E90" s="229"/>
      <c r="F90" s="228"/>
    </row>
    <row r="91" spans="1:6" ht="13.5" customHeight="1" x14ac:dyDescent="0.15">
      <c r="A91" s="229"/>
      <c r="B91" s="225"/>
      <c r="C91" s="225"/>
      <c r="D91" s="225"/>
      <c r="E91" s="229"/>
      <c r="F91" s="228"/>
    </row>
    <row r="92" spans="1:6" ht="13.5" customHeight="1" x14ac:dyDescent="0.15">
      <c r="A92" s="229"/>
      <c r="B92" s="225"/>
      <c r="C92" s="225"/>
      <c r="D92" s="225"/>
      <c r="E92" s="229"/>
      <c r="F92" s="228"/>
    </row>
    <row r="93" spans="1:6" ht="13.5" customHeight="1" x14ac:dyDescent="0.15">
      <c r="A93" s="229"/>
      <c r="B93" s="225"/>
      <c r="C93" s="225"/>
      <c r="D93" s="225"/>
      <c r="E93" s="229"/>
      <c r="F93" s="228"/>
    </row>
    <row r="94" spans="1:6" ht="13.5" customHeight="1" x14ac:dyDescent="0.15">
      <c r="A94" s="229"/>
      <c r="B94" s="225"/>
      <c r="C94" s="225"/>
      <c r="D94" s="225"/>
      <c r="E94" s="229"/>
      <c r="F94" s="228"/>
    </row>
    <row r="95" spans="1:6" ht="13.5" customHeight="1" x14ac:dyDescent="0.15">
      <c r="A95" s="229"/>
      <c r="B95" s="225"/>
      <c r="C95" s="225"/>
      <c r="D95" s="225"/>
      <c r="E95" s="229"/>
      <c r="F95" s="228"/>
    </row>
    <row r="96" spans="1:6" ht="13.5" customHeight="1" x14ac:dyDescent="0.15">
      <c r="A96" s="229"/>
      <c r="B96" s="225"/>
      <c r="C96" s="225"/>
      <c r="D96" s="225"/>
      <c r="E96" s="229"/>
      <c r="F96" s="228"/>
    </row>
    <row r="97" spans="1:6" ht="13.5" customHeight="1" x14ac:dyDescent="0.15">
      <c r="A97" s="229"/>
      <c r="B97" s="225"/>
      <c r="C97" s="225"/>
      <c r="D97" s="225"/>
      <c r="E97" s="229"/>
      <c r="F97" s="228"/>
    </row>
    <row r="98" spans="1:6" ht="13.5" customHeight="1" x14ac:dyDescent="0.15">
      <c r="A98" s="229"/>
      <c r="B98" s="225"/>
      <c r="C98" s="225"/>
      <c r="D98" s="225"/>
      <c r="E98" s="229"/>
      <c r="F98" s="228"/>
    </row>
    <row r="99" spans="1:6" ht="13.5" customHeight="1" x14ac:dyDescent="0.15">
      <c r="A99" s="229"/>
      <c r="B99" s="225"/>
      <c r="C99" s="225"/>
      <c r="D99" s="225"/>
      <c r="E99" s="229"/>
      <c r="F99" s="228"/>
    </row>
    <row r="100" spans="1:6" ht="13.5" customHeight="1" x14ac:dyDescent="0.15">
      <c r="A100" s="229"/>
      <c r="B100" s="225"/>
      <c r="C100" s="225"/>
      <c r="D100" s="225"/>
      <c r="E100" s="229"/>
      <c r="F100" s="228"/>
    </row>
    <row r="101" spans="1:6" ht="13.5" customHeight="1" x14ac:dyDescent="0.15">
      <c r="A101" s="229"/>
      <c r="B101" s="225"/>
      <c r="C101" s="225"/>
      <c r="D101" s="225"/>
      <c r="E101" s="229"/>
      <c r="F101" s="228"/>
    </row>
    <row r="102" spans="1:6" ht="13.5" customHeight="1" x14ac:dyDescent="0.15">
      <c r="A102" s="229"/>
      <c r="B102" s="225"/>
      <c r="C102" s="225"/>
      <c r="D102" s="225"/>
      <c r="E102" s="229"/>
      <c r="F102" s="228"/>
    </row>
    <row r="103" spans="1:6" ht="13.5" customHeight="1" x14ac:dyDescent="0.15">
      <c r="A103" s="229"/>
      <c r="B103" s="225"/>
      <c r="C103" s="225"/>
      <c r="D103" s="225"/>
      <c r="E103" s="229"/>
      <c r="F103" s="228"/>
    </row>
    <row r="104" spans="1:6" ht="13.5" customHeight="1" x14ac:dyDescent="0.15">
      <c r="A104" s="229"/>
      <c r="B104" s="225"/>
      <c r="C104" s="225"/>
      <c r="D104" s="225"/>
      <c r="E104" s="229"/>
      <c r="F104" s="228"/>
    </row>
    <row r="105" spans="1:6" ht="13.5" customHeight="1" x14ac:dyDescent="0.15">
      <c r="A105" s="229"/>
      <c r="B105" s="225"/>
      <c r="C105" s="225"/>
      <c r="D105" s="225"/>
      <c r="E105" s="229"/>
      <c r="F105" s="228"/>
    </row>
    <row r="106" spans="1:6" ht="13.5" customHeight="1" x14ac:dyDescent="0.15">
      <c r="A106" s="229"/>
      <c r="B106" s="225"/>
      <c r="C106" s="225"/>
      <c r="D106" s="225"/>
      <c r="E106" s="229"/>
      <c r="F106" s="228"/>
    </row>
    <row r="107" spans="1:6" ht="13.5" customHeight="1" x14ac:dyDescent="0.15">
      <c r="A107" s="229"/>
      <c r="B107" s="225"/>
      <c r="C107" s="225"/>
      <c r="D107" s="225"/>
      <c r="E107" s="229"/>
      <c r="F107" s="228"/>
    </row>
    <row r="108" spans="1:6" ht="13.5" customHeight="1" x14ac:dyDescent="0.15">
      <c r="A108" s="229"/>
      <c r="B108" s="225"/>
      <c r="C108" s="225"/>
      <c r="D108" s="225"/>
      <c r="E108" s="229"/>
      <c r="F108" s="228"/>
    </row>
    <row r="109" spans="1:6" ht="13.5" customHeight="1" x14ac:dyDescent="0.15">
      <c r="A109" s="229"/>
      <c r="B109" s="225"/>
      <c r="C109" s="225"/>
      <c r="D109" s="225"/>
      <c r="E109" s="229"/>
      <c r="F109" s="228"/>
    </row>
    <row r="110" spans="1:6" ht="13.5" customHeight="1" x14ac:dyDescent="0.15">
      <c r="A110" s="229"/>
      <c r="B110" s="225"/>
      <c r="C110" s="225"/>
      <c r="D110" s="225"/>
      <c r="E110" s="229"/>
      <c r="F110" s="228"/>
    </row>
    <row r="111" spans="1:6" ht="13.5" customHeight="1" x14ac:dyDescent="0.15">
      <c r="A111" s="229"/>
      <c r="B111" s="225"/>
      <c r="C111" s="225"/>
      <c r="D111" s="225"/>
      <c r="E111" s="229"/>
      <c r="F111" s="228"/>
    </row>
    <row r="112" spans="1:6" ht="13.5" customHeight="1" x14ac:dyDescent="0.15">
      <c r="A112" s="229"/>
      <c r="B112" s="225"/>
      <c r="C112" s="225"/>
      <c r="D112" s="225"/>
      <c r="E112" s="229"/>
      <c r="F112" s="228"/>
    </row>
    <row r="113" spans="1:6" ht="13.5" customHeight="1" x14ac:dyDescent="0.15">
      <c r="A113" s="229"/>
      <c r="B113" s="225"/>
      <c r="C113" s="225"/>
      <c r="D113" s="225"/>
      <c r="E113" s="229"/>
      <c r="F113" s="228"/>
    </row>
    <row r="114" spans="1:6" ht="13.5" customHeight="1" x14ac:dyDescent="0.15">
      <c r="A114" s="229"/>
      <c r="B114" s="225"/>
      <c r="C114" s="225"/>
      <c r="D114" s="225"/>
      <c r="E114" s="229"/>
      <c r="F114" s="228"/>
    </row>
    <row r="115" spans="1:6" ht="13.5" customHeight="1" x14ac:dyDescent="0.15">
      <c r="A115" s="229"/>
      <c r="B115" s="225"/>
      <c r="C115" s="225"/>
      <c r="D115" s="225"/>
      <c r="E115" s="229"/>
      <c r="F115" s="228"/>
    </row>
    <row r="116" spans="1:6" ht="13.5" customHeight="1" x14ac:dyDescent="0.15">
      <c r="A116" s="229"/>
      <c r="B116" s="225"/>
      <c r="C116" s="225"/>
      <c r="D116" s="225"/>
      <c r="E116" s="229"/>
      <c r="F116" s="228"/>
    </row>
    <row r="117" spans="1:6" ht="13.5" customHeight="1" x14ac:dyDescent="0.15">
      <c r="A117" s="229"/>
      <c r="B117" s="225"/>
      <c r="C117" s="225"/>
      <c r="D117" s="225"/>
      <c r="E117" s="229"/>
      <c r="F117" s="228"/>
    </row>
    <row r="118" spans="1:6" ht="13.5" customHeight="1" x14ac:dyDescent="0.15">
      <c r="A118" s="229"/>
      <c r="B118" s="225"/>
      <c r="C118" s="225"/>
      <c r="D118" s="225"/>
      <c r="E118" s="229"/>
      <c r="F118" s="228"/>
    </row>
    <row r="119" spans="1:6" ht="13.5" customHeight="1" x14ac:dyDescent="0.15">
      <c r="A119" s="229"/>
      <c r="B119" s="225"/>
      <c r="C119" s="225"/>
      <c r="D119" s="225"/>
      <c r="E119" s="229"/>
      <c r="F119" s="228"/>
    </row>
    <row r="120" spans="1:6" ht="13.5" customHeight="1" x14ac:dyDescent="0.15">
      <c r="A120" s="229"/>
      <c r="B120" s="225"/>
      <c r="C120" s="225"/>
      <c r="D120" s="225"/>
      <c r="E120" s="229"/>
      <c r="F120" s="228"/>
    </row>
    <row r="121" spans="1:6" ht="13.5" customHeight="1" x14ac:dyDescent="0.15">
      <c r="A121" s="229"/>
      <c r="B121" s="225"/>
      <c r="C121" s="225"/>
      <c r="D121" s="225"/>
      <c r="E121" s="229"/>
      <c r="F121" s="228"/>
    </row>
    <row r="122" spans="1:6" ht="13.5" customHeight="1" x14ac:dyDescent="0.15">
      <c r="A122" s="229"/>
      <c r="B122" s="225"/>
      <c r="C122" s="225"/>
      <c r="D122" s="225"/>
      <c r="E122" s="229"/>
      <c r="F122" s="228"/>
    </row>
    <row r="123" spans="1:6" ht="13.5" customHeight="1" x14ac:dyDescent="0.15">
      <c r="A123" s="229"/>
      <c r="B123" s="225"/>
      <c r="C123" s="225"/>
      <c r="D123" s="225"/>
      <c r="E123" s="229"/>
      <c r="F123" s="228"/>
    </row>
    <row r="124" spans="1:6" ht="13.5" customHeight="1" x14ac:dyDescent="0.15">
      <c r="A124" s="229"/>
      <c r="B124" s="225"/>
      <c r="C124" s="225"/>
      <c r="D124" s="225"/>
      <c r="E124" s="229"/>
      <c r="F124" s="228"/>
    </row>
    <row r="125" spans="1:6" ht="13.5" customHeight="1" x14ac:dyDescent="0.15">
      <c r="A125" s="229"/>
      <c r="B125" s="225"/>
      <c r="C125" s="225"/>
      <c r="D125" s="225"/>
      <c r="E125" s="229"/>
      <c r="F125" s="228"/>
    </row>
    <row r="126" spans="1:6" ht="13.5" customHeight="1" x14ac:dyDescent="0.15">
      <c r="A126" s="229"/>
      <c r="B126" s="225"/>
      <c r="C126" s="225"/>
      <c r="D126" s="225"/>
      <c r="E126" s="229"/>
      <c r="F126" s="228"/>
    </row>
    <row r="127" spans="1:6" ht="13.5" customHeight="1" x14ac:dyDescent="0.15">
      <c r="A127" s="229"/>
      <c r="B127" s="225"/>
      <c r="C127" s="225"/>
      <c r="D127" s="225"/>
      <c r="E127" s="229"/>
      <c r="F127" s="228"/>
    </row>
    <row r="128" spans="1:6" ht="13.5" customHeight="1" x14ac:dyDescent="0.15">
      <c r="A128" s="229"/>
      <c r="B128" s="225"/>
      <c r="C128" s="225"/>
      <c r="D128" s="225"/>
      <c r="E128" s="229"/>
      <c r="F128" s="228"/>
    </row>
    <row r="129" spans="1:6" ht="13.5" customHeight="1" x14ac:dyDescent="0.15">
      <c r="A129" s="229"/>
      <c r="B129" s="225"/>
      <c r="C129" s="225"/>
      <c r="D129" s="225"/>
      <c r="E129" s="229"/>
      <c r="F129" s="228"/>
    </row>
    <row r="130" spans="1:6" ht="13.5" customHeight="1" x14ac:dyDescent="0.15">
      <c r="A130" s="229"/>
      <c r="B130" s="225"/>
      <c r="C130" s="225"/>
      <c r="D130" s="225"/>
      <c r="E130" s="229"/>
      <c r="F130" s="228"/>
    </row>
    <row r="131" spans="1:6" ht="13.5" customHeight="1" x14ac:dyDescent="0.15">
      <c r="A131" s="229"/>
      <c r="B131" s="225"/>
      <c r="C131" s="225"/>
      <c r="D131" s="225"/>
      <c r="E131" s="229"/>
      <c r="F131" s="228"/>
    </row>
    <row r="132" spans="1:6" ht="13.5" customHeight="1" x14ac:dyDescent="0.15">
      <c r="A132" s="229"/>
      <c r="B132" s="225"/>
      <c r="C132" s="225"/>
      <c r="D132" s="225"/>
      <c r="E132" s="229"/>
      <c r="F132" s="228"/>
    </row>
    <row r="133" spans="1:6" ht="13.5" customHeight="1" x14ac:dyDescent="0.15">
      <c r="A133" s="229"/>
      <c r="B133" s="225"/>
      <c r="C133" s="225"/>
      <c r="D133" s="225"/>
      <c r="E133" s="229"/>
      <c r="F133" s="228"/>
    </row>
    <row r="134" spans="1:6" ht="13.5" customHeight="1" x14ac:dyDescent="0.15">
      <c r="A134" s="229"/>
      <c r="B134" s="225"/>
      <c r="C134" s="225"/>
      <c r="D134" s="225"/>
      <c r="E134" s="229"/>
      <c r="F134" s="228"/>
    </row>
    <row r="135" spans="1:6" ht="13.5" customHeight="1" x14ac:dyDescent="0.15">
      <c r="A135" s="229"/>
      <c r="B135" s="225"/>
      <c r="C135" s="225"/>
      <c r="D135" s="225"/>
      <c r="E135" s="229"/>
      <c r="F135" s="228"/>
    </row>
    <row r="136" spans="1:6" ht="13.5" customHeight="1" x14ac:dyDescent="0.15">
      <c r="A136" s="229"/>
      <c r="B136" s="225"/>
      <c r="C136" s="225"/>
      <c r="D136" s="225"/>
      <c r="E136" s="229"/>
      <c r="F136" s="228"/>
    </row>
    <row r="137" spans="1:6" ht="13.5" customHeight="1" x14ac:dyDescent="0.15">
      <c r="A137" s="229"/>
      <c r="B137" s="225"/>
      <c r="C137" s="225"/>
      <c r="D137" s="225"/>
      <c r="E137" s="229"/>
      <c r="F137" s="228"/>
    </row>
    <row r="138" spans="1:6" ht="13.5" customHeight="1" x14ac:dyDescent="0.15">
      <c r="A138" s="229"/>
      <c r="B138" s="225"/>
      <c r="C138" s="225"/>
      <c r="D138" s="225"/>
      <c r="E138" s="229"/>
      <c r="F138" s="228"/>
    </row>
    <row r="139" spans="1:6" ht="13.5" customHeight="1" x14ac:dyDescent="0.15">
      <c r="A139" s="229"/>
      <c r="B139" s="225"/>
      <c r="C139" s="225"/>
      <c r="D139" s="225"/>
      <c r="E139" s="229"/>
      <c r="F139" s="228"/>
    </row>
    <row r="140" spans="1:6" ht="13.5" customHeight="1" x14ac:dyDescent="0.15">
      <c r="A140" s="229"/>
      <c r="B140" s="225"/>
      <c r="C140" s="225"/>
      <c r="D140" s="225"/>
      <c r="E140" s="229"/>
      <c r="F140" s="228"/>
    </row>
    <row r="141" spans="1:6" ht="13.5" customHeight="1" x14ac:dyDescent="0.15">
      <c r="A141" s="229"/>
      <c r="B141" s="225"/>
      <c r="C141" s="225"/>
      <c r="D141" s="225"/>
      <c r="E141" s="229"/>
      <c r="F141" s="228"/>
    </row>
    <row r="142" spans="1:6" ht="13.5" customHeight="1" x14ac:dyDescent="0.15">
      <c r="A142" s="229"/>
      <c r="B142" s="225"/>
      <c r="C142" s="225"/>
      <c r="D142" s="225"/>
      <c r="E142" s="229"/>
      <c r="F142" s="228"/>
    </row>
    <row r="143" spans="1:6" ht="13.5" customHeight="1" x14ac:dyDescent="0.15">
      <c r="A143" s="229"/>
      <c r="B143" s="225"/>
      <c r="C143" s="225"/>
      <c r="D143" s="225"/>
      <c r="E143" s="229"/>
      <c r="F143" s="228"/>
    </row>
    <row r="144" spans="1:6" ht="13.5" customHeight="1" x14ac:dyDescent="0.15">
      <c r="A144" s="229"/>
      <c r="B144" s="225"/>
      <c r="C144" s="225"/>
      <c r="D144" s="225"/>
      <c r="E144" s="229"/>
      <c r="F144" s="228"/>
    </row>
    <row r="145" spans="1:6" ht="13.5" customHeight="1" x14ac:dyDescent="0.15">
      <c r="A145" s="229"/>
      <c r="B145" s="225"/>
      <c r="C145" s="225"/>
      <c r="D145" s="225"/>
      <c r="E145" s="229"/>
      <c r="F145" s="228"/>
    </row>
    <row r="146" spans="1:6" ht="13.5" customHeight="1" x14ac:dyDescent="0.15">
      <c r="A146" s="229"/>
      <c r="B146" s="225"/>
      <c r="C146" s="225"/>
      <c r="D146" s="225"/>
      <c r="E146" s="229"/>
      <c r="F146" s="228"/>
    </row>
    <row r="147" spans="1:6" ht="13.5" customHeight="1" x14ac:dyDescent="0.15">
      <c r="A147" s="229"/>
      <c r="B147" s="225"/>
      <c r="C147" s="225"/>
      <c r="D147" s="225"/>
      <c r="E147" s="229"/>
      <c r="F147" s="228"/>
    </row>
    <row r="148" spans="1:6" ht="13.5" customHeight="1" x14ac:dyDescent="0.15">
      <c r="A148" s="229"/>
      <c r="B148" s="225"/>
      <c r="C148" s="225"/>
      <c r="D148" s="225"/>
      <c r="E148" s="229"/>
      <c r="F148" s="228"/>
    </row>
    <row r="149" spans="1:6" ht="13.5" customHeight="1" x14ac:dyDescent="0.15">
      <c r="A149" s="229"/>
      <c r="B149" s="225"/>
      <c r="C149" s="225"/>
      <c r="D149" s="225"/>
      <c r="E149" s="229"/>
      <c r="F149" s="228"/>
    </row>
    <row r="150" spans="1:6" ht="13.5" customHeight="1" x14ac:dyDescent="0.15">
      <c r="A150" s="229"/>
      <c r="B150" s="225"/>
      <c r="C150" s="225"/>
      <c r="D150" s="225"/>
      <c r="E150" s="229"/>
      <c r="F150" s="228"/>
    </row>
    <row r="151" spans="1:6" ht="13.5" customHeight="1" x14ac:dyDescent="0.15">
      <c r="A151" s="229"/>
      <c r="B151" s="225"/>
      <c r="C151" s="225"/>
      <c r="D151" s="225"/>
      <c r="E151" s="229"/>
      <c r="F151" s="228"/>
    </row>
    <row r="152" spans="1:6" ht="13.5" customHeight="1" x14ac:dyDescent="0.15">
      <c r="A152" s="229"/>
      <c r="B152" s="225"/>
      <c r="C152" s="225"/>
      <c r="D152" s="225"/>
      <c r="E152" s="229"/>
      <c r="F152" s="228"/>
    </row>
    <row r="153" spans="1:6" ht="13.5" customHeight="1" x14ac:dyDescent="0.15">
      <c r="A153" s="229"/>
      <c r="B153" s="225"/>
      <c r="C153" s="225"/>
      <c r="D153" s="225"/>
      <c r="E153" s="229"/>
      <c r="F153" s="228"/>
    </row>
    <row r="154" spans="1:6" ht="13.5" customHeight="1" x14ac:dyDescent="0.15">
      <c r="A154" s="229"/>
      <c r="B154" s="225"/>
      <c r="C154" s="225"/>
      <c r="D154" s="225"/>
      <c r="E154" s="229"/>
      <c r="F154" s="228"/>
    </row>
    <row r="155" spans="1:6" ht="13.5" customHeight="1" x14ac:dyDescent="0.15">
      <c r="A155" s="229"/>
      <c r="B155" s="225"/>
      <c r="C155" s="225"/>
      <c r="D155" s="225"/>
      <c r="E155" s="229"/>
      <c r="F155" s="228"/>
    </row>
    <row r="156" spans="1:6" ht="13.5" customHeight="1" x14ac:dyDescent="0.15">
      <c r="A156" s="229"/>
      <c r="B156" s="225"/>
      <c r="C156" s="225"/>
      <c r="D156" s="225"/>
      <c r="E156" s="229"/>
      <c r="F156" s="228"/>
    </row>
    <row r="157" spans="1:6" ht="13.5" customHeight="1" x14ac:dyDescent="0.15">
      <c r="A157" s="229"/>
      <c r="B157" s="225"/>
      <c r="C157" s="225"/>
      <c r="D157" s="225"/>
      <c r="E157" s="229"/>
      <c r="F157" s="228"/>
    </row>
    <row r="158" spans="1:6" ht="13.5" customHeight="1" x14ac:dyDescent="0.15">
      <c r="A158" s="229"/>
      <c r="B158" s="225"/>
      <c r="C158" s="225"/>
      <c r="D158" s="225"/>
      <c r="E158" s="229"/>
      <c r="F158" s="228"/>
    </row>
    <row r="159" spans="1:6" ht="13.5" customHeight="1" x14ac:dyDescent="0.15">
      <c r="A159" s="229"/>
      <c r="B159" s="225"/>
      <c r="C159" s="225"/>
      <c r="D159" s="225"/>
      <c r="E159" s="229"/>
      <c r="F159" s="228"/>
    </row>
    <row r="160" spans="1:6" ht="13.5" customHeight="1" x14ac:dyDescent="0.15">
      <c r="A160" s="229"/>
      <c r="B160" s="225"/>
      <c r="C160" s="225"/>
      <c r="D160" s="225"/>
      <c r="E160" s="229"/>
      <c r="F160" s="228"/>
    </row>
    <row r="161" spans="1:6" ht="13.5" customHeight="1" x14ac:dyDescent="0.15">
      <c r="A161" s="229"/>
      <c r="B161" s="225"/>
      <c r="C161" s="225"/>
      <c r="D161" s="225"/>
      <c r="E161" s="229"/>
      <c r="F161" s="228"/>
    </row>
    <row r="162" spans="1:6" ht="13.5" customHeight="1" x14ac:dyDescent="0.15">
      <c r="A162" s="229"/>
      <c r="B162" s="225"/>
      <c r="C162" s="225"/>
      <c r="D162" s="225"/>
      <c r="E162" s="229"/>
      <c r="F162" s="228"/>
    </row>
    <row r="163" spans="1:6" ht="13.5" customHeight="1" x14ac:dyDescent="0.15">
      <c r="A163" s="229"/>
      <c r="B163" s="225"/>
      <c r="C163" s="225"/>
      <c r="D163" s="225"/>
      <c r="E163" s="229"/>
      <c r="F163" s="228"/>
    </row>
    <row r="164" spans="1:6" ht="13.5" customHeight="1" x14ac:dyDescent="0.15">
      <c r="A164" s="229"/>
      <c r="B164" s="225"/>
      <c r="C164" s="225"/>
      <c r="D164" s="225"/>
      <c r="E164" s="229"/>
      <c r="F164" s="228"/>
    </row>
    <row r="165" spans="1:6" ht="13.5" customHeight="1" x14ac:dyDescent="0.15">
      <c r="A165" s="229"/>
      <c r="B165" s="225"/>
      <c r="C165" s="225"/>
      <c r="D165" s="225"/>
      <c r="E165" s="229"/>
      <c r="F165" s="228"/>
    </row>
    <row r="166" spans="1:6" ht="13.5" customHeight="1" x14ac:dyDescent="0.15">
      <c r="A166" s="229"/>
      <c r="B166" s="225"/>
      <c r="C166" s="225"/>
      <c r="D166" s="225"/>
      <c r="E166" s="229"/>
      <c r="F166" s="228"/>
    </row>
    <row r="167" spans="1:6" ht="13.5" customHeight="1" x14ac:dyDescent="0.15">
      <c r="A167" s="229"/>
      <c r="B167" s="225"/>
      <c r="C167" s="225"/>
      <c r="D167" s="225"/>
      <c r="E167" s="229"/>
      <c r="F167" s="228"/>
    </row>
    <row r="168" spans="1:6" ht="13.5" customHeight="1" x14ac:dyDescent="0.15">
      <c r="A168" s="229"/>
      <c r="B168" s="225"/>
      <c r="C168" s="225"/>
      <c r="D168" s="225"/>
      <c r="E168" s="229"/>
      <c r="F168" s="228"/>
    </row>
    <row r="169" spans="1:6" ht="13.5" customHeight="1" x14ac:dyDescent="0.15">
      <c r="A169" s="229"/>
      <c r="B169" s="225"/>
      <c r="C169" s="225"/>
      <c r="D169" s="225"/>
      <c r="E169" s="229"/>
      <c r="F169" s="228"/>
    </row>
    <row r="170" spans="1:6" ht="13.5" customHeight="1" x14ac:dyDescent="0.15">
      <c r="A170" s="229"/>
      <c r="B170" s="225"/>
      <c r="C170" s="225"/>
      <c r="D170" s="225"/>
      <c r="E170" s="229"/>
      <c r="F170" s="228"/>
    </row>
    <row r="171" spans="1:6" ht="13.5" customHeight="1" x14ac:dyDescent="0.15">
      <c r="A171" s="229"/>
      <c r="B171" s="225"/>
      <c r="C171" s="225"/>
      <c r="D171" s="225"/>
      <c r="E171" s="229"/>
      <c r="F171" s="228"/>
    </row>
    <row r="172" spans="1:6" ht="13.5" customHeight="1" x14ac:dyDescent="0.15">
      <c r="A172" s="229"/>
      <c r="B172" s="225"/>
      <c r="C172" s="225"/>
      <c r="D172" s="225"/>
      <c r="E172" s="229"/>
      <c r="F172" s="228"/>
    </row>
    <row r="173" spans="1:6" ht="13.5" customHeight="1" x14ac:dyDescent="0.15">
      <c r="A173" s="229"/>
      <c r="B173" s="225"/>
      <c r="C173" s="225"/>
      <c r="D173" s="225"/>
      <c r="E173" s="229"/>
      <c r="F173" s="228"/>
    </row>
    <row r="174" spans="1:6" ht="13.5" customHeight="1" x14ac:dyDescent="0.15">
      <c r="A174" s="229"/>
      <c r="B174" s="225"/>
      <c r="C174" s="225"/>
      <c r="D174" s="225"/>
      <c r="E174" s="229"/>
      <c r="F174" s="228"/>
    </row>
    <row r="175" spans="1:6" ht="13.5" customHeight="1" x14ac:dyDescent="0.15">
      <c r="A175" s="229"/>
      <c r="B175" s="225"/>
      <c r="C175" s="225"/>
      <c r="D175" s="225"/>
      <c r="E175" s="229"/>
      <c r="F175" s="228"/>
    </row>
    <row r="176" spans="1:6" ht="13.5" customHeight="1" x14ac:dyDescent="0.15">
      <c r="A176" s="229"/>
      <c r="B176" s="225"/>
      <c r="C176" s="225"/>
      <c r="D176" s="225"/>
      <c r="E176" s="229"/>
      <c r="F176" s="228"/>
    </row>
    <row r="177" spans="1:6" ht="13.5" customHeight="1" x14ac:dyDescent="0.15">
      <c r="A177" s="229"/>
      <c r="B177" s="225"/>
      <c r="C177" s="225"/>
      <c r="D177" s="225"/>
      <c r="E177" s="229"/>
      <c r="F177" s="228"/>
    </row>
    <row r="178" spans="1:6" ht="13.5" customHeight="1" x14ac:dyDescent="0.15">
      <c r="A178" s="229"/>
      <c r="B178" s="225"/>
      <c r="C178" s="225"/>
      <c r="D178" s="225"/>
      <c r="E178" s="229"/>
      <c r="F178" s="228"/>
    </row>
    <row r="179" spans="1:6" ht="13.5" customHeight="1" x14ac:dyDescent="0.15">
      <c r="A179" s="229"/>
      <c r="B179" s="225"/>
      <c r="C179" s="225"/>
      <c r="D179" s="225"/>
      <c r="E179" s="229"/>
      <c r="F179" s="228"/>
    </row>
    <row r="180" spans="1:6" ht="13.5" customHeight="1" x14ac:dyDescent="0.15">
      <c r="A180" s="229"/>
      <c r="B180" s="225"/>
      <c r="C180" s="225"/>
      <c r="D180" s="225"/>
      <c r="E180" s="229"/>
      <c r="F180" s="228"/>
    </row>
    <row r="181" spans="1:6" ht="13.5" customHeight="1" x14ac:dyDescent="0.15">
      <c r="A181" s="229"/>
      <c r="B181" s="225"/>
      <c r="C181" s="225"/>
      <c r="D181" s="225"/>
      <c r="E181" s="229"/>
      <c r="F181" s="228"/>
    </row>
    <row r="182" spans="1:6" ht="13.5" customHeight="1" x14ac:dyDescent="0.15">
      <c r="A182" s="229"/>
      <c r="B182" s="225"/>
      <c r="C182" s="225"/>
      <c r="D182" s="225"/>
      <c r="E182" s="229"/>
      <c r="F182" s="228"/>
    </row>
    <row r="183" spans="1:6" ht="13.5" customHeight="1" x14ac:dyDescent="0.15">
      <c r="A183" s="229"/>
      <c r="B183" s="225"/>
      <c r="C183" s="225"/>
      <c r="D183" s="225"/>
      <c r="E183" s="229"/>
      <c r="F183" s="228"/>
    </row>
    <row r="184" spans="1:6" ht="13.5" customHeight="1" x14ac:dyDescent="0.15">
      <c r="A184" s="229"/>
      <c r="B184" s="225"/>
      <c r="C184" s="225"/>
      <c r="D184" s="225"/>
      <c r="E184" s="229"/>
      <c r="F184" s="228"/>
    </row>
    <row r="185" spans="1:6" ht="13.5" customHeight="1" x14ac:dyDescent="0.15">
      <c r="A185" s="229"/>
      <c r="B185" s="225"/>
      <c r="C185" s="225"/>
      <c r="D185" s="225"/>
      <c r="E185" s="229"/>
      <c r="F185" s="228"/>
    </row>
    <row r="186" spans="1:6" ht="13.5" customHeight="1" x14ac:dyDescent="0.15">
      <c r="A186" s="229"/>
      <c r="B186" s="225"/>
      <c r="C186" s="225"/>
      <c r="D186" s="225"/>
      <c r="E186" s="229"/>
      <c r="F186" s="228"/>
    </row>
    <row r="187" spans="1:6" ht="13.5" customHeight="1" x14ac:dyDescent="0.15">
      <c r="A187" s="229"/>
      <c r="B187" s="225"/>
      <c r="C187" s="225"/>
      <c r="D187" s="225"/>
      <c r="E187" s="229"/>
      <c r="F187" s="228"/>
    </row>
    <row r="188" spans="1:6" ht="13.5" customHeight="1" x14ac:dyDescent="0.15">
      <c r="A188" s="229"/>
      <c r="B188" s="225"/>
      <c r="C188" s="225"/>
      <c r="D188" s="225"/>
      <c r="E188" s="229"/>
      <c r="F188" s="228"/>
    </row>
    <row r="189" spans="1:6" ht="13.5" customHeight="1" x14ac:dyDescent="0.15">
      <c r="A189" s="229"/>
      <c r="B189" s="225"/>
      <c r="C189" s="225"/>
      <c r="D189" s="225"/>
      <c r="E189" s="229"/>
      <c r="F189" s="228"/>
    </row>
    <row r="190" spans="1:6" ht="13.5" customHeight="1" x14ac:dyDescent="0.15">
      <c r="A190" s="229"/>
      <c r="B190" s="225"/>
      <c r="C190" s="225"/>
      <c r="D190" s="225"/>
      <c r="E190" s="229"/>
      <c r="F190" s="228"/>
    </row>
    <row r="191" spans="1:6" ht="13.5" customHeight="1" x14ac:dyDescent="0.15">
      <c r="A191" s="229"/>
      <c r="B191" s="225"/>
      <c r="C191" s="225"/>
      <c r="D191" s="225"/>
      <c r="E191" s="229"/>
      <c r="F191" s="228"/>
    </row>
    <row r="192" spans="1:6" ht="13.5" customHeight="1" x14ac:dyDescent="0.15">
      <c r="A192" s="229"/>
      <c r="B192" s="225"/>
      <c r="C192" s="225"/>
      <c r="D192" s="225"/>
      <c r="E192" s="229"/>
      <c r="F192" s="228"/>
    </row>
    <row r="193" spans="1:6" ht="13.5" customHeight="1" x14ac:dyDescent="0.15">
      <c r="A193" s="229"/>
      <c r="B193" s="225"/>
      <c r="C193" s="225"/>
      <c r="D193" s="225"/>
      <c r="E193" s="229"/>
      <c r="F193" s="228"/>
    </row>
    <row r="194" spans="1:6" ht="13.5" customHeight="1" x14ac:dyDescent="0.15">
      <c r="A194" s="229"/>
      <c r="B194" s="225"/>
      <c r="C194" s="225"/>
      <c r="D194" s="225"/>
      <c r="E194" s="229"/>
      <c r="F194" s="228"/>
    </row>
    <row r="195" spans="1:6" ht="13.5" customHeight="1" x14ac:dyDescent="0.15">
      <c r="A195" s="229"/>
      <c r="B195" s="225"/>
      <c r="C195" s="225"/>
      <c r="D195" s="225"/>
      <c r="E195" s="229"/>
      <c r="F195" s="228"/>
    </row>
    <row r="196" spans="1:6" ht="13.5" customHeight="1" x14ac:dyDescent="0.15">
      <c r="A196" s="229"/>
      <c r="B196" s="225"/>
      <c r="C196" s="225"/>
      <c r="D196" s="225"/>
      <c r="E196" s="229"/>
      <c r="F196" s="228"/>
    </row>
    <row r="197" spans="1:6" ht="13.5" customHeight="1" x14ac:dyDescent="0.15">
      <c r="A197" s="229"/>
      <c r="B197" s="225"/>
      <c r="C197" s="225"/>
      <c r="D197" s="225"/>
      <c r="E197" s="229"/>
      <c r="F197" s="228"/>
    </row>
    <row r="198" spans="1:6" ht="13.5" customHeight="1" x14ac:dyDescent="0.15">
      <c r="A198" s="229"/>
      <c r="B198" s="225"/>
      <c r="C198" s="225"/>
      <c r="D198" s="225"/>
      <c r="E198" s="229"/>
      <c r="F198" s="228"/>
    </row>
    <row r="199" spans="1:6" ht="13.5" customHeight="1" x14ac:dyDescent="0.15">
      <c r="A199" s="229"/>
      <c r="B199" s="225"/>
      <c r="C199" s="225"/>
      <c r="D199" s="225"/>
      <c r="E199" s="229"/>
      <c r="F199" s="228"/>
    </row>
    <row r="200" spans="1:6" ht="13.5" customHeight="1" x14ac:dyDescent="0.15">
      <c r="A200" s="229"/>
      <c r="B200" s="225"/>
      <c r="C200" s="225"/>
      <c r="D200" s="225"/>
      <c r="E200" s="229"/>
      <c r="F200" s="228"/>
    </row>
    <row r="201" spans="1:6" ht="13.5" customHeight="1" x14ac:dyDescent="0.15">
      <c r="A201" s="229"/>
      <c r="B201" s="225"/>
      <c r="C201" s="225"/>
      <c r="D201" s="225"/>
      <c r="E201" s="229"/>
      <c r="F201" s="228"/>
    </row>
    <row r="202" spans="1:6" ht="13.5" customHeight="1" x14ac:dyDescent="0.15">
      <c r="A202" s="229"/>
      <c r="B202" s="225"/>
      <c r="C202" s="225"/>
      <c r="D202" s="225"/>
      <c r="E202" s="229"/>
      <c r="F202" s="228"/>
    </row>
    <row r="203" spans="1:6" ht="13.5" customHeight="1" x14ac:dyDescent="0.15">
      <c r="A203" s="229"/>
      <c r="B203" s="225"/>
      <c r="C203" s="225"/>
      <c r="D203" s="225"/>
      <c r="E203" s="229"/>
      <c r="F203" s="228"/>
    </row>
    <row r="204" spans="1:6" ht="13.5" customHeight="1" x14ac:dyDescent="0.15">
      <c r="A204" s="229"/>
      <c r="B204" s="225"/>
      <c r="C204" s="225"/>
      <c r="D204" s="225"/>
      <c r="E204" s="229"/>
      <c r="F204" s="228"/>
    </row>
    <row r="205" spans="1:6" ht="13.5" customHeight="1" x14ac:dyDescent="0.15">
      <c r="A205" s="229"/>
      <c r="B205" s="225"/>
      <c r="C205" s="225"/>
      <c r="D205" s="225"/>
      <c r="E205" s="229"/>
      <c r="F205" s="228"/>
    </row>
    <row r="206" spans="1:6" ht="13.5" customHeight="1" x14ac:dyDescent="0.15">
      <c r="A206" s="229"/>
      <c r="B206" s="225"/>
      <c r="C206" s="225"/>
      <c r="D206" s="225"/>
      <c r="E206" s="229"/>
      <c r="F206" s="228"/>
    </row>
    <row r="207" spans="1:6" ht="13.5" customHeight="1" x14ac:dyDescent="0.15">
      <c r="A207" s="229"/>
      <c r="B207" s="225"/>
      <c r="C207" s="225"/>
      <c r="D207" s="225"/>
      <c r="E207" s="229"/>
      <c r="F207" s="228"/>
    </row>
    <row r="208" spans="1:6" ht="13.5" customHeight="1" x14ac:dyDescent="0.15">
      <c r="A208" s="229"/>
      <c r="B208" s="225"/>
      <c r="C208" s="225"/>
      <c r="D208" s="225"/>
      <c r="E208" s="229"/>
      <c r="F208" s="228"/>
    </row>
    <row r="209" spans="1:6" ht="13.5" customHeight="1" x14ac:dyDescent="0.15">
      <c r="A209" s="229"/>
      <c r="B209" s="225"/>
      <c r="C209" s="225"/>
      <c r="D209" s="225"/>
      <c r="E209" s="229"/>
      <c r="F209" s="228"/>
    </row>
    <row r="210" spans="1:6" ht="13.5" customHeight="1" x14ac:dyDescent="0.15">
      <c r="A210" s="229"/>
      <c r="B210" s="225"/>
      <c r="C210" s="225"/>
      <c r="D210" s="225"/>
      <c r="E210" s="229"/>
      <c r="F210" s="228"/>
    </row>
    <row r="211" spans="1:6" ht="13.5" customHeight="1" x14ac:dyDescent="0.15">
      <c r="A211" s="229"/>
      <c r="B211" s="225"/>
      <c r="C211" s="225"/>
      <c r="D211" s="225"/>
      <c r="E211" s="229"/>
      <c r="F211" s="228"/>
    </row>
    <row r="212" spans="1:6" ht="13.5" customHeight="1" x14ac:dyDescent="0.15">
      <c r="A212" s="229"/>
      <c r="B212" s="225"/>
      <c r="C212" s="225"/>
      <c r="D212" s="225"/>
      <c r="E212" s="229"/>
      <c r="F212" s="228"/>
    </row>
    <row r="213" spans="1:6" ht="13.5" customHeight="1" x14ac:dyDescent="0.15">
      <c r="A213" s="229"/>
      <c r="B213" s="225"/>
      <c r="C213" s="225"/>
      <c r="D213" s="225"/>
      <c r="E213" s="229"/>
      <c r="F213" s="228"/>
    </row>
    <row r="214" spans="1:6" ht="13.5" customHeight="1" x14ac:dyDescent="0.15">
      <c r="A214" s="229"/>
      <c r="B214" s="225"/>
      <c r="C214" s="225"/>
      <c r="D214" s="225"/>
      <c r="E214" s="229"/>
      <c r="F214" s="228"/>
    </row>
    <row r="215" spans="1:6" ht="13.5" customHeight="1" x14ac:dyDescent="0.15">
      <c r="A215" s="229"/>
      <c r="B215" s="225"/>
      <c r="C215" s="225"/>
      <c r="D215" s="225"/>
      <c r="E215" s="229"/>
      <c r="F215" s="228"/>
    </row>
    <row r="216" spans="1:6" ht="13.5" customHeight="1" x14ac:dyDescent="0.15">
      <c r="A216" s="229"/>
      <c r="B216" s="225"/>
      <c r="C216" s="225"/>
      <c r="D216" s="225"/>
      <c r="E216" s="229"/>
      <c r="F216" s="228"/>
    </row>
    <row r="217" spans="1:6" ht="13.5" customHeight="1" x14ac:dyDescent="0.15">
      <c r="A217" s="229"/>
      <c r="B217" s="225"/>
      <c r="C217" s="225"/>
      <c r="D217" s="225"/>
      <c r="E217" s="229"/>
      <c r="F217" s="228"/>
    </row>
    <row r="218" spans="1:6" ht="13.5" customHeight="1" x14ac:dyDescent="0.15">
      <c r="A218" s="229"/>
      <c r="B218" s="225"/>
      <c r="C218" s="225"/>
      <c r="D218" s="225"/>
      <c r="E218" s="229"/>
      <c r="F218" s="228"/>
    </row>
    <row r="219" spans="1:6" ht="13.5" customHeight="1" x14ac:dyDescent="0.15">
      <c r="A219" s="229"/>
      <c r="B219" s="225"/>
      <c r="C219" s="225"/>
      <c r="D219" s="225"/>
      <c r="E219" s="229"/>
      <c r="F219" s="228"/>
    </row>
    <row r="220" spans="1:6" ht="13.5" customHeight="1" x14ac:dyDescent="0.15">
      <c r="A220" s="229"/>
      <c r="B220" s="225"/>
      <c r="C220" s="225"/>
      <c r="D220" s="225"/>
      <c r="E220" s="229"/>
      <c r="F220" s="228"/>
    </row>
    <row r="221" spans="1:6" ht="13.5" customHeight="1" x14ac:dyDescent="0.15">
      <c r="A221" s="229"/>
      <c r="B221" s="225"/>
      <c r="C221" s="225"/>
      <c r="D221" s="225"/>
      <c r="E221" s="229"/>
      <c r="F221" s="228"/>
    </row>
    <row r="222" spans="1:6" ht="13.5" customHeight="1" x14ac:dyDescent="0.15">
      <c r="A222" s="229"/>
      <c r="B222" s="225"/>
      <c r="C222" s="225"/>
      <c r="D222" s="225"/>
      <c r="E222" s="229"/>
      <c r="F222" s="228"/>
    </row>
    <row r="223" spans="1:6" ht="13.5" customHeight="1" x14ac:dyDescent="0.15">
      <c r="A223" s="229"/>
      <c r="B223" s="225"/>
      <c r="C223" s="225"/>
      <c r="D223" s="225"/>
      <c r="E223" s="229"/>
      <c r="F223" s="228"/>
    </row>
    <row r="224" spans="1:6" ht="13.5" customHeight="1" x14ac:dyDescent="0.15">
      <c r="A224" s="229"/>
      <c r="B224" s="225"/>
      <c r="C224" s="225"/>
      <c r="D224" s="225"/>
      <c r="E224" s="229"/>
      <c r="F224" s="228"/>
    </row>
    <row r="225" spans="1:6" ht="13.5" customHeight="1" x14ac:dyDescent="0.15">
      <c r="A225" s="229"/>
      <c r="B225" s="225"/>
      <c r="C225" s="225"/>
      <c r="D225" s="225"/>
      <c r="E225" s="229"/>
      <c r="F225" s="228"/>
    </row>
    <row r="226" spans="1:6" ht="13.5" customHeight="1" x14ac:dyDescent="0.15">
      <c r="A226" s="229"/>
      <c r="B226" s="225"/>
      <c r="C226" s="225"/>
      <c r="D226" s="225"/>
      <c r="E226" s="229"/>
      <c r="F226" s="228"/>
    </row>
    <row r="227" spans="1:6" ht="13.5" customHeight="1" x14ac:dyDescent="0.15">
      <c r="A227" s="229"/>
      <c r="B227" s="225"/>
      <c r="C227" s="225"/>
      <c r="D227" s="225"/>
      <c r="E227" s="229"/>
      <c r="F227" s="228"/>
    </row>
    <row r="228" spans="1:6" ht="13.5" customHeight="1" x14ac:dyDescent="0.15">
      <c r="A228" s="229"/>
      <c r="B228" s="225"/>
      <c r="C228" s="225"/>
      <c r="D228" s="225"/>
      <c r="E228" s="229"/>
      <c r="F228" s="228"/>
    </row>
    <row r="229" spans="1:6" ht="13.5" customHeight="1" x14ac:dyDescent="0.15">
      <c r="A229" s="229"/>
      <c r="B229" s="225"/>
      <c r="C229" s="225"/>
      <c r="D229" s="225"/>
      <c r="E229" s="229"/>
      <c r="F229" s="228"/>
    </row>
    <row r="230" spans="1:6" ht="13.5" customHeight="1" x14ac:dyDescent="0.15">
      <c r="A230" s="229"/>
      <c r="B230" s="225"/>
      <c r="C230" s="225"/>
      <c r="D230" s="225"/>
      <c r="E230" s="229"/>
      <c r="F230" s="228"/>
    </row>
    <row r="231" spans="1:6" ht="13.5" customHeight="1" x14ac:dyDescent="0.15">
      <c r="A231" s="229"/>
      <c r="B231" s="225"/>
      <c r="C231" s="225"/>
      <c r="D231" s="225"/>
      <c r="E231" s="229"/>
      <c r="F231" s="228"/>
    </row>
    <row r="232" spans="1:6" ht="13.5" customHeight="1" x14ac:dyDescent="0.15">
      <c r="A232" s="229"/>
      <c r="B232" s="225"/>
      <c r="C232" s="225"/>
      <c r="D232" s="225"/>
      <c r="E232" s="229"/>
      <c r="F232" s="228"/>
    </row>
    <row r="233" spans="1:6" ht="13.5" customHeight="1" x14ac:dyDescent="0.15">
      <c r="A233" s="229"/>
      <c r="B233" s="225"/>
      <c r="C233" s="225"/>
      <c r="D233" s="225"/>
      <c r="E233" s="229"/>
      <c r="F233" s="228"/>
    </row>
    <row r="234" spans="1:6" ht="13.5" customHeight="1" x14ac:dyDescent="0.15">
      <c r="A234" s="229"/>
      <c r="B234" s="225"/>
      <c r="C234" s="225"/>
      <c r="D234" s="225"/>
      <c r="E234" s="229"/>
      <c r="F234" s="228"/>
    </row>
    <row r="235" spans="1:6" ht="13.5" customHeight="1" x14ac:dyDescent="0.15">
      <c r="A235" s="229"/>
      <c r="B235" s="225"/>
      <c r="C235" s="225"/>
      <c r="D235" s="225"/>
      <c r="E235" s="229"/>
      <c r="F235" s="228"/>
    </row>
    <row r="236" spans="1:6" ht="13.5" customHeight="1" x14ac:dyDescent="0.15">
      <c r="A236" s="229"/>
      <c r="B236" s="225"/>
      <c r="C236" s="225"/>
      <c r="D236" s="225"/>
      <c r="E236" s="229"/>
      <c r="F236" s="228"/>
    </row>
    <row r="237" spans="1:6" ht="13.5" customHeight="1" x14ac:dyDescent="0.15">
      <c r="A237" s="229"/>
      <c r="B237" s="225"/>
      <c r="C237" s="225"/>
      <c r="D237" s="225"/>
      <c r="E237" s="229"/>
      <c r="F237" s="228"/>
    </row>
    <row r="238" spans="1:6" ht="13.5" customHeight="1" x14ac:dyDescent="0.15">
      <c r="A238" s="229"/>
      <c r="B238" s="225"/>
      <c r="C238" s="225"/>
      <c r="D238" s="225"/>
      <c r="E238" s="229"/>
      <c r="F238" s="228"/>
    </row>
    <row r="239" spans="1:6" ht="13.5" customHeight="1" x14ac:dyDescent="0.15">
      <c r="A239" s="229"/>
      <c r="B239" s="225"/>
      <c r="C239" s="225"/>
      <c r="D239" s="225"/>
      <c r="E239" s="229"/>
      <c r="F239" s="228"/>
    </row>
    <row r="240" spans="1:6" ht="13.5" customHeight="1" x14ac:dyDescent="0.15">
      <c r="A240" s="229"/>
      <c r="B240" s="225"/>
      <c r="C240" s="225"/>
      <c r="D240" s="225"/>
      <c r="E240" s="229"/>
      <c r="F240" s="228"/>
    </row>
    <row r="241" spans="1:6" ht="13.5" customHeight="1" x14ac:dyDescent="0.15">
      <c r="A241" s="229"/>
      <c r="B241" s="225"/>
      <c r="C241" s="225"/>
      <c r="D241" s="225"/>
      <c r="E241" s="229"/>
      <c r="F241" s="228"/>
    </row>
    <row r="242" spans="1:6" ht="13.5" customHeight="1" x14ac:dyDescent="0.15">
      <c r="A242" s="229"/>
      <c r="B242" s="225"/>
      <c r="C242" s="225"/>
      <c r="D242" s="225"/>
      <c r="E242" s="229"/>
      <c r="F242" s="228"/>
    </row>
    <row r="243" spans="1:6" ht="13.5" customHeight="1" x14ac:dyDescent="0.15">
      <c r="A243" s="229"/>
      <c r="B243" s="225"/>
      <c r="C243" s="225"/>
      <c r="D243" s="225"/>
      <c r="E243" s="229"/>
      <c r="F243" s="228"/>
    </row>
    <row r="244" spans="1:6" ht="13.5" customHeight="1" x14ac:dyDescent="0.15">
      <c r="A244" s="229"/>
      <c r="B244" s="225"/>
      <c r="C244" s="225"/>
      <c r="D244" s="225"/>
      <c r="E244" s="229"/>
      <c r="F244" s="228"/>
    </row>
    <row r="245" spans="1:6" ht="13.5" customHeight="1" x14ac:dyDescent="0.15">
      <c r="A245" s="229"/>
      <c r="B245" s="225"/>
      <c r="C245" s="225"/>
      <c r="D245" s="225"/>
      <c r="E245" s="229"/>
      <c r="F245" s="228"/>
    </row>
    <row r="246" spans="1:6" ht="13.5" customHeight="1" x14ac:dyDescent="0.15">
      <c r="A246" s="229"/>
      <c r="B246" s="225"/>
      <c r="C246" s="225"/>
      <c r="D246" s="225"/>
      <c r="E246" s="229"/>
      <c r="F246" s="228"/>
    </row>
    <row r="247" spans="1:6" ht="13.5" customHeight="1" x14ac:dyDescent="0.15">
      <c r="A247" s="229"/>
      <c r="B247" s="225"/>
      <c r="C247" s="225"/>
      <c r="D247" s="225"/>
      <c r="E247" s="229"/>
      <c r="F247" s="228"/>
    </row>
    <row r="248" spans="1:6" ht="13.5" customHeight="1" x14ac:dyDescent="0.15">
      <c r="A248" s="229"/>
      <c r="B248" s="225"/>
      <c r="C248" s="225"/>
      <c r="D248" s="225"/>
      <c r="E248" s="229"/>
      <c r="F248" s="228"/>
    </row>
    <row r="249" spans="1:6" ht="13.5" customHeight="1" x14ac:dyDescent="0.15">
      <c r="A249" s="229"/>
      <c r="B249" s="225"/>
      <c r="C249" s="225"/>
      <c r="D249" s="225"/>
      <c r="E249" s="229"/>
      <c r="F249" s="228"/>
    </row>
    <row r="250" spans="1:6" ht="13.5" customHeight="1" x14ac:dyDescent="0.15">
      <c r="A250" s="229"/>
      <c r="B250" s="225"/>
      <c r="C250" s="225"/>
      <c r="D250" s="225"/>
      <c r="E250" s="229"/>
      <c r="F250" s="228"/>
    </row>
    <row r="251" spans="1:6" ht="13.5" customHeight="1" x14ac:dyDescent="0.15">
      <c r="A251" s="229"/>
      <c r="B251" s="225"/>
      <c r="C251" s="225"/>
      <c r="D251" s="225"/>
      <c r="E251" s="229"/>
      <c r="F251" s="228"/>
    </row>
    <row r="252" spans="1:6" ht="13.5" customHeight="1" x14ac:dyDescent="0.15">
      <c r="A252" s="229"/>
      <c r="B252" s="225"/>
      <c r="C252" s="225"/>
      <c r="D252" s="225"/>
      <c r="E252" s="229"/>
      <c r="F252" s="228"/>
    </row>
    <row r="253" spans="1:6" ht="13.5" customHeight="1" x14ac:dyDescent="0.15">
      <c r="A253" s="229"/>
      <c r="B253" s="225"/>
      <c r="C253" s="225"/>
      <c r="D253" s="225"/>
      <c r="E253" s="229"/>
      <c r="F253" s="228"/>
    </row>
    <row r="254" spans="1:6" ht="13.5" customHeight="1" x14ac:dyDescent="0.15">
      <c r="A254" s="229"/>
      <c r="B254" s="225"/>
      <c r="C254" s="225"/>
      <c r="D254" s="225"/>
      <c r="E254" s="229"/>
      <c r="F254" s="228"/>
    </row>
    <row r="255" spans="1:6" ht="13.5" customHeight="1" x14ac:dyDescent="0.15">
      <c r="A255" s="229"/>
      <c r="B255" s="225"/>
      <c r="C255" s="225"/>
      <c r="D255" s="225"/>
      <c r="E255" s="229"/>
      <c r="F255" s="228"/>
    </row>
    <row r="256" spans="1:6" ht="13.5" customHeight="1" x14ac:dyDescent="0.15">
      <c r="A256" s="229"/>
      <c r="B256" s="225"/>
      <c r="C256" s="225"/>
      <c r="D256" s="225"/>
      <c r="E256" s="229"/>
      <c r="F256" s="228"/>
    </row>
    <row r="257" spans="1:6" ht="13.5" customHeight="1" x14ac:dyDescent="0.15">
      <c r="A257" s="229"/>
      <c r="B257" s="225"/>
      <c r="C257" s="225"/>
      <c r="D257" s="225"/>
      <c r="E257" s="229"/>
      <c r="F257" s="228"/>
    </row>
    <row r="258" spans="1:6" ht="13.5" customHeight="1" x14ac:dyDescent="0.15">
      <c r="A258" s="229"/>
      <c r="B258" s="225"/>
      <c r="C258" s="225"/>
      <c r="D258" s="225"/>
      <c r="E258" s="229"/>
      <c r="F258" s="228"/>
    </row>
    <row r="259" spans="1:6" ht="13.5" customHeight="1" x14ac:dyDescent="0.15">
      <c r="A259" s="229"/>
      <c r="B259" s="225"/>
      <c r="C259" s="225"/>
      <c r="D259" s="225"/>
      <c r="E259" s="229"/>
      <c r="F259" s="228"/>
    </row>
    <row r="260" spans="1:6" ht="13.5" customHeight="1" x14ac:dyDescent="0.15">
      <c r="A260" s="229"/>
      <c r="B260" s="225"/>
      <c r="C260" s="225"/>
      <c r="D260" s="225"/>
      <c r="E260" s="229"/>
      <c r="F260" s="228"/>
    </row>
    <row r="261" spans="1:6" ht="13.5" customHeight="1" x14ac:dyDescent="0.15">
      <c r="A261" s="229"/>
      <c r="B261" s="225"/>
      <c r="C261" s="225"/>
      <c r="D261" s="225"/>
      <c r="E261" s="229"/>
      <c r="F261" s="228"/>
    </row>
    <row r="262" spans="1:6" ht="13.5" customHeight="1" x14ac:dyDescent="0.15">
      <c r="A262" s="229"/>
      <c r="B262" s="225"/>
      <c r="C262" s="225"/>
      <c r="D262" s="225"/>
      <c r="E262" s="229"/>
      <c r="F262" s="228"/>
    </row>
    <row r="263" spans="1:6" ht="13.5" customHeight="1" x14ac:dyDescent="0.15">
      <c r="A263" s="229"/>
      <c r="B263" s="225"/>
      <c r="C263" s="225"/>
      <c r="D263" s="225"/>
      <c r="E263" s="229"/>
      <c r="F263" s="228"/>
    </row>
    <row r="264" spans="1:6" ht="13.5" customHeight="1" x14ac:dyDescent="0.15">
      <c r="A264" s="229"/>
      <c r="B264" s="225"/>
      <c r="C264" s="225"/>
      <c r="D264" s="225"/>
      <c r="E264" s="229"/>
      <c r="F264" s="228"/>
    </row>
    <row r="265" spans="1:6" ht="13.5" customHeight="1" x14ac:dyDescent="0.15">
      <c r="A265" s="229"/>
      <c r="B265" s="225"/>
      <c r="C265" s="225"/>
      <c r="D265" s="225"/>
      <c r="E265" s="229"/>
      <c r="F265" s="228"/>
    </row>
    <row r="266" spans="1:6" ht="13.5" customHeight="1" x14ac:dyDescent="0.15">
      <c r="A266" s="229"/>
      <c r="B266" s="225"/>
      <c r="C266" s="225"/>
      <c r="D266" s="225"/>
      <c r="E266" s="229"/>
      <c r="F266" s="228"/>
    </row>
    <row r="267" spans="1:6" ht="13.5" customHeight="1" x14ac:dyDescent="0.15">
      <c r="A267" s="229"/>
      <c r="B267" s="225"/>
      <c r="C267" s="225"/>
      <c r="D267" s="225"/>
      <c r="E267" s="229"/>
      <c r="F267" s="228"/>
    </row>
    <row r="268" spans="1:6" ht="13.5" customHeight="1" x14ac:dyDescent="0.15">
      <c r="A268" s="229"/>
      <c r="B268" s="225"/>
      <c r="C268" s="225"/>
      <c r="D268" s="225"/>
      <c r="E268" s="229"/>
      <c r="F268" s="228"/>
    </row>
    <row r="269" spans="1:6" ht="13.5" customHeight="1" x14ac:dyDescent="0.15">
      <c r="A269" s="229"/>
      <c r="B269" s="225"/>
      <c r="C269" s="225"/>
      <c r="D269" s="225"/>
      <c r="E269" s="229"/>
      <c r="F269" s="228"/>
    </row>
    <row r="270" spans="1:6" ht="13.5" customHeight="1" x14ac:dyDescent="0.15">
      <c r="A270" s="229"/>
      <c r="B270" s="225"/>
      <c r="C270" s="225"/>
      <c r="D270" s="225"/>
      <c r="E270" s="229"/>
      <c r="F270" s="228"/>
    </row>
    <row r="271" spans="1:6" ht="13.5" customHeight="1" x14ac:dyDescent="0.15">
      <c r="A271" s="229"/>
      <c r="B271" s="225"/>
      <c r="C271" s="225"/>
      <c r="D271" s="225"/>
      <c r="E271" s="229"/>
      <c r="F271" s="228"/>
    </row>
    <row r="272" spans="1:6" ht="13.5" customHeight="1" x14ac:dyDescent="0.15">
      <c r="A272" s="229"/>
      <c r="B272" s="225"/>
      <c r="C272" s="225"/>
      <c r="D272" s="225"/>
      <c r="E272" s="229"/>
      <c r="F272" s="228"/>
    </row>
    <row r="273" spans="1:6" ht="13.5" customHeight="1" x14ac:dyDescent="0.15">
      <c r="A273" s="229"/>
      <c r="B273" s="225"/>
      <c r="C273" s="225"/>
      <c r="D273" s="225"/>
      <c r="E273" s="229"/>
      <c r="F273" s="228"/>
    </row>
    <row r="274" spans="1:6" ht="13.5" customHeight="1" x14ac:dyDescent="0.15">
      <c r="A274" s="229"/>
      <c r="B274" s="225"/>
      <c r="C274" s="225"/>
      <c r="D274" s="225"/>
      <c r="E274" s="229"/>
      <c r="F274" s="228"/>
    </row>
    <row r="275" spans="1:6" ht="13.5" customHeight="1" x14ac:dyDescent="0.15">
      <c r="A275" s="229"/>
      <c r="B275" s="225"/>
      <c r="C275" s="225"/>
      <c r="D275" s="225"/>
      <c r="E275" s="229"/>
      <c r="F275" s="228"/>
    </row>
    <row r="276" spans="1:6" ht="13.5" customHeight="1" x14ac:dyDescent="0.15">
      <c r="A276" s="229"/>
      <c r="B276" s="225"/>
      <c r="C276" s="225"/>
      <c r="D276" s="225"/>
      <c r="E276" s="229"/>
      <c r="F276" s="228"/>
    </row>
    <row r="277" spans="1:6" ht="13.5" customHeight="1" x14ac:dyDescent="0.15">
      <c r="A277" s="229"/>
      <c r="B277" s="225"/>
      <c r="C277" s="225"/>
      <c r="D277" s="225"/>
      <c r="E277" s="229"/>
      <c r="F277" s="228"/>
    </row>
    <row r="278" spans="1:6" ht="13.5" customHeight="1" x14ac:dyDescent="0.15">
      <c r="A278" s="229"/>
      <c r="B278" s="225"/>
      <c r="C278" s="225"/>
      <c r="D278" s="225"/>
      <c r="E278" s="229"/>
      <c r="F278" s="228"/>
    </row>
    <row r="279" spans="1:6" ht="13.5" customHeight="1" x14ac:dyDescent="0.15">
      <c r="A279" s="229"/>
      <c r="B279" s="225"/>
      <c r="C279" s="225"/>
      <c r="D279" s="225"/>
      <c r="E279" s="229"/>
      <c r="F279" s="228"/>
    </row>
    <row r="280" spans="1:6" ht="13.5" customHeight="1" x14ac:dyDescent="0.15">
      <c r="A280" s="229"/>
      <c r="B280" s="225"/>
      <c r="C280" s="225"/>
      <c r="D280" s="225"/>
      <c r="E280" s="229"/>
      <c r="F280" s="228"/>
    </row>
    <row r="281" spans="1:6" ht="13.5" customHeight="1" x14ac:dyDescent="0.15">
      <c r="A281" s="229"/>
      <c r="B281" s="225"/>
      <c r="C281" s="225"/>
      <c r="D281" s="225"/>
      <c r="E281" s="229"/>
      <c r="F281" s="228"/>
    </row>
    <row r="282" spans="1:6" ht="13.5" customHeight="1" x14ac:dyDescent="0.15">
      <c r="A282" s="229"/>
      <c r="B282" s="225"/>
      <c r="C282" s="225"/>
      <c r="D282" s="225"/>
      <c r="E282" s="229"/>
      <c r="F282" s="228"/>
    </row>
    <row r="283" spans="1:6" ht="13.5" customHeight="1" x14ac:dyDescent="0.15">
      <c r="A283" s="229"/>
      <c r="B283" s="225"/>
      <c r="C283" s="225"/>
      <c r="D283" s="225"/>
      <c r="E283" s="229"/>
      <c r="F283" s="228"/>
    </row>
    <row r="284" spans="1:6" ht="13.5" customHeight="1" x14ac:dyDescent="0.15">
      <c r="A284" s="229"/>
      <c r="B284" s="225"/>
      <c r="C284" s="225"/>
      <c r="D284" s="225"/>
      <c r="E284" s="229"/>
      <c r="F284" s="228"/>
    </row>
    <row r="285" spans="1:6" ht="13.5" customHeight="1" x14ac:dyDescent="0.15">
      <c r="A285" s="229"/>
      <c r="B285" s="225"/>
      <c r="C285" s="225"/>
      <c r="D285" s="225"/>
      <c r="E285" s="229"/>
      <c r="F285" s="228"/>
    </row>
    <row r="286" spans="1:6" ht="13.5" customHeight="1" x14ac:dyDescent="0.15">
      <c r="A286" s="229"/>
      <c r="B286" s="225"/>
      <c r="C286" s="225"/>
      <c r="D286" s="225"/>
      <c r="E286" s="229"/>
      <c r="F286" s="228"/>
    </row>
    <row r="287" spans="1:6" ht="13.5" customHeight="1" x14ac:dyDescent="0.15">
      <c r="A287" s="229"/>
      <c r="B287" s="225"/>
      <c r="C287" s="225"/>
      <c r="D287" s="225"/>
      <c r="E287" s="229"/>
      <c r="F287" s="228"/>
    </row>
    <row r="288" spans="1:6" ht="13.5" customHeight="1" x14ac:dyDescent="0.15">
      <c r="A288" s="229"/>
      <c r="B288" s="225"/>
      <c r="C288" s="225"/>
      <c r="D288" s="225"/>
      <c r="E288" s="229"/>
      <c r="F288" s="228"/>
    </row>
    <row r="289" spans="1:6" ht="13.5" customHeight="1" x14ac:dyDescent="0.15">
      <c r="A289" s="229"/>
      <c r="B289" s="225"/>
      <c r="C289" s="225"/>
      <c r="D289" s="225"/>
      <c r="E289" s="229"/>
      <c r="F289" s="228"/>
    </row>
    <row r="290" spans="1:6" ht="13.5" customHeight="1" x14ac:dyDescent="0.15">
      <c r="A290" s="229"/>
      <c r="B290" s="225"/>
      <c r="C290" s="225"/>
      <c r="D290" s="225"/>
      <c r="E290" s="229"/>
      <c r="F290" s="228"/>
    </row>
    <row r="291" spans="1:6" ht="13.5" customHeight="1" x14ac:dyDescent="0.15">
      <c r="A291" s="229"/>
      <c r="B291" s="225"/>
      <c r="C291" s="225"/>
      <c r="D291" s="225"/>
      <c r="E291" s="229"/>
      <c r="F291" s="228"/>
    </row>
    <row r="292" spans="1:6" ht="13.5" customHeight="1" x14ac:dyDescent="0.15">
      <c r="A292" s="229"/>
      <c r="B292" s="225"/>
      <c r="C292" s="225"/>
      <c r="D292" s="225"/>
      <c r="E292" s="229"/>
      <c r="F292" s="228"/>
    </row>
    <row r="293" spans="1:6" ht="13.5" customHeight="1" x14ac:dyDescent="0.15">
      <c r="A293" s="229"/>
      <c r="B293" s="225"/>
      <c r="C293" s="225"/>
      <c r="D293" s="225"/>
      <c r="E293" s="229"/>
      <c r="F293" s="228"/>
    </row>
    <row r="294" spans="1:6" ht="13.5" customHeight="1" x14ac:dyDescent="0.15">
      <c r="A294" s="229"/>
      <c r="B294" s="225"/>
      <c r="C294" s="225"/>
      <c r="D294" s="225"/>
      <c r="E294" s="229"/>
      <c r="F294" s="228"/>
    </row>
    <row r="295" spans="1:6" ht="13.5" customHeight="1" x14ac:dyDescent="0.15">
      <c r="A295" s="229"/>
      <c r="B295" s="225"/>
      <c r="C295" s="225"/>
      <c r="D295" s="225"/>
      <c r="E295" s="229"/>
      <c r="F295" s="228"/>
    </row>
    <row r="296" spans="1:6" ht="13.5" customHeight="1" x14ac:dyDescent="0.15">
      <c r="A296" s="229"/>
      <c r="B296" s="225"/>
      <c r="C296" s="225"/>
      <c r="D296" s="225"/>
      <c r="E296" s="229"/>
      <c r="F296" s="228"/>
    </row>
    <row r="297" spans="1:6" ht="13.5" customHeight="1" x14ac:dyDescent="0.15">
      <c r="A297" s="229"/>
      <c r="B297" s="225"/>
      <c r="C297" s="225"/>
      <c r="D297" s="225"/>
      <c r="E297" s="229"/>
      <c r="F297" s="228"/>
    </row>
    <row r="298" spans="1:6" ht="13.5" customHeight="1" x14ac:dyDescent="0.15">
      <c r="A298" s="229"/>
      <c r="B298" s="225"/>
      <c r="C298" s="225"/>
      <c r="D298" s="225"/>
      <c r="E298" s="229"/>
      <c r="F298" s="228"/>
    </row>
    <row r="299" spans="1:6" ht="13.5" customHeight="1" x14ac:dyDescent="0.15">
      <c r="A299" s="229"/>
      <c r="B299" s="225"/>
      <c r="C299" s="225"/>
      <c r="D299" s="225"/>
      <c r="E299" s="229"/>
      <c r="F299" s="228"/>
    </row>
    <row r="300" spans="1:6" ht="13.5" customHeight="1" x14ac:dyDescent="0.15">
      <c r="A300" s="229"/>
      <c r="B300" s="225"/>
      <c r="C300" s="225"/>
      <c r="D300" s="225"/>
      <c r="E300" s="229"/>
      <c r="F300" s="228"/>
    </row>
    <row r="301" spans="1:6" ht="13.5" customHeight="1" x14ac:dyDescent="0.15">
      <c r="A301" s="229"/>
      <c r="B301" s="225"/>
      <c r="C301" s="225"/>
      <c r="D301" s="225"/>
      <c r="E301" s="229"/>
      <c r="F301" s="228"/>
    </row>
    <row r="302" spans="1:6" ht="13.5" customHeight="1" x14ac:dyDescent="0.15">
      <c r="A302" s="229"/>
      <c r="B302" s="225"/>
      <c r="C302" s="225"/>
      <c r="D302" s="225"/>
      <c r="E302" s="229"/>
      <c r="F302" s="228"/>
    </row>
    <row r="303" spans="1:6" ht="13.5" customHeight="1" x14ac:dyDescent="0.15">
      <c r="A303" s="229"/>
      <c r="B303" s="225"/>
      <c r="C303" s="225"/>
      <c r="D303" s="225"/>
      <c r="E303" s="229"/>
      <c r="F303" s="228"/>
    </row>
    <row r="304" spans="1:6" ht="13.5" customHeight="1" x14ac:dyDescent="0.15">
      <c r="A304" s="229"/>
      <c r="B304" s="225"/>
      <c r="C304" s="225"/>
      <c r="D304" s="225"/>
      <c r="E304" s="229"/>
      <c r="F304" s="228"/>
    </row>
    <row r="305" spans="1:6" ht="13.5" customHeight="1" x14ac:dyDescent="0.15">
      <c r="A305" s="229"/>
      <c r="B305" s="225"/>
      <c r="C305" s="225"/>
      <c r="D305" s="225"/>
      <c r="E305" s="229"/>
      <c r="F305" s="228"/>
    </row>
  </sheetData>
  <mergeCells count="1">
    <mergeCell ref="A1:F1"/>
  </mergeCells>
  <conditionalFormatting sqref="C5:C14">
    <cfRule type="cellIs" dxfId="12" priority="2" operator="equal">
      <formula>"Y"</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8"/>
  <sheetViews>
    <sheetView showGridLines="0" tabSelected="1" zoomScaleNormal="100" workbookViewId="0">
      <selection activeCell="A164" sqref="A164"/>
    </sheetView>
  </sheetViews>
  <sheetFormatPr baseColWidth="10" defaultColWidth="8.6640625" defaultRowHeight="15" x14ac:dyDescent="0.2"/>
  <cols>
    <col min="1" max="1" width="26" customWidth="1"/>
    <col min="2" max="2" width="45" customWidth="1"/>
    <col min="3" max="3" width="59.83203125" customWidth="1"/>
    <col min="4" max="4" width="55" customWidth="1"/>
    <col min="5" max="5" width="1" customWidth="1"/>
  </cols>
  <sheetData>
    <row r="1" spans="1:6" ht="15.75" customHeight="1" x14ac:dyDescent="0.2">
      <c r="A1" s="255" t="s">
        <v>986</v>
      </c>
      <c r="B1" s="255"/>
      <c r="C1" s="255"/>
      <c r="D1" s="255"/>
      <c r="E1" s="255"/>
      <c r="F1" s="255"/>
    </row>
    <row r="2" spans="1:6" ht="15" customHeight="1" x14ac:dyDescent="0.2">
      <c r="A2" s="256" t="s">
        <v>987</v>
      </c>
      <c r="B2" s="256"/>
      <c r="C2" s="256"/>
      <c r="D2" s="256"/>
      <c r="E2" s="256"/>
      <c r="F2" s="256"/>
    </row>
    <row r="4" spans="1:6" ht="15" customHeight="1" x14ac:dyDescent="0.2">
      <c r="A4" s="257" t="s">
        <v>988</v>
      </c>
      <c r="B4" s="257"/>
      <c r="C4" s="257"/>
      <c r="D4" s="257"/>
      <c r="E4" s="257"/>
      <c r="F4" s="257"/>
    </row>
    <row r="5" spans="1:6" ht="15" customHeight="1" x14ac:dyDescent="0.2">
      <c r="A5" s="230" t="s">
        <v>989</v>
      </c>
      <c r="B5" s="230" t="s">
        <v>990</v>
      </c>
      <c r="C5" s="230" t="s">
        <v>991</v>
      </c>
      <c r="D5" s="230" t="s">
        <v>992</v>
      </c>
    </row>
    <row r="6" spans="1:6" ht="15" customHeight="1" x14ac:dyDescent="0.2">
      <c r="A6" s="231" t="s">
        <v>993</v>
      </c>
      <c r="B6" s="231" t="s">
        <v>994</v>
      </c>
      <c r="C6" s="231" t="s">
        <v>994</v>
      </c>
      <c r="D6" s="258" t="s">
        <v>995</v>
      </c>
      <c r="E6" s="258"/>
      <c r="F6" s="258"/>
    </row>
    <row r="8" spans="1:6" ht="15" customHeight="1" x14ac:dyDescent="0.2">
      <c r="A8" s="257" t="s">
        <v>996</v>
      </c>
      <c r="B8" s="257"/>
      <c r="C8" s="257"/>
      <c r="D8" s="257"/>
      <c r="E8" s="257"/>
      <c r="F8" s="257"/>
    </row>
    <row r="9" spans="1:6" ht="15" customHeight="1" x14ac:dyDescent="0.2">
      <c r="A9" s="230" t="s">
        <v>989</v>
      </c>
      <c r="B9" s="230" t="s">
        <v>990</v>
      </c>
      <c r="C9" s="230" t="s">
        <v>991</v>
      </c>
      <c r="D9" s="230" t="s">
        <v>992</v>
      </c>
    </row>
    <row r="10" spans="1:6" ht="15" customHeight="1" x14ac:dyDescent="0.2">
      <c r="A10" s="231" t="s">
        <v>997</v>
      </c>
      <c r="B10" s="231" t="s">
        <v>994</v>
      </c>
      <c r="C10" s="231" t="s">
        <v>998</v>
      </c>
      <c r="D10" s="258" t="s">
        <v>999</v>
      </c>
      <c r="E10" s="258"/>
      <c r="F10" s="258"/>
    </row>
    <row r="12" spans="1:6" ht="15" customHeight="1" x14ac:dyDescent="0.2">
      <c r="A12" s="257" t="s">
        <v>1000</v>
      </c>
      <c r="B12" s="257"/>
      <c r="C12" s="257"/>
      <c r="D12" s="257"/>
      <c r="E12" s="257"/>
      <c r="F12" s="257"/>
    </row>
    <row r="13" spans="1:6" ht="15" customHeight="1" x14ac:dyDescent="0.2">
      <c r="A13" s="230" t="s">
        <v>989</v>
      </c>
      <c r="B13" s="230" t="s">
        <v>990</v>
      </c>
      <c r="C13" s="230" t="s">
        <v>991</v>
      </c>
      <c r="D13" s="230" t="s">
        <v>992</v>
      </c>
    </row>
    <row r="14" spans="1:6" ht="84" customHeight="1" x14ac:dyDescent="0.2">
      <c r="A14" s="231" t="s">
        <v>1001</v>
      </c>
      <c r="B14" s="231" t="s">
        <v>1002</v>
      </c>
      <c r="C14" s="231" t="s">
        <v>1003</v>
      </c>
      <c r="D14" s="258" t="s">
        <v>1004</v>
      </c>
      <c r="E14" s="258"/>
      <c r="F14" s="258"/>
    </row>
    <row r="16" spans="1:6" ht="15" customHeight="1" x14ac:dyDescent="0.2">
      <c r="A16" s="257" t="s">
        <v>1005</v>
      </c>
      <c r="B16" s="257"/>
      <c r="C16" s="257"/>
      <c r="D16" s="257"/>
      <c r="E16" s="257"/>
      <c r="F16" s="257"/>
    </row>
    <row r="17" spans="1:6" ht="15" customHeight="1" x14ac:dyDescent="0.2">
      <c r="A17" s="230" t="s">
        <v>989</v>
      </c>
      <c r="B17" s="230" t="s">
        <v>990</v>
      </c>
      <c r="C17" s="230" t="s">
        <v>991</v>
      </c>
      <c r="D17" s="230" t="s">
        <v>992</v>
      </c>
    </row>
    <row r="18" spans="1:6" ht="79.5" customHeight="1" x14ac:dyDescent="0.2">
      <c r="A18" s="231" t="s">
        <v>1001</v>
      </c>
      <c r="B18" s="231" t="s">
        <v>1006</v>
      </c>
      <c r="C18" s="231" t="s">
        <v>1007</v>
      </c>
      <c r="D18" s="258" t="s">
        <v>1008</v>
      </c>
      <c r="E18" s="258"/>
      <c r="F18" s="258"/>
    </row>
    <row r="20" spans="1:6" ht="15" customHeight="1" x14ac:dyDescent="0.2">
      <c r="A20" s="257" t="s">
        <v>1009</v>
      </c>
      <c r="B20" s="257"/>
      <c r="C20" s="257"/>
      <c r="D20" s="257"/>
      <c r="E20" s="257"/>
      <c r="F20" s="257"/>
    </row>
    <row r="21" spans="1:6" ht="15" customHeight="1" x14ac:dyDescent="0.2">
      <c r="A21" s="230" t="s">
        <v>989</v>
      </c>
      <c r="B21" s="230" t="s">
        <v>990</v>
      </c>
      <c r="C21" s="230" t="s">
        <v>991</v>
      </c>
      <c r="D21" s="230" t="s">
        <v>992</v>
      </c>
    </row>
    <row r="22" spans="1:6" ht="96" customHeight="1" x14ac:dyDescent="0.2">
      <c r="A22" s="231" t="s">
        <v>1010</v>
      </c>
      <c r="B22" s="231" t="s">
        <v>994</v>
      </c>
      <c r="C22" s="231" t="s">
        <v>1011</v>
      </c>
      <c r="D22" s="258" t="s">
        <v>1012</v>
      </c>
      <c r="E22" s="258"/>
      <c r="F22" s="258"/>
    </row>
    <row r="24" spans="1:6" ht="15" customHeight="1" x14ac:dyDescent="0.2">
      <c r="A24" s="257" t="s">
        <v>1013</v>
      </c>
      <c r="B24" s="257"/>
      <c r="C24" s="257"/>
      <c r="D24" s="257"/>
      <c r="E24" s="257"/>
      <c r="F24" s="257"/>
    </row>
    <row r="25" spans="1:6" ht="15" customHeight="1" x14ac:dyDescent="0.2">
      <c r="A25" s="230" t="s">
        <v>989</v>
      </c>
      <c r="B25" s="230" t="s">
        <v>990</v>
      </c>
      <c r="C25" s="230" t="s">
        <v>991</v>
      </c>
      <c r="D25" s="230" t="s">
        <v>992</v>
      </c>
    </row>
    <row r="26" spans="1:6" ht="45.75" customHeight="1" x14ac:dyDescent="0.2">
      <c r="A26" s="231" t="s">
        <v>1001</v>
      </c>
      <c r="B26" s="231" t="s">
        <v>1014</v>
      </c>
      <c r="C26" s="231" t="s">
        <v>1015</v>
      </c>
      <c r="D26" s="258" t="s">
        <v>1016</v>
      </c>
      <c r="E26" s="258"/>
      <c r="F26" s="258"/>
    </row>
    <row r="28" spans="1:6" ht="15" customHeight="1" x14ac:dyDescent="0.2">
      <c r="A28" s="257" t="s">
        <v>1017</v>
      </c>
      <c r="B28" s="257"/>
      <c r="C28" s="257"/>
      <c r="D28" s="257"/>
      <c r="E28" s="257"/>
      <c r="F28" s="257"/>
    </row>
    <row r="29" spans="1:6" ht="15" customHeight="1" x14ac:dyDescent="0.2">
      <c r="A29" s="230" t="s">
        <v>989</v>
      </c>
      <c r="B29" s="230" t="s">
        <v>990</v>
      </c>
      <c r="C29" s="230" t="s">
        <v>991</v>
      </c>
      <c r="D29" s="230" t="s">
        <v>992</v>
      </c>
    </row>
    <row r="30" spans="1:6" ht="24" customHeight="1" x14ac:dyDescent="0.2">
      <c r="A30" s="231" t="s">
        <v>1018</v>
      </c>
      <c r="B30" s="231" t="s">
        <v>1019</v>
      </c>
      <c r="C30" s="231" t="s">
        <v>1020</v>
      </c>
      <c r="D30" s="258" t="s">
        <v>1021</v>
      </c>
      <c r="E30" s="258"/>
      <c r="F30" s="258"/>
    </row>
    <row r="32" spans="1:6" ht="15" customHeight="1" x14ac:dyDescent="0.2">
      <c r="A32" s="257" t="s">
        <v>1022</v>
      </c>
      <c r="B32" s="257"/>
      <c r="C32" s="257"/>
      <c r="D32" s="257"/>
      <c r="E32" s="257"/>
      <c r="F32" s="257"/>
    </row>
    <row r="33" spans="1:6" ht="15" customHeight="1" x14ac:dyDescent="0.2">
      <c r="A33" s="230" t="s">
        <v>989</v>
      </c>
      <c r="B33" s="230" t="s">
        <v>990</v>
      </c>
      <c r="C33" s="230" t="s">
        <v>991</v>
      </c>
      <c r="D33" s="230" t="s">
        <v>992</v>
      </c>
    </row>
    <row r="34" spans="1:6" ht="99.75" customHeight="1" x14ac:dyDescent="0.2">
      <c r="A34" s="231" t="s">
        <v>1001</v>
      </c>
      <c r="B34" s="231" t="s">
        <v>1023</v>
      </c>
      <c r="C34" s="231" t="s">
        <v>1024</v>
      </c>
      <c r="D34" s="258" t="s">
        <v>1025</v>
      </c>
      <c r="E34" s="258"/>
      <c r="F34" s="258"/>
    </row>
    <row r="36" spans="1:6" ht="15" customHeight="1" x14ac:dyDescent="0.2">
      <c r="A36" s="257" t="s">
        <v>1026</v>
      </c>
      <c r="B36" s="257"/>
      <c r="C36" s="257"/>
      <c r="D36" s="257"/>
      <c r="E36" s="257"/>
      <c r="F36" s="257"/>
    </row>
    <row r="37" spans="1:6" ht="15" customHeight="1" x14ac:dyDescent="0.2">
      <c r="A37" s="230" t="s">
        <v>989</v>
      </c>
      <c r="B37" s="230" t="s">
        <v>990</v>
      </c>
      <c r="C37" s="230" t="s">
        <v>991</v>
      </c>
      <c r="D37" s="230" t="s">
        <v>992</v>
      </c>
    </row>
    <row r="38" spans="1:6" ht="36" customHeight="1" x14ac:dyDescent="0.2">
      <c r="A38" s="231" t="s">
        <v>1010</v>
      </c>
      <c r="B38" s="231" t="s">
        <v>994</v>
      </c>
      <c r="C38" s="231" t="s">
        <v>1027</v>
      </c>
      <c r="D38" s="258" t="s">
        <v>1028</v>
      </c>
      <c r="E38" s="258"/>
      <c r="F38" s="258"/>
    </row>
    <row r="40" spans="1:6" ht="15" customHeight="1" x14ac:dyDescent="0.2">
      <c r="A40" s="257" t="s">
        <v>1029</v>
      </c>
      <c r="B40" s="257"/>
      <c r="C40" s="257"/>
      <c r="D40" s="257"/>
      <c r="E40" s="257"/>
      <c r="F40" s="257"/>
    </row>
    <row r="41" spans="1:6" ht="15" customHeight="1" x14ac:dyDescent="0.2">
      <c r="A41" s="230" t="s">
        <v>989</v>
      </c>
      <c r="B41" s="230" t="s">
        <v>990</v>
      </c>
      <c r="C41" s="230" t="s">
        <v>991</v>
      </c>
      <c r="D41" s="230" t="s">
        <v>992</v>
      </c>
    </row>
    <row r="42" spans="1:6" ht="180" customHeight="1" x14ac:dyDescent="0.2">
      <c r="A42" s="231" t="s">
        <v>1030</v>
      </c>
      <c r="B42" s="231" t="s">
        <v>994</v>
      </c>
      <c r="C42" s="231" t="s">
        <v>1031</v>
      </c>
      <c r="D42" s="258" t="s">
        <v>1032</v>
      </c>
      <c r="E42" s="258"/>
      <c r="F42" s="258"/>
    </row>
    <row r="44" spans="1:6" ht="15" customHeight="1" x14ac:dyDescent="0.2">
      <c r="A44" s="257" t="s">
        <v>1033</v>
      </c>
      <c r="B44" s="257"/>
      <c r="C44" s="257"/>
      <c r="D44" s="257"/>
      <c r="E44" s="257"/>
      <c r="F44" s="257"/>
    </row>
    <row r="45" spans="1:6" ht="15" customHeight="1" x14ac:dyDescent="0.2">
      <c r="A45" s="230" t="s">
        <v>989</v>
      </c>
      <c r="B45" s="230" t="s">
        <v>990</v>
      </c>
      <c r="C45" s="230" t="s">
        <v>991</v>
      </c>
      <c r="D45" s="230" t="s">
        <v>992</v>
      </c>
    </row>
    <row r="46" spans="1:6" ht="90.75" customHeight="1" x14ac:dyDescent="0.2">
      <c r="A46" s="231" t="s">
        <v>1034</v>
      </c>
      <c r="B46" s="231" t="s">
        <v>994</v>
      </c>
      <c r="C46" s="231" t="s">
        <v>1035</v>
      </c>
      <c r="D46" s="258" t="s">
        <v>1036</v>
      </c>
      <c r="E46" s="258"/>
      <c r="F46" s="258"/>
    </row>
    <row r="48" spans="1:6" ht="15" customHeight="1" x14ac:dyDescent="0.2">
      <c r="A48" s="257" t="s">
        <v>1037</v>
      </c>
      <c r="B48" s="257"/>
      <c r="C48" s="257"/>
      <c r="D48" s="257"/>
      <c r="E48" s="257"/>
      <c r="F48" s="257"/>
    </row>
    <row r="49" spans="1:6" ht="15" customHeight="1" x14ac:dyDescent="0.2">
      <c r="A49" s="230" t="s">
        <v>989</v>
      </c>
      <c r="B49" s="230" t="s">
        <v>990</v>
      </c>
      <c r="C49" s="230" t="s">
        <v>991</v>
      </c>
      <c r="D49" s="230" t="s">
        <v>992</v>
      </c>
    </row>
    <row r="50" spans="1:6" ht="27.75" customHeight="1" x14ac:dyDescent="0.2">
      <c r="A50" s="231" t="s">
        <v>1001</v>
      </c>
      <c r="B50" s="231" t="s">
        <v>1038</v>
      </c>
      <c r="C50" s="231" t="s">
        <v>1039</v>
      </c>
      <c r="D50" s="258" t="s">
        <v>1040</v>
      </c>
      <c r="E50" s="258"/>
      <c r="F50" s="258"/>
    </row>
    <row r="52" spans="1:6" ht="15" customHeight="1" x14ac:dyDescent="0.2">
      <c r="A52" s="257" t="s">
        <v>1041</v>
      </c>
      <c r="B52" s="257"/>
      <c r="C52" s="257"/>
      <c r="D52" s="257"/>
      <c r="E52" s="257"/>
      <c r="F52" s="257"/>
    </row>
    <row r="53" spans="1:6" ht="15" customHeight="1" x14ac:dyDescent="0.2">
      <c r="A53" s="230" t="s">
        <v>989</v>
      </c>
      <c r="B53" s="230" t="s">
        <v>990</v>
      </c>
      <c r="C53" s="230" t="s">
        <v>991</v>
      </c>
      <c r="D53" s="230" t="s">
        <v>992</v>
      </c>
    </row>
    <row r="54" spans="1:6" ht="27.75" customHeight="1" x14ac:dyDescent="0.2">
      <c r="A54" s="231" t="s">
        <v>1001</v>
      </c>
      <c r="B54" s="231" t="s">
        <v>1042</v>
      </c>
      <c r="C54" s="231" t="s">
        <v>1043</v>
      </c>
      <c r="D54" s="258" t="s">
        <v>1044</v>
      </c>
      <c r="E54" s="258"/>
      <c r="F54" s="258"/>
    </row>
    <row r="56" spans="1:6" ht="15" customHeight="1" x14ac:dyDescent="0.2">
      <c r="A56" s="257" t="s">
        <v>1045</v>
      </c>
      <c r="B56" s="257"/>
      <c r="C56" s="257"/>
      <c r="D56" s="257"/>
      <c r="E56" s="257"/>
      <c r="F56" s="257"/>
    </row>
    <row r="57" spans="1:6" ht="15" customHeight="1" x14ac:dyDescent="0.2">
      <c r="A57" s="230" t="s">
        <v>989</v>
      </c>
      <c r="B57" s="230" t="s">
        <v>990</v>
      </c>
      <c r="C57" s="230" t="s">
        <v>991</v>
      </c>
      <c r="D57" s="230" t="s">
        <v>992</v>
      </c>
    </row>
    <row r="58" spans="1:6" ht="60" customHeight="1" x14ac:dyDescent="0.2">
      <c r="A58" s="231" t="s">
        <v>1018</v>
      </c>
      <c r="B58" s="231" t="s">
        <v>1046</v>
      </c>
      <c r="C58" s="231" t="s">
        <v>1047</v>
      </c>
      <c r="D58" s="258" t="s">
        <v>1048</v>
      </c>
      <c r="E58" s="258"/>
      <c r="F58" s="258"/>
    </row>
    <row r="60" spans="1:6" ht="15" customHeight="1" x14ac:dyDescent="0.2">
      <c r="A60" s="257" t="s">
        <v>1049</v>
      </c>
      <c r="B60" s="257"/>
      <c r="C60" s="257"/>
      <c r="D60" s="257"/>
      <c r="E60" s="257"/>
      <c r="F60" s="257"/>
    </row>
    <row r="61" spans="1:6" ht="15" customHeight="1" x14ac:dyDescent="0.2">
      <c r="A61" s="230" t="s">
        <v>989</v>
      </c>
      <c r="B61" s="230" t="s">
        <v>990</v>
      </c>
      <c r="C61" s="230" t="s">
        <v>991</v>
      </c>
      <c r="D61" s="230" t="s">
        <v>992</v>
      </c>
    </row>
    <row r="62" spans="1:6" ht="96" customHeight="1" x14ac:dyDescent="0.2">
      <c r="A62" s="231" t="s">
        <v>1018</v>
      </c>
      <c r="B62" s="231" t="s">
        <v>1050</v>
      </c>
      <c r="C62" s="231" t="s">
        <v>1051</v>
      </c>
      <c r="D62" s="258" t="s">
        <v>1052</v>
      </c>
      <c r="E62" s="258"/>
      <c r="F62" s="258"/>
    </row>
    <row r="64" spans="1:6" ht="15" customHeight="1" x14ac:dyDescent="0.2">
      <c r="A64" s="257" t="s">
        <v>1053</v>
      </c>
      <c r="B64" s="257"/>
      <c r="C64" s="257"/>
      <c r="D64" s="257"/>
      <c r="E64" s="257"/>
      <c r="F64" s="257"/>
    </row>
    <row r="65" spans="1:6" ht="15" customHeight="1" x14ac:dyDescent="0.2">
      <c r="A65" s="230" t="s">
        <v>989</v>
      </c>
      <c r="B65" s="230" t="s">
        <v>990</v>
      </c>
      <c r="C65" s="230" t="s">
        <v>991</v>
      </c>
      <c r="D65" s="230" t="s">
        <v>992</v>
      </c>
    </row>
    <row r="66" spans="1:6" ht="177" customHeight="1" x14ac:dyDescent="0.2">
      <c r="A66" s="231" t="s">
        <v>1001</v>
      </c>
      <c r="B66" s="231" t="s">
        <v>1054</v>
      </c>
      <c r="C66" s="231" t="s">
        <v>1055</v>
      </c>
      <c r="D66" s="258" t="s">
        <v>1056</v>
      </c>
      <c r="E66" s="258"/>
      <c r="F66" s="258"/>
    </row>
    <row r="68" spans="1:6" ht="15" customHeight="1" x14ac:dyDescent="0.2">
      <c r="A68" s="257" t="s">
        <v>1057</v>
      </c>
      <c r="B68" s="257"/>
      <c r="C68" s="257"/>
      <c r="D68" s="257"/>
      <c r="E68" s="257"/>
      <c r="F68" s="257"/>
    </row>
    <row r="69" spans="1:6" ht="15" customHeight="1" x14ac:dyDescent="0.2">
      <c r="A69" s="230" t="s">
        <v>989</v>
      </c>
      <c r="B69" s="230" t="s">
        <v>990</v>
      </c>
      <c r="C69" s="230" t="s">
        <v>991</v>
      </c>
      <c r="D69" s="230" t="s">
        <v>992</v>
      </c>
    </row>
    <row r="70" spans="1:6" ht="15" customHeight="1" x14ac:dyDescent="0.2">
      <c r="A70" s="231" t="s">
        <v>1001</v>
      </c>
      <c r="B70" s="231" t="s">
        <v>1058</v>
      </c>
      <c r="C70" s="231" t="s">
        <v>1059</v>
      </c>
      <c r="D70" s="258" t="s">
        <v>1060</v>
      </c>
      <c r="E70" s="258"/>
      <c r="F70" s="258"/>
    </row>
    <row r="72" spans="1:6" ht="15" customHeight="1" x14ac:dyDescent="0.2">
      <c r="A72" s="257" t="s">
        <v>1061</v>
      </c>
      <c r="B72" s="257"/>
      <c r="C72" s="257"/>
      <c r="D72" s="257"/>
      <c r="E72" s="257"/>
      <c r="F72" s="257"/>
    </row>
    <row r="73" spans="1:6" ht="15" customHeight="1" x14ac:dyDescent="0.2">
      <c r="A73" s="230" t="s">
        <v>989</v>
      </c>
      <c r="B73" s="230" t="s">
        <v>990</v>
      </c>
      <c r="C73" s="230" t="s">
        <v>991</v>
      </c>
      <c r="D73" s="230" t="s">
        <v>992</v>
      </c>
    </row>
    <row r="74" spans="1:6" ht="60" customHeight="1" x14ac:dyDescent="0.2">
      <c r="A74" s="231" t="s">
        <v>1001</v>
      </c>
      <c r="B74" s="231" t="s">
        <v>1062</v>
      </c>
      <c r="C74" s="231" t="s">
        <v>1063</v>
      </c>
      <c r="D74" s="258" t="s">
        <v>1064</v>
      </c>
      <c r="E74" s="258"/>
      <c r="F74" s="258"/>
    </row>
    <row r="76" spans="1:6" ht="15" customHeight="1" x14ac:dyDescent="0.2">
      <c r="A76" s="257" t="s">
        <v>1065</v>
      </c>
      <c r="B76" s="257"/>
      <c r="C76" s="257"/>
      <c r="D76" s="257"/>
      <c r="E76" s="257"/>
      <c r="F76" s="257"/>
    </row>
    <row r="77" spans="1:6" ht="15" customHeight="1" x14ac:dyDescent="0.2">
      <c r="A77" s="230" t="s">
        <v>989</v>
      </c>
      <c r="B77" s="230" t="s">
        <v>990</v>
      </c>
      <c r="C77" s="230" t="s">
        <v>991</v>
      </c>
      <c r="D77" s="230" t="s">
        <v>992</v>
      </c>
    </row>
    <row r="78" spans="1:6" ht="24" customHeight="1" x14ac:dyDescent="0.2">
      <c r="A78" s="231" t="s">
        <v>1001</v>
      </c>
      <c r="B78" s="231" t="s">
        <v>1066</v>
      </c>
      <c r="C78" s="231" t="s">
        <v>1067</v>
      </c>
      <c r="D78" s="258" t="s">
        <v>1068</v>
      </c>
      <c r="E78" s="258"/>
      <c r="F78" s="258"/>
    </row>
  </sheetData>
  <mergeCells count="40">
    <mergeCell ref="D70:F70"/>
    <mergeCell ref="A72:F72"/>
    <mergeCell ref="D74:F74"/>
    <mergeCell ref="A76:F76"/>
    <mergeCell ref="D78:F78"/>
    <mergeCell ref="A60:F60"/>
    <mergeCell ref="D62:F62"/>
    <mergeCell ref="A64:F64"/>
    <mergeCell ref="D66:F66"/>
    <mergeCell ref="A68:F68"/>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showGridLines="0" zoomScaleNormal="100" workbookViewId="0">
      <selection activeCell="F7" sqref="F7"/>
    </sheetView>
  </sheetViews>
  <sheetFormatPr baseColWidth="10" defaultColWidth="10.6640625" defaultRowHeight="15" x14ac:dyDescent="0.2"/>
  <sheetData/>
  <pageMargins left="0.7" right="0.7" top="0.75" bottom="0.75" header="0.511811023622047" footer="0.51180555555555596"/>
  <pageSetup orientation="portrait" horizontalDpi="300" verticalDpi="300"/>
  <headerFoot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21</vt:i4>
      </vt:variant>
      <vt:variant>
        <vt:lpstr>Named Ranges</vt:lpstr>
      </vt:variant>
      <vt:variant>
        <vt:i4>7</vt:i4>
      </vt:variant>
    </vt:vector>
  </HeadingPairs>
  <TitlesOfParts>
    <vt:vector size="28"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Process Checklist</vt:lpstr>
      <vt:lpstr>Open Items</vt:lpstr>
      <vt:lpstr>Schema Reference</vt:lpstr>
      <vt:lpstr>Scratchpad (disregard)</vt:lpstr>
      <vt:lpstr>MON_SignalsAsOf</vt:lpstr>
      <vt:lpstr>Journal!Print_Area</vt:lpstr>
      <vt:lpstr>PT_AsOf</vt:lpstr>
      <vt:lpstr>PT_Inception</vt:lpstr>
      <vt:lpstr>PT_SPY_0805</vt:lpstr>
      <vt:lpstr>PT_SPY_1231</vt:lpstr>
      <vt:lpstr>PT_SPY_Now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368</cp:revision>
  <cp:lastPrinted>2026-09-13T01:05:49Z</cp:lastPrinted>
  <dcterms:created xsi:type="dcterms:W3CDTF">2026-08-05T19:31:08Z</dcterms:created>
  <dcterms:modified xsi:type="dcterms:W3CDTF">2026-10-10T16:13:10Z</dcterms:modified>
  <dc:language>en-US</dc:language>
</cp:coreProperties>
</file>