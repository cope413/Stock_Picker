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<sst xmlns="http://schemas.openxmlformats.org/spreadsheetml/2006/main" count="1290" uniqueCount="564">
  <si>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</si>
  <si>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</si>
  <si>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</si>
  <si>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</si>
  <si>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</si>
  <si>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</si>
  <si>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</si>
  <si>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</si>
  <si>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</si>
  <si>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</si>
  <si>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</si>
  <si>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</si>
  <si>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</si>
  <si>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</si>
  <si>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</si>
  <si>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</si>
  <si>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</si>
  <si>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</si>
  <si>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</si>
  <si>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</si>
  <si>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</si>
  <si>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</si>
  <si>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</si>
  <si>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</si>
  <si>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</si>
  <si>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</si>
  <si>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</si>
  <si>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</si>
  <si>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</si>
  <si>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</si>
  <si>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</si>
  <si>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</si>
  <si>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</si>
  <si>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</si>
  <si>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</si>
  <si>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</si>
  <si>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</si>
  <si>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</si>
  <si>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</si>
  <si>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</si>
  <si>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</si>
  <si>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use Excel's Stocks data type / STOCKHISTORY (built into M365, already in use) rather than</t>
  </si>
  <si>
    <t xml:space="preserve">Google Sheets' GOOGLEFINANCE, which does not work in Excel. Track current holdings plus any candidate</t>
  </si>
  <si>
    <t xml:space="preserve">that has cleared Tier 1 and is sitting on the bench -- not names already screened out.</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</si>
  <si>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</si>
  <si>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</si>
  <si>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</si>
  <si>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</si>
  <si>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</si>
  <si>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</si>
  <si>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</si>
  <si>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</si>
  <si>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</si>
  <si>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</si>
  <si>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</si>
  <si>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</si>
  <si>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</si>
  <si>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</si>
  <si>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</si>
  <si>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</si>
  <si>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</si>
  <si>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</si>
  <si>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</si>
  <si>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</si>
  <si>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</si>
  <si>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</si>
  <si>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</si>
  <si>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</si>
  <si>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</si>
  <si>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</si>
  <si>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</si>
  <si>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</si>
  <si>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</si>
  <si>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</si>
  <si>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</si>
  <si>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</si>
  <si>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</si>
  <si>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</si>
  <si>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</si>
  <si>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</si>
  <si>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</si>
  <si>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</si>
  <si>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</si>
  <si>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</si>
  <si>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</si>
  <si>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</si>
  <si>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</si>
  <si>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</si>
  <si>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</si>
  <si>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</si>
  <si>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</si>
  <si>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</si>
  <si>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</si>
  <si>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</si>
  <si>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</si>
  <si>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</si>
  <si>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</si>
  <si>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</si>
  <si>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</si>
  <si>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</si>
  <si>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</si>
  <si>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</si>
  <si>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</si>
  <si>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</si>
  <si>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</si>
  <si>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</si>
  <si>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</si>
  <si>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</si>
  <si>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</si>
  <si>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</si>
  <si>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</si>
  <si>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</si>
  <si>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</si>
  <si>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</si>
  <si>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</si>
  <si>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</si>
  <si>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Positions</t>
  </si>
  <si>
    <t xml:space="preserve">JT ULTRA (Fidelity) SUBTOTAL</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</si>
  <si>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</si>
  <si>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</si>
  <si>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</si>
  <si>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</si>
  <si>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</si>
  <si>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</si>
  <si>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</si>
  <si>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</si>
  <si>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</si>
  <si>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</si>
  <si>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</si>
  <si>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</si>
  <si>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</si>
  <si>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</si>
  <si>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AVGO</t>
  </si>
  <si>
    <t xml:space="preserve">Broadcom Inc.</t>
  </si>
  <si>
    <t xml:space="preserve">VRTX</t>
  </si>
  <si>
    <t xml:space="preserve">Vertex Pharmaceuticals</t>
  </si>
  <si>
    <t xml:space="preserve">BOUGHT +25sh 8/7/26 @ $488.77 -- DCA tranche 1 diversifier add (best correlation profile in book)</t>
  </si>
  <si>
    <t xml:space="preserve">SPMO</t>
  </si>
  <si>
    <t xml:space="preserve">Invesco S&amp;P 500 Momentum ETF</t>
  </si>
  <si>
    <t xml:space="preserve">VFLO</t>
  </si>
  <si>
    <t xml:space="preserve">VictoryShares Free Cash Flow ETF</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</si>
  <si>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</si>
  <si>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</si>
  <si>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</si>
  <si>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</si>
  <si>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</si>
  <si>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 (row 17).</t>
  </si>
  <si>
    <t xml:space="preserve">TSLA</t>
  </si>
  <si>
    <t xml:space="preserve">Tesla Inc.</t>
  </si>
  <si>
    <t xml:space="preserve">SOLD 08/07/26 -- confirmed: -15 sh, $4,783.25 proceeds. Rule 3 Avoid. Proceeds added to VMFXX (row 17).</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</si>
  <si>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</si>
  <si>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</si>
  <si>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</si>
  <si>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</si>
  <si>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</si>
  <si>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</si>
  <si>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</si>
  <si>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 (row 17).</t>
  </si>
  <si>
    <t xml:space="preserve">Self-Directed (Chase) SUBTOTAL</t>
  </si>
  <si>
    <t xml:space="preserve">COMBINED PORTFOLIO TOTAL</t>
  </si>
  <si>
    <t xml:space="preserve">Cash / Cash Equivalents</t>
  </si>
  <si>
    <t xml:space="preserve">Actual cash (FZDXX+FZFXX+VMFXX+QACDS) + temporary ETF cash-buckets (AVUV, SPMO, VFLO) held for liquidity, not scored as long-term Landry positions -- see To-Do: formalize how ETFs should be treated as portfolio positions.</t>
  </si>
  <si>
    <t xml:space="preserve">NOTE: JT ULTRA's ASML/PLTR/MU quantities reflect trims already executed from the earlier rebalance session; 
SWAN is not currently held in this export (flagging in case that wasn't intentional). 
Several Self-Directed (Chase) tickers (JEPQ, AVUV, CALF, HELO, SPMO, VFLO, VGT, VRTX, PLD, SFM, ONON, TSLA) have not yet been run through the Scoring tab — that's the natural next step before classifying them.</t>
  </si>
  <si>
    <t xml:space="preserve">Recheck triggers for every name that's been scored, not just Watch List holdings. Update Current Price, Insider Activity, and Analyst Shift by hand for now (or during Claude Code automation later);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</si>
  <si>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</si>
  <si>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</si>
  <si>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</si>
  <si>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</si>
  <si>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</si>
  <si>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</si>
  <si>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</si>
  <si>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</si>
  <si>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</si>
  <si>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</si>
  <si>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</si>
  <si>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</si>
  <si>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Days Since
Last Score</t>
  </si>
  <si>
    <t xml:space="preserve">Recheck Status</t>
  </si>
  <si>
    <t xml:space="preserve">Notes</t>
  </si>
  <si>
    <t xml:space="preserve">Owned</t>
  </si>
  <si>
    <t xml:space="preserve">STRONG BUY</t>
  </si>
  <si>
    <t xml:space="preserve">BUY</t>
  </si>
  <si>
    <t xml:space="preserve">Re-scored 8/7/26: original Avoid was bad source data, corrected. See Journal.</t>
  </si>
  <si>
    <t xml:space="preserve">AAP</t>
  </si>
  <si>
    <t xml:space="preserve">Tier-1 Avoid (external)</t>
  </si>
  <si>
    <t xml:space="preserve">BABA</t>
  </si>
  <si>
    <t xml:space="preserve">CE</t>
  </si>
  <si>
    <t xml:space="preserve">CLF</t>
  </si>
  <si>
    <t xml:space="preserve">CMG</t>
  </si>
  <si>
    <t xml:space="preserve">Watch List</t>
  </si>
  <si>
    <t xml:space="preserve">COST</t>
  </si>
  <si>
    <t xml:space="preserve">CRK</t>
  </si>
  <si>
    <t xml:space="preserve">DEO</t>
  </si>
  <si>
    <t xml:space="preserve">DIS</t>
  </si>
  <si>
    <t xml:space="preserve">DPZ</t>
  </si>
  <si>
    <t xml:space="preserve">EL</t>
  </si>
  <si>
    <t xml:space="preserve">ET</t>
  </si>
  <si>
    <t xml:space="preserve">ETN</t>
  </si>
  <si>
    <t xml:space="preserve">ETSY</t>
  </si>
  <si>
    <t xml:space="preserve">GE</t>
  </si>
  <si>
    <t xml:space="preserve">GOOS</t>
  </si>
  <si>
    <t xml:space="preserve">HRL</t>
  </si>
  <si>
    <t xml:space="preserve">LBRT</t>
  </si>
  <si>
    <t xml:space="preserve">LIN</t>
  </si>
  <si>
    <t xml:space="preserve">NEE</t>
  </si>
  <si>
    <t xml:space="preserve">NFLX</t>
  </si>
  <si>
    <t xml:space="preserve">NKE</t>
  </si>
  <si>
    <t xml:space="preserve">NOV</t>
  </si>
  <si>
    <t xml:space="preserve">PG</t>
  </si>
  <si>
    <t xml:space="preserve">PH</t>
  </si>
  <si>
    <t xml:space="preserve">PZZA</t>
  </si>
  <si>
    <t xml:space="preserve">V</t>
  </si>
  <si>
    <t xml:space="preserve">VFC</t>
  </si>
  <si>
    <t xml:space="preserve">YUM</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</si>
  <si>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</si>
  <si>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</si>
  <si>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</si>
  <si>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</si>
  <si>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</si>
  <si>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</si>
  <si>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</si>
  <si>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</si>
  <si>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</si>
  <si>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</si>
  <si>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</si>
  <si>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</si>
  <si>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</si>
  <si>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</si>
  <si>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</si>
  <si>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</si>
  <si>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</si>
  <si>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</si>
  <si>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</si>
  <si>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</si>
  <si>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</si>
  <si>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</si>
  <si>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</si>
  <si>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</si>
  <si>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</si>
  <si>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</si>
  <si>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</si>
  <si>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</si>
  <si>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</si>
  <si>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</si>
  <si>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</si>
  <si>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</si>
  <si>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</si>
  <si>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</si>
  <si>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</si>
  <si>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</si>
  <si>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</si>
  <si>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</si>
  <si>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</si>
  <si>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</si>
  <si>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</si>
  <si>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</si>
  <si>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</si>
  <si>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</si>
  <si>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</si>
  <si>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</si>
  <si>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</si>
  <si>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</si>
  <si>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</si>
  <si>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</si>
  <si>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</si>
  <si>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</si>
  <si>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</si>
  <si>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</si>
  <si>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</si>
  <si>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</si>
  <si>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</si>
  <si>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</si>
  <si>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</si>
  <si>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</si>
  <si>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</si>
  <si>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</si>
  <si>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</si>
  <si>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</si>
  <si>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</si>
  <si>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</si>
  <si>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</si>
  <si>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</si>
  <si>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</si>
  <si>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</si>
  <si>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</si>
  <si>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</si>
  <si>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</si>
  <si>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</si>
  <si>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Visa Inc.</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</si>
  <si>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</si>
  <si>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</si>
  <si>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</si>
  <si>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</si>
  <si>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</si>
  <si>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</si>
  <si>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</si>
  <si>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</si>
  <si>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</si>
  <si>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</si>
  <si>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</si>
  <si>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</si>
  <si>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</si>
  <si>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</si>
  <si>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</si>
  <si>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</si>
  <si>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</si>
  <si>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</si>
  <si>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</si>
  <si>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</si>
  <si>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</si>
  <si>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</si>
  <si>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</si>
  <si>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</si>
  <si>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</si>
  <si>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</si>
  <si>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</si>
  <si>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</si>
  <si>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</si>
  <si>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</si>
  <si>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</si>
  <si>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</si>
  <si>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</si>
  <si>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</si>
  <si>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</si>
  <si>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</si>
  <si>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</si>
  <si>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</si>
  <si>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</si>
  <si>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</si>
  <si>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</si>
  <si>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</si>
  <si>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</si>
  <si>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</si>
  <si>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</si>
  <si>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</si>
  <si>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</si>
  <si>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</si>
  <si>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</si>
  <si>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</si>
  <si>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</si>
  <si>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</si>
  <si>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</si>
  <si>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</si>
  <si>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</si>
  <si>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</si>
  <si>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</si>
  <si>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</si>
  <si>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</si>
  <si>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</si>
  <si>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</si>
  <si>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</si>
  <si>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</si>
  <si>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</si>
  <si>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</si>
  <si>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</si>
  <si>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</si>
  <si>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Y</t>
  </si>
  <si>
    <t xml:space="preserve">N</t>
  </si>
  <si>
    <t xml:space="preserve">Market Data — manual entry (blue cells). See note below on optional live refresh.</t>
  </si>
  <si>
    <t xml:space="preserve">Volume</t>
  </si>
  <si>
    <t xml:space="preserve">Market Cap ($M)</t>
  </si>
  <si>
    <t xml:space="preserve">P/E</t>
  </si>
  <si>
    <t xml:space="preserve">52-Wk Low</t>
  </si>
  <si>
    <t xml:space="preserve">52-Wk High</t>
  </si>
  <si>
    <t xml:space="preserve">Div Yield (%)</t>
  </si>
  <si>
    <t xml:space="preserve">OPTIONAL LIVE REFRESH: Excel's built-in Stocks data type can auto-populate price, market cap, P/E, and</t>
  </si>
  <si>
    <t xml:space="preserve">52-week range for a ticker you've converted to that data type (Data tab &gt; Stocks, or type the ticker and</t>
  </si>
  <si>
    <t xml:space="preserve">use the data-type icon that appears). That feature depends on your Microsoft 365 subscription and an</t>
  </si>
  <si>
    <t xml:space="preserve">active internet connection, so it isn't pre-built into this sheet — set it up once per ticker if you want it,</t>
  </si>
  <si>
    <t xml:space="preserve">referencing cells like =A3.Price. Otherwise, enter values manually from Yahoo Finance, Google Finance,</t>
  </si>
  <si>
    <t xml:space="preserve">or your preferred source at each review.</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</si>
  <si>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</si>
  <si>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</si>
  <si>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</si>
  <si>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</si>
  <si>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</si>
  <si>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</si>
  <si>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</si>
  <si>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</si>
  <si>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</si>
  <si>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</si>
  <si>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</si>
  <si>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</si>
  <si>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</si>
  <si>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</si>
  <si>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</si>
  <si>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</si>
  <si>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</si>
  <si>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</si>
  <si>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</si>
  <si>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</si>
  <si>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</si>
  <si>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</si>
  <si>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</si>
  <si>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</si>
  <si>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</si>
  <si>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</si>
  <si>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</si>
  <si>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</si>
  <si>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</si>
  <si>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</si>
  <si>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</si>
  <si>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</si>
  <si>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</si>
  <si>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</si>
  <si>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</si>
  <si>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</si>
  <si>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</si>
  <si>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</si>
  <si>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</si>
  <si>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</si>
  <si>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</si>
  <si>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</si>
  <si>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</si>
  <si>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</si>
  <si>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</si>
  <si>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</si>
  <si>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</si>
  <si>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</si>
  <si>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</si>
  <si>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</si>
  <si>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</si>
  <si>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</si>
  <si>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</si>
  <si>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</si>
  <si>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</si>
  <si>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</si>
  <si>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</si>
  <si>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</si>
  <si>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</si>
  <si>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</si>
  <si>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</si>
  <si>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</si>
  <si>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</si>
  <si>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</si>
  <si>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</si>
  <si>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</si>
  <si>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</si>
  <si>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</si>
  <si>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</si>
  <si>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</si>
  <si>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</si>
  <si>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</si>
  <si>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</si>
  <si>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</si>
  <si>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</si>
  <si>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</si>
  <si>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</si>
  <si>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</si>
  <si>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</si>
  <si>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</si>
  <si>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</si>
  <si>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</si>
  <si>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</si>
  <si>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</si>
  <si>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</si>
  <si>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</si>
  <si>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</si>
  <si>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</si>
  <si>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</si>
  <si>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</si>
  <si>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</si>
  <si>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</si>
  <si>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</si>
  <si>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</si>
  <si>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</si>
  <si>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</si>
  <si>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</si>
  <si>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</si>
  <si>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</si>
  <si>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</si>
  <si>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</si>
  <si>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</si>
  <si>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</si>
  <si>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</si>
  <si>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</si>
  <si>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</si>
  <si>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</si>
  <si>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</si>
  <si>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</si>
  <si>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</si>
  <si>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</si>
  <si>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</si>
  <si>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</si>
  <si>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</si>
  <si>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</si>
  <si>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</si>
  <si>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</si>
  <si>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</si>
  <si>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</si>
  <si>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</si>
  <si>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</si>
  <si>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</si>
  <si>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</si>
  <si>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</si>
  <si>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</si>
  <si>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</si>
  <si>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</si>
  <si>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</si>
  <si>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</si>
  <si>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</si>
  <si>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</si>
  <si>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</si>
  <si>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</si>
  <si>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</si>
  <si>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</si>
  <si>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</si>
  <si>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</si>
  <si>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</si>
  <si>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</si>
  <si>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</si>
  <si>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</si>
  <si>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</si>
  <si>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</si>
  <si>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</si>
  <si>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</si>
  <si>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</si>
  <si>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</si>
  <si>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3-45 populated (43 tickers), formulas/formatting run through row 60 for headroom</t>
  </si>
  <si>
    <t xml:space="preserve">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t>
  </si>
  <si>
    <t xml:space="preserve">Market Data</t>
  </si>
  <si>
    <t xml:space="preserve">Fixed range, single header</t>
  </si>
  <si>
    <t xml:space="preserve">Rows 3-27, cols A-I</t>
  </si>
  <si>
    <t xml:space="preserve">A=Ticker,B=Company,C=Price,D=Volume,E=MarketCap,F=P/E,G=52wkLow,H=52wkHigh,I=DivYield. Manual entry.</t>
  </si>
  <si>
    <t xml:space="preserve">Current Positions</t>
  </si>
  <si>
    <t xml:space="preserve">Table</t>
  </si>
  <si>
    <t xml:space="preserve">CurrentPositionsTable</t>
  </si>
  <si>
    <t xml:space="preserve">A2:M40 (JT ULTRA rows 3-14, Chase rows 17-35; subtotal/total rows outside table range)</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</si>
  <si>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</si>
  <si>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</si>
  <si>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</si>
  <si>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A2:P42</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</si>
  <si>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</si>
  <si>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</si>
  <si>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</si>
  <si>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</si>
  <si>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</si>
  <si>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</si>
  <si>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</si>
  <si>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</si>
  <si>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</si>
  <si>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</si>
  <si>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</si>
  <si>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</si>
  <si>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</si>
  <si>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</si>
  <si>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</si>
  <si>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</si>
  <si>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</si>
  <si>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</si>
  <si>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(20 tickers: 13 stocks + 7 ETFs)</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</si>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</sst>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0"/>
    <numFmt numFmtId="169" formatCode="\$#,##0.00"/>
    <numFmt numFmtId="170" formatCode="#,##0.00"/>
    <numFmt numFmtId="171" formatCode="#,##0.00_);\(#,##0.00\)"/>
    <numFmt numFmtId="172" formatCode="0.00%"/>
    <numFmt numFmtId="173" formatCode="yyyy\-mm\-dd"/>
    <numFmt numFmtId="174" formatCode="mm/dd/yyyy"/>
    <numFmt numFmtId="175" formatCode="0.0"/>
    <numFmt numFmtId="176" formatCode="0.000"/>
    <numFmt numFmtId="177" formatCode="0.0\x"/>
    <numFmt numFmtId="178" formatCode="#,##0"/>
    <numFmt numFmtId="179" formatCode="0%"/>
  </numFmts>
  <fonts count="61">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i val="true"/>
      <sz val="10"/>
      <color rgb="FF000000"/>
      <name val="Arial"/>
      <family val="2"/>
      <charset val="1"/>
    </font>
    <font>
      <b val="true"/>
      <sz val="10"/>
      <color rgb="FFFFFFFF"/>
      <name val="Arial"/>
      <family val="2"/>
      <charset val="1"/>
    </font>
    <font>
      <sz val="10"/>
      <color rgb="FF002060"/>
      <name val="Arial"/>
      <family val="2"/>
      <charset val="1"/>
    </font>
    <font>
      <sz val="8"/>
      <color rgb="FF002060"/>
      <name val="Arial"/>
      <family val="2"/>
      <charset val="1"/>
    </font>
    <font>
      <b val="true"/>
      <sz val="10"/>
      <color rgb="FF002060"/>
      <name val="Arial"/>
      <family val="2"/>
      <charset val="1"/>
    </font>
    <font>
      <b val="true"/>
      <sz val="8"/>
      <color rgb="FF000000"/>
      <name val="Arial"/>
      <family val="2"/>
      <charset val="1"/>
    </font>
    <font>
      <sz val="9"/>
      <color rgb="FF002060"/>
      <name val="Arial"/>
      <family val="2"/>
      <charset val="1"/>
    </font>
    <font>
      <b val="true"/>
      <sz val="11"/>
      <color rgb="FF002060"/>
      <name val="Arial Narrow"/>
      <family val="2"/>
      <charset val="1"/>
    </font>
    <font>
      <sz val="11"/>
      <color rgb="FF002060"/>
      <name val="Arial Narrow"/>
      <family val="2"/>
      <charset val="1"/>
    </font>
    <font>
      <b val="true"/>
      <sz val="11"/>
      <color rgb="FF000000"/>
      <name val="Arial Narrow"/>
      <family val="2"/>
      <charset val="1"/>
    </font>
    <font>
      <b val="true"/>
      <sz val="10"/>
      <name val="Arial"/>
      <family val="2"/>
      <charset val="1"/>
    </font>
    <font>
      <b val="true"/>
      <sz val="11"/>
      <color theme="1"/>
      <name val="Arial Narrow"/>
      <family val="2"/>
      <charset val="1"/>
    </font>
    <font>
      <sz val="11"/>
      <color rgb="FF002060"/>
      <name val="Calibri"/>
      <family val="2"/>
      <charset val="1"/>
    </font>
    <font>
      <b val="true"/>
      <sz val="11"/>
      <color rgb="FF1F3864"/>
      <name val="Arial Narrow"/>
      <family val="2"/>
      <charset val="1"/>
    </font>
    <font>
      <sz val="11"/>
      <color theme="1"/>
      <name val="Arial Narrow"/>
      <family val="2"/>
      <charset val="1"/>
    </font>
    <font>
      <b val="true"/>
      <sz val="10"/>
      <color theme="1"/>
      <name val="Calibri"/>
      <family val="2"/>
      <charset val="1"/>
    </font>
    <font>
      <b val="true"/>
      <sz val="9"/>
      <color rgb="FFFFFFFF"/>
      <name val="Arial"/>
      <family val="2"/>
      <charset val="1"/>
    </font>
    <font>
      <b val="true"/>
      <sz val="8"/>
      <color rgb="FF1F3864"/>
      <name val="Arial"/>
      <family val="2"/>
      <charset val="1"/>
    </font>
    <font>
      <i val="true"/>
      <sz val="11"/>
      <color rgb="FF000000"/>
      <name val="Arial Narrow"/>
      <family val="2"/>
      <charset val="1"/>
    </font>
    <font>
      <b val="true"/>
      <sz val="11"/>
      <color rgb="FFFFFFFF"/>
      <name val="Arial Narrow"/>
      <family val="2"/>
      <charset val="1"/>
    </font>
    <font>
      <sz val="11"/>
      <color rgb="FF000000"/>
      <name val="Arial Narrow"/>
      <family val="2"/>
      <charset val="1"/>
    </font>
    <font>
      <sz val="8"/>
      <color rgb="FF000000"/>
      <name val="Arial"/>
      <family val="2"/>
      <charset val="1"/>
    </font>
    <font>
      <b val="true"/>
      <sz val="11"/>
      <color rgb="FF002060"/>
      <name val="Arial"/>
      <family val="2"/>
      <charset val="1"/>
    </font>
    <font>
      <b val="true"/>
      <sz val="12"/>
      <color rgb="FFFFFFFF"/>
      <name val="Arial Narrow"/>
      <family val="2"/>
      <charset val="1"/>
    </font>
    <font>
      <b val="true"/>
      <sz val="9"/>
      <color rgb="FF000000"/>
      <name val="Arial"/>
      <family val="2"/>
      <charset val="1"/>
    </font>
    <font>
      <i val="true"/>
      <sz val="8"/>
      <color rgb="FF808080"/>
      <name val="Arial Narrow"/>
      <family val="2"/>
      <charset val="1"/>
    </font>
    <font>
      <b val="true"/>
      <sz val="9"/>
      <color rgb="FFFFFFFF"/>
      <name val="Arial Narrow"/>
      <family val="2"/>
      <charset val="1"/>
    </font>
    <font>
      <b val="true"/>
      <sz val="8"/>
      <color rgb="FFFFFFFF"/>
      <name val="Arial"/>
      <family val="2"/>
      <charset val="1"/>
    </font>
    <font>
      <i val="true"/>
      <sz val="10"/>
      <color rgb="FF000000"/>
      <name val="Arial Narrow"/>
      <family val="2"/>
      <charset val="1"/>
    </font>
    <font>
      <b val="true"/>
      <sz val="10"/>
      <color rgb="FFFFFFFF"/>
      <name val="Arial Narrow"/>
      <family val="2"/>
      <charset val="1"/>
    </font>
    <font>
      <sz val="10"/>
      <color rgb="FF000000"/>
      <name val="Arial Narrow"/>
      <family val="2"/>
      <charset val="1"/>
    </font>
    <font>
      <b val="true"/>
      <sz val="10"/>
      <color rgb="FF000000"/>
      <name val="Arial Narrow"/>
      <family val="2"/>
      <charset val="1"/>
    </font>
    <font>
      <sz val="10"/>
      <color rgb="FF002060"/>
      <name val="Arial Narrow"/>
      <family val="2"/>
      <charset val="1"/>
    </font>
    <font>
      <i val="true"/>
      <sz val="11"/>
      <color rgb="FF808080"/>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2"/>
      <color rgb="FF1F3864"/>
      <name val="Arial Narrow"/>
      <family val="2"/>
      <charset val="1"/>
    </font>
    <font>
      <i val="true"/>
      <sz val="12"/>
      <color rgb="FF000000"/>
      <name val="Arial Narrow"/>
      <family val="2"/>
      <charset val="1"/>
    </font>
    <font>
      <sz val="9"/>
      <color rgb="FF002060"/>
      <name val="Arial Narrow"/>
      <family val="2"/>
      <charset val="1"/>
    </font>
    <font>
      <b val="true"/>
      <sz val="9"/>
      <color rgb="FF000000"/>
      <name val="Arial Narrow"/>
      <family val="2"/>
      <charset val="1"/>
    </font>
    <font>
      <sz val="8"/>
      <color rgb="FF002060"/>
      <name val="Arial Narrow"/>
      <family val="2"/>
      <charset val="1"/>
    </font>
    <font>
      <b val="true"/>
      <sz val="8"/>
      <color rgb="FF000000"/>
      <name val="Arial Narrow"/>
      <family val="2"/>
      <charset val="1"/>
    </font>
    <font>
      <b val="true"/>
      <sz val="8"/>
      <color rgb="FF002060"/>
      <name val="Arial Narrow"/>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color rgb="FF999999"/>
      </left>
      <right style="thin">
        <color rgb="FF999999"/>
      </right>
      <top style="medium">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12" fillId="0" borderId="0" xfId="0" applyFont="true" applyBorder="true" applyAlignment="true" applyProtection="true">
      <alignment horizontal="left" vertical="center" textRotation="0" wrapText="false" indent="0" shrinkToFit="false"/>
      <protection locked="true" hidden="false"/>
    </xf>
    <xf numFmtId="164" fontId="13" fillId="0" borderId="1" xfId="0" applyFont="true" applyBorder="true" applyAlignment="true" applyProtection="true">
      <alignment horizontal="center" vertical="center"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5" fontId="13" fillId="0" borderId="1" xfId="0" applyFont="true" applyBorder="true" applyAlignment="true" applyProtection="true">
      <alignment horizontal="center" vertical="center" textRotation="0" wrapText="false" indent="0" shrinkToFit="false"/>
      <protection locked="true" hidden="false"/>
    </xf>
    <xf numFmtId="166" fontId="13" fillId="0" borderId="1" xfId="0" applyFont="true" applyBorder="true" applyAlignment="true" applyProtection="true">
      <alignment horizontal="center" vertical="center" textRotation="0" wrapText="false" indent="0" shrinkToFit="false"/>
      <protection locked="true" hidden="false"/>
    </xf>
    <xf numFmtId="167" fontId="13" fillId="0" borderId="1" xfId="0" applyFont="true" applyBorder="tru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left" vertical="center" textRotation="0" wrapText="true" indent="0" shrinkToFit="false"/>
      <protection locked="true" hidden="false"/>
    </xf>
    <xf numFmtId="164" fontId="16" fillId="3" borderId="1" xfId="0" applyFont="true" applyBorder="true" applyAlignment="true" applyProtection="true">
      <alignment horizontal="center" vertical="center" textRotation="0" wrapText="false" indent="0" shrinkToFit="false"/>
      <protection locked="true" hidden="false"/>
    </xf>
    <xf numFmtId="164" fontId="16" fillId="3" borderId="1" xfId="0" applyFont="true" applyBorder="true" applyAlignment="true" applyProtection="true">
      <alignment horizontal="center" vertical="center" textRotation="0" wrapText="true" indent="0" shrinkToFit="false"/>
      <protection locked="true" hidden="false"/>
    </xf>
    <xf numFmtId="164" fontId="13" fillId="0" borderId="1" xfId="0" applyFont="true" applyBorder="true" applyAlignment="true" applyProtection="true">
      <alignment horizontal="right" vertical="center" textRotation="0" wrapText="false" indent="0" shrinkToFit="false"/>
      <protection locked="true" hidden="false"/>
    </xf>
    <xf numFmtId="168" fontId="17" fillId="4" borderId="1" xfId="0" applyFont="true" applyBorder="true" applyAlignment="true" applyProtection="true">
      <alignment horizontal="center" vertical="center" textRotation="0" wrapText="false" indent="0" shrinkToFit="false"/>
      <protection locked="true" hidden="false"/>
    </xf>
    <xf numFmtId="164" fontId="18" fillId="4" borderId="1" xfId="0" applyFont="true" applyBorder="true" applyAlignment="true" applyProtection="true">
      <alignment horizontal="left" vertical="center" textRotation="0" wrapText="false" indent="0" shrinkToFit="false"/>
      <protection locked="true" hidden="false"/>
    </xf>
    <xf numFmtId="164" fontId="19" fillId="4" borderId="1" xfId="0" applyFont="true" applyBorder="true" applyAlignment="true" applyProtection="true">
      <alignment horizontal="center" vertical="center" textRotation="0" wrapText="false" indent="0" shrinkToFit="false"/>
      <protection locked="true" hidden="false"/>
    </xf>
    <xf numFmtId="164" fontId="17" fillId="4" borderId="1" xfId="0" applyFont="true" applyBorder="true" applyAlignment="true" applyProtection="true">
      <alignment horizontal="left" vertical="center" textRotation="0" wrapText="false" indent="0" shrinkToFit="false"/>
      <protection locked="true" hidden="false"/>
    </xf>
    <xf numFmtId="164" fontId="17" fillId="4" borderId="1" xfId="0" applyFont="true" applyBorder="true" applyAlignment="true" applyProtection="true">
      <alignment horizontal="center" vertical="center" textRotation="0" wrapText="false" indent="0" shrinkToFit="false"/>
      <protection locked="true" hidden="false"/>
    </xf>
    <xf numFmtId="169" fontId="13" fillId="0" borderId="1" xfId="0" applyFont="true" applyBorder="true" applyAlignment="true" applyProtection="true">
      <alignment horizontal="center" vertical="center" textRotation="0" wrapText="false" indent="0" shrinkToFit="false"/>
      <protection locked="true" hidden="false"/>
    </xf>
    <xf numFmtId="170" fontId="17" fillId="4" borderId="1" xfId="0" applyFont="true" applyBorder="true" applyAlignment="true" applyProtection="true">
      <alignment horizontal="center" vertical="center" textRotation="0" wrapText="false" indent="0" shrinkToFit="false"/>
      <protection locked="true" hidden="false"/>
    </xf>
    <xf numFmtId="169" fontId="17" fillId="4" borderId="1" xfId="0" applyFont="true" applyBorder="true" applyAlignment="true" applyProtection="true">
      <alignment horizontal="center" vertical="center" textRotation="0" wrapText="false" indent="0" shrinkToFit="false"/>
      <protection locked="true" hidden="false"/>
    </xf>
    <xf numFmtId="167" fontId="12" fillId="0" borderId="1" xfId="0" applyFont="true" applyBorder="true" applyAlignment="true" applyProtection="true">
      <alignment horizontal="center" vertical="center" textRotation="0" wrapText="false" indent="0" shrinkToFit="false"/>
      <protection locked="true" hidden="false"/>
    </xf>
    <xf numFmtId="164" fontId="20" fillId="0" borderId="1" xfId="0" applyFont="true" applyBorder="true" applyAlignment="true" applyProtection="true">
      <alignment horizontal="right" vertical="center" textRotation="0" wrapText="false" indent="0" shrinkToFit="false"/>
      <protection locked="true" hidden="false"/>
    </xf>
    <xf numFmtId="168" fontId="21" fillId="4" borderId="1" xfId="0" applyFont="true" applyBorder="true" applyAlignment="true" applyProtection="true">
      <alignment horizontal="center" vertical="center" textRotation="0" wrapText="false" indent="0" shrinkToFit="false"/>
      <protection locked="true" hidden="false"/>
    </xf>
    <xf numFmtId="171" fontId="17" fillId="4" borderId="1" xfId="0" applyFont="true" applyBorder="true" applyAlignment="true" applyProtection="true">
      <alignment horizontal="center" vertical="center" textRotation="0" wrapText="false" indent="0" shrinkToFit="false"/>
      <protection locked="true" hidden="false"/>
    </xf>
    <xf numFmtId="164" fontId="18" fillId="4" borderId="3" xfId="0" applyFont="true" applyBorder="true" applyAlignment="true" applyProtection="true">
      <alignment horizontal="left" vertical="center" textRotation="0" wrapText="false" indent="0" shrinkToFit="false"/>
      <protection locked="true" hidden="false"/>
    </xf>
    <xf numFmtId="164" fontId="19" fillId="4" borderId="3" xfId="0" applyFont="true" applyBorder="true" applyAlignment="true" applyProtection="true">
      <alignment horizontal="center" vertical="center" textRotation="0" wrapText="false" indent="0" shrinkToFit="false"/>
      <protection locked="true" hidden="false"/>
    </xf>
    <xf numFmtId="164" fontId="17" fillId="4" borderId="3" xfId="0" applyFont="true" applyBorder="true" applyAlignment="true" applyProtection="true">
      <alignment horizontal="left" vertical="center" textRotation="0" wrapText="false" indent="0" shrinkToFit="false"/>
      <protection locked="true" hidden="false"/>
    </xf>
    <xf numFmtId="164" fontId="17" fillId="4" borderId="3" xfId="0" applyFont="true" applyBorder="true" applyAlignment="true" applyProtection="true">
      <alignment horizontal="center" vertical="center" textRotation="0" wrapText="false" indent="0" shrinkToFit="false"/>
      <protection locked="true" hidden="false"/>
    </xf>
    <xf numFmtId="171" fontId="17" fillId="4" borderId="3" xfId="0" applyFont="true" applyBorder="true" applyAlignment="true" applyProtection="true">
      <alignment horizontal="center" vertical="center" textRotation="0" wrapText="false" indent="0" shrinkToFit="false"/>
      <protection locked="true" hidden="false"/>
    </xf>
    <xf numFmtId="169" fontId="13" fillId="0" borderId="3" xfId="0" applyFont="true" applyBorder="true" applyAlignment="true" applyProtection="true">
      <alignment horizontal="center" vertical="center" textRotation="0" wrapText="false" indent="0" shrinkToFit="false"/>
      <protection locked="true" hidden="false"/>
    </xf>
    <xf numFmtId="170" fontId="17" fillId="4" borderId="3" xfId="0" applyFont="true" applyBorder="true" applyAlignment="true" applyProtection="true">
      <alignment horizontal="center" vertical="center" textRotation="0" wrapText="false" indent="0" shrinkToFit="false"/>
      <protection locked="true" hidden="false"/>
    </xf>
    <xf numFmtId="169" fontId="17" fillId="4" borderId="3" xfId="0" applyFont="true" applyBorder="true" applyAlignment="true" applyProtection="true">
      <alignment horizontal="center" vertical="center" textRotation="0" wrapText="false" indent="0" shrinkToFit="false"/>
      <protection locked="true" hidden="false"/>
    </xf>
    <xf numFmtId="167" fontId="12" fillId="0" borderId="3" xfId="0" applyFont="true" applyBorder="true" applyAlignment="true" applyProtection="true">
      <alignment horizontal="center" vertical="center" textRotation="0" wrapText="false" indent="0" shrinkToFit="false"/>
      <protection locked="true" hidden="false"/>
    </xf>
    <xf numFmtId="164" fontId="22" fillId="4" borderId="4" xfId="0" applyFont="true" applyBorder="true" applyAlignment="true" applyProtection="true">
      <alignment horizontal="right" vertical="center" textRotation="0" wrapText="false" indent="0" shrinkToFit="false"/>
      <protection locked="true" hidden="false"/>
    </xf>
    <xf numFmtId="164" fontId="22" fillId="4" borderId="4" xfId="0" applyFont="true" applyBorder="true" applyAlignment="true" applyProtection="true">
      <alignment horizontal="center" vertical="center" textRotation="0" wrapText="false" indent="0" shrinkToFit="false"/>
      <protection locked="true" hidden="false"/>
    </xf>
    <xf numFmtId="164" fontId="22" fillId="4" borderId="4" xfId="0" applyFont="true" applyBorder="true" applyAlignment="true" applyProtection="true">
      <alignment horizontal="general" vertical="center" textRotation="0" wrapText="false" indent="0" shrinkToFit="false"/>
      <protection locked="true" hidden="false"/>
    </xf>
    <xf numFmtId="164" fontId="23" fillId="4" borderId="4" xfId="0" applyFont="true" applyBorder="true" applyAlignment="true" applyProtection="true">
      <alignment horizontal="general" vertical="center" textRotation="0" wrapText="false" indent="0" shrinkToFit="false"/>
      <protection locked="true" hidden="false"/>
    </xf>
    <xf numFmtId="169" fontId="24" fillId="5" borderId="4" xfId="0" applyFont="true" applyBorder="true" applyAlignment="true" applyProtection="true">
      <alignment horizontal="center" vertical="center" textRotation="0" wrapText="false" indent="0" shrinkToFit="false"/>
      <protection locked="true" hidden="false"/>
    </xf>
    <xf numFmtId="169" fontId="22" fillId="4" borderId="4" xfId="0" applyFont="true" applyBorder="true" applyAlignment="true" applyProtection="true">
      <alignment horizontal="center" vertical="center" textRotation="0" wrapText="false" indent="0" shrinkToFit="false"/>
      <protection locked="true" hidden="false"/>
    </xf>
    <xf numFmtId="164" fontId="25" fillId="0" borderId="4" xfId="0" applyFont="true" applyBorder="true" applyAlignment="true" applyProtection="true">
      <alignment horizontal="center" vertical="center" textRotation="0" wrapText="false" indent="0" shrinkToFit="false"/>
      <protection locked="true" hidden="false"/>
    </xf>
    <xf numFmtId="172" fontId="26" fillId="5" borderId="4" xfId="0" applyFont="true" applyBorder="true" applyAlignment="true" applyProtection="true">
      <alignment horizontal="center" vertical="center" textRotation="0" wrapText="false" indent="0" shrinkToFit="false"/>
      <protection locked="true" hidden="false"/>
    </xf>
    <xf numFmtId="164" fontId="27" fillId="4" borderId="0" xfId="0" applyFont="true" applyBorder="false" applyAlignment="true" applyProtection="true">
      <alignment horizontal="general" vertical="bottom" textRotation="0" wrapText="false" indent="0" shrinkToFit="false"/>
      <protection locked="true" hidden="false"/>
    </xf>
    <xf numFmtId="164" fontId="26" fillId="5" borderId="4" xfId="0" applyFont="true" applyBorder="true" applyAlignment="true" applyProtection="true">
      <alignment horizontal="center" vertical="center" textRotation="0" wrapText="false" indent="0" shrinkToFit="false"/>
      <protection locked="true" hidden="false"/>
    </xf>
    <xf numFmtId="164" fontId="28" fillId="5" borderId="4" xfId="0" applyFont="true" applyBorder="true" applyAlignment="true" applyProtection="true">
      <alignment horizontal="left" vertical="center" textRotation="0" wrapText="false" indent="0" shrinkToFit="false"/>
      <protection locked="true" hidden="false"/>
    </xf>
    <xf numFmtId="164" fontId="29" fillId="5" borderId="4" xfId="0" applyFont="true" applyBorder="true" applyAlignment="true" applyProtection="true">
      <alignment horizontal="center" vertical="center" textRotation="0" wrapText="false" indent="0" shrinkToFit="false"/>
      <protection locked="true" hidden="false"/>
    </xf>
    <xf numFmtId="164" fontId="0" fillId="3" borderId="1" xfId="0" applyFont="false" applyBorder="true" applyAlignment="true" applyProtection="true">
      <alignment horizontal="general" vertical="bottom" textRotation="0" wrapText="false" indent="0" shrinkToFit="false"/>
      <protection locked="true" hidden="false"/>
    </xf>
    <xf numFmtId="164" fontId="30" fillId="3" borderId="1" xfId="0" applyFont="true" applyBorder="true" applyAlignment="true" applyProtection="true">
      <alignment horizontal="general" vertical="bottom" textRotation="0" wrapText="false" indent="0" shrinkToFit="false"/>
      <protection locked="true" hidden="false"/>
    </xf>
    <xf numFmtId="164" fontId="16" fillId="3" borderId="1" xfId="0" applyFont="true" applyBorder="true" applyAlignment="true" applyProtection="true">
      <alignment horizontal="general" vertical="bottom" textRotation="0" wrapText="false" indent="0" shrinkToFit="false"/>
      <protection locked="true" hidden="false"/>
    </xf>
    <xf numFmtId="164" fontId="14" fillId="3" borderId="1" xfId="0" applyFont="true" applyBorder="true" applyAlignment="true" applyProtection="true">
      <alignment horizontal="general" vertical="bottom" textRotation="0" wrapText="false" indent="0" shrinkToFit="false"/>
      <protection locked="true" hidden="false"/>
    </xf>
    <xf numFmtId="169" fontId="16" fillId="3" borderId="1" xfId="0" applyFont="true" applyBorder="true" applyAlignment="true" applyProtection="true">
      <alignment horizontal="center" vertical="center" textRotation="0" wrapText="false" indent="0" shrinkToFit="false"/>
      <protection locked="true" hidden="false"/>
    </xf>
    <xf numFmtId="169" fontId="31" fillId="3" borderId="1" xfId="0" applyFont="true" applyBorder="true" applyAlignment="true" applyProtection="true">
      <alignment horizontal="center" vertical="center" textRotation="0" wrapText="false" indent="0" shrinkToFit="false"/>
      <protection locked="true" hidden="false"/>
    </xf>
    <xf numFmtId="164" fontId="0" fillId="5" borderId="1" xfId="0" applyFont="false" applyBorder="true" applyAlignment="true" applyProtection="true">
      <alignment horizontal="general" vertical="bottom" textRotation="0" wrapText="false" indent="0" shrinkToFit="false"/>
      <protection locked="true" hidden="false"/>
    </xf>
    <xf numFmtId="164" fontId="32" fillId="5" borderId="1" xfId="0" applyFont="true" applyBorder="true" applyAlignment="true" applyProtection="true">
      <alignment horizontal="general" vertical="bottom" textRotation="0" wrapText="false" indent="0" shrinkToFit="false"/>
      <protection locked="true" hidden="false"/>
    </xf>
    <xf numFmtId="169" fontId="20" fillId="5" borderId="1" xfId="0" applyFont="true" applyBorder="true" applyAlignment="true" applyProtection="true">
      <alignment horizontal="center" vertical="center" textRotation="0" wrapText="false" indent="0" shrinkToFit="false"/>
      <protection locked="true" hidden="false"/>
    </xf>
    <xf numFmtId="167" fontId="0" fillId="5" borderId="1" xfId="0" applyFont="false" applyBorder="tru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33" fillId="0" borderId="0" xfId="0" applyFont="true" applyBorder="true" applyAlignment="true" applyProtection="true">
      <alignment horizontal="general" vertical="center" textRotation="0" wrapText="true" indent="0" shrinkToFit="false"/>
      <protection locked="true" hidden="false"/>
    </xf>
    <xf numFmtId="164" fontId="34" fillId="3" borderId="1" xfId="0" applyFont="true" applyBorder="true" applyAlignment="true" applyProtection="true">
      <alignment horizontal="center" vertical="center" textRotation="0" wrapText="true" indent="0" shrinkToFit="false"/>
      <protection locked="true" hidden="false"/>
    </xf>
    <xf numFmtId="164" fontId="22" fillId="4" borderId="1" xfId="0" applyFont="true" applyBorder="true" applyAlignment="true" applyProtection="true">
      <alignment horizontal="center" vertical="center" textRotation="0" wrapText="false" indent="0" shrinkToFit="false"/>
      <protection locked="true" hidden="false"/>
    </xf>
    <xf numFmtId="164" fontId="23" fillId="4" borderId="1" xfId="0" applyFont="true" applyBorder="true" applyAlignment="true" applyProtection="true">
      <alignment horizontal="center" vertical="center" textRotation="0" wrapText="false" indent="0" shrinkToFit="false"/>
      <protection locked="true" hidden="false"/>
    </xf>
    <xf numFmtId="173" fontId="23" fillId="4" borderId="1" xfId="0" applyFont="true" applyBorder="true" applyAlignment="true" applyProtection="true">
      <alignment horizontal="center" vertical="center" textRotation="0" wrapText="false" indent="0" shrinkToFit="false"/>
      <protection locked="true" hidden="false"/>
    </xf>
    <xf numFmtId="169" fontId="23" fillId="4" borderId="1" xfId="0" applyFont="true" applyBorder="true" applyAlignment="true" applyProtection="true">
      <alignment horizontal="center" vertical="center" textRotation="0" wrapText="false" indent="0" shrinkToFit="false"/>
      <protection locked="true" hidden="false"/>
    </xf>
    <xf numFmtId="167" fontId="24" fillId="0" borderId="1" xfId="0" applyFont="true" applyBorder="true" applyAlignment="true" applyProtection="true">
      <alignment horizontal="center" vertical="center" textRotation="0" wrapText="false" indent="0" shrinkToFit="false"/>
      <protection locked="true" hidden="false"/>
    </xf>
    <xf numFmtId="174" fontId="23" fillId="4" borderId="1" xfId="0" applyFont="true" applyBorder="true" applyAlignment="true" applyProtection="true">
      <alignment horizontal="center" vertical="center" textRotation="0" wrapText="false" indent="0" shrinkToFit="false"/>
      <protection locked="true" hidden="false"/>
    </xf>
    <xf numFmtId="164" fontId="23" fillId="4" borderId="1" xfId="0" applyFont="true" applyBorder="true" applyAlignment="true" applyProtection="true">
      <alignment horizontal="left" vertical="center" textRotation="0" wrapText="false" indent="0" shrinkToFit="false"/>
      <protection locked="true" hidden="false"/>
    </xf>
    <xf numFmtId="166" fontId="35" fillId="0" borderId="1" xfId="0" applyFont="true" applyBorder="true" applyAlignment="true" applyProtection="true">
      <alignment horizontal="center" vertical="center" textRotation="0" wrapText="false" indent="0" shrinkToFit="false"/>
      <protection locked="true" hidden="false"/>
    </xf>
    <xf numFmtId="164" fontId="24" fillId="0" borderId="1" xfId="0" applyFont="true" applyBorder="true" applyAlignment="true" applyProtection="true">
      <alignment horizontal="center" vertical="center" textRotation="0" wrapText="false" indent="0" shrinkToFit="false"/>
      <protection locked="true" hidden="false"/>
    </xf>
    <xf numFmtId="164" fontId="22" fillId="4" borderId="1" xfId="0" applyFont="true" applyBorder="true" applyAlignment="true" applyProtection="true">
      <alignment horizontal="left" vertical="center" textRotation="0" wrapText="false" indent="0" shrinkToFit="false"/>
      <protection locked="true" hidden="false"/>
    </xf>
    <xf numFmtId="164" fontId="18" fillId="4" borderId="1" xfId="0" applyFont="true" applyBorder="true" applyAlignment="true" applyProtection="true">
      <alignment horizontal="center" vertical="center" textRotation="0" wrapText="false" indent="0" shrinkToFit="false"/>
      <protection locked="true" hidden="false"/>
    </xf>
    <xf numFmtId="173" fontId="18" fillId="4" borderId="1" xfId="0" applyFont="true" applyBorder="true" applyAlignment="true" applyProtection="true">
      <alignment horizontal="center" vertical="center" textRotation="0" wrapText="false" indent="0" shrinkToFit="false"/>
      <protection locked="true" hidden="false"/>
    </xf>
    <xf numFmtId="169" fontId="18" fillId="4" borderId="1" xfId="0" applyFont="true" applyBorder="true" applyAlignment="true" applyProtection="true">
      <alignment horizontal="center" vertical="center" textRotation="0" wrapText="false" indent="0" shrinkToFit="false"/>
      <protection locked="true" hidden="false"/>
    </xf>
    <xf numFmtId="167" fontId="20" fillId="0" borderId="1" xfId="0" applyFont="true" applyBorder="true" applyAlignment="true" applyProtection="true">
      <alignment horizontal="center" vertical="center" textRotation="0" wrapText="false" indent="0" shrinkToFit="false"/>
      <protection locked="true" hidden="false"/>
    </xf>
    <xf numFmtId="174" fontId="18" fillId="4" borderId="1" xfId="0" applyFont="true" applyBorder="true" applyAlignment="true" applyProtection="true">
      <alignment horizontal="center" vertical="center" textRotation="0" wrapText="false" indent="0" shrinkToFit="false"/>
      <protection locked="true" hidden="false"/>
    </xf>
    <xf numFmtId="166" fontId="36" fillId="0" borderId="1" xfId="0" applyFont="true" applyBorder="true" applyAlignment="true" applyProtection="true">
      <alignment horizontal="center" vertical="center" textRotation="0" wrapText="false" indent="0" shrinkToFit="false"/>
      <protection locked="true" hidden="false"/>
    </xf>
    <xf numFmtId="164" fontId="20" fillId="0" borderId="1"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true" applyAlignment="true" applyProtection="true">
      <alignment horizontal="general" vertical="center" textRotation="0" wrapText="false" indent="0" shrinkToFit="false"/>
      <protection locked="true" hidden="false"/>
    </xf>
    <xf numFmtId="164" fontId="19" fillId="4" borderId="5" xfId="0" applyFont="true" applyBorder="true" applyAlignment="true" applyProtection="true">
      <alignment horizontal="center" vertical="center" textRotation="0" wrapText="true" indent="0" shrinkToFit="false"/>
      <protection locked="true" hidden="false"/>
    </xf>
    <xf numFmtId="164" fontId="37" fillId="4" borderId="5" xfId="0" applyFont="true" applyBorder="true" applyAlignment="true" applyProtection="true">
      <alignment horizontal="center" vertical="center" textRotation="0" wrapText="true" indent="0" shrinkToFit="false"/>
      <protection locked="true" hidden="false"/>
    </xf>
    <xf numFmtId="174" fontId="21" fillId="4" borderId="6" xfId="0" applyFont="true" applyBorder="true" applyAlignment="true" applyProtection="true">
      <alignment horizontal="center" vertical="center" textRotation="0" wrapText="false" indent="0" shrinkToFit="false"/>
      <protection locked="true" hidden="false"/>
    </xf>
    <xf numFmtId="170" fontId="21" fillId="4" borderId="6" xfId="0" applyFont="true" applyBorder="true" applyAlignment="true" applyProtection="true">
      <alignment horizontal="center" vertical="center" textRotation="0" wrapText="false" indent="0" shrinkToFit="false"/>
      <protection locked="true" hidden="false"/>
    </xf>
    <xf numFmtId="174" fontId="21" fillId="4" borderId="1" xfId="0" applyFont="true" applyBorder="true" applyAlignment="true" applyProtection="true">
      <alignment horizontal="center" vertical="center" textRotation="0" wrapText="false" indent="0" shrinkToFit="false"/>
      <protection locked="true" hidden="false"/>
    </xf>
    <xf numFmtId="170" fontId="21" fillId="4" borderId="1" xfId="0" applyFont="true" applyBorder="true" applyAlignment="true" applyProtection="true">
      <alignment horizontal="center" vertical="center" textRotation="0" wrapText="false" indent="0" shrinkToFit="false"/>
      <protection locked="true" hidden="false"/>
    </xf>
    <xf numFmtId="164" fontId="38" fillId="3" borderId="1" xfId="0" applyFont="true" applyBorder="true" applyAlignment="true" applyProtection="true">
      <alignment horizontal="center" vertical="top" textRotation="0" wrapText="true" indent="0" shrinkToFit="false"/>
      <protection locked="true" hidden="false"/>
    </xf>
    <xf numFmtId="164" fontId="38" fillId="3" borderId="1" xfId="0" applyFont="true" applyBorder="true" applyAlignment="true" applyProtection="true">
      <alignment horizontal="center" vertical="center" textRotation="0" wrapText="true" indent="0" shrinkToFit="false"/>
      <protection locked="true" hidden="false"/>
    </xf>
    <xf numFmtId="164" fontId="35" fillId="0" borderId="1" xfId="0" applyFont="true" applyBorder="true" applyAlignment="true" applyProtection="true">
      <alignment horizontal="left" vertical="center" textRotation="0" wrapText="false" indent="0" shrinkToFit="false"/>
      <protection locked="true" hidden="false"/>
    </xf>
    <xf numFmtId="174" fontId="35" fillId="0" borderId="1" xfId="0" applyFont="true" applyBorder="true" applyAlignment="true" applyProtection="true">
      <alignment horizontal="center" vertical="center" textRotation="0" wrapText="false" indent="0" shrinkToFit="false"/>
      <protection locked="true" hidden="false"/>
    </xf>
    <xf numFmtId="165" fontId="35" fillId="0" borderId="1" xfId="0" applyFont="true" applyBorder="true" applyAlignment="true" applyProtection="true">
      <alignment horizontal="center" vertical="center" textRotation="0" wrapText="false" indent="0" shrinkToFit="false"/>
      <protection locked="true" hidden="false"/>
    </xf>
    <xf numFmtId="175" fontId="24" fillId="0" borderId="1" xfId="0" applyFont="true" applyBorder="true" applyAlignment="true" applyProtection="true">
      <alignment horizontal="center" vertical="center" textRotation="0" wrapText="false" indent="0" shrinkToFit="false"/>
      <protection locked="true" hidden="false"/>
    </xf>
    <xf numFmtId="164" fontId="35" fillId="0" borderId="1" xfId="0" applyFont="true" applyBorder="true" applyAlignment="true" applyProtection="true">
      <alignment horizontal="center" vertical="center" textRotation="0" wrapText="false" indent="0" shrinkToFit="false"/>
      <protection locked="true" hidden="false"/>
    </xf>
    <xf numFmtId="164" fontId="5" fillId="0" borderId="1" xfId="0" applyFont="true" applyBorder="true" applyAlignment="true" applyProtection="true">
      <alignment horizontal="center" vertical="center" textRotation="0" wrapText="false" indent="0" shrinkToFit="false"/>
      <protection locked="true" hidden="false"/>
    </xf>
    <xf numFmtId="164" fontId="5" fillId="0" borderId="1" xfId="0" applyFont="true" applyBorder="true" applyAlignment="true" applyProtection="true">
      <alignment horizontal="left" vertical="center" textRotation="0" wrapText="false" indent="0" shrinkToFit="false"/>
      <protection locked="true" hidden="false"/>
    </xf>
    <xf numFmtId="174" fontId="5" fillId="0" borderId="1" xfId="0" applyFont="true" applyBorder="true" applyAlignment="true" applyProtection="true">
      <alignment horizontal="center" vertical="center" textRotation="0" wrapText="false" indent="0" shrinkToFit="false"/>
      <protection locked="true" hidden="false"/>
    </xf>
    <xf numFmtId="165" fontId="5" fillId="0" borderId="1" xfId="0" applyFont="true" applyBorder="true" applyAlignment="true" applyProtection="true">
      <alignment horizontal="center" vertical="center" textRotation="0" wrapText="false" indent="0" shrinkToFit="false"/>
      <protection locked="true" hidden="false"/>
    </xf>
    <xf numFmtId="175" fontId="39" fillId="0" borderId="1" xfId="0" applyFont="true" applyBorder="true" applyAlignment="true" applyProtection="true">
      <alignment horizontal="center" vertical="center" textRotation="0" wrapText="false" indent="0" shrinkToFit="false"/>
      <protection locked="true" hidden="false"/>
    </xf>
    <xf numFmtId="164" fontId="40"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34" fillId="2" borderId="1" xfId="0" applyFont="true" applyBorder="true" applyAlignment="true" applyProtection="true">
      <alignment horizontal="center" vertical="center" textRotation="0" wrapText="true" indent="0" shrinkToFit="false"/>
      <protection locked="true" hidden="false"/>
    </xf>
    <xf numFmtId="164" fontId="34" fillId="6" borderId="1" xfId="0" applyFont="true" applyBorder="true" applyAlignment="true" applyProtection="true">
      <alignment horizontal="center" vertical="center" textRotation="0" wrapText="true" indent="0" shrinkToFit="false"/>
      <protection locked="true" hidden="false"/>
    </xf>
    <xf numFmtId="164" fontId="31" fillId="6" borderId="1" xfId="0" applyFont="true" applyBorder="true" applyAlignment="true" applyProtection="true">
      <alignment horizontal="center" vertical="center" textRotation="0" wrapText="true" indent="0" shrinkToFit="false"/>
      <protection locked="true" hidden="false"/>
    </xf>
    <xf numFmtId="164" fontId="0" fillId="0" borderId="7" xfId="0" applyFont="true" applyBorder="true" applyAlignment="true" applyProtection="true">
      <alignment horizontal="general" vertical="bottom" textRotation="0" wrapText="false" indent="0" shrinkToFit="false"/>
      <protection locked="true" hidden="false"/>
    </xf>
    <xf numFmtId="164" fontId="41" fillId="3" borderId="1" xfId="0" applyFont="true" applyBorder="true" applyAlignment="true" applyProtection="true">
      <alignment horizontal="center" vertical="center" textRotation="0" wrapText="true" indent="0" shrinkToFit="false"/>
      <protection locked="true" hidden="false"/>
    </xf>
    <xf numFmtId="164" fontId="42" fillId="6" borderId="1" xfId="0" applyFont="true" applyBorder="true" applyAlignment="true" applyProtection="true">
      <alignment horizontal="center" vertical="center" textRotation="0" wrapText="true" indent="0" shrinkToFit="false"/>
      <protection locked="true" hidden="false"/>
    </xf>
    <xf numFmtId="176" fontId="35" fillId="0" borderId="1" xfId="0" applyFont="true" applyBorder="true" applyAlignment="true" applyProtection="true">
      <alignment horizontal="center" vertical="center" textRotation="0" wrapText="false" indent="0" shrinkToFit="false"/>
      <protection locked="true" hidden="false"/>
    </xf>
    <xf numFmtId="165" fontId="24" fillId="0" borderId="1" xfId="0" applyFont="true" applyBorder="true" applyAlignment="true" applyProtection="true">
      <alignment horizontal="center" vertical="center" textRotation="0" wrapText="false" indent="0" shrinkToFit="false"/>
      <protection locked="true" hidden="false"/>
    </xf>
    <xf numFmtId="164" fontId="21" fillId="4" borderId="1" xfId="0" applyFont="true" applyBorder="true" applyAlignment="true" applyProtection="true">
      <alignment horizontal="center" vertical="center" textRotation="0" wrapText="false" indent="0" shrinkToFit="false"/>
      <protection locked="true" hidden="false"/>
    </xf>
    <xf numFmtId="164" fontId="39" fillId="0" borderId="1" xfId="0" applyFont="true" applyBorder="true" applyAlignment="true" applyProtection="true">
      <alignment horizontal="center" vertical="center" textRotation="0" wrapText="false" indent="0" shrinkToFit="false"/>
      <protection locked="true" hidden="false"/>
    </xf>
    <xf numFmtId="164" fontId="43" fillId="0" borderId="0" xfId="0" applyFont="true" applyBorder="true" applyAlignment="true" applyProtection="true">
      <alignment horizontal="general" vertical="center" textRotation="0" wrapText="false" indent="0" shrinkToFit="false"/>
      <protection locked="true" hidden="false"/>
    </xf>
    <xf numFmtId="164" fontId="34" fillId="3" borderId="1" xfId="0" applyFont="true" applyBorder="true" applyAlignment="true" applyProtection="true">
      <alignment horizontal="center" vertical="top" textRotation="0" wrapText="true" indent="0" shrinkToFit="false"/>
      <protection locked="true" hidden="false"/>
    </xf>
    <xf numFmtId="164" fontId="44" fillId="3" borderId="1" xfId="0" applyFont="true" applyBorder="true" applyAlignment="true" applyProtection="true">
      <alignment horizontal="center" vertical="top" textRotation="0" wrapText="true" indent="0" shrinkToFit="false"/>
      <protection locked="true" hidden="false"/>
    </xf>
    <xf numFmtId="164" fontId="45" fillId="0" borderId="1" xfId="0" applyFont="true" applyBorder="true" applyAlignment="true" applyProtection="true">
      <alignment horizontal="center" vertical="center" textRotation="0" wrapText="false" indent="0" shrinkToFit="false"/>
      <protection locked="true" hidden="false"/>
    </xf>
    <xf numFmtId="164" fontId="46" fillId="0" borderId="1" xfId="0" applyFont="true" applyBorder="true" applyAlignment="true" applyProtection="true">
      <alignment horizontal="center" vertical="center" textRotation="0" wrapText="false" indent="0" shrinkToFit="false"/>
      <protection locked="true" hidden="false"/>
    </xf>
    <xf numFmtId="164" fontId="47" fillId="4" borderId="1" xfId="0" applyFont="true" applyBorder="true" applyAlignment="true" applyProtection="true">
      <alignment horizontal="center" vertical="center" textRotation="0" wrapText="false" indent="0" shrinkToFit="false"/>
      <protection locked="true" hidden="false"/>
    </xf>
    <xf numFmtId="177" fontId="47" fillId="4" borderId="1" xfId="0" applyFont="true" applyBorder="true" applyAlignment="true" applyProtection="true">
      <alignment horizontal="center" vertical="center" textRotation="0" wrapText="false" indent="0" shrinkToFit="false"/>
      <protection locked="true" hidden="false"/>
    </xf>
    <xf numFmtId="167" fontId="47" fillId="4" borderId="1" xfId="0" applyFont="true" applyBorder="true" applyAlignment="true" applyProtection="true">
      <alignment horizontal="center" vertical="center" textRotation="0" wrapText="false" indent="0" shrinkToFit="false"/>
      <protection locked="true" hidden="false"/>
    </xf>
    <xf numFmtId="164" fontId="36" fillId="0" borderId="1" xfId="0" applyFont="true" applyBorder="true" applyAlignment="true" applyProtection="true">
      <alignment horizontal="center" vertical="center" textRotation="0" wrapText="false" indent="0" shrinkToFit="false"/>
      <protection locked="true" hidden="false"/>
    </xf>
    <xf numFmtId="164" fontId="20" fillId="0" borderId="1" xfId="0" applyFont="true" applyBorder="true" applyAlignment="true" applyProtection="true">
      <alignment horizontal="left" vertical="center" textRotation="0" wrapText="false" indent="0" shrinkToFit="false"/>
      <protection locked="true" hidden="false"/>
    </xf>
    <xf numFmtId="177" fontId="18" fillId="4" borderId="1" xfId="0" applyFont="true" applyBorder="true" applyAlignment="true" applyProtection="true">
      <alignment horizontal="center" vertical="center" textRotation="0" wrapText="false" indent="0" shrinkToFit="false"/>
      <protection locked="true" hidden="false"/>
    </xf>
    <xf numFmtId="167" fontId="18" fillId="4" borderId="1" xfId="0" applyFont="true" applyBorder="true" applyAlignment="true" applyProtection="true">
      <alignment horizontal="center" vertical="center" textRotation="0" wrapText="false" indent="0" shrinkToFit="false"/>
      <protection locked="true" hidden="false"/>
    </xf>
    <xf numFmtId="164" fontId="33" fillId="0" borderId="0" xfId="0" applyFont="true" applyBorder="true" applyAlignment="true" applyProtection="true">
      <alignment horizontal="general" vertical="bottom" textRotation="0" wrapText="false" indent="0" shrinkToFit="false"/>
      <protection locked="true" hidden="false"/>
    </xf>
    <xf numFmtId="178" fontId="23" fillId="4" borderId="1" xfId="0" applyFont="true" applyBorder="true" applyAlignment="true" applyProtection="true">
      <alignment horizontal="center" vertical="center" textRotation="0" wrapText="false" indent="0" shrinkToFit="false"/>
      <protection locked="true" hidden="false"/>
    </xf>
    <xf numFmtId="168" fontId="23" fillId="4" borderId="1" xfId="0" applyFont="true" applyBorder="true" applyAlignment="true" applyProtection="true">
      <alignment horizontal="center" vertical="center" textRotation="0" wrapText="false" indent="0" shrinkToFit="false"/>
      <protection locked="true" hidden="false"/>
    </xf>
    <xf numFmtId="175" fontId="23" fillId="4" borderId="1" xfId="0" applyFont="true" applyBorder="true" applyAlignment="true" applyProtection="true">
      <alignment horizontal="center" vertical="center" textRotation="0" wrapText="false" indent="0" shrinkToFit="false"/>
      <protection locked="true" hidden="false"/>
    </xf>
    <xf numFmtId="165" fontId="23" fillId="4" borderId="1" xfId="0" applyFont="true" applyBorder="true" applyAlignment="true" applyProtection="true">
      <alignment horizontal="center" vertical="center" textRotation="0" wrapText="false" indent="0" shrinkToFit="false"/>
      <protection locked="true" hidden="false"/>
    </xf>
    <xf numFmtId="164" fontId="48" fillId="0" borderId="0" xfId="0" applyFont="true" applyBorder="true" applyAlignment="true" applyProtection="true">
      <alignment horizontal="general" vertical="bottom" textRotation="0" wrapText="false" indent="0" shrinkToFit="false"/>
      <protection locked="true" hidden="false"/>
    </xf>
    <xf numFmtId="164" fontId="33" fillId="0" borderId="0" xfId="0" applyFont="true" applyBorder="true" applyAlignment="true" applyProtection="true">
      <alignment horizontal="general" vertical="center" textRotation="0" wrapText="false" indent="0" shrinkToFit="false"/>
      <protection locked="true" hidden="false"/>
    </xf>
    <xf numFmtId="164" fontId="34" fillId="3" borderId="1" xfId="0" applyFont="true" applyBorder="true" applyAlignment="true" applyProtection="true">
      <alignment horizontal="center" vertical="center" textRotation="0" wrapText="false" indent="0" shrinkToFit="false"/>
      <protection locked="true" hidden="false"/>
    </xf>
    <xf numFmtId="174" fontId="49" fillId="0" borderId="1" xfId="0" applyFont="true" applyBorder="true" applyAlignment="true" applyProtection="true">
      <alignment horizontal="center" vertical="center" textRotation="0" wrapText="false" indent="0" shrinkToFit="false"/>
      <protection locked="true" hidden="false"/>
    </xf>
    <xf numFmtId="167" fontId="49" fillId="0" borderId="1" xfId="0" applyFont="true" applyBorder="true" applyAlignment="true" applyProtection="true">
      <alignment horizontal="center" vertical="center" textRotation="0" wrapText="false" indent="0" shrinkToFit="false"/>
      <protection locked="true" hidden="false"/>
    </xf>
    <xf numFmtId="170" fontId="50" fillId="0" borderId="1" xfId="0" applyFont="true" applyBorder="true" applyAlignment="true" applyProtection="true">
      <alignment horizontal="center" vertical="center" textRotation="0" wrapText="false" indent="0" shrinkToFit="false"/>
      <protection locked="true" hidden="false"/>
    </xf>
    <xf numFmtId="164" fontId="43" fillId="0" borderId="0" xfId="0" applyFont="true" applyBorder="true" applyAlignment="true" applyProtection="true">
      <alignment horizontal="general" vertical="bottom" textRotation="0" wrapText="false" indent="0" shrinkToFit="false"/>
      <protection locked="true" hidden="false"/>
    </xf>
    <xf numFmtId="164" fontId="54" fillId="5" borderId="1" xfId="0" applyFont="true" applyBorder="true" applyAlignment="true" applyProtection="true">
      <alignment horizontal="center" vertical="center" textRotation="0" wrapText="true" indent="0" shrinkToFit="false"/>
      <protection locked="true" hidden="false"/>
    </xf>
    <xf numFmtId="165" fontId="45" fillId="0" borderId="1" xfId="0" applyFont="true" applyBorder="true" applyAlignment="true" applyProtection="true">
      <alignment horizontal="center" vertical="center" textRotation="0" wrapText="false" indent="0" shrinkToFit="false"/>
      <protection locked="true" hidden="false"/>
    </xf>
    <xf numFmtId="166" fontId="45" fillId="0" borderId="1" xfId="0" applyFont="true" applyBorder="true" applyAlignment="true" applyProtection="true">
      <alignment horizontal="center" vertical="center" textRotation="0" wrapText="false" indent="0" shrinkToFit="false"/>
      <protection locked="true" hidden="false"/>
    </xf>
    <xf numFmtId="164" fontId="54" fillId="0" borderId="0" xfId="0" applyFont="true" applyBorder="false" applyAlignment="true" applyProtection="true">
      <alignment horizontal="general" vertical="bottom" textRotation="0" wrapText="false" indent="0" shrinkToFit="false"/>
      <protection locked="true" hidden="false"/>
    </xf>
    <xf numFmtId="166" fontId="46" fillId="0" borderId="1" xfId="0" applyFont="true" applyBorder="true" applyAlignment="true" applyProtection="true">
      <alignment horizontal="center" vertical="center" textRotation="0" wrapText="false" indent="0" shrinkToFit="false"/>
      <protection locked="true" hidden="false"/>
    </xf>
    <xf numFmtId="166" fontId="46" fillId="0" borderId="0" xfId="0" applyFont="true" applyBorder="false" applyAlignment="true" applyProtection="true">
      <alignment horizontal="center" vertical="bottom" textRotation="0" wrapText="false" indent="0" shrinkToFit="false"/>
      <protection locked="true" hidden="false"/>
    </xf>
    <xf numFmtId="164" fontId="46" fillId="0" borderId="0" xfId="0" applyFont="true" applyBorder="false" applyAlignment="true" applyProtection="true">
      <alignment horizontal="center" vertical="bottom" textRotation="0" wrapText="false" indent="0" shrinkToFit="false"/>
      <protection locked="true" hidden="false"/>
    </xf>
    <xf numFmtId="164" fontId="55" fillId="0" borderId="0" xfId="0" applyFont="true" applyBorder="true" applyAlignment="true" applyProtection="true">
      <alignment horizontal="general" vertical="center" textRotation="0" wrapText="false" indent="0" shrinkToFit="false"/>
      <protection locked="true" hidden="false"/>
    </xf>
    <xf numFmtId="168" fontId="35" fillId="0" borderId="1" xfId="0" applyFont="true" applyBorder="true" applyAlignment="true" applyProtection="true">
      <alignment horizontal="center" vertical="center" textRotation="0" wrapText="false" indent="0" shrinkToFit="false"/>
      <protection locked="true" hidden="false"/>
    </xf>
    <xf numFmtId="164" fontId="33" fillId="0" borderId="0" xfId="0" applyFont="true" applyBorder="true" applyAlignment="true" applyProtection="true">
      <alignment horizontal="left" vertical="center" textRotation="0" wrapText="true" indent="0" shrinkToFit="false"/>
      <protection locked="true" hidden="false"/>
    </xf>
    <xf numFmtId="164" fontId="56" fillId="4" borderId="1" xfId="0" applyFont="true" applyBorder="true" applyAlignment="true" applyProtection="true">
      <alignment horizontal="center" vertical="center" textRotation="0" wrapText="false" indent="0" shrinkToFit="false"/>
      <protection locked="true" hidden="false"/>
    </xf>
    <xf numFmtId="174" fontId="56" fillId="4" borderId="1" xfId="0" applyFont="true" applyBorder="true" applyAlignment="true" applyProtection="true">
      <alignment horizontal="center" vertical="center" textRotation="0" wrapText="false" indent="0" shrinkToFit="false"/>
      <protection locked="true" hidden="false"/>
    </xf>
    <xf numFmtId="166" fontId="49" fillId="0" borderId="1" xfId="0" applyFont="true" applyBorder="true" applyAlignment="true" applyProtection="true">
      <alignment horizontal="center" vertical="center" textRotation="0" wrapText="false" indent="0" shrinkToFit="false"/>
      <protection locked="true" hidden="false"/>
    </xf>
    <xf numFmtId="164" fontId="57" fillId="0" borderId="1" xfId="0" applyFont="true" applyBorder="true" applyAlignment="true" applyProtection="true">
      <alignment horizontal="center" vertical="center" textRotation="0" wrapText="false" indent="0" shrinkToFit="false"/>
      <protection locked="true" hidden="false"/>
    </xf>
    <xf numFmtId="164" fontId="44" fillId="2" borderId="1" xfId="0" applyFont="true" applyBorder="true" applyAlignment="true" applyProtection="true">
      <alignment horizontal="center" vertical="center" textRotation="0" wrapText="true" indent="0" shrinkToFit="false"/>
      <protection locked="true" hidden="false"/>
    </xf>
    <xf numFmtId="164" fontId="44" fillId="6" borderId="1" xfId="0" applyFont="true" applyBorder="true" applyAlignment="true" applyProtection="true">
      <alignment horizontal="center" vertical="center" textRotation="0" wrapText="true" indent="0" shrinkToFit="false"/>
      <protection locked="true" hidden="false"/>
    </xf>
    <xf numFmtId="164" fontId="44" fillId="7" borderId="1" xfId="0" applyFont="true" applyBorder="true" applyAlignment="true" applyProtection="true">
      <alignment horizontal="center" vertical="center" textRotation="0" wrapText="true" indent="0" shrinkToFit="false"/>
      <protection locked="true" hidden="false"/>
    </xf>
    <xf numFmtId="164" fontId="44" fillId="8" borderId="1" xfId="0" applyFont="true" applyBorder="true" applyAlignment="true" applyProtection="true">
      <alignment horizontal="center" vertical="center" textRotation="0" wrapText="true" indent="0" shrinkToFit="false"/>
      <protection locked="true" hidden="false"/>
    </xf>
    <xf numFmtId="169" fontId="47" fillId="4" borderId="1" xfId="0" applyFont="true" applyBorder="true" applyAlignment="true" applyProtection="true">
      <alignment horizontal="center" vertical="center" textRotation="0" wrapText="false" indent="0" shrinkToFit="false"/>
      <protection locked="true" hidden="false"/>
    </xf>
    <xf numFmtId="167" fontId="46" fillId="0" borderId="1" xfId="0" applyFont="true" applyBorder="true" applyAlignment="true" applyProtection="true">
      <alignment horizontal="center" vertical="center" textRotation="0" wrapText="false" indent="0" shrinkToFit="false"/>
      <protection locked="true" hidden="false"/>
    </xf>
    <xf numFmtId="164" fontId="38" fillId="6" borderId="1" xfId="0" applyFont="true" applyBorder="true" applyAlignment="true" applyProtection="true">
      <alignment horizontal="center" vertical="center" textRotation="0" wrapText="true" indent="0" shrinkToFit="false"/>
      <protection locked="true" hidden="false"/>
    </xf>
    <xf numFmtId="164" fontId="38" fillId="8" borderId="1" xfId="0" applyFont="true" applyBorder="true" applyAlignment="true" applyProtection="true">
      <alignment horizontal="center" vertical="center" textRotation="0" wrapText="true" indent="0" shrinkToFit="false"/>
      <protection locked="true" hidden="false"/>
    </xf>
    <xf numFmtId="164" fontId="58" fillId="4" borderId="1" xfId="0" applyFont="true" applyBorder="true" applyAlignment="true" applyProtection="true">
      <alignment horizontal="center" vertical="center" textRotation="0" wrapText="false" indent="0" shrinkToFit="false"/>
      <protection locked="true" hidden="false"/>
    </xf>
    <xf numFmtId="167" fontId="58" fillId="4" borderId="1" xfId="0" applyFont="true" applyBorder="true" applyAlignment="true" applyProtection="true">
      <alignment horizontal="center" vertical="center" textRotation="0" wrapText="false" indent="0" shrinkToFit="false"/>
      <protection locked="true" hidden="false"/>
    </xf>
    <xf numFmtId="164" fontId="50" fillId="0" borderId="1" xfId="0" applyFont="true" applyBorder="true" applyAlignment="true" applyProtection="true">
      <alignment horizontal="center" vertical="center" textRotation="0" wrapText="false" indent="0" shrinkToFit="false"/>
      <protection locked="true" hidden="false"/>
    </xf>
    <xf numFmtId="177" fontId="58" fillId="4" borderId="1" xfId="0" applyFont="true" applyBorder="true" applyAlignment="true" applyProtection="true">
      <alignment horizontal="center" vertical="center" textRotation="0" wrapText="false" indent="0" shrinkToFit="false"/>
      <protection locked="true" hidden="false"/>
    </xf>
    <xf numFmtId="164" fontId="59" fillId="0" borderId="1" xfId="0" applyFont="true" applyBorder="true" applyAlignment="true" applyProtection="true">
      <alignment horizontal="center" vertical="center" textRotation="0" wrapText="false" indent="0" shrinkToFit="false"/>
      <protection locked="true" hidden="false"/>
    </xf>
    <xf numFmtId="164" fontId="60" fillId="4" borderId="1" xfId="0" applyFont="true" applyBorder="true" applyAlignment="true" applyProtection="true">
      <alignment horizontal="center" vertical="center" textRotation="0" wrapText="false" indent="0" shrinkToFit="false"/>
      <protection locked="true" hidden="false"/>
    </xf>
    <xf numFmtId="174" fontId="58" fillId="4" borderId="1" xfId="0" applyFont="true" applyBorder="true" applyAlignment="true" applyProtection="true">
      <alignment horizontal="center" vertical="center" textRotation="0" wrapText="false" indent="0" shrinkToFit="false"/>
      <protection locked="true" hidden="false"/>
    </xf>
    <xf numFmtId="169" fontId="58" fillId="4" borderId="1" xfId="0" applyFont="true" applyBorder="true" applyAlignment="true" applyProtection="true">
      <alignment horizontal="center" vertical="center" textRotation="0" wrapText="false" indent="0" shrinkToFit="false"/>
      <protection locked="true" hidden="false"/>
    </xf>
    <xf numFmtId="167" fontId="59" fillId="0" borderId="1" xfId="0" applyFont="true" applyBorder="true" applyAlignment="true" applyProtection="true">
      <alignment horizontal="center" vertical="center" textRotation="0" wrapText="false" indent="0" shrinkToFit="false"/>
      <protection locked="true" hidden="false"/>
    </xf>
    <xf numFmtId="167" fontId="50" fillId="0" borderId="1" xfId="0" applyFont="true" applyBorder="true" applyAlignment="true" applyProtection="true">
      <alignment horizontal="center" vertical="center" textRotation="0" wrapText="false" indent="0" shrinkToFit="false"/>
      <protection locked="true" hidden="false"/>
    </xf>
    <xf numFmtId="164" fontId="48" fillId="0" borderId="0" xfId="0" applyFont="true" applyBorder="true" applyAlignment="true" applyProtection="true">
      <alignment horizontal="left"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23" fillId="4" borderId="1" xfId="0" applyFont="true" applyBorder="true" applyAlignment="true" applyProtection="true">
      <alignment horizontal="left" vertical="top" textRotation="0" wrapText="tru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16" fillId="2" borderId="1" xfId="0" applyFont="true" applyBorder="true" applyAlignment="true" applyProtection="true">
      <alignment horizontal="general" vertical="bottom" textRotation="0" wrapText="false" indent="0" shrinkToFit="false"/>
      <protection locked="true" hidden="false"/>
    </xf>
    <xf numFmtId="164" fontId="31" fillId="3" borderId="1" xfId="0" applyFont="true" applyBorder="true" applyAlignment="true" applyProtection="true">
      <alignment horizontal="center" vertical="center" textRotation="0" wrapText="true" indent="0" shrinkToFit="false"/>
      <protection locked="true" hidden="false"/>
    </xf>
    <xf numFmtId="164" fontId="36" fillId="0" borderId="1" xfId="0" applyFont="true" applyBorder="true" applyAlignment="true" applyProtection="tru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6">
    <dxf>
      <font>
        <b val="1"/>
        <color rgb="FF9C0006"/>
      </font>
      <fill>
        <patternFill>
          <bgColor rgb="FFFFC7CE"/>
        </patternFill>
      </fill>
    </dxf>
    <dxf>
      <fill>
        <patternFill patternType="solid">
          <fgColor rgb="FF1F3864"/>
          <bgColor rgb="FF000000"/>
        </patternFill>
      </fill>
    </dxf>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CE6F1"/>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color rgb="FF006100"/>
      </font>
      <fill>
        <patternFill>
          <bgColor rgb="FFC6EFCE"/>
        </patternFill>
      </fill>
    </dxf>
    <dxf>
      <font>
        <color rgb="FF9C0006"/>
      </font>
      <fill>
        <patternFill>
          <bgColor rgb="FFFFC7CE"/>
        </patternFill>
      </fill>
    </dxf>
    <dxf>
      <fill>
        <patternFill patternType="solid">
          <fgColor rgb="FFFCE4D6"/>
          <bgColor rgb="FF000000"/>
        </patternFill>
      </fill>
    </dxf>
    <dxf>
      <fill>
        <patternFill patternType="solid">
          <fgColor rgb="FFC65911"/>
          <bgColor rgb="FF000000"/>
        </patternFill>
      </fill>
    </dxf>
    <dxf>
      <font>
        <b val="1"/>
        <color rgb="FF9C6500"/>
      </font>
      <fill>
        <patternFill>
          <bgColor rgb="FFFFEB9C"/>
        </patternFill>
      </fill>
    </dxf>
    <dxf>
      <font>
        <b val="1"/>
        <color rgb="FFC65911"/>
      </font>
      <fill>
        <patternFill>
          <bgColor rgb="FFFCE4D6"/>
        </patternFill>
      </fill>
    </dxf>
    <dxf>
      <fill>
        <patternFill patternType="solid">
          <fgColor rgb="FF808080"/>
          <bgColor rgb="FF000000"/>
        </patternFill>
      </fill>
    </dxf>
    <dxf>
      <fill>
        <patternFill patternType="solid">
          <fgColor rgb="FFE2EFDA"/>
          <bgColor rgb="FF000000"/>
        </patternFill>
      </fill>
    </dxf>
    <dxf>
      <fill>
        <patternFill patternType="solid">
          <fgColor rgb="FF375623"/>
          <bgColor rgb="FF000000"/>
        </patternFill>
      </fill>
    </dxf>
    <dxf>
      <fill>
        <patternFill patternType="solid">
          <fgColor rgb="FFFFEB9C"/>
          <bgColor rgb="FF000000"/>
        </patternFill>
      </fill>
    </dxf>
    <dxf>
      <fill>
        <patternFill patternType="solid">
          <fgColor rgb="FF9C6500"/>
          <bgColor rgb="FF000000"/>
        </patternFill>
      </fill>
    </dxf>
    <dxf>
      <font>
        <b val="1"/>
        <color rgb="FF006100"/>
      </font>
      <fill>
        <patternFill>
          <bgColor rgb="FFC6EFCE"/>
        </patternFill>
      </fill>
    </dxf>
    <dxf>
      <font>
        <b val="1"/>
        <color rgb="FF375623"/>
      </font>
      <fill>
        <patternFill>
          <bgColor rgb="FFE2EFDA"/>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4700966"/>
        <c:axId val="34502133"/>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8475674"/>
        <c:axId val="74965063"/>
      </c:lineChart>
      <c:dateAx>
        <c:axId val="470096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502133"/>
        <c:auto val="1"/>
        <c:lblOffset val="100"/>
        <c:baseTimeUnit val="days"/>
      </c:dateAx>
      <c:valAx>
        <c:axId val="3450213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00966"/>
        <c:crosses val="autoZero"/>
        <c:crossBetween val="between"/>
      </c:valAx>
      <c:dateAx>
        <c:axId val="847567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965063"/>
        <c:auto val="1"/>
        <c:lblOffset val="100"/>
        <c:baseTimeUnit val="days"/>
      </c:dateAx>
      <c:valAx>
        <c:axId val="7496506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7567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80834248"/>
        <c:axId val="19049492"/>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9200490"/>
        <c:axId val="57169004"/>
      </c:lineChart>
      <c:dateAx>
        <c:axId val="8083424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049492"/>
        <c:auto val="1"/>
        <c:lblOffset val="100"/>
        <c:baseTimeUnit val="days"/>
      </c:dateAx>
      <c:valAx>
        <c:axId val="1904949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834248"/>
        <c:crosses val="autoZero"/>
        <c:crossBetween val="between"/>
      </c:valAx>
      <c:dateAx>
        <c:axId val="920049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169004"/>
        <c:auto val="1"/>
        <c:lblOffset val="100"/>
        <c:baseTimeUnit val="days"/>
      </c:dateAx>
      <c:valAx>
        <c:axId val="5716900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0049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85255481"/>
        <c:axId val="81499298"/>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20804828"/>
        <c:axId val="96111223"/>
      </c:lineChart>
      <c:dateAx>
        <c:axId val="8525548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499298"/>
        <c:auto val="1"/>
        <c:lblOffset val="100"/>
        <c:baseTimeUnit val="days"/>
      </c:dateAx>
      <c:valAx>
        <c:axId val="8149929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255481"/>
        <c:crosses val="autoZero"/>
        <c:crossBetween val="between"/>
      </c:valAx>
      <c:dateAx>
        <c:axId val="2080482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111223"/>
        <c:auto val="1"/>
        <c:lblOffset val="100"/>
        <c:baseTimeUnit val="days"/>
      </c:dateAx>
      <c:valAx>
        <c:axId val="9611122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80482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44127255"/>
        <c:axId val="16203097"/>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21510373"/>
        <c:axId val="59286423"/>
      </c:lineChart>
      <c:dateAx>
        <c:axId val="4412725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203097"/>
        <c:auto val="1"/>
        <c:lblOffset val="100"/>
        <c:baseTimeUnit val="days"/>
      </c:dateAx>
      <c:valAx>
        <c:axId val="162030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127255"/>
        <c:crosses val="autoZero"/>
        <c:crossBetween val="between"/>
      </c:valAx>
      <c:dateAx>
        <c:axId val="2151037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286423"/>
        <c:auto val="1"/>
        <c:lblOffset val="100"/>
        <c:baseTimeUnit val="days"/>
      </c:dateAx>
      <c:valAx>
        <c:axId val="5928642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51037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33862733"/>
        <c:axId val="45425626"/>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91453472"/>
        <c:axId val="4509676"/>
      </c:lineChart>
      <c:dateAx>
        <c:axId val="3386273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425626"/>
        <c:auto val="1"/>
        <c:lblOffset val="100"/>
        <c:baseTimeUnit val="days"/>
      </c:dateAx>
      <c:valAx>
        <c:axId val="4542562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862733"/>
        <c:crosses val="autoZero"/>
        <c:crossBetween val="between"/>
      </c:valAx>
      <c:dateAx>
        <c:axId val="9145347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09676"/>
        <c:auto val="1"/>
        <c:lblOffset val="100"/>
        <c:baseTimeUnit val="days"/>
      </c:dateAx>
      <c:valAx>
        <c:axId val="450967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45347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64540820"/>
        <c:axId val="52579330"/>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42593171"/>
        <c:axId val="72414867"/>
      </c:lineChart>
      <c:dateAx>
        <c:axId val="6454082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579330"/>
        <c:auto val="1"/>
        <c:lblOffset val="100"/>
        <c:baseTimeUnit val="days"/>
      </c:dateAx>
      <c:valAx>
        <c:axId val="5257933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540820"/>
        <c:crosses val="autoZero"/>
        <c:crossBetween val="between"/>
      </c:valAx>
      <c:dateAx>
        <c:axId val="4259317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414867"/>
        <c:auto val="1"/>
        <c:lblOffset val="100"/>
        <c:baseTimeUnit val="days"/>
      </c:dateAx>
      <c:valAx>
        <c:axId val="7241486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59317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94065472"/>
        <c:axId val="84720442"/>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47275941"/>
        <c:axId val="34290966"/>
      </c:lineChart>
      <c:dateAx>
        <c:axId val="9406547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720442"/>
        <c:auto val="1"/>
        <c:lblOffset val="100"/>
        <c:baseTimeUnit val="days"/>
      </c:dateAx>
      <c:valAx>
        <c:axId val="8472044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065472"/>
        <c:crosses val="autoZero"/>
        <c:crossBetween val="between"/>
      </c:valAx>
      <c:dateAx>
        <c:axId val="4727594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290966"/>
        <c:auto val="1"/>
        <c:lblOffset val="100"/>
        <c:baseTimeUnit val="days"/>
      </c:dateAx>
      <c:valAx>
        <c:axId val="3429096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27594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49418952"/>
        <c:axId val="61540500"/>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73962445"/>
        <c:axId val="42861633"/>
      </c:lineChart>
      <c:dateAx>
        <c:axId val="4941895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540500"/>
        <c:auto val="1"/>
        <c:lblOffset val="100"/>
        <c:baseTimeUnit val="days"/>
      </c:dateAx>
      <c:valAx>
        <c:axId val="6154050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418952"/>
        <c:crosses val="autoZero"/>
        <c:crossBetween val="between"/>
      </c:valAx>
      <c:dateAx>
        <c:axId val="7396244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861633"/>
        <c:auto val="1"/>
        <c:lblOffset val="100"/>
        <c:baseTimeUnit val="days"/>
      </c:dateAx>
      <c:valAx>
        <c:axId val="4286163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96244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90557277"/>
        <c:axId val="84021508"/>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52391551"/>
        <c:axId val="6163458"/>
      </c:lineChart>
      <c:dateAx>
        <c:axId val="9055727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021508"/>
        <c:auto val="1"/>
        <c:lblOffset val="100"/>
        <c:baseTimeUnit val="days"/>
      </c:dateAx>
      <c:valAx>
        <c:axId val="8402150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557277"/>
        <c:crosses val="autoZero"/>
        <c:crossBetween val="between"/>
      </c:valAx>
      <c:dateAx>
        <c:axId val="5239155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63458"/>
        <c:auto val="1"/>
        <c:lblOffset val="100"/>
        <c:baseTimeUnit val="days"/>
      </c:dateAx>
      <c:valAx>
        <c:axId val="616345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39155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53990416"/>
        <c:axId val="21277084"/>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39222114"/>
        <c:axId val="18541035"/>
      </c:lineChart>
      <c:dateAx>
        <c:axId val="5399041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277084"/>
        <c:auto val="1"/>
        <c:lblOffset val="100"/>
        <c:baseTimeUnit val="days"/>
      </c:dateAx>
      <c:valAx>
        <c:axId val="2127708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990416"/>
        <c:crosses val="autoZero"/>
        <c:crossBetween val="between"/>
      </c:valAx>
      <c:dateAx>
        <c:axId val="3922211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541035"/>
        <c:auto val="1"/>
        <c:lblOffset val="100"/>
        <c:baseTimeUnit val="days"/>
      </c:dateAx>
      <c:valAx>
        <c:axId val="1854103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22211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61680510"/>
        <c:axId val="46381523"/>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90061827"/>
        <c:axId val="96309575"/>
      </c:lineChart>
      <c:dateAx>
        <c:axId val="6168051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381523"/>
        <c:auto val="1"/>
        <c:lblOffset val="100"/>
        <c:baseTimeUnit val="days"/>
      </c:dateAx>
      <c:valAx>
        <c:axId val="4638152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680510"/>
        <c:crosses val="autoZero"/>
        <c:crossBetween val="between"/>
      </c:valAx>
      <c:dateAx>
        <c:axId val="9006182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309575"/>
        <c:auto val="1"/>
        <c:lblOffset val="100"/>
        <c:baseTimeUnit val="days"/>
      </c:dateAx>
      <c:valAx>
        <c:axId val="9630957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06182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59812408"/>
        <c:axId val="57013291"/>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60705890"/>
        <c:axId val="51762137"/>
      </c:lineChart>
      <c:dateAx>
        <c:axId val="598124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013291"/>
        <c:auto val="1"/>
        <c:lblOffset val="100"/>
        <c:baseTimeUnit val="days"/>
      </c:dateAx>
      <c:valAx>
        <c:axId val="570132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812408"/>
        <c:crosses val="autoZero"/>
        <c:crossBetween val="between"/>
      </c:valAx>
      <c:dateAx>
        <c:axId val="6070589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762137"/>
        <c:auto val="1"/>
        <c:lblOffset val="100"/>
        <c:baseTimeUnit val="days"/>
      </c:dateAx>
      <c:valAx>
        <c:axId val="5176213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70589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60228540"/>
        <c:axId val="48836847"/>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22635342"/>
        <c:axId val="17817788"/>
      </c:lineChart>
      <c:dateAx>
        <c:axId val="6022854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836847"/>
        <c:auto val="1"/>
        <c:lblOffset val="100"/>
        <c:baseTimeUnit val="days"/>
      </c:dateAx>
      <c:valAx>
        <c:axId val="4883684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228540"/>
        <c:crosses val="autoZero"/>
        <c:crossBetween val="between"/>
      </c:valAx>
      <c:dateAx>
        <c:axId val="2263534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817788"/>
        <c:auto val="1"/>
        <c:lblOffset val="100"/>
        <c:baseTimeUnit val="days"/>
      </c:dateAx>
      <c:valAx>
        <c:axId val="1781778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63534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37912083"/>
        <c:axId val="90256821"/>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39871641"/>
        <c:axId val="63054066"/>
      </c:lineChart>
      <c:dateAx>
        <c:axId val="3791208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256821"/>
        <c:auto val="1"/>
        <c:lblOffset val="100"/>
        <c:baseTimeUnit val="days"/>
      </c:dateAx>
      <c:valAx>
        <c:axId val="9025682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912083"/>
        <c:crosses val="autoZero"/>
        <c:crossBetween val="between"/>
      </c:valAx>
      <c:dateAx>
        <c:axId val="3987164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054066"/>
        <c:auto val="1"/>
        <c:lblOffset val="100"/>
        <c:baseTimeUnit val="days"/>
      </c:dateAx>
      <c:valAx>
        <c:axId val="6305406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87164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45080798"/>
        <c:axId val="76937264"/>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15591247"/>
        <c:axId val="34355337"/>
      </c:lineChart>
      <c:dateAx>
        <c:axId val="4508079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937264"/>
        <c:auto val="1"/>
        <c:lblOffset val="100"/>
        <c:baseTimeUnit val="days"/>
      </c:dateAx>
      <c:valAx>
        <c:axId val="7693726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080798"/>
        <c:crosses val="autoZero"/>
        <c:crossBetween val="between"/>
      </c:valAx>
      <c:dateAx>
        <c:axId val="1559124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355337"/>
        <c:auto val="1"/>
        <c:lblOffset val="100"/>
        <c:baseTimeUnit val="days"/>
      </c:dateAx>
      <c:valAx>
        <c:axId val="3435533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59124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58245645"/>
        <c:axId val="16390560"/>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71053764"/>
        <c:axId val="24851369"/>
      </c:lineChart>
      <c:dateAx>
        <c:axId val="5824564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390560"/>
        <c:auto val="1"/>
        <c:lblOffset val="100"/>
        <c:baseTimeUnit val="days"/>
      </c:dateAx>
      <c:valAx>
        <c:axId val="1639056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245645"/>
        <c:crosses val="autoZero"/>
        <c:crossBetween val="between"/>
      </c:valAx>
      <c:dateAx>
        <c:axId val="7105376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851369"/>
        <c:auto val="1"/>
        <c:lblOffset val="100"/>
        <c:baseTimeUnit val="days"/>
      </c:dateAx>
      <c:valAx>
        <c:axId val="2485136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05376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65898616"/>
        <c:axId val="6378059"/>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13732827"/>
        <c:axId val="63717779"/>
      </c:lineChart>
      <c:dateAx>
        <c:axId val="6589861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78059"/>
        <c:auto val="1"/>
        <c:lblOffset val="100"/>
        <c:baseTimeUnit val="days"/>
      </c:dateAx>
      <c:valAx>
        <c:axId val="637805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898616"/>
        <c:crosses val="autoZero"/>
        <c:crossBetween val="between"/>
      </c:valAx>
      <c:dateAx>
        <c:axId val="1373282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717779"/>
        <c:auto val="1"/>
        <c:lblOffset val="100"/>
        <c:baseTimeUnit val="days"/>
      </c:dateAx>
      <c:valAx>
        <c:axId val="6371777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73282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18094883"/>
        <c:axId val="31887801"/>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64054551"/>
        <c:axId val="59295732"/>
      </c:lineChart>
      <c:dateAx>
        <c:axId val="1809488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887801"/>
        <c:auto val="1"/>
        <c:lblOffset val="100"/>
        <c:baseTimeUnit val="days"/>
      </c:dateAx>
      <c:valAx>
        <c:axId val="3188780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094883"/>
        <c:crosses val="autoZero"/>
        <c:crossBetween val="between"/>
      </c:valAx>
      <c:dateAx>
        <c:axId val="6405455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295732"/>
        <c:auto val="1"/>
        <c:lblOffset val="100"/>
        <c:baseTimeUnit val="days"/>
      </c:dateAx>
      <c:valAx>
        <c:axId val="5929573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05455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6</xdr:col>
      <xdr:colOff>1080</xdr:colOff>
      <xdr:row>175</xdr:row>
      <xdr:rowOff>45000</xdr:rowOff>
    </xdr:to>
    <xdr:graphicFrame>
      <xdr:nvGraphicFramePr>
        <xdr:cNvPr id="1" name="Chart 1"/>
        <xdr:cNvGraphicFramePr/>
      </xdr:nvGraphicFramePr>
      <xdr:xfrm>
        <a:off x="0" y="31204080"/>
        <a:ext cx="2758320" cy="2331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22320</xdr:colOff>
      <xdr:row>175</xdr:row>
      <xdr:rowOff>45000</xdr:rowOff>
    </xdr:to>
    <xdr:graphicFrame>
      <xdr:nvGraphicFramePr>
        <xdr:cNvPr id="2" name="Chart 2"/>
        <xdr:cNvGraphicFramePr/>
      </xdr:nvGraphicFramePr>
      <xdr:xfrm>
        <a:off x="3554640" y="31204080"/>
        <a:ext cx="2415240" cy="23310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186120</xdr:colOff>
      <xdr:row>175</xdr:row>
      <xdr:rowOff>45000</xdr:rowOff>
    </xdr:to>
    <xdr:graphicFrame>
      <xdr:nvGraphicFramePr>
        <xdr:cNvPr id="3" name="Chart 3"/>
        <xdr:cNvGraphicFramePr/>
      </xdr:nvGraphicFramePr>
      <xdr:xfrm>
        <a:off x="6744960" y="31204080"/>
        <a:ext cx="2473560" cy="23310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441720</xdr:colOff>
      <xdr:row>175</xdr:row>
      <xdr:rowOff>45000</xdr:rowOff>
    </xdr:to>
    <xdr:graphicFrame>
      <xdr:nvGraphicFramePr>
        <xdr:cNvPr id="4" name="Chart 4"/>
        <xdr:cNvGraphicFramePr/>
      </xdr:nvGraphicFramePr>
      <xdr:xfrm>
        <a:off x="10464840" y="31204080"/>
        <a:ext cx="4739400" cy="23310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6</xdr:col>
      <xdr:colOff>1080</xdr:colOff>
      <xdr:row>191</xdr:row>
      <xdr:rowOff>45000</xdr:rowOff>
    </xdr:to>
    <xdr:graphicFrame>
      <xdr:nvGraphicFramePr>
        <xdr:cNvPr id="5" name="Chart 5"/>
        <xdr:cNvGraphicFramePr/>
      </xdr:nvGraphicFramePr>
      <xdr:xfrm>
        <a:off x="0" y="34251840"/>
        <a:ext cx="2758320" cy="23310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22320</xdr:colOff>
      <xdr:row>191</xdr:row>
      <xdr:rowOff>45000</xdr:rowOff>
    </xdr:to>
    <xdr:graphicFrame>
      <xdr:nvGraphicFramePr>
        <xdr:cNvPr id="6" name="Chart 6"/>
        <xdr:cNvGraphicFramePr/>
      </xdr:nvGraphicFramePr>
      <xdr:xfrm>
        <a:off x="3554640" y="34251840"/>
        <a:ext cx="2415240" cy="23310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186120</xdr:colOff>
      <xdr:row>191</xdr:row>
      <xdr:rowOff>45000</xdr:rowOff>
    </xdr:to>
    <xdr:graphicFrame>
      <xdr:nvGraphicFramePr>
        <xdr:cNvPr id="7" name="Chart 7"/>
        <xdr:cNvGraphicFramePr/>
      </xdr:nvGraphicFramePr>
      <xdr:xfrm>
        <a:off x="6744960" y="34251840"/>
        <a:ext cx="2473560" cy="23310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441720</xdr:colOff>
      <xdr:row>191</xdr:row>
      <xdr:rowOff>45000</xdr:rowOff>
    </xdr:to>
    <xdr:graphicFrame>
      <xdr:nvGraphicFramePr>
        <xdr:cNvPr id="8" name="Chart 8"/>
        <xdr:cNvGraphicFramePr/>
      </xdr:nvGraphicFramePr>
      <xdr:xfrm>
        <a:off x="10464840" y="34251840"/>
        <a:ext cx="4739400" cy="23310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6</xdr:col>
      <xdr:colOff>1080</xdr:colOff>
      <xdr:row>207</xdr:row>
      <xdr:rowOff>45000</xdr:rowOff>
    </xdr:to>
    <xdr:graphicFrame>
      <xdr:nvGraphicFramePr>
        <xdr:cNvPr id="9" name="Chart 9"/>
        <xdr:cNvGraphicFramePr/>
      </xdr:nvGraphicFramePr>
      <xdr:xfrm>
        <a:off x="0" y="37299960"/>
        <a:ext cx="2758320" cy="23310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22320</xdr:colOff>
      <xdr:row>207</xdr:row>
      <xdr:rowOff>45000</xdr:rowOff>
    </xdr:to>
    <xdr:graphicFrame>
      <xdr:nvGraphicFramePr>
        <xdr:cNvPr id="10" name="Chart 10"/>
        <xdr:cNvGraphicFramePr/>
      </xdr:nvGraphicFramePr>
      <xdr:xfrm>
        <a:off x="3554640" y="37299960"/>
        <a:ext cx="2415240" cy="23310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186120</xdr:colOff>
      <xdr:row>207</xdr:row>
      <xdr:rowOff>45000</xdr:rowOff>
    </xdr:to>
    <xdr:graphicFrame>
      <xdr:nvGraphicFramePr>
        <xdr:cNvPr id="11" name="Chart 11"/>
        <xdr:cNvGraphicFramePr/>
      </xdr:nvGraphicFramePr>
      <xdr:xfrm>
        <a:off x="6744960" y="37299960"/>
        <a:ext cx="2473560" cy="233100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441720</xdr:colOff>
      <xdr:row>207</xdr:row>
      <xdr:rowOff>45000</xdr:rowOff>
    </xdr:to>
    <xdr:graphicFrame>
      <xdr:nvGraphicFramePr>
        <xdr:cNvPr id="12" name="Chart 12"/>
        <xdr:cNvGraphicFramePr/>
      </xdr:nvGraphicFramePr>
      <xdr:xfrm>
        <a:off x="10464840" y="37299960"/>
        <a:ext cx="4739400" cy="233100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6</xdr:col>
      <xdr:colOff>1080</xdr:colOff>
      <xdr:row>223</xdr:row>
      <xdr:rowOff>45000</xdr:rowOff>
    </xdr:to>
    <xdr:graphicFrame>
      <xdr:nvGraphicFramePr>
        <xdr:cNvPr id="13" name="Chart 13"/>
        <xdr:cNvGraphicFramePr/>
      </xdr:nvGraphicFramePr>
      <xdr:xfrm>
        <a:off x="0" y="40348080"/>
        <a:ext cx="2758320" cy="23310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22320</xdr:colOff>
      <xdr:row>223</xdr:row>
      <xdr:rowOff>45000</xdr:rowOff>
    </xdr:to>
    <xdr:graphicFrame>
      <xdr:nvGraphicFramePr>
        <xdr:cNvPr id="14" name="Chart 14"/>
        <xdr:cNvGraphicFramePr/>
      </xdr:nvGraphicFramePr>
      <xdr:xfrm>
        <a:off x="3554640" y="40348080"/>
        <a:ext cx="2415240" cy="23310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186120</xdr:colOff>
      <xdr:row>223</xdr:row>
      <xdr:rowOff>45000</xdr:rowOff>
    </xdr:to>
    <xdr:graphicFrame>
      <xdr:nvGraphicFramePr>
        <xdr:cNvPr id="15" name="Chart 15"/>
        <xdr:cNvGraphicFramePr/>
      </xdr:nvGraphicFramePr>
      <xdr:xfrm>
        <a:off x="6744960" y="40348080"/>
        <a:ext cx="2473560" cy="23310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441720</xdr:colOff>
      <xdr:row>223</xdr:row>
      <xdr:rowOff>45000</xdr:rowOff>
    </xdr:to>
    <xdr:graphicFrame>
      <xdr:nvGraphicFramePr>
        <xdr:cNvPr id="16" name="Chart 16"/>
        <xdr:cNvGraphicFramePr/>
      </xdr:nvGraphicFramePr>
      <xdr:xfrm>
        <a:off x="10464840" y="40348080"/>
        <a:ext cx="4739400" cy="23310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6</xdr:col>
      <xdr:colOff>1080</xdr:colOff>
      <xdr:row>239</xdr:row>
      <xdr:rowOff>45000</xdr:rowOff>
    </xdr:to>
    <xdr:graphicFrame>
      <xdr:nvGraphicFramePr>
        <xdr:cNvPr id="17" name="Chart 17"/>
        <xdr:cNvGraphicFramePr/>
      </xdr:nvGraphicFramePr>
      <xdr:xfrm>
        <a:off x="0" y="43395840"/>
        <a:ext cx="2758320" cy="23310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22320</xdr:colOff>
      <xdr:row>239</xdr:row>
      <xdr:rowOff>45000</xdr:rowOff>
    </xdr:to>
    <xdr:graphicFrame>
      <xdr:nvGraphicFramePr>
        <xdr:cNvPr id="18" name="Chart 18"/>
        <xdr:cNvGraphicFramePr/>
      </xdr:nvGraphicFramePr>
      <xdr:xfrm>
        <a:off x="3554640" y="43395840"/>
        <a:ext cx="2415240" cy="23310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39" headerRowCount="1" totalsRowCount="0" totalsRowShown="0">
  <autoFilter ref="A2:M39"/>
  <tableColumns count="13">
    <tableColumn id="1" name="Account"/>
    <tableColumn id="2" name="Ticker"/>
    <tableColumn id="3" name="Description"/>
    <tableColumn id="4" name="Asset Class"/>
    <tableColumn id="5" name="Quantity"/>
    <tableColumn id="6" name="Price ($)"/>
    <tableColumn id="7" name="Market Value ($)"/>
    <tableColumn id="8" name="Cost Basis ($)"/>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7" headerRowCount="1" totalsRowCount="0" totalsRowShown="0">
  <autoFilter ref="A2:R4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P47" headerRowCount="1" totalsRowCount="0" totalsRowShown="0">
  <autoFilter ref="A2:P47"/>
  <tableColumns count="16">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Days Since&#10;Last Score"/>
    <tableColumn id="15" name="Recheck Status"/>
    <tableColumn id="16"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0"/>
  <sheetViews>
    <sheetView showFormulas="false" showGridLines="false" showRowColHeaders="true" showZeros="true" rightToLeft="false" tabSelected="false" showOutlineSymbols="true" defaultGridColor="true" view="normal" topLeftCell="A1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N18" activeCellId="0" sqref="N18"/>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44</v>
      </c>
      <c r="B1" s="8"/>
      <c r="C1" s="8"/>
      <c r="D1" s="8"/>
      <c r="E1" s="8"/>
      <c r="F1" s="8"/>
    </row>
    <row r="2" customFormat="false" ht="15" hidden="false" customHeight="true" outlineLevel="0" collapsed="false">
      <c r="A2" s="9" t="s">
        <v>45</v>
      </c>
      <c r="B2" s="9"/>
      <c r="C2" s="9"/>
      <c r="D2" s="9"/>
      <c r="E2" s="9"/>
      <c r="F2" s="9"/>
    </row>
    <row r="4" customFormat="false" ht="15" hidden="false" customHeight="true" outlineLevel="0" collapsed="false">
      <c r="A4" s="10" t="s">
        <v>46</v>
      </c>
      <c r="B4" s="10"/>
      <c r="C4" s="10"/>
      <c r="D4" s="10"/>
      <c r="E4" s="10"/>
      <c r="F4" s="10"/>
    </row>
    <row r="5" customFormat="false" ht="15" hidden="false" customHeight="true" outlineLevel="0" collapsed="false">
      <c r="A5" s="11" t="s">
        <v>47</v>
      </c>
      <c r="B5" s="11"/>
      <c r="C5" s="11"/>
      <c r="D5" s="11"/>
      <c r="E5" s="12" t="n">
        <f aca="false">COUNTIF('Watch List Tracker'!K3:K22,"*SELL WITHIN 30 DAYS*")</f>
        <v>0</v>
      </c>
      <c r="F5" s="12"/>
    </row>
    <row r="6" customFormat="false" ht="15" hidden="false" customHeight="true" outlineLevel="0" collapsed="false">
      <c r="A6" s="11" t="s">
        <v>48</v>
      </c>
      <c r="B6" s="11"/>
      <c r="C6" s="11"/>
      <c r="D6" s="11"/>
      <c r="E6" s="12" t="n">
        <f aca="false">COUNTIF('Watch List Tracker'!K3:K22,"DEADLINE APPROACHING")</f>
        <v>0</v>
      </c>
      <c r="F6" s="12"/>
    </row>
    <row r="7" customFormat="false" ht="15" hidden="false" customHeight="true" outlineLevel="0" collapsed="false">
      <c r="A7" s="11" t="s">
        <v>49</v>
      </c>
      <c r="B7" s="11"/>
      <c r="C7" s="11"/>
      <c r="D7" s="11"/>
      <c r="E7" s="12" t="n">
        <f aca="false">COUNTIF('Watch List Tracker'!K3:K22,"*RECOVERED*")</f>
        <v>0</v>
      </c>
      <c r="F7" s="12"/>
    </row>
    <row r="8" customFormat="false" ht="15" hidden="false" customHeight="false" outlineLevel="0" collapsed="false">
      <c r="A8" s="13"/>
      <c r="B8" s="13"/>
      <c r="C8" s="13"/>
      <c r="D8" s="13"/>
    </row>
    <row r="9" customFormat="false" ht="15" hidden="false" customHeight="true" outlineLevel="0" collapsed="false">
      <c r="A9" s="10" t="s">
        <v>50</v>
      </c>
      <c r="B9" s="10"/>
      <c r="C9" s="10"/>
      <c r="D9" s="10"/>
      <c r="E9" s="10"/>
      <c r="F9" s="10"/>
    </row>
    <row r="10" customFormat="false" ht="15" hidden="false" customHeight="true" outlineLevel="0" collapsed="false">
      <c r="A10" s="11" t="s">
        <v>51</v>
      </c>
      <c r="B10" s="11"/>
      <c r="C10" s="11"/>
      <c r="D10" s="11"/>
      <c r="E10" s="12" t="n">
        <f aca="false">COUNTIF('Holding Monitor'!AB4:AB23,"*ACTION REQUIRED*")</f>
        <v>0</v>
      </c>
      <c r="F10" s="12"/>
    </row>
    <row r="11" customFormat="false" ht="15" hidden="false" customHeight="true" outlineLevel="0" collapsed="false">
      <c r="A11" s="11" t="s">
        <v>52</v>
      </c>
      <c r="B11" s="11"/>
      <c r="C11" s="11"/>
      <c r="D11" s="11"/>
      <c r="E11" s="12" t="n">
        <f aca="false">COUNTIF('Holding Monitor'!AB4:AB23,"*Hold Through*")</f>
        <v>0</v>
      </c>
      <c r="F11" s="12"/>
    </row>
    <row r="12" customFormat="false" ht="15" hidden="false" customHeight="false" outlineLevel="0" collapsed="false">
      <c r="A12" s="13"/>
      <c r="B12" s="13"/>
      <c r="C12" s="13"/>
      <c r="D12" s="13"/>
    </row>
    <row r="13" customFormat="false" ht="15" hidden="false" customHeight="true" outlineLevel="0" collapsed="false">
      <c r="A13" s="10" t="s">
        <v>53</v>
      </c>
      <c r="B13" s="10"/>
      <c r="C13" s="10"/>
      <c r="D13" s="10"/>
      <c r="E13" s="10"/>
      <c r="F13" s="10"/>
    </row>
    <row r="14" customFormat="false" ht="15" hidden="false" customHeight="true" outlineLevel="0" collapsed="false">
      <c r="A14" s="11" t="s">
        <v>54</v>
      </c>
      <c r="B14" s="11"/>
      <c r="C14" s="11"/>
      <c r="D14" s="11"/>
      <c r="E14" s="14" t="str">
        <f aca="false">'Correlation Matrix'!B17</f>
        <v/>
      </c>
      <c r="F14" s="14"/>
    </row>
    <row r="15" customFormat="false" ht="15" hidden="false" customHeight="true" outlineLevel="0" collapsed="false">
      <c r="A15" s="11" t="s">
        <v>55</v>
      </c>
      <c r="B15" s="11"/>
      <c r="C15" s="11"/>
      <c r="D15" s="11"/>
      <c r="E15" s="15" t="n">
        <f aca="false">'Correlation Matrix'!B16</f>
        <v>0.17</v>
      </c>
      <c r="F15" s="15"/>
    </row>
    <row r="16" customFormat="false" ht="15" hidden="false" customHeight="false" outlineLevel="0" collapsed="false">
      <c r="A16" s="13"/>
      <c r="B16" s="13"/>
      <c r="C16" s="13"/>
      <c r="D16" s="13"/>
    </row>
    <row r="17" customFormat="false" ht="15" hidden="false" customHeight="true" outlineLevel="0" collapsed="false">
      <c r="A17" s="10" t="s">
        <v>56</v>
      </c>
      <c r="B17" s="10"/>
      <c r="C17" s="10"/>
      <c r="D17" s="10"/>
      <c r="E17" s="10"/>
      <c r="F17" s="10"/>
    </row>
    <row r="18" customFormat="false" ht="15" hidden="false" customHeight="true" outlineLevel="0" collapsed="false">
      <c r="A18" s="11" t="s">
        <v>57</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58</v>
      </c>
      <c r="B19" s="11"/>
      <c r="C19" s="11"/>
      <c r="D19" s="11"/>
      <c r="E19" s="16" t="n">
        <f aca="false">IFERROR(INDEX('Portfolio Drawdown Log'!D3:D42,COUNT('Portfolio Drawdown Log'!D3:D42)),"")</f>
        <v>0</v>
      </c>
      <c r="F19" s="16"/>
    </row>
    <row r="20" customFormat="false" ht="15" hidden="false" customHeight="true" outlineLevel="0" collapsed="false">
      <c r="A20" s="11" t="s">
        <v>59</v>
      </c>
      <c r="B20" s="11"/>
      <c r="C20" s="11"/>
      <c r="D20" s="11"/>
      <c r="E20" s="12" t="str">
        <f aca="false">IFERROR(INDEX('Portfolio Drawdown Log'!F3:F42,COUNT('Portfolio Drawdown Log'!D3:D42)),"")</f>
        <v>5-15%</v>
      </c>
      <c r="F20" s="12"/>
    </row>
    <row r="21" customFormat="false" ht="15" hidden="false" customHeight="false" outlineLevel="0" collapsed="false">
      <c r="A21" s="13"/>
      <c r="B21" s="13"/>
      <c r="C21" s="13"/>
      <c r="D21" s="13"/>
    </row>
    <row r="22" customFormat="false" ht="15" hidden="false" customHeight="true" outlineLevel="0" collapsed="false">
      <c r="A22" s="10" t="s">
        <v>60</v>
      </c>
      <c r="B22" s="10"/>
      <c r="C22" s="10"/>
      <c r="D22" s="10"/>
      <c r="E22" s="10"/>
      <c r="F22" s="10"/>
    </row>
    <row r="23" customFormat="false" ht="15" hidden="false" customHeight="true" outlineLevel="0" collapsed="false">
      <c r="A23" s="11" t="s">
        <v>61</v>
      </c>
      <c r="B23" s="11"/>
      <c r="C23" s="11"/>
      <c r="D23" s="11"/>
      <c r="E23" s="12" t="n">
        <f aca="false">COUNTIF(Scoring!AH3:AH27,"FAIL")</f>
        <v>9</v>
      </c>
      <c r="F23" s="12"/>
    </row>
    <row r="24" customFormat="false" ht="15" hidden="false" customHeight="true" outlineLevel="0" collapsed="false">
      <c r="A24" s="11" t="s">
        <v>62</v>
      </c>
      <c r="B24" s="11"/>
      <c r="C24" s="11"/>
      <c r="D24" s="11"/>
      <c r="E24" s="12" t="n">
        <f aca="false">COUNTIF(Scoring!AJ3:AJ27,"AVOID")</f>
        <v>9</v>
      </c>
      <c r="F24" s="12"/>
    </row>
    <row r="25" customFormat="false" ht="15" hidden="false" customHeight="true" outlineLevel="0" collapsed="false">
      <c r="A25" s="11" t="s">
        <v>63</v>
      </c>
      <c r="B25" s="11"/>
      <c r="C25" s="11"/>
      <c r="D25" s="11"/>
      <c r="E25" s="12" t="n">
        <f aca="false">COUNTIF(Scoring!AI3:AI27,"REVIEW")</f>
        <v>7</v>
      </c>
      <c r="F25" s="12"/>
    </row>
    <row r="26" customFormat="false" ht="15" hidden="false" customHeight="true" outlineLevel="0" collapsed="false">
      <c r="A26" s="11" t="s">
        <v>64</v>
      </c>
      <c r="B26" s="11"/>
      <c r="C26" s="11"/>
      <c r="D26" s="11"/>
      <c r="E26" s="12" t="n">
        <f aca="false">COUNTIF(Scoring!AK3:AK27,"CAP AT BUY")</f>
        <v>0</v>
      </c>
      <c r="F26" s="12"/>
    </row>
    <row r="27" customFormat="false" ht="15" hidden="false" customHeight="true" outlineLevel="0" collapsed="false">
      <c r="A27" s="10" t="s">
        <v>65</v>
      </c>
      <c r="B27" s="10"/>
      <c r="C27" s="10"/>
      <c r="D27" s="10"/>
      <c r="E27" s="10"/>
      <c r="F27" s="10"/>
    </row>
    <row r="28" customFormat="false" ht="15" hidden="false" customHeight="true" outlineLevel="0" collapsed="false">
      <c r="A28" s="11" t="s">
        <v>66</v>
      </c>
      <c r="B28" s="11"/>
      <c r="C28" s="11"/>
      <c r="D28" s="11"/>
      <c r="E28" s="12" t="n">
        <f aca="false">COUNTIF('Entry Checklist'!Q3:Q27,"NO*")</f>
        <v>1</v>
      </c>
      <c r="F28" s="12"/>
    </row>
    <row r="29" customFormat="false" ht="15" hidden="false" customHeight="true" outlineLevel="0" collapsed="false">
      <c r="A29" s="11" t="s">
        <v>67</v>
      </c>
      <c r="B29" s="11"/>
      <c r="C29" s="11"/>
      <c r="D29" s="11"/>
      <c r="E29" s="12" t="n">
        <f aca="false">COUNTIF('Entry Checklist'!H3:H27,"*50%*")</f>
        <v>0</v>
      </c>
      <c r="F29" s="12"/>
    </row>
    <row r="30" customFormat="false" ht="15" hidden="false" customHeight="false" outlineLevel="0" collapsed="false">
      <c r="A30" s="13"/>
      <c r="B30" s="13"/>
      <c r="C30" s="13"/>
      <c r="D30" s="13"/>
    </row>
    <row r="31" customFormat="false" ht="15" hidden="false" customHeight="false" outlineLevel="0" collapsed="false">
      <c r="A31" s="10" t="s">
        <v>68</v>
      </c>
      <c r="B31" s="10"/>
      <c r="C31" s="10"/>
      <c r="D31" s="10"/>
      <c r="E31" s="10"/>
      <c r="F31" s="10"/>
    </row>
    <row r="32" customFormat="false" ht="15" hidden="false" customHeight="false" outlineLevel="0" collapsed="false">
      <c r="A32" s="11" t="s">
        <v>69</v>
      </c>
      <c r="B32" s="11"/>
      <c r="C32" s="11"/>
      <c r="D32" s="11"/>
      <c r="E32" s="12" t="n">
        <f aca="false">COUNTIF(Scoring!AP3:AP60,"LOW CONF")</f>
        <v>0</v>
      </c>
      <c r="F32" s="12"/>
    </row>
    <row r="33" customFormat="false" ht="15" hidden="false" customHeight="false" outlineLevel="0" collapsed="false">
      <c r="A33" s="11" t="s">
        <v>70</v>
      </c>
      <c r="B33" s="11"/>
      <c r="C33" s="11"/>
      <c r="D33" s="11"/>
      <c r="E33" s="12" t="n">
        <f aca="false">COUNTIF(Scoring!AS3:AS60,"Increased")</f>
        <v>0</v>
      </c>
      <c r="F33" s="12"/>
    </row>
    <row r="34" customFormat="false" ht="15" hidden="false" customHeight="false" outlineLevel="0" collapsed="false">
      <c r="A34" s="13"/>
      <c r="B34" s="13"/>
      <c r="C34" s="13"/>
      <c r="D34" s="13"/>
    </row>
    <row r="35" customFormat="false" ht="15" hidden="false" customHeight="false" outlineLevel="0" collapsed="false">
      <c r="A35" s="13"/>
      <c r="B35" s="13"/>
      <c r="C35" s="13"/>
      <c r="D35" s="13"/>
    </row>
    <row r="36" customFormat="false" ht="15" hidden="false" customHeight="false" outlineLevel="0" collapsed="false">
      <c r="A36" s="13"/>
      <c r="B36" s="13"/>
      <c r="C36" s="13"/>
      <c r="D36" s="13"/>
    </row>
    <row r="37" customFormat="false" ht="15" hidden="false" customHeight="false" outlineLevel="0" collapsed="false">
      <c r="A37" s="13"/>
      <c r="B37" s="13"/>
      <c r="C37" s="13"/>
      <c r="D37" s="13"/>
    </row>
    <row r="38" customFormat="false" ht="15" hidden="false" customHeight="false" outlineLevel="0" collapsed="false">
      <c r="A38" s="13"/>
      <c r="B38" s="13"/>
      <c r="C38" s="13"/>
      <c r="D38" s="13"/>
    </row>
    <row r="39" customFormat="false" ht="15" hidden="false" customHeight="false" outlineLevel="0" collapsed="false">
      <c r="A39" s="13"/>
      <c r="B39" s="13"/>
      <c r="C39" s="13"/>
      <c r="D39" s="13"/>
    </row>
    <row r="40" customFormat="false" ht="15" hidden="false" customHeight="false" outlineLevel="0" collapsed="false">
      <c r="A40" s="13"/>
      <c r="B40" s="13"/>
      <c r="C40" s="13"/>
      <c r="D40" s="13"/>
    </row>
    <row r="41" customFormat="false" ht="15" hidden="false" customHeight="false" outlineLevel="0" collapsed="false">
      <c r="A41" s="13"/>
      <c r="B41" s="13"/>
      <c r="C41" s="13"/>
      <c r="D41" s="13"/>
    </row>
    <row r="42" customFormat="false" ht="15" hidden="false" customHeight="false" outlineLevel="0" collapsed="false">
      <c r="A42" s="13"/>
      <c r="B42" s="13"/>
      <c r="C42" s="13"/>
      <c r="D42" s="13"/>
    </row>
    <row r="43" customFormat="false" ht="15" hidden="false" customHeight="fals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J43" activeCellId="0" sqref="J43"/>
    </sheetView>
  </sheetViews>
  <sheetFormatPr defaultColWidth="8.66796875" defaultRowHeight="15" customHeight="false" zeroHeight="false" outlineLevelRow="1"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3.83"/>
    <col collapsed="false" customWidth="true" hidden="false" outlineLevel="0" max="5" min="5" style="1" width="12.16"/>
    <col collapsed="false" customWidth="true" hidden="false" outlineLevel="0" max="6" min="6" style="1" width="10"/>
    <col collapsed="false" customWidth="true" hidden="false" outlineLevel="0" max="9" min="7" style="1" width="13"/>
    <col collapsed="false" customWidth="true" hidden="false" outlineLevel="0" max="11"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17" t="s">
        <v>71</v>
      </c>
      <c r="B1" s="17"/>
      <c r="C1" s="17"/>
      <c r="D1" s="17"/>
      <c r="E1" s="17"/>
      <c r="F1" s="17"/>
      <c r="G1" s="17"/>
      <c r="H1" s="17"/>
      <c r="I1" s="17"/>
      <c r="J1" s="17"/>
      <c r="K1" s="17"/>
      <c r="L1" s="17"/>
      <c r="M1" s="17"/>
      <c r="O1" s="18" t="s">
        <v>72</v>
      </c>
      <c r="P1" s="18"/>
    </row>
    <row r="2" customFormat="false" ht="27.75" hidden="false" customHeight="true" outlineLevel="0" collapsed="false">
      <c r="A2" s="19" t="s">
        <v>73</v>
      </c>
      <c r="B2" s="19" t="s">
        <v>74</v>
      </c>
      <c r="C2" s="19" t="s">
        <v>75</v>
      </c>
      <c r="D2" s="19" t="s">
        <v>76</v>
      </c>
      <c r="E2" s="19" t="s">
        <v>77</v>
      </c>
      <c r="F2" s="19" t="s">
        <v>78</v>
      </c>
      <c r="G2" s="19" t="s">
        <v>79</v>
      </c>
      <c r="H2" s="19" t="s">
        <v>80</v>
      </c>
      <c r="I2" s="19" t="s">
        <v>81</v>
      </c>
      <c r="J2" s="19" t="s">
        <v>82</v>
      </c>
      <c r="K2" s="19" t="s">
        <v>83</v>
      </c>
      <c r="L2" s="19" t="s">
        <v>84</v>
      </c>
      <c r="M2" s="19" t="s">
        <v>85</v>
      </c>
      <c r="O2" s="20" t="s">
        <v>86</v>
      </c>
      <c r="P2" s="21"/>
    </row>
    <row r="3" customFormat="false" ht="15" hidden="false" customHeight="true" outlineLevel="0" collapsed="false">
      <c r="A3" s="22" t="s">
        <v>87</v>
      </c>
      <c r="B3" s="23" t="s">
        <v>88</v>
      </c>
      <c r="C3" s="24" t="s">
        <v>89</v>
      </c>
      <c r="D3" s="25" t="s">
        <v>90</v>
      </c>
      <c r="E3" s="25" t="n">
        <v>65</v>
      </c>
      <c r="F3" s="25" t="n">
        <v>259.32</v>
      </c>
      <c r="G3" s="26" t="n">
        <f aca="false">E3*F3</f>
        <v>16855.8</v>
      </c>
      <c r="H3" s="27" t="n">
        <v>19163.84</v>
      </c>
      <c r="I3" s="28" t="n">
        <f aca="false">G3-H3</f>
        <v>-2308.04</v>
      </c>
      <c r="J3" s="29" t="n">
        <f aca="false">IF(H3=0,"",G3/H3-1)</f>
        <v>-0.120437240135589</v>
      </c>
      <c r="K3" s="29" t="n">
        <f aca="false">IFERROR(G3/SUM(G3:G14),"")</f>
        <v>0.041771980714974</v>
      </c>
      <c r="L3" s="29" t="n">
        <f aca="false">IFERROR(G3/SUM(G3:G14,G17:G35),"")</f>
        <v>0.0240539247114072</v>
      </c>
      <c r="M3" s="22" t="s">
        <v>91</v>
      </c>
      <c r="O3" s="30" t="s">
        <v>92</v>
      </c>
      <c r="P3" s="31"/>
    </row>
    <row r="4" customFormat="false" ht="15" hidden="false" customHeight="true" outlineLevel="0" collapsed="false">
      <c r="A4" s="22" t="s">
        <v>87</v>
      </c>
      <c r="B4" s="23" t="s">
        <v>93</v>
      </c>
      <c r="C4" s="24" t="s">
        <v>94</v>
      </c>
      <c r="D4" s="25" t="s">
        <v>90</v>
      </c>
      <c r="E4" s="25" t="n">
        <v>70</v>
      </c>
      <c r="F4" s="25" t="n">
        <v>197.31</v>
      </c>
      <c r="G4" s="26" t="n">
        <f aca="false">E4*F4</f>
        <v>13811.7</v>
      </c>
      <c r="H4" s="27" t="n">
        <v>10182.2</v>
      </c>
      <c r="I4" s="28" t="n">
        <f aca="false">G4-H4</f>
        <v>3629.5</v>
      </c>
      <c r="J4" s="29" t="n">
        <f aca="false">IF(H4=0,"",G4/H4-1)</f>
        <v>0.35645538292314</v>
      </c>
      <c r="K4" s="29" t="n">
        <f aca="false">IFERROR(G4/SUM(G3:G14),"")</f>
        <v>0.0342281034445714</v>
      </c>
      <c r="L4" s="29" t="n">
        <f aca="false">IFERROR(G4/SUM(G3:G14,G17:G35),"")</f>
        <v>0.0197098679348677</v>
      </c>
      <c r="M4" s="22"/>
    </row>
    <row r="5" customFormat="false" ht="15" hidden="false" customHeight="true" outlineLevel="0" collapsed="false">
      <c r="A5" s="22" t="s">
        <v>87</v>
      </c>
      <c r="B5" s="23" t="s">
        <v>95</v>
      </c>
      <c r="C5" s="24" t="s">
        <v>96</v>
      </c>
      <c r="D5" s="25" t="s">
        <v>90</v>
      </c>
      <c r="E5" s="25" t="n">
        <v>7</v>
      </c>
      <c r="F5" s="25" t="n">
        <v>1678.22</v>
      </c>
      <c r="G5" s="26" t="n">
        <f aca="false">E5*F5</f>
        <v>11747.54</v>
      </c>
      <c r="H5" s="27" t="n">
        <v>9989.88</v>
      </c>
      <c r="I5" s="28" t="n">
        <f aca="false">G5-H5</f>
        <v>1757.66</v>
      </c>
      <c r="J5" s="29" t="n">
        <f aca="false">IF(H5=0,"",G5/H5-1)</f>
        <v>0.175944055384049</v>
      </c>
      <c r="K5" s="29" t="n">
        <f aca="false">IFERROR(G5/SUM(G3:G14),"")</f>
        <v>0.0291127098285685</v>
      </c>
      <c r="L5" s="29" t="n">
        <f aca="false">IFERROR(G5/SUM(G3:G14,G17:G35),"")</f>
        <v>0.0167642261241973</v>
      </c>
      <c r="M5" s="22"/>
    </row>
    <row r="6" customFormat="false" ht="15" hidden="false" customHeight="true" outlineLevel="0" collapsed="false">
      <c r="A6" s="22" t="s">
        <v>87</v>
      </c>
      <c r="B6" s="23" t="s">
        <v>97</v>
      </c>
      <c r="C6" s="24" t="s">
        <v>98</v>
      </c>
      <c r="D6" s="25" t="s">
        <v>90</v>
      </c>
      <c r="E6" s="25" t="n">
        <v>40</v>
      </c>
      <c r="F6" s="25" t="n">
        <v>209.86</v>
      </c>
      <c r="G6" s="26" t="n">
        <f aca="false">E6*F6</f>
        <v>8394.4</v>
      </c>
      <c r="H6" s="27" t="n">
        <v>4991.35</v>
      </c>
      <c r="I6" s="28" t="n">
        <f aca="false">G6-H6</f>
        <v>3403.05</v>
      </c>
      <c r="J6" s="29" t="n">
        <f aca="false">IF(H6=0,"",G6/H6-1)</f>
        <v>0.681789495827782</v>
      </c>
      <c r="K6" s="29" t="n">
        <f aca="false">IFERROR(G6/SUM(G3:G14),"")</f>
        <v>0.0208029707823881</v>
      </c>
      <c r="L6" s="29" t="n">
        <f aca="false">IFERROR(G6/SUM(G3:G14,G17:G35),"")</f>
        <v>0.0119791564682446</v>
      </c>
      <c r="M6" s="22"/>
    </row>
    <row r="7" customFormat="false" ht="15" hidden="false" customHeight="true" outlineLevel="0" collapsed="false">
      <c r="A7" s="22" t="s">
        <v>87</v>
      </c>
      <c r="B7" s="23" t="s">
        <v>99</v>
      </c>
      <c r="C7" s="24" t="s">
        <v>100</v>
      </c>
      <c r="D7" s="25" t="s">
        <v>90</v>
      </c>
      <c r="E7" s="25" t="n">
        <v>100</v>
      </c>
      <c r="F7" s="25" t="n">
        <v>192.8</v>
      </c>
      <c r="G7" s="26" t="n">
        <f aca="false">E7*F7</f>
        <v>19280</v>
      </c>
      <c r="H7" s="27" t="n">
        <v>15412.54</v>
      </c>
      <c r="I7" s="28" t="n">
        <f aca="false">G7-H7</f>
        <v>3867.46</v>
      </c>
      <c r="J7" s="29" t="n">
        <f aca="false">IF(H7=0,"",G7/H7-1)</f>
        <v>0.250929437977128</v>
      </c>
      <c r="K7" s="29" t="n">
        <f aca="false">IFERROR(G7/SUM(G3:G14),"")</f>
        <v>0.0477796241166067</v>
      </c>
      <c r="L7" s="29" t="n">
        <f aca="false">IFERROR(G7/SUM(G3:G14,G17:G35),"")</f>
        <v>0.0275133585137419</v>
      </c>
      <c r="M7" s="22"/>
    </row>
    <row r="8" customFormat="false" ht="15" hidden="false" customHeight="true" outlineLevel="0" collapsed="false">
      <c r="A8" s="22" t="s">
        <v>87</v>
      </c>
      <c r="B8" s="23" t="s">
        <v>101</v>
      </c>
      <c r="C8" s="24" t="s">
        <v>102</v>
      </c>
      <c r="D8" s="25" t="s">
        <v>90</v>
      </c>
      <c r="E8" s="25" t="n">
        <v>7</v>
      </c>
      <c r="F8" s="25" t="n">
        <v>893.19</v>
      </c>
      <c r="G8" s="26" t="n">
        <f aca="false">E8*F8</f>
        <v>6252.33</v>
      </c>
      <c r="H8" s="27" t="n">
        <v>5836.11</v>
      </c>
      <c r="I8" s="28" t="n">
        <f aca="false">G8-H8</f>
        <v>416.22</v>
      </c>
      <c r="J8" s="29" t="n">
        <f aca="false">IF(H8=0,"",G8/H8-1)</f>
        <v>0.0713180526069592</v>
      </c>
      <c r="K8" s="29" t="n">
        <f aca="false">IFERROR(G8/SUM(G3:G14),"")</f>
        <v>0.0154945008948643</v>
      </c>
      <c r="L8" s="29" t="n">
        <f aca="false">IFERROR(G8/SUM(G3:G14,G17:G35),"")</f>
        <v>0.00892233386080001</v>
      </c>
      <c r="M8" s="22"/>
    </row>
    <row r="9" customFormat="false" ht="15" hidden="false" customHeight="true" outlineLevel="0" collapsed="false">
      <c r="A9" s="22" t="s">
        <v>87</v>
      </c>
      <c r="B9" s="23" t="s">
        <v>103</v>
      </c>
      <c r="C9" s="24" t="s">
        <v>104</v>
      </c>
      <c r="D9" s="25" t="s">
        <v>90</v>
      </c>
      <c r="E9" s="25" t="n">
        <v>155</v>
      </c>
      <c r="F9" s="25" t="n">
        <v>219.22</v>
      </c>
      <c r="G9" s="26" t="n">
        <f aca="false">E9*F9</f>
        <v>33979.1</v>
      </c>
      <c r="H9" s="27" t="n">
        <v>26639.79</v>
      </c>
      <c r="I9" s="28" t="n">
        <f aca="false">G9-H9</f>
        <v>7339.31</v>
      </c>
      <c r="J9" s="29" t="n">
        <f aca="false">IF(H9=0,"",G9/H9-1)</f>
        <v>0.275501796373019</v>
      </c>
      <c r="K9" s="29" t="n">
        <f aca="false">IFERROR(G9/SUM(G3:G14),"")</f>
        <v>0.0842068789326032</v>
      </c>
      <c r="L9" s="29" t="n">
        <f aca="false">IFERROR(G9/SUM(G3:G14,G17:G35),"")</f>
        <v>0.0484895830017785</v>
      </c>
      <c r="M9" s="22"/>
    </row>
    <row r="10" customFormat="false" ht="15" hidden="false" customHeight="true" outlineLevel="0" collapsed="false">
      <c r="A10" s="22" t="s">
        <v>87</v>
      </c>
      <c r="B10" s="23" t="s">
        <v>105</v>
      </c>
      <c r="C10" s="24" t="s">
        <v>106</v>
      </c>
      <c r="D10" s="25" t="s">
        <v>90</v>
      </c>
      <c r="E10" s="25" t="n">
        <v>70</v>
      </c>
      <c r="F10" s="25" t="n">
        <v>158.43</v>
      </c>
      <c r="G10" s="26" t="n">
        <f aca="false">E10*F10</f>
        <v>11090.1</v>
      </c>
      <c r="H10" s="27" t="n">
        <v>11612.3</v>
      </c>
      <c r="I10" s="28" t="n">
        <f aca="false">G10-H10</f>
        <v>-522.199999999999</v>
      </c>
      <c r="J10" s="29" t="n">
        <f aca="false">IF(H10=0,"",G10/H10-1)</f>
        <v>-0.0449695581409367</v>
      </c>
      <c r="K10" s="29" t="n">
        <f aca="false">IFERROR(G10/SUM(G3:G14),"")</f>
        <v>0.0274834444717624</v>
      </c>
      <c r="L10" s="29" t="n">
        <f aca="false">IFERROR(G10/SUM(G3:G14,G17:G35),"")</f>
        <v>0.01582603201521</v>
      </c>
      <c r="M10" s="22"/>
    </row>
    <row r="11" customFormat="false" ht="15" hidden="false" customHeight="true" outlineLevel="0" collapsed="false">
      <c r="A11" s="22" t="s">
        <v>87</v>
      </c>
      <c r="B11" s="23" t="s">
        <v>107</v>
      </c>
      <c r="C11" s="24" t="s">
        <v>108</v>
      </c>
      <c r="D11" s="25" t="s">
        <v>90</v>
      </c>
      <c r="E11" s="25" t="n">
        <v>25</v>
      </c>
      <c r="F11" s="25" t="n">
        <v>414</v>
      </c>
      <c r="G11" s="26" t="n">
        <f aca="false">E11*F11</f>
        <v>10350</v>
      </c>
      <c r="H11" s="27" t="n">
        <v>6069.64</v>
      </c>
      <c r="I11" s="28" t="n">
        <f aca="false">G11-H11</f>
        <v>4280.36</v>
      </c>
      <c r="J11" s="29" t="n">
        <f aca="false">IF(H11=0,"",G11/H11-1)</f>
        <v>0.705208216632288</v>
      </c>
      <c r="K11" s="29" t="n">
        <f aca="false">IFERROR(G11/SUM(G3:G14),"")</f>
        <v>0.0256493314111452</v>
      </c>
      <c r="L11" s="29" t="n">
        <f aca="false">IFERROR(G11/SUM(G3:G14,G17:G35),"")</f>
        <v>0.0147698786627194</v>
      </c>
      <c r="M11" s="22"/>
    </row>
    <row r="12" customFormat="false" ht="15" hidden="false" customHeight="true" outlineLevel="0" collapsed="false">
      <c r="A12" s="22" t="s">
        <v>87</v>
      </c>
      <c r="B12" s="23" t="s">
        <v>109</v>
      </c>
      <c r="C12" s="24" t="s">
        <v>110</v>
      </c>
      <c r="D12" s="25" t="s">
        <v>90</v>
      </c>
      <c r="E12" s="25" t="n">
        <v>30</v>
      </c>
      <c r="F12" s="25" t="n">
        <v>277.94</v>
      </c>
      <c r="G12" s="26" t="n">
        <f aca="false">E12*F12</f>
        <v>8338.2</v>
      </c>
      <c r="H12" s="27" t="n">
        <v>7876.8</v>
      </c>
      <c r="I12" s="28" t="n">
        <f aca="false">G12-H12</f>
        <v>461.400000000001</v>
      </c>
      <c r="J12" s="29" t="n">
        <f aca="false">IF(H12=0,"",G12/H12-1)</f>
        <v>0.0585770871419866</v>
      </c>
      <c r="K12" s="29" t="n">
        <f aca="false">IFERROR(G12/SUM(G3:G14),"")</f>
        <v>0.0206636961519237</v>
      </c>
      <c r="L12" s="29" t="n">
        <f aca="false">IFERROR(G12/SUM(G3:G14,G17:G35),"")</f>
        <v>0.0118989567406267</v>
      </c>
      <c r="M12" s="22"/>
    </row>
    <row r="13" customFormat="false" ht="15" hidden="false" customHeight="true" outlineLevel="0" collapsed="false">
      <c r="A13" s="22" t="s">
        <v>87</v>
      </c>
      <c r="B13" s="23" t="s">
        <v>111</v>
      </c>
      <c r="C13" s="24" t="s">
        <v>112</v>
      </c>
      <c r="D13" s="25" t="s">
        <v>113</v>
      </c>
      <c r="E13" s="32" t="n">
        <v>244620.56</v>
      </c>
      <c r="F13" s="25" t="n">
        <v>1</v>
      </c>
      <c r="G13" s="26" t="n">
        <f aca="false">E13*F13</f>
        <v>244620.56</v>
      </c>
      <c r="H13" s="27" t="n">
        <v>244620.56</v>
      </c>
      <c r="I13" s="28" t="n">
        <f aca="false">G13-H13</f>
        <v>0</v>
      </c>
      <c r="J13" s="29" t="n">
        <f aca="false">IF(H13=0,"",G13/H13-1)</f>
        <v>0</v>
      </c>
      <c r="K13" s="29" t="n">
        <f aca="false">IFERROR(G13/SUM(G3:G14),"")</f>
        <v>0.606217759750717</v>
      </c>
      <c r="L13" s="29" t="n">
        <f aca="false">IFERROR(G13/SUM(G3:G14,G17:G35),"")</f>
        <v>0.349083670493378</v>
      </c>
      <c r="M13" s="22"/>
    </row>
    <row r="14" customFormat="false" ht="15" hidden="false" customHeight="true" outlineLevel="0" collapsed="false">
      <c r="A14" s="33" t="s">
        <v>87</v>
      </c>
      <c r="B14" s="34" t="s">
        <v>114</v>
      </c>
      <c r="C14" s="35" t="s">
        <v>115</v>
      </c>
      <c r="D14" s="36" t="s">
        <v>113</v>
      </c>
      <c r="E14" s="37" t="n">
        <v>18799.56</v>
      </c>
      <c r="F14" s="36" t="n">
        <v>1</v>
      </c>
      <c r="G14" s="38" t="n">
        <f aca="false">E14*F14</f>
        <v>18799.56</v>
      </c>
      <c r="H14" s="39" t="n">
        <v>18799.56</v>
      </c>
      <c r="I14" s="40" t="n">
        <f aca="false">G14-H14</f>
        <v>0</v>
      </c>
      <c r="J14" s="41" t="n">
        <f aca="false">IF(H14=0,"",G14/H14-1)</f>
        <v>0</v>
      </c>
      <c r="K14" s="41" t="n">
        <f aca="false">IFERROR(G14/SUM(G3:G14),"")</f>
        <v>0.0465889994998752</v>
      </c>
      <c r="L14" s="41" t="n">
        <f aca="false">IFERROR(G14/SUM(G3:G14,G17:G35),"")</f>
        <v>0.0268277507355084</v>
      </c>
      <c r="M14" s="33"/>
    </row>
    <row r="15" customFormat="false" ht="15" hidden="false" customHeight="true" outlineLevel="0" collapsed="false">
      <c r="A15" s="42" t="s">
        <v>116</v>
      </c>
      <c r="B15" s="43" t="n">
        <f aca="false">SUBTOTAL(103,B3:B14)</f>
        <v>12</v>
      </c>
      <c r="C15" s="44" t="s">
        <v>117</v>
      </c>
      <c r="D15" s="45"/>
      <c r="E15" s="45"/>
      <c r="F15" s="45"/>
      <c r="G15" s="46" t="n">
        <f aca="false">SUM(G3:G14)</f>
        <v>403519.29</v>
      </c>
      <c r="H15" s="47" t="n">
        <f aca="false">SUM(H3:H14)</f>
        <v>381194.57</v>
      </c>
      <c r="I15" s="47" t="n">
        <f aca="false">SUM(I3:I14)</f>
        <v>22324.72</v>
      </c>
      <c r="J15" s="48" t="n">
        <f aca="false">CurrentPositionsTable[[#This Row],[Unrealized G/L ($)]]/CurrentPositionsTable[[#This Row],[Cost Basis ($)]]</f>
        <v>0.0585651574207891</v>
      </c>
      <c r="K15" s="49" t="n">
        <f aca="false">SUM(K3:K14)</f>
        <v>1</v>
      </c>
      <c r="L15" s="49" t="n">
        <f aca="false">SUM(L3:L14)</f>
        <v>0.57583873926248</v>
      </c>
      <c r="M15" s="45"/>
    </row>
    <row r="16" customFormat="false" ht="15" hidden="false" customHeight="true" outlineLevel="0" collapsed="false">
      <c r="A16" s="13"/>
      <c r="B16" s="13"/>
      <c r="C16" s="50"/>
      <c r="D16" s="50"/>
      <c r="E16" s="13"/>
      <c r="F16" s="50"/>
      <c r="H16" s="50"/>
      <c r="I16" s="13"/>
      <c r="M16" s="13"/>
    </row>
    <row r="17" customFormat="false" ht="15" hidden="false" customHeight="true" outlineLevel="0" collapsed="false">
      <c r="A17" s="22" t="s">
        <v>118</v>
      </c>
      <c r="B17" s="23" t="s">
        <v>119</v>
      </c>
      <c r="C17" s="24" t="s">
        <v>120</v>
      </c>
      <c r="D17" s="25" t="s">
        <v>113</v>
      </c>
      <c r="E17" s="32" t="n">
        <v>58007.32</v>
      </c>
      <c r="F17" s="25" t="n">
        <v>1</v>
      </c>
      <c r="G17" s="26" t="n">
        <f aca="false">E17*F17</f>
        <v>58007.32</v>
      </c>
      <c r="H17" s="27" t="n">
        <v>58007.32</v>
      </c>
      <c r="I17" s="28" t="n">
        <f aca="false">G17-H17</f>
        <v>0</v>
      </c>
      <c r="J17" s="29" t="n">
        <f aca="false">IF(H17=0,"",G17/H17-1)</f>
        <v>0</v>
      </c>
      <c r="K17" s="29" t="n">
        <f aca="false">IFERROR(G17/SUM(G17:G35),"")</f>
        <v>0.195158907173966</v>
      </c>
      <c r="L17" s="29" t="n">
        <f aca="false">IFERROR(G17/SUM(G3:G14,G17:G35),"")</f>
        <v>0.0827788481110661</v>
      </c>
      <c r="M17" s="22"/>
    </row>
    <row r="18" customFormat="false" ht="15" hidden="false" customHeight="true" outlineLevel="0" collapsed="false">
      <c r="A18" s="22" t="s">
        <v>118</v>
      </c>
      <c r="B18" s="23" t="s">
        <v>121</v>
      </c>
      <c r="C18" s="24" t="s">
        <v>122</v>
      </c>
      <c r="D18" s="25" t="s">
        <v>123</v>
      </c>
      <c r="E18" s="25" t="n">
        <v>840.4376</v>
      </c>
      <c r="F18" s="25" t="n">
        <v>59.56</v>
      </c>
      <c r="G18" s="26" t="n">
        <f aca="false">E18*F18</f>
        <v>50056.463456</v>
      </c>
      <c r="H18" s="27" t="n">
        <v>42412.88</v>
      </c>
      <c r="I18" s="28" t="n">
        <f aca="false">G18-H18</f>
        <v>7643.583456</v>
      </c>
      <c r="J18" s="29" t="n">
        <f aca="false">IF(H18=0,"",G18/H18-1)</f>
        <v>0.180218449112628</v>
      </c>
      <c r="K18" s="29" t="n">
        <f aca="false">IFERROR(G18/SUM(G17:G35),"")</f>
        <v>0.16840917155053</v>
      </c>
      <c r="L18" s="29" t="n">
        <f aca="false">IFERROR(G18/SUM(G3:G14,G17:G35),"")</f>
        <v>0.0714326465246343</v>
      </c>
      <c r="M18" s="22"/>
    </row>
    <row r="19" customFormat="false" ht="15" hidden="false" customHeight="true" outlineLevel="0" collapsed="false">
      <c r="A19" s="22" t="s">
        <v>118</v>
      </c>
      <c r="B19" s="23" t="s">
        <v>124</v>
      </c>
      <c r="C19" s="24" t="s">
        <v>125</v>
      </c>
      <c r="D19" s="25" t="s">
        <v>90</v>
      </c>
      <c r="E19" s="25" t="n">
        <v>400.0016</v>
      </c>
      <c r="F19" s="25" t="n">
        <v>128.74</v>
      </c>
      <c r="G19" s="26" t="n">
        <f aca="false">E19*F19</f>
        <v>51496.205984</v>
      </c>
      <c r="H19" s="27" t="n">
        <v>45117.15</v>
      </c>
      <c r="I19" s="28" t="n">
        <f aca="false">G19-H19</f>
        <v>6379.055984</v>
      </c>
      <c r="J19" s="29" t="n">
        <f aca="false">IF(H19=0,"",G19/H19-1)</f>
        <v>0.141388717682744</v>
      </c>
      <c r="K19" s="29" t="n">
        <f aca="false">IFERROR(G19/SUM(G17:G35),"")</f>
        <v>0.173253018471511</v>
      </c>
      <c r="L19" s="29" t="n">
        <f aca="false">IFERROR(G19/SUM(G3:G14,G17:G35),"")</f>
        <v>0.0734872187414572</v>
      </c>
      <c r="M19" s="22" t="s">
        <v>126</v>
      </c>
    </row>
    <row r="20" customFormat="false" ht="15" hidden="true" customHeight="true" outlineLevel="1" collapsed="false">
      <c r="A20" s="22" t="s">
        <v>118</v>
      </c>
      <c r="B20" s="23" t="s">
        <v>127</v>
      </c>
      <c r="C20" s="24" t="s">
        <v>128</v>
      </c>
      <c r="D20" s="25" t="s">
        <v>90</v>
      </c>
      <c r="E20" s="25" t="n">
        <v>0</v>
      </c>
      <c r="F20" s="25" t="n">
        <v>56.12</v>
      </c>
      <c r="G20" s="26" t="n">
        <f aca="false">E20*F20</f>
        <v>0</v>
      </c>
      <c r="H20" s="27" t="n">
        <v>0</v>
      </c>
      <c r="I20" s="28" t="n">
        <f aca="false">G20-H20</f>
        <v>0</v>
      </c>
      <c r="J20" s="29" t="str">
        <f aca="false">IF(H20=0,"",G20/H20-1)</f>
        <v/>
      </c>
      <c r="K20" s="29" t="n">
        <f aca="false">IFERROR(G20/SUM(G17:G35),"")</f>
        <v>0</v>
      </c>
      <c r="L20" s="29" t="n">
        <f aca="false">IFERROR(G20/SUM(G3:G14,G17:G35),"")</f>
        <v>0</v>
      </c>
      <c r="M20" s="22" t="s">
        <v>129</v>
      </c>
    </row>
    <row r="21" customFormat="false" ht="15" hidden="false" customHeight="true" outlineLevel="0" collapsed="false">
      <c r="A21" s="22" t="s">
        <v>118</v>
      </c>
      <c r="B21" s="23" t="s">
        <v>130</v>
      </c>
      <c r="C21" s="24" t="s">
        <v>131</v>
      </c>
      <c r="D21" s="25" t="s">
        <v>123</v>
      </c>
      <c r="E21" s="25" t="n">
        <v>300</v>
      </c>
      <c r="F21" s="25" t="n">
        <v>69.59</v>
      </c>
      <c r="G21" s="26" t="n">
        <f aca="false">E21*F21</f>
        <v>20877</v>
      </c>
      <c r="H21" s="27" t="n">
        <v>16782</v>
      </c>
      <c r="I21" s="28" t="n">
        <f aca="false">G21-H21</f>
        <v>4095</v>
      </c>
      <c r="J21" s="29" t="n">
        <f aca="false">IF(H21=0,"",G21/H21-1)</f>
        <v>0.24401144082946</v>
      </c>
      <c r="K21" s="29" t="n">
        <f aca="false">IFERROR(G21/SUM(G17:G35),"")</f>
        <v>0.0702382476051451</v>
      </c>
      <c r="L21" s="29" t="n">
        <f aca="false">IFERROR(G21/SUM(G3:G14,G17:G35),"")</f>
        <v>0.0297923436561925</v>
      </c>
      <c r="M21" s="22"/>
    </row>
    <row r="22" customFormat="false" ht="15" hidden="false" customHeight="true" outlineLevel="0" collapsed="false">
      <c r="A22" s="22" t="s">
        <v>118</v>
      </c>
      <c r="B22" s="23" t="s">
        <v>132</v>
      </c>
      <c r="C22" s="24" t="s">
        <v>133</v>
      </c>
      <c r="D22" s="25" t="s">
        <v>90</v>
      </c>
      <c r="E22" s="25" t="n">
        <v>35.0759</v>
      </c>
      <c r="F22" s="25" t="n">
        <v>418.16</v>
      </c>
      <c r="G22" s="26" t="n">
        <f aca="false">E22*F22</f>
        <v>14667.338344</v>
      </c>
      <c r="H22" s="27" t="n">
        <v>12653.43</v>
      </c>
      <c r="I22" s="28" t="n">
        <f aca="false">G22-H22</f>
        <v>2013.908344</v>
      </c>
      <c r="J22" s="29" t="n">
        <f aca="false">IF(H22=0,"",G22/H22-1)</f>
        <v>0.15915908524408</v>
      </c>
      <c r="K22" s="29" t="n">
        <f aca="false">IFERROR(G22/SUM(G17:G35),"")</f>
        <v>0.0493465604404038</v>
      </c>
      <c r="L22" s="29" t="n">
        <f aca="false">IFERROR(G22/SUM(G3:G14,G17:G35),"")</f>
        <v>0.0209308992894619</v>
      </c>
      <c r="M22" s="22"/>
    </row>
    <row r="23" customFormat="false" ht="15" hidden="false" customHeight="true" outlineLevel="0" collapsed="false">
      <c r="A23" s="22" t="s">
        <v>118</v>
      </c>
      <c r="B23" s="23" t="s">
        <v>103</v>
      </c>
      <c r="C23" s="24" t="s">
        <v>104</v>
      </c>
      <c r="D23" s="25" t="s">
        <v>90</v>
      </c>
      <c r="E23" s="25" t="n">
        <v>59.0219</v>
      </c>
      <c r="F23" s="25" t="n">
        <v>211.87</v>
      </c>
      <c r="G23" s="26" t="n">
        <f aca="false">E23*F23</f>
        <v>12504.969953</v>
      </c>
      <c r="H23" s="27" t="n">
        <v>11377.73</v>
      </c>
      <c r="I23" s="28" t="n">
        <f aca="false">G23-H23</f>
        <v>1127.239953</v>
      </c>
      <c r="J23" s="29" t="n">
        <f aca="false">IF(H23=0,"",G23/H23-1)</f>
        <v>0.0990742400285471</v>
      </c>
      <c r="K23" s="29" t="n">
        <f aca="false">IFERROR(G23/SUM(G17:G35),"")</f>
        <v>0.0420715225297559</v>
      </c>
      <c r="L23" s="29" t="n">
        <f aca="false">IFERROR(G23/SUM(G3:G14,G17:G35),"")</f>
        <v>0.0178451100373682</v>
      </c>
      <c r="M23" s="22"/>
    </row>
    <row r="24" customFormat="false" ht="15" hidden="false" customHeight="true" outlineLevel="0" collapsed="false">
      <c r="A24" s="22" t="s">
        <v>118</v>
      </c>
      <c r="B24" s="23" t="s">
        <v>134</v>
      </c>
      <c r="C24" s="24" t="s">
        <v>135</v>
      </c>
      <c r="D24" s="25" t="s">
        <v>90</v>
      </c>
      <c r="E24" s="25" t="n">
        <v>50</v>
      </c>
      <c r="F24" s="25" t="n">
        <v>478.7</v>
      </c>
      <c r="G24" s="26" t="n">
        <f aca="false">E24*F24</f>
        <v>23935</v>
      </c>
      <c r="H24" s="27" t="n">
        <v>23567.55</v>
      </c>
      <c r="I24" s="28" t="n">
        <f aca="false">G24-H24</f>
        <v>367.450000000001</v>
      </c>
      <c r="J24" s="29" t="n">
        <f aca="false">IF(H24=0,"",G24/H24-1)</f>
        <v>0.0155913533651144</v>
      </c>
      <c r="K24" s="29" t="n">
        <f aca="false">IFERROR(G24/SUM(G17:G35),"")</f>
        <v>0.0805265342927215</v>
      </c>
      <c r="L24" s="29" t="n">
        <f aca="false">IFERROR(G24/SUM(G3:G14,G17:G35),"")</f>
        <v>0.0341562363084239</v>
      </c>
      <c r="M24" s="22" t="s">
        <v>136</v>
      </c>
    </row>
    <row r="25" customFormat="false" ht="15" hidden="false" customHeight="true" outlineLevel="0" collapsed="false">
      <c r="A25" s="22" t="s">
        <v>118</v>
      </c>
      <c r="B25" s="23" t="s">
        <v>137</v>
      </c>
      <c r="C25" s="24" t="s">
        <v>138</v>
      </c>
      <c r="D25" s="25" t="s">
        <v>90</v>
      </c>
      <c r="E25" s="25" t="n">
        <v>76.9374</v>
      </c>
      <c r="F25" s="25" t="n">
        <v>151.16</v>
      </c>
      <c r="G25" s="26" t="n">
        <f aca="false">E25*F25</f>
        <v>11629.857384</v>
      </c>
      <c r="H25" s="27" t="n">
        <v>9318.79</v>
      </c>
      <c r="I25" s="28" t="n">
        <f aca="false">G25-H25</f>
        <v>2311.067384</v>
      </c>
      <c r="J25" s="29" t="n">
        <f aca="false">IF(H25=0,"",G25/H25-1)</f>
        <v>0.248000800962356</v>
      </c>
      <c r="K25" s="29" t="n">
        <f aca="false">IFERROR(G25/SUM(G17:G35),"")</f>
        <v>0.0391273076854872</v>
      </c>
      <c r="L25" s="29" t="n">
        <f aca="false">IFERROR(G25/SUM(G3:G14,G17:G35),"")</f>
        <v>0.0165962881571411</v>
      </c>
      <c r="M25" s="22"/>
    </row>
    <row r="26" customFormat="false" ht="15" hidden="false" customHeight="true" outlineLevel="0" collapsed="false">
      <c r="A26" s="22" t="s">
        <v>118</v>
      </c>
      <c r="B26" s="23" t="s">
        <v>139</v>
      </c>
      <c r="C26" s="24" t="s">
        <v>140</v>
      </c>
      <c r="D26" s="25" t="s">
        <v>90</v>
      </c>
      <c r="E26" s="25" t="n">
        <v>200</v>
      </c>
      <c r="F26" s="25" t="n">
        <v>50.5</v>
      </c>
      <c r="G26" s="26" t="n">
        <f aca="false">E26*F26</f>
        <v>10100</v>
      </c>
      <c r="H26" s="27" t="n">
        <v>9257</v>
      </c>
      <c r="I26" s="28" t="n">
        <f aca="false">G26-H26</f>
        <v>843</v>
      </c>
      <c r="J26" s="29" t="n">
        <f aca="false">IF(H26=0,"",G26/H26-1)</f>
        <v>0.0910662201577186</v>
      </c>
      <c r="K26" s="29" t="n">
        <f aca="false">IFERROR(G26/SUM(G17:G35),"")</f>
        <v>0.033980279772571</v>
      </c>
      <c r="L26" s="29" t="n">
        <f aca="false">IFERROR(G26/SUM(G3:G14,G17:G35),"")</f>
        <v>0.0144131183085474</v>
      </c>
      <c r="M26" s="22"/>
    </row>
    <row r="27" customFormat="false" ht="15" hidden="false" customHeight="true" outlineLevel="0" collapsed="false">
      <c r="A27" s="22" t="s">
        <v>118</v>
      </c>
      <c r="B27" s="23" t="s">
        <v>93</v>
      </c>
      <c r="C27" s="24" t="s">
        <v>94</v>
      </c>
      <c r="D27" s="25" t="s">
        <v>90</v>
      </c>
      <c r="E27" s="25" t="n">
        <v>50</v>
      </c>
      <c r="F27" s="25" t="n">
        <v>190.51</v>
      </c>
      <c r="G27" s="26" t="n">
        <f aca="false">E27*F27</f>
        <v>9525.5</v>
      </c>
      <c r="H27" s="27" t="n">
        <v>7394.5</v>
      </c>
      <c r="I27" s="28" t="n">
        <f aca="false">G27-H27</f>
        <v>2131</v>
      </c>
      <c r="J27" s="29" t="n">
        <f aca="false">IF(H27=0,"",G27/H27-1)</f>
        <v>0.288187166136994</v>
      </c>
      <c r="K27" s="29" t="n">
        <f aca="false">IFERROR(G27/SUM(G17:G35),"")</f>
        <v>0.0320474410864975</v>
      </c>
      <c r="L27" s="29" t="n">
        <f aca="false">IFERROR(G27/SUM(G3:G14,G17:G35),"")</f>
        <v>0.0135932830146602</v>
      </c>
      <c r="M27" s="22"/>
    </row>
    <row r="28" customFormat="false" ht="15" hidden="false" customHeight="true" outlineLevel="0" collapsed="false">
      <c r="A28" s="22" t="s">
        <v>118</v>
      </c>
      <c r="B28" s="23" t="s">
        <v>97</v>
      </c>
      <c r="C28" s="24" t="s">
        <v>98</v>
      </c>
      <c r="D28" s="25" t="s">
        <v>90</v>
      </c>
      <c r="E28" s="25" t="n">
        <v>45</v>
      </c>
      <c r="F28" s="25" t="n">
        <v>211.22</v>
      </c>
      <c r="G28" s="26" t="n">
        <f aca="false">E28*F28</f>
        <v>9504.9</v>
      </c>
      <c r="H28" s="27" t="n">
        <v>7099.31</v>
      </c>
      <c r="I28" s="28" t="n">
        <f aca="false">G28-H28</f>
        <v>2405.59</v>
      </c>
      <c r="J28" s="29" t="n">
        <f aca="false">IF(H28=0,"",G28/H28-1)</f>
        <v>0.338848423297475</v>
      </c>
      <c r="K28" s="29" t="n">
        <f aca="false">IFERROR(G28/SUM(G17:G35),"")</f>
        <v>0.031978134773298</v>
      </c>
      <c r="L28" s="29" t="n">
        <f aca="false">IFERROR(G28/SUM(G3:G14,G17:G35),"")</f>
        <v>0.0135638859614764</v>
      </c>
      <c r="M28" s="22"/>
    </row>
    <row r="29" customFormat="false" ht="15" hidden="false" customHeight="true" outlineLevel="0" collapsed="false">
      <c r="A29" s="22" t="s">
        <v>118</v>
      </c>
      <c r="B29" s="23" t="s">
        <v>141</v>
      </c>
      <c r="C29" s="24" t="s">
        <v>142</v>
      </c>
      <c r="D29" s="25" t="s">
        <v>90</v>
      </c>
      <c r="E29" s="25" t="n">
        <v>125.4484</v>
      </c>
      <c r="F29" s="25" t="n">
        <v>139.06</v>
      </c>
      <c r="G29" s="26" t="n">
        <f aca="false">E29*F29</f>
        <v>17444.854504</v>
      </c>
      <c r="H29" s="27" t="n">
        <v>16585.43</v>
      </c>
      <c r="I29" s="28" t="n">
        <f aca="false">G29-H29</f>
        <v>859.424504000002</v>
      </c>
      <c r="J29" s="29" t="n">
        <f aca="false">IF(H29=0,"",G29/H29-1)</f>
        <v>0.0518180417390446</v>
      </c>
      <c r="K29" s="29" t="n">
        <f aca="false">IFERROR(G29/SUM(G17:G35),"")</f>
        <v>0.0586911917463085</v>
      </c>
      <c r="L29" s="29" t="n">
        <f aca="false">IFERROR(G29/SUM(G3:G14,G17:G35),"")</f>
        <v>0.0248945298853018</v>
      </c>
      <c r="M29" s="22" t="s">
        <v>143</v>
      </c>
    </row>
    <row r="30" customFormat="false" ht="15" hidden="true" customHeight="true" outlineLevel="1" collapsed="false">
      <c r="A30" s="22" t="s">
        <v>118</v>
      </c>
      <c r="B30" s="23" t="s">
        <v>144</v>
      </c>
      <c r="C30" s="24" t="s">
        <v>145</v>
      </c>
      <c r="D30" s="25" t="s">
        <v>90</v>
      </c>
      <c r="E30" s="25" t="n">
        <v>0</v>
      </c>
      <c r="F30" s="25" t="n">
        <v>86.07</v>
      </c>
      <c r="G30" s="26" t="n">
        <f aca="false">E30*F30</f>
        <v>0</v>
      </c>
      <c r="H30" s="27" t="n">
        <v>0</v>
      </c>
      <c r="I30" s="28" t="n">
        <f aca="false">G30-H30</f>
        <v>0</v>
      </c>
      <c r="J30" s="29" t="str">
        <f aca="false">IF(H30=0,"",G30/H30-1)</f>
        <v/>
      </c>
      <c r="K30" s="29" t="n">
        <f aca="false">IFERROR(G30/SUM(G17:G35),"")</f>
        <v>0</v>
      </c>
      <c r="L30" s="29" t="n">
        <f aca="false">IFERROR(G30/SUM(G3:G14,G17:G35),"")</f>
        <v>0</v>
      </c>
      <c r="M30" s="22" t="s">
        <v>146</v>
      </c>
    </row>
    <row r="31" customFormat="false" ht="15" hidden="true" customHeight="true" outlineLevel="1" collapsed="false">
      <c r="A31" s="22" t="s">
        <v>118</v>
      </c>
      <c r="B31" s="23" t="s">
        <v>147</v>
      </c>
      <c r="C31" s="24" t="s">
        <v>148</v>
      </c>
      <c r="D31" s="25" t="s">
        <v>90</v>
      </c>
      <c r="E31" s="25" t="n">
        <v>0</v>
      </c>
      <c r="F31" s="25" t="n">
        <v>327.35</v>
      </c>
      <c r="G31" s="26" t="n">
        <f aca="false">E31*F31</f>
        <v>0</v>
      </c>
      <c r="H31" s="27" t="n">
        <v>0</v>
      </c>
      <c r="I31" s="28" t="n">
        <f aca="false">G31-H31</f>
        <v>0</v>
      </c>
      <c r="J31" s="29" t="str">
        <f aca="false">IF(H31=0,"",G31/H31-1)</f>
        <v/>
      </c>
      <c r="K31" s="29" t="n">
        <f aca="false">IFERROR(G31/SUM(G17:G35),"")</f>
        <v>0</v>
      </c>
      <c r="L31" s="29" t="n">
        <f aca="false">IFERROR(G31/SUM(G3:G14,G17:G35),"")</f>
        <v>0</v>
      </c>
      <c r="M31" s="22" t="s">
        <v>149</v>
      </c>
    </row>
    <row r="32" customFormat="false" ht="15" hidden="true" customHeight="true" outlineLevel="1" collapsed="false">
      <c r="A32" s="22" t="s">
        <v>118</v>
      </c>
      <c r="B32" s="23" t="s">
        <v>150</v>
      </c>
      <c r="C32" s="24" t="s">
        <v>151</v>
      </c>
      <c r="D32" s="25" t="s">
        <v>90</v>
      </c>
      <c r="E32" s="25" t="n">
        <v>0</v>
      </c>
      <c r="F32" s="25" t="n">
        <v>120.16</v>
      </c>
      <c r="G32" s="26" t="n">
        <f aca="false">E32*F32</f>
        <v>0</v>
      </c>
      <c r="H32" s="27" t="n">
        <v>0</v>
      </c>
      <c r="I32" s="28" t="n">
        <f aca="false">G32-H32</f>
        <v>0</v>
      </c>
      <c r="J32" s="29" t="str">
        <f aca="false">IF(H32=0,"",G32/H32-1)</f>
        <v/>
      </c>
      <c r="K32" s="29" t="n">
        <f aca="false">IFERROR(G32/SUM(G17:G35),"")</f>
        <v>0</v>
      </c>
      <c r="L32" s="29" t="n">
        <f aca="false">IFERROR(G32/SUM(G3:G14,G17:G35),"")</f>
        <v>0</v>
      </c>
      <c r="M32" s="22" t="s">
        <v>152</v>
      </c>
    </row>
    <row r="33" customFormat="false" ht="15" hidden="false" customHeight="true" outlineLevel="0" collapsed="false">
      <c r="A33" s="22" t="s">
        <v>118</v>
      </c>
      <c r="B33" s="23" t="s">
        <v>153</v>
      </c>
      <c r="C33" s="24" t="s">
        <v>154</v>
      </c>
      <c r="D33" s="25" t="s">
        <v>113</v>
      </c>
      <c r="E33" s="32" t="n">
        <v>4228.61</v>
      </c>
      <c r="F33" s="25" t="n">
        <v>1</v>
      </c>
      <c r="G33" s="26" t="n">
        <f aca="false">E33*F33</f>
        <v>4228.61</v>
      </c>
      <c r="H33" s="27" t="n">
        <v>4228.61</v>
      </c>
      <c r="I33" s="28" t="n">
        <f aca="false">G33-H33</f>
        <v>0</v>
      </c>
      <c r="J33" s="29" t="n">
        <f aca="false">IF(H33=0,"",G33/H33-1)</f>
        <v>0</v>
      </c>
      <c r="K33" s="29" t="n">
        <f aca="false">IFERROR(G33/SUM(G17:G35),"")</f>
        <v>0.0142266684009001</v>
      </c>
      <c r="L33" s="29" t="n">
        <f aca="false">IFERROR(G33/SUM(G3:G14,G17:G35),"")</f>
        <v>0.00603440160502045</v>
      </c>
      <c r="M33" s="22"/>
    </row>
    <row r="34" customFormat="false" ht="15" hidden="true" customHeight="true" outlineLevel="1" collapsed="false">
      <c r="A34" s="22" t="s">
        <v>118</v>
      </c>
      <c r="B34" s="23" t="s">
        <v>155</v>
      </c>
      <c r="C34" s="24" t="s">
        <v>156</v>
      </c>
      <c r="D34" s="25" t="s">
        <v>90</v>
      </c>
      <c r="E34" s="25" t="n">
        <v>0</v>
      </c>
      <c r="F34" s="25" t="n">
        <v>37.61</v>
      </c>
      <c r="G34" s="26" t="n">
        <f aca="false">E34*F34</f>
        <v>0</v>
      </c>
      <c r="H34" s="27" t="n">
        <v>0</v>
      </c>
      <c r="I34" s="28" t="n">
        <f aca="false">G34-H34</f>
        <v>0</v>
      </c>
      <c r="J34" s="29" t="str">
        <f aca="false">IF(H34=0,"",G34/H34-1)</f>
        <v/>
      </c>
      <c r="K34" s="29" t="n">
        <f aca="false">IFERROR(G34/SUM(G17:G35),"")</f>
        <v>0</v>
      </c>
      <c r="L34" s="29" t="n">
        <f aca="false">IFERROR(G34/SUM(G3:G14,G17:G35),"")</f>
        <v>0</v>
      </c>
      <c r="M34" s="22" t="s">
        <v>157</v>
      </c>
    </row>
    <row r="35" customFormat="false" ht="15" hidden="false" customHeight="true" outlineLevel="0" collapsed="false">
      <c r="A35" s="33" t="s">
        <v>118</v>
      </c>
      <c r="B35" s="34" t="s">
        <v>105</v>
      </c>
      <c r="C35" s="35" t="s">
        <v>106</v>
      </c>
      <c r="D35" s="36" t="s">
        <v>90</v>
      </c>
      <c r="E35" s="36" t="n">
        <v>20</v>
      </c>
      <c r="F35" s="36" t="n">
        <v>162.66</v>
      </c>
      <c r="G35" s="38" t="n">
        <f aca="false">E35*F35</f>
        <v>3253.2</v>
      </c>
      <c r="H35" s="39" t="n">
        <v>3178</v>
      </c>
      <c r="I35" s="40" t="n">
        <f aca="false">G35-H35</f>
        <v>75.1999999999998</v>
      </c>
      <c r="J35" s="41" t="n">
        <f aca="false">IF(H35=0,"",G35/H35-1)</f>
        <v>0.0236626809314033</v>
      </c>
      <c r="K35" s="41" t="n">
        <f aca="false">IFERROR(G35/SUM(G17:G35),"")</f>
        <v>0.0109450144709038</v>
      </c>
      <c r="L35" s="41" t="n">
        <f aca="false">IFERROR(G35/SUM(G3:G14,G17:G35),"")</f>
        <v>0.00464245113676895</v>
      </c>
      <c r="M35" s="33"/>
    </row>
    <row r="36" customFormat="false" ht="15" hidden="false" customHeight="true" outlineLevel="0" collapsed="false">
      <c r="A36" s="42" t="s">
        <v>116</v>
      </c>
      <c r="B36" s="51" t="n">
        <f aca="false">SUBTOTAL(103,B17:B35)</f>
        <v>14</v>
      </c>
      <c r="C36" s="52" t="s">
        <v>158</v>
      </c>
      <c r="D36" s="53"/>
      <c r="E36" s="53"/>
      <c r="F36" s="53"/>
      <c r="G36" s="46" t="n">
        <f aca="false">SUM(G17:G35)</f>
        <v>297231.219625</v>
      </c>
      <c r="H36" s="46" t="n">
        <f aca="false">SUM(H17:H35)</f>
        <v>266979.7</v>
      </c>
      <c r="I36" s="46" t="n">
        <f aca="false">SUM(I17:I35)</f>
        <v>30251.519625</v>
      </c>
      <c r="J36" s="48" t="n">
        <f aca="false">CurrentPositionsTable[[#This Row],[Unrealized G/L ($)]]/CurrentPositionsTable[[#This Row],[Cost Basis ($)]]</f>
        <v>0.113310186598457</v>
      </c>
      <c r="K36" s="49" t="n">
        <f aca="false">SUM(K17:K35)</f>
        <v>1</v>
      </c>
      <c r="L36" s="49" t="n">
        <f aca="false">SUM(L17:L35)</f>
        <v>0.424161260737521</v>
      </c>
      <c r="M36" s="53"/>
    </row>
    <row r="37" customFormat="false" ht="15" hidden="false" customHeight="false" outlineLevel="0" collapsed="false">
      <c r="E37" s="13"/>
    </row>
    <row r="38" customFormat="false" ht="15" hidden="false" customHeight="true" outlineLevel="0" collapsed="false">
      <c r="A38" s="54"/>
      <c r="B38" s="55"/>
      <c r="C38" s="56" t="s">
        <v>159</v>
      </c>
      <c r="D38" s="57"/>
      <c r="E38" s="57"/>
      <c r="F38" s="57"/>
      <c r="G38" s="58" t="n">
        <f aca="false">SUM(G3:G14)+SUM(G17:G35)</f>
        <v>700750.509625</v>
      </c>
      <c r="H38" s="58" t="n">
        <f aca="false">SUM(H3:H14)+SUM(H17:H35)</f>
        <v>648174.27</v>
      </c>
      <c r="I38" s="59" t="n">
        <f aca="false">SUM(I3:I14)+SUM(I17:I35)</f>
        <v>52576.239625</v>
      </c>
      <c r="J38" s="57"/>
      <c r="K38" s="57"/>
      <c r="L38" s="57"/>
      <c r="M38" s="54"/>
    </row>
    <row r="39" customFormat="false" ht="15" hidden="false" customHeight="false" outlineLevel="0" collapsed="false">
      <c r="A39" s="60"/>
      <c r="B39" s="60"/>
      <c r="C39" s="61" t="s">
        <v>160</v>
      </c>
      <c r="D39" s="60"/>
      <c r="E39" s="60"/>
      <c r="F39" s="60"/>
      <c r="G39" s="62" t="n">
        <f aca="false">G13+G14+G17+G33+G19+G25+G26</f>
        <v>398882.113368</v>
      </c>
      <c r="H39" s="62" t="n">
        <f aca="false">H13+H14+H17+H33+H19+H25+H26</f>
        <v>389348.99</v>
      </c>
      <c r="I39" s="62" t="n">
        <f aca="false">G39-H39</f>
        <v>9533.12336799997</v>
      </c>
      <c r="J39" s="60"/>
      <c r="K39" s="60"/>
      <c r="L39" s="63" t="n">
        <f aca="false">IFERROR(G39/G38,"")</f>
        <v>0.569221296152118</v>
      </c>
      <c r="M39" s="60" t="s">
        <v>161</v>
      </c>
    </row>
    <row r="40" customFormat="false" ht="57.75" hidden="false" customHeight="true" outlineLevel="0" collapsed="false">
      <c r="A40" s="64" t="s">
        <v>162</v>
      </c>
      <c r="B40" s="64"/>
      <c r="C40" s="64"/>
      <c r="D40" s="64"/>
      <c r="E40" s="64"/>
      <c r="F40" s="64"/>
      <c r="G40" s="64"/>
      <c r="H40" s="64"/>
      <c r="I40" s="64"/>
      <c r="J40" s="64"/>
      <c r="K40" s="64"/>
      <c r="L40" s="64"/>
      <c r="M40" s="64"/>
    </row>
  </sheetData>
  <mergeCells count="3">
    <mergeCell ref="A1:M1"/>
    <mergeCell ref="O1:P1"/>
    <mergeCell ref="A40:M40"/>
  </mergeCells>
  <conditionalFormatting sqref="J3:J35">
    <cfRule type="cellIs" priority="2" operator="greaterThan" aboveAverage="0" equalAverage="0" bottom="0" percent="0" rank="0" text="" dxfId="12">
      <formula>0</formula>
    </cfRule>
    <cfRule type="cellIs" priority="3" operator="lessThan" aboveAverage="0" equalAverage="0" bottom="0" percent="0" rank="0" text="" dxfId="13">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2" activeCellId="0" sqref="A2"/>
    </sheetView>
  </sheetViews>
  <sheetFormatPr defaultColWidth="8.66796875" defaultRowHeight="15" customHeight="false" zeroHeight="false" outlineLevelRow="0" outlineLevelCol="0"/>
  <cols>
    <col collapsed="false" customWidth="true" hidden="false" outlineLevel="0" max="1" min="1" style="65"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1"/>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4" min="13" style="1" width="10"/>
    <col collapsed="false" customWidth="true" hidden="false" outlineLevel="0" max="15" min="15" style="1" width="24"/>
    <col collapsed="false" customWidth="true" hidden="false" outlineLevel="0" max="16" min="16" style="1" width="28"/>
  </cols>
  <sheetData>
    <row r="1" customFormat="false" ht="25.5" hidden="false" customHeight="true" outlineLevel="0" collapsed="false">
      <c r="A1" s="66" t="s">
        <v>163</v>
      </c>
      <c r="B1" s="66"/>
      <c r="C1" s="66"/>
      <c r="D1" s="66"/>
      <c r="E1" s="66"/>
      <c r="F1" s="66"/>
      <c r="G1" s="66"/>
      <c r="H1" s="66"/>
      <c r="I1" s="66"/>
      <c r="J1" s="66"/>
      <c r="K1" s="66"/>
      <c r="L1" s="66"/>
      <c r="M1" s="66"/>
      <c r="N1" s="66"/>
      <c r="O1" s="66"/>
      <c r="P1" s="66"/>
    </row>
    <row r="2" customFormat="false" ht="52.5" hidden="false" customHeight="true" outlineLevel="0" collapsed="false">
      <c r="A2" s="67" t="s">
        <v>74</v>
      </c>
      <c r="B2" s="67" t="s">
        <v>164</v>
      </c>
      <c r="C2" s="67" t="s">
        <v>165</v>
      </c>
      <c r="D2" s="67" t="s">
        <v>166</v>
      </c>
      <c r="E2" s="67" t="s">
        <v>167</v>
      </c>
      <c r="F2" s="67" t="s">
        <v>168</v>
      </c>
      <c r="G2" s="67" t="s">
        <v>169</v>
      </c>
      <c r="H2" s="67" t="s">
        <v>170</v>
      </c>
      <c r="I2" s="67" t="s">
        <v>171</v>
      </c>
      <c r="J2" s="67" t="s">
        <v>172</v>
      </c>
      <c r="K2" s="67" t="s">
        <v>173</v>
      </c>
      <c r="L2" s="67" t="s">
        <v>174</v>
      </c>
      <c r="M2" s="67" t="s">
        <v>175</v>
      </c>
      <c r="N2" s="67" t="s">
        <v>176</v>
      </c>
      <c r="O2" s="67" t="s">
        <v>177</v>
      </c>
      <c r="P2" s="67" t="s">
        <v>178</v>
      </c>
    </row>
    <row r="3" customFormat="false" ht="15" hidden="false" customHeight="true" outlineLevel="0" collapsed="false">
      <c r="A3" s="68" t="s">
        <v>88</v>
      </c>
      <c r="B3" s="69" t="s">
        <v>179</v>
      </c>
      <c r="C3" s="70" t="n">
        <v>46240</v>
      </c>
      <c r="D3" s="69" t="n">
        <v>85.8</v>
      </c>
      <c r="E3" s="69" t="n">
        <v>4.57</v>
      </c>
      <c r="F3" s="69" t="s">
        <v>180</v>
      </c>
      <c r="G3" s="69" t="n">
        <v>259.32</v>
      </c>
      <c r="H3" s="71"/>
      <c r="I3" s="72" t="str">
        <f aca="false">IF(OR(G3="",H3=""),"",H3/G3-1)</f>
        <v/>
      </c>
      <c r="J3" s="73"/>
      <c r="K3" s="69"/>
      <c r="L3" s="74"/>
      <c r="M3" s="69"/>
      <c r="N3" s="75" t="n">
        <f aca="true">IF(C3="","",TODAY()-C3)</f>
        <v>19</v>
      </c>
      <c r="O3" s="76" t="str">
        <f aca="true">IF(A3="","",IF(N3&gt;180,"DUE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P3" s="74"/>
    </row>
    <row r="4" customFormat="false" ht="15" hidden="false" customHeight="true" outlineLevel="0" collapsed="false">
      <c r="A4" s="68" t="s">
        <v>93</v>
      </c>
      <c r="B4" s="69" t="s">
        <v>179</v>
      </c>
      <c r="C4" s="70" t="n">
        <v>46240</v>
      </c>
      <c r="D4" s="69" t="n">
        <v>85</v>
      </c>
      <c r="E4" s="69" t="n">
        <v>4.57</v>
      </c>
      <c r="F4" s="69" t="s">
        <v>180</v>
      </c>
      <c r="G4" s="69" t="n">
        <v>190.51</v>
      </c>
      <c r="H4" s="71"/>
      <c r="I4" s="72" t="str">
        <f aca="false">IF(OR(G4="",H4=""),"",H4/G4-1)</f>
        <v/>
      </c>
      <c r="J4" s="73"/>
      <c r="K4" s="69"/>
      <c r="L4" s="74"/>
      <c r="M4" s="69"/>
      <c r="N4" s="75" t="n">
        <f aca="true">IF(C4="","",TODAY()-C4)</f>
        <v>19</v>
      </c>
      <c r="O4" s="76" t="str">
        <f aca="true">IF(A4="","",IF(N4&gt;180,"DUE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Monitor Only</v>
      </c>
      <c r="P4" s="74"/>
    </row>
    <row r="5" customFormat="false" ht="15" hidden="false" customHeight="true" outlineLevel="0" collapsed="false">
      <c r="A5" s="68" t="s">
        <v>95</v>
      </c>
      <c r="B5" s="69" t="s">
        <v>179</v>
      </c>
      <c r="C5" s="70" t="n">
        <v>46240</v>
      </c>
      <c r="D5" s="69" t="n">
        <v>73.2</v>
      </c>
      <c r="E5" s="69" t="n">
        <v>3.57</v>
      </c>
      <c r="F5" s="69" t="s">
        <v>181</v>
      </c>
      <c r="G5" s="69" t="n">
        <v>1678.22</v>
      </c>
      <c r="H5" s="71"/>
      <c r="I5" s="72" t="str">
        <f aca="false">IF(OR(G5="",H5=""),"",H5/G5-1)</f>
        <v/>
      </c>
      <c r="J5" s="73"/>
      <c r="K5" s="69"/>
      <c r="L5" s="74"/>
      <c r="M5" s="69"/>
      <c r="N5" s="75" t="n">
        <f aca="true">IF(C5="","",TODAY()-C5)</f>
        <v>19</v>
      </c>
      <c r="O5" s="76" t="str">
        <f aca="true">IF(A5="","",IF(N5&gt;180,"DUE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P5" s="74"/>
    </row>
    <row r="6" customFormat="false" ht="15" hidden="false" customHeight="true" outlineLevel="0" collapsed="false">
      <c r="A6" s="68" t="s">
        <v>97</v>
      </c>
      <c r="B6" s="69" t="s">
        <v>179</v>
      </c>
      <c r="C6" s="70" t="n">
        <v>46240</v>
      </c>
      <c r="D6" s="69" t="n">
        <v>70.4</v>
      </c>
      <c r="E6" s="69" t="n">
        <v>4</v>
      </c>
      <c r="F6" s="69" t="s">
        <v>181</v>
      </c>
      <c r="G6" s="69" t="n">
        <v>211.22</v>
      </c>
      <c r="H6" s="71"/>
      <c r="I6" s="72" t="str">
        <f aca="false">IF(OR(G6="",H6=""),"",H6/G6-1)</f>
        <v/>
      </c>
      <c r="J6" s="73"/>
      <c r="K6" s="69"/>
      <c r="L6" s="74"/>
      <c r="M6" s="69"/>
      <c r="N6" s="75" t="n">
        <f aca="true">IF(C6="","",TODAY()-C6)</f>
        <v>19</v>
      </c>
      <c r="O6" s="76" t="str">
        <f aca="true">IF(A6="","",IF(N6&gt;180,"DUE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Monitor Only</v>
      </c>
      <c r="P6" s="74"/>
    </row>
    <row r="7" customFormat="false" ht="15" hidden="false" customHeight="true" outlineLevel="0" collapsed="false">
      <c r="A7" s="68" t="s">
        <v>99</v>
      </c>
      <c r="B7" s="69" t="s">
        <v>179</v>
      </c>
      <c r="C7" s="70" t="n">
        <v>46240</v>
      </c>
      <c r="D7" s="69" t="n">
        <v>68.6</v>
      </c>
      <c r="E7" s="69" t="n">
        <v>3.43</v>
      </c>
      <c r="F7" s="69" t="s">
        <v>181</v>
      </c>
      <c r="G7" s="69" t="n">
        <v>192.8</v>
      </c>
      <c r="H7" s="71"/>
      <c r="I7" s="72" t="str">
        <f aca="false">IF(OR(G7="",H7=""),"",H7/G7-1)</f>
        <v/>
      </c>
      <c r="J7" s="73"/>
      <c r="K7" s="69"/>
      <c r="L7" s="74"/>
      <c r="M7" s="69"/>
      <c r="N7" s="75" t="n">
        <f aca="true">IF(C7="","",TODAY()-C7)</f>
        <v>19</v>
      </c>
      <c r="O7" s="76" t="str">
        <f aca="true">IF(A7="","",IF(N7&gt;180,"DUE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Monitor Only</v>
      </c>
      <c r="P7" s="74"/>
    </row>
    <row r="8" customFormat="false" ht="15" hidden="false" customHeight="true" outlineLevel="0" collapsed="false">
      <c r="A8" s="68" t="s">
        <v>101</v>
      </c>
      <c r="B8" s="69" t="s">
        <v>179</v>
      </c>
      <c r="C8" s="70" t="n">
        <v>46240</v>
      </c>
      <c r="D8" s="69" t="n">
        <v>71.8</v>
      </c>
      <c r="E8" s="69" t="n">
        <v>3.64</v>
      </c>
      <c r="F8" s="69" t="s">
        <v>181</v>
      </c>
      <c r="G8" s="69" t="n">
        <v>893.19</v>
      </c>
      <c r="H8" s="71"/>
      <c r="I8" s="72" t="str">
        <f aca="false">IF(OR(G8="",H8=""),"",H8/G8-1)</f>
        <v/>
      </c>
      <c r="J8" s="73"/>
      <c r="K8" s="69"/>
      <c r="L8" s="74"/>
      <c r="M8" s="69"/>
      <c r="N8" s="75" t="n">
        <f aca="true">IF(C8="","",TODAY()-C8)</f>
        <v>19</v>
      </c>
      <c r="O8" s="76" t="str">
        <f aca="true">IF(A8="","",IF(N8&gt;180,"DUE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P8" s="74"/>
    </row>
    <row r="9" customFormat="false" ht="15" hidden="false" customHeight="true" outlineLevel="0" collapsed="false">
      <c r="A9" s="68" t="s">
        <v>103</v>
      </c>
      <c r="B9" s="69" t="s">
        <v>179</v>
      </c>
      <c r="C9" s="70" t="n">
        <v>46240</v>
      </c>
      <c r="D9" s="69" t="n">
        <v>93.2</v>
      </c>
      <c r="E9" s="69" t="n">
        <v>4.57</v>
      </c>
      <c r="F9" s="69" t="s">
        <v>180</v>
      </c>
      <c r="G9" s="69" t="n">
        <v>211.87</v>
      </c>
      <c r="H9" s="71"/>
      <c r="I9" s="72" t="str">
        <f aca="false">IF(OR(G9="",H9=""),"",H9/G9-1)</f>
        <v/>
      </c>
      <c r="J9" s="73"/>
      <c r="K9" s="69"/>
      <c r="L9" s="74"/>
      <c r="M9" s="69"/>
      <c r="N9" s="75" t="n">
        <f aca="true">IF(C9="","",TODAY()-C9)</f>
        <v>19</v>
      </c>
      <c r="O9" s="76" t="str">
        <f aca="true">IF(A9="","",IF(N9&gt;180,"DUE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Monitor Only</v>
      </c>
      <c r="P9" s="74"/>
    </row>
    <row r="10" customFormat="false" ht="15" hidden="false" customHeight="true" outlineLevel="0" collapsed="false">
      <c r="A10" s="68" t="s">
        <v>105</v>
      </c>
      <c r="B10" s="69" t="s">
        <v>179</v>
      </c>
      <c r="C10" s="70" t="n">
        <v>46240</v>
      </c>
      <c r="D10" s="69" t="n">
        <v>75.2</v>
      </c>
      <c r="E10" s="69" t="n">
        <v>4</v>
      </c>
      <c r="F10" s="69" t="s">
        <v>181</v>
      </c>
      <c r="G10" s="69" t="n">
        <v>162.66</v>
      </c>
      <c r="H10" s="71"/>
      <c r="I10" s="72" t="str">
        <f aca="false">IF(OR(G10="",H10=""),"",H10/G10-1)</f>
        <v/>
      </c>
      <c r="J10" s="73"/>
      <c r="K10" s="69"/>
      <c r="L10" s="74"/>
      <c r="M10" s="69"/>
      <c r="N10" s="75" t="n">
        <f aca="true">IF(C10="","",TODAY()-C10)</f>
        <v>19</v>
      </c>
      <c r="O10" s="76" t="str">
        <f aca="true">IF(A10="","",IF(N10&gt;180,"DUE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Monitor Only</v>
      </c>
      <c r="P10" s="74"/>
    </row>
    <row r="11" customFormat="false" ht="15" hidden="false" customHeight="true" outlineLevel="0" collapsed="false">
      <c r="A11" s="68" t="s">
        <v>107</v>
      </c>
      <c r="B11" s="69" t="s">
        <v>179</v>
      </c>
      <c r="C11" s="70" t="n">
        <v>46240</v>
      </c>
      <c r="D11" s="69" t="n">
        <v>81</v>
      </c>
      <c r="E11" s="69" t="n">
        <v>4</v>
      </c>
      <c r="F11" s="69" t="s">
        <v>180</v>
      </c>
      <c r="G11" s="69" t="n">
        <v>414</v>
      </c>
      <c r="H11" s="71"/>
      <c r="I11" s="72" t="str">
        <f aca="false">IF(OR(G11="",H11=""),"",H11/G11-1)</f>
        <v/>
      </c>
      <c r="J11" s="73"/>
      <c r="K11" s="69"/>
      <c r="L11" s="74"/>
      <c r="M11" s="69"/>
      <c r="N11" s="75" t="n">
        <f aca="true">IF(C11="","",TODAY()-C11)</f>
        <v>19</v>
      </c>
      <c r="O11" s="76" t="str">
        <f aca="true">IF(A11="","",IF(N11&gt;180,"DUE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Monitor Only</v>
      </c>
      <c r="P11" s="74"/>
    </row>
    <row r="12" customFormat="false" ht="15" hidden="false" customHeight="true" outlineLevel="0" collapsed="false">
      <c r="A12" s="68" t="s">
        <v>109</v>
      </c>
      <c r="B12" s="69" t="s">
        <v>179</v>
      </c>
      <c r="C12" s="70" t="n">
        <v>46240</v>
      </c>
      <c r="D12" s="69" t="n">
        <v>82.8</v>
      </c>
      <c r="E12" s="69" t="n">
        <v>4.36</v>
      </c>
      <c r="F12" s="69" t="s">
        <v>180</v>
      </c>
      <c r="G12" s="69" t="n">
        <v>277.94</v>
      </c>
      <c r="H12" s="71"/>
      <c r="I12" s="72" t="str">
        <f aca="false">IF(OR(G12="",H12=""),"",H12/G12-1)</f>
        <v/>
      </c>
      <c r="J12" s="73"/>
      <c r="K12" s="69"/>
      <c r="L12" s="74"/>
      <c r="M12" s="69"/>
      <c r="N12" s="75" t="n">
        <f aca="true">IF(C12="","",TODAY()-C12)</f>
        <v>19</v>
      </c>
      <c r="O12" s="76" t="str">
        <f aca="true">IF(A12="","",IF(N12&gt;180,"DUE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P12" s="74"/>
    </row>
    <row r="13" customFormat="false" ht="15" hidden="false" customHeight="true" outlineLevel="0" collapsed="false">
      <c r="A13" s="68" t="s">
        <v>132</v>
      </c>
      <c r="B13" s="69" t="s">
        <v>179</v>
      </c>
      <c r="C13" s="70" t="n">
        <v>46240</v>
      </c>
      <c r="D13" s="69" t="n">
        <v>80.8</v>
      </c>
      <c r="E13" s="69" t="n">
        <v>4.07</v>
      </c>
      <c r="F13" s="69" t="s">
        <v>180</v>
      </c>
      <c r="G13" s="69" t="n">
        <v>418.16</v>
      </c>
      <c r="H13" s="71"/>
      <c r="I13" s="72" t="str">
        <f aca="false">IF(OR(G13="",H13=""),"",H13/G13-1)</f>
        <v/>
      </c>
      <c r="J13" s="73"/>
      <c r="K13" s="69"/>
      <c r="L13" s="74"/>
      <c r="M13" s="69"/>
      <c r="N13" s="75" t="n">
        <f aca="true">IF(C13="","",TODAY()-C13)</f>
        <v>19</v>
      </c>
      <c r="O13" s="76" t="str">
        <f aca="true">IF(A13="","",IF(N13&gt;180,"DUE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P13" s="74"/>
    </row>
    <row r="14" customFormat="false" ht="15" hidden="false" customHeight="true" outlineLevel="0" collapsed="false">
      <c r="A14" s="68" t="s">
        <v>141</v>
      </c>
      <c r="B14" s="69" t="s">
        <v>179</v>
      </c>
      <c r="C14" s="70" t="n">
        <v>46240</v>
      </c>
      <c r="D14" s="69" t="n">
        <v>82</v>
      </c>
      <c r="E14" s="69" t="n">
        <v>4.36</v>
      </c>
      <c r="F14" s="69" t="s">
        <v>180</v>
      </c>
      <c r="G14" s="69" t="n">
        <v>139.06</v>
      </c>
      <c r="H14" s="71"/>
      <c r="I14" s="72" t="str">
        <f aca="false">IF(OR(G14="",H14=""),"",H14/G14-1)</f>
        <v/>
      </c>
      <c r="J14" s="73"/>
      <c r="K14" s="69"/>
      <c r="L14" s="74"/>
      <c r="M14" s="69"/>
      <c r="N14" s="75" t="n">
        <f aca="true">IF(C14="","",TODAY()-C14)</f>
        <v>19</v>
      </c>
      <c r="O14" s="76" t="str">
        <f aca="true">IF(A14="","",IF(N14&gt;180,"DUE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P14" s="74"/>
    </row>
    <row r="15" customFormat="false" ht="15" hidden="false" customHeight="true" outlineLevel="0" collapsed="false">
      <c r="A15" s="68" t="s">
        <v>134</v>
      </c>
      <c r="B15" s="69" t="s">
        <v>179</v>
      </c>
      <c r="C15" s="70" t="n">
        <v>46241</v>
      </c>
      <c r="D15" s="69" t="n">
        <v>75.6</v>
      </c>
      <c r="E15" s="69" t="n">
        <v>3.79</v>
      </c>
      <c r="F15" s="69" t="s">
        <v>181</v>
      </c>
      <c r="G15" s="69" t="n">
        <v>478.7</v>
      </c>
      <c r="H15" s="71"/>
      <c r="I15" s="72" t="str">
        <f aca="false">IF(OR(G15="",H15=""),"",H15/G15-1)</f>
        <v/>
      </c>
      <c r="J15" s="73"/>
      <c r="K15" s="69"/>
      <c r="L15" s="74"/>
      <c r="M15" s="69"/>
      <c r="N15" s="75" t="n">
        <f aca="true">IF(C15="","",TODAY()-C15)</f>
        <v>18</v>
      </c>
      <c r="O15" s="76" t="str">
        <f aca="true">IF(A15="","",IF(N15&gt;180,"DUE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P15" s="74" t="s">
        <v>182</v>
      </c>
    </row>
    <row r="16" customFormat="false" ht="15" hidden="false" customHeight="true" outlineLevel="0" collapsed="false">
      <c r="A16" s="68" t="s">
        <v>183</v>
      </c>
      <c r="B16" s="69" t="s">
        <v>184</v>
      </c>
      <c r="C16" s="70" t="n">
        <v>46246</v>
      </c>
      <c r="D16" s="69"/>
      <c r="E16" s="69" t="n">
        <v>1.36</v>
      </c>
      <c r="F16" s="69"/>
      <c r="G16" s="69"/>
      <c r="H16" s="71"/>
      <c r="I16" s="72" t="str">
        <f aca="false">IF(OR(G16="",H16=""),"",H16/G16-1)</f>
        <v/>
      </c>
      <c r="J16" s="73"/>
      <c r="K16" s="69"/>
      <c r="L16" s="74"/>
      <c r="M16" s="69"/>
      <c r="N16" s="75" t="n">
        <f aca="true">IF(C16="","",TODAY()-C16)</f>
        <v>13</v>
      </c>
      <c r="O16" s="76" t="str">
        <f aca="true">IF(A16="","",IF(N16&gt;180,"DUE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P16" s="74"/>
    </row>
    <row r="17" customFormat="false" ht="15" hidden="false" customHeight="true" outlineLevel="0" collapsed="false">
      <c r="A17" s="68" t="s">
        <v>185</v>
      </c>
      <c r="B17" s="69" t="s">
        <v>184</v>
      </c>
      <c r="C17" s="70" t="n">
        <v>46246</v>
      </c>
      <c r="D17" s="69"/>
      <c r="E17" s="69" t="n">
        <v>2.79</v>
      </c>
      <c r="F17" s="69"/>
      <c r="G17" s="69"/>
      <c r="H17" s="71"/>
      <c r="I17" s="72" t="str">
        <f aca="false">IF(OR(G17="",H17=""),"",H17/G17-1)</f>
        <v/>
      </c>
      <c r="J17" s="73"/>
      <c r="K17" s="69"/>
      <c r="L17" s="74"/>
      <c r="M17" s="69"/>
      <c r="N17" s="75" t="n">
        <f aca="true">IF(C17="","",TODAY()-C17)</f>
        <v>13</v>
      </c>
      <c r="O17" s="76" t="str">
        <f aca="true">IF(A17="","",IF(N17&gt;180,"DUE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Monitor Only</v>
      </c>
      <c r="P17" s="74"/>
    </row>
    <row r="18" customFormat="false" ht="15" hidden="false" customHeight="true" outlineLevel="0" collapsed="false">
      <c r="A18" s="68" t="s">
        <v>186</v>
      </c>
      <c r="B18" s="69" t="s">
        <v>184</v>
      </c>
      <c r="C18" s="70" t="n">
        <v>46245</v>
      </c>
      <c r="D18" s="69"/>
      <c r="E18" s="69" t="n">
        <v>1.79</v>
      </c>
      <c r="F18" s="69"/>
      <c r="G18" s="69"/>
      <c r="H18" s="71"/>
      <c r="I18" s="72" t="str">
        <f aca="false">IF(OR(G18="",H18=""),"",H18/G18-1)</f>
        <v/>
      </c>
      <c r="J18" s="73"/>
      <c r="K18" s="69"/>
      <c r="L18" s="74"/>
      <c r="M18" s="69"/>
      <c r="N18" s="75" t="n">
        <f aca="true">IF(C18="","",TODAY()-C18)</f>
        <v>14</v>
      </c>
      <c r="O18" s="76" t="str">
        <f aca="true">IF(A18="","",IF(N18&gt;180,"DUE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P18" s="74"/>
    </row>
    <row r="19" customFormat="false" ht="15" hidden="false" customHeight="true" outlineLevel="0" collapsed="false">
      <c r="A19" s="77" t="s">
        <v>187</v>
      </c>
      <c r="B19" s="69" t="s">
        <v>184</v>
      </c>
      <c r="C19" s="70" t="n">
        <v>46245</v>
      </c>
      <c r="D19" s="69"/>
      <c r="E19" s="69" t="n">
        <v>1.86</v>
      </c>
      <c r="F19" s="69"/>
      <c r="G19" s="69"/>
      <c r="H19" s="71"/>
      <c r="I19" s="72" t="str">
        <f aca="false">IF(OR(G19="",H19=""),"",H19/G19-1)</f>
        <v/>
      </c>
      <c r="J19" s="73"/>
      <c r="K19" s="69"/>
      <c r="L19" s="74"/>
      <c r="M19" s="69"/>
      <c r="N19" s="75" t="n">
        <f aca="true">IF(C19="","",TODAY()-C19)</f>
        <v>14</v>
      </c>
      <c r="O19" s="76" t="str">
        <f aca="true">IF(A19="","",IF(N19&gt;180,"DUE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P19" s="74"/>
    </row>
    <row r="20" customFormat="false" ht="15" hidden="false" customHeight="true" outlineLevel="0" collapsed="false">
      <c r="A20" s="77" t="s">
        <v>188</v>
      </c>
      <c r="B20" s="69" t="s">
        <v>189</v>
      </c>
      <c r="C20" s="70" t="n">
        <v>46245</v>
      </c>
      <c r="D20" s="69"/>
      <c r="E20" s="69" t="n">
        <v>3.71</v>
      </c>
      <c r="F20" s="69"/>
      <c r="G20" s="69"/>
      <c r="H20" s="71"/>
      <c r="I20" s="72" t="str">
        <f aca="false">IF(OR(G20="",H20=""),"",H20/G20-1)</f>
        <v/>
      </c>
      <c r="J20" s="73"/>
      <c r="K20" s="69"/>
      <c r="L20" s="74"/>
      <c r="M20" s="69"/>
      <c r="N20" s="75" t="n">
        <f aca="true">IF(C20="","",TODAY()-C20)</f>
        <v>14</v>
      </c>
      <c r="O20" s="76" t="str">
        <f aca="true">IF(A20="","",IF(N20&gt;180,"DUE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P20" s="74"/>
    </row>
    <row r="21" customFormat="false" ht="15" hidden="false" customHeight="true" outlineLevel="0" collapsed="false">
      <c r="A21" s="77" t="s">
        <v>190</v>
      </c>
      <c r="B21" s="69" t="s">
        <v>189</v>
      </c>
      <c r="C21" s="70" t="n">
        <v>46245</v>
      </c>
      <c r="D21" s="69" t="n">
        <v>77.4</v>
      </c>
      <c r="E21" s="69" t="n">
        <v>4.14</v>
      </c>
      <c r="F21" s="69" t="s">
        <v>181</v>
      </c>
      <c r="G21" s="69"/>
      <c r="H21" s="71"/>
      <c r="I21" s="72" t="str">
        <f aca="false">IF(OR(G21="",H21=""),"",H21/G21-1)</f>
        <v/>
      </c>
      <c r="J21" s="73"/>
      <c r="K21" s="69"/>
      <c r="L21" s="74"/>
      <c r="M21" s="69"/>
      <c r="N21" s="75" t="n">
        <f aca="true">IF(C21="","",TODAY()-C21)</f>
        <v>14</v>
      </c>
      <c r="O21" s="76" t="str">
        <f aca="true">IF(A21="","",IF(N21&gt;180,"DUE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P21" s="74"/>
    </row>
    <row r="22" customFormat="false" ht="15" hidden="false" customHeight="true" outlineLevel="0" collapsed="false">
      <c r="A22" s="77" t="s">
        <v>191</v>
      </c>
      <c r="B22" s="69" t="s">
        <v>184</v>
      </c>
      <c r="C22" s="70" t="n">
        <v>46245</v>
      </c>
      <c r="D22" s="69"/>
      <c r="E22" s="69" t="n">
        <v>1.21</v>
      </c>
      <c r="F22" s="69"/>
      <c r="G22" s="69"/>
      <c r="H22" s="71"/>
      <c r="I22" s="72" t="str">
        <f aca="false">IF(OR(G22="",H22=""),"",H22/G22-1)</f>
        <v/>
      </c>
      <c r="J22" s="73"/>
      <c r="K22" s="69"/>
      <c r="L22" s="74"/>
      <c r="M22" s="69"/>
      <c r="N22" s="75" t="n">
        <f aca="true">IF(C22="","",TODAY()-C22)</f>
        <v>14</v>
      </c>
      <c r="O22" s="76" t="str">
        <f aca="true">IF(A22="","",IF(N22&gt;180,"DUE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P22" s="74"/>
    </row>
    <row r="23" customFormat="false" ht="15" hidden="false" customHeight="true" outlineLevel="0" collapsed="false">
      <c r="A23" s="77" t="s">
        <v>192</v>
      </c>
      <c r="B23" s="69" t="s">
        <v>184</v>
      </c>
      <c r="C23" s="70" t="n">
        <v>46245</v>
      </c>
      <c r="D23" s="69"/>
      <c r="E23" s="69" t="n">
        <v>2.36</v>
      </c>
      <c r="F23" s="69"/>
      <c r="G23" s="69"/>
      <c r="H23" s="71"/>
      <c r="I23" s="72" t="str">
        <f aca="false">IF(OR(G23="",H23=""),"",H23/G23-1)</f>
        <v/>
      </c>
      <c r="J23" s="73"/>
      <c r="K23" s="69"/>
      <c r="L23" s="74"/>
      <c r="M23" s="69"/>
      <c r="N23" s="75" t="n">
        <f aca="true">IF(C23="","",TODAY()-C23)</f>
        <v>14</v>
      </c>
      <c r="O23" s="76" t="str">
        <f aca="true">IF(A23="","",IF(N23&gt;180,"DUE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P23" s="74"/>
    </row>
    <row r="24" customFormat="false" ht="15" hidden="false" customHeight="true" outlineLevel="0" collapsed="false">
      <c r="A24" s="77" t="s">
        <v>193</v>
      </c>
      <c r="B24" s="69" t="s">
        <v>184</v>
      </c>
      <c r="C24" s="70" t="n">
        <v>46258</v>
      </c>
      <c r="D24" s="69"/>
      <c r="E24" s="69" t="n">
        <v>2.93</v>
      </c>
      <c r="F24" s="69"/>
      <c r="G24" s="69"/>
      <c r="H24" s="71"/>
      <c r="I24" s="72" t="str">
        <f aca="false">IF(OR(G24="",H24=""),"",H24/G24-1)</f>
        <v/>
      </c>
      <c r="J24" s="73"/>
      <c r="K24" s="69"/>
      <c r="L24" s="74"/>
      <c r="M24" s="69"/>
      <c r="N24" s="75" t="n">
        <f aca="true">IF(C24="","",TODAY()-C24)</f>
        <v>1</v>
      </c>
      <c r="O24" s="76" t="str">
        <f aca="true">IF(A24="","",IF(N24&gt;180,"DUE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Monitor Only</v>
      </c>
      <c r="P24" s="74"/>
    </row>
    <row r="25" customFormat="false" ht="15" hidden="false" customHeight="true" outlineLevel="0" collapsed="false">
      <c r="A25" s="77" t="s">
        <v>194</v>
      </c>
      <c r="B25" s="69" t="s">
        <v>189</v>
      </c>
      <c r="C25" s="70" t="n">
        <v>46245</v>
      </c>
      <c r="D25" s="69"/>
      <c r="E25" s="69" t="n">
        <v>4.86</v>
      </c>
      <c r="F25" s="69"/>
      <c r="G25" s="69"/>
      <c r="H25" s="71"/>
      <c r="I25" s="72" t="str">
        <f aca="false">IF(OR(G25="",H25=""),"",H25/G25-1)</f>
        <v/>
      </c>
      <c r="J25" s="73"/>
      <c r="K25" s="69"/>
      <c r="L25" s="74"/>
      <c r="M25" s="69"/>
      <c r="N25" s="75" t="n">
        <f aca="true">IF(C25="","",TODAY()-C25)</f>
        <v>14</v>
      </c>
      <c r="O25" s="76" t="str">
        <f aca="true">IF(A25="","",IF(N25&gt;180,"DUE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P25" s="74"/>
    </row>
    <row r="26" customFormat="false" ht="15" hidden="false" customHeight="true" outlineLevel="0" collapsed="false">
      <c r="A26" s="77" t="s">
        <v>195</v>
      </c>
      <c r="B26" s="69" t="s">
        <v>184</v>
      </c>
      <c r="C26" s="70" t="n">
        <v>46245</v>
      </c>
      <c r="D26" s="69"/>
      <c r="E26" s="69" t="n">
        <v>2.14</v>
      </c>
      <c r="F26" s="69"/>
      <c r="G26" s="69"/>
      <c r="H26" s="71"/>
      <c r="I26" s="72" t="str">
        <f aca="false">IF(OR(G26="",H26=""),"",H26/G26-1)</f>
        <v/>
      </c>
      <c r="J26" s="73"/>
      <c r="K26" s="69"/>
      <c r="L26" s="74"/>
      <c r="M26" s="69"/>
      <c r="N26" s="75" t="n">
        <f aca="true">IF(C26="","",TODAY()-C26)</f>
        <v>14</v>
      </c>
      <c r="O26" s="76" t="str">
        <f aca="true">IF(A26="","",IF(N26&gt;180,"DUE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Monitor Only</v>
      </c>
      <c r="P26" s="74"/>
    </row>
    <row r="27" customFormat="false" ht="15" hidden="false" customHeight="true" outlineLevel="0" collapsed="false">
      <c r="A27" s="77" t="s">
        <v>196</v>
      </c>
      <c r="B27" s="69" t="s">
        <v>189</v>
      </c>
      <c r="C27" s="70" t="n">
        <v>46245</v>
      </c>
      <c r="D27" s="69"/>
      <c r="E27" s="69" t="n">
        <v>4</v>
      </c>
      <c r="F27" s="69"/>
      <c r="G27" s="69"/>
      <c r="H27" s="71"/>
      <c r="I27" s="72" t="str">
        <f aca="false">IF(OR(G27="",H27=""),"",H27/G27-1)</f>
        <v/>
      </c>
      <c r="J27" s="73"/>
      <c r="K27" s="69"/>
      <c r="L27" s="74"/>
      <c r="M27" s="69"/>
      <c r="N27" s="75" t="n">
        <f aca="true">IF(C27="","",TODAY()-C27)</f>
        <v>14</v>
      </c>
      <c r="O27" s="76" t="str">
        <f aca="true">IF(A27="","",IF(N27&gt;180,"DUE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Monitor Only</v>
      </c>
      <c r="P27" s="74"/>
    </row>
    <row r="28" customFormat="false" ht="15" hidden="false" customHeight="true" outlineLevel="0" collapsed="false">
      <c r="A28" s="77" t="s">
        <v>197</v>
      </c>
      <c r="B28" s="69" t="s">
        <v>189</v>
      </c>
      <c r="C28" s="70" t="n">
        <v>46247</v>
      </c>
      <c r="D28" s="69"/>
      <c r="E28" s="69" t="n">
        <v>3.5</v>
      </c>
      <c r="F28" s="69"/>
      <c r="G28" s="69"/>
      <c r="H28" s="71"/>
      <c r="I28" s="72" t="str">
        <f aca="false">IF(OR(G28="",H28=""),"",H28/G28-1)</f>
        <v/>
      </c>
      <c r="J28" s="73"/>
      <c r="K28" s="69"/>
      <c r="L28" s="74"/>
      <c r="M28" s="69"/>
      <c r="N28" s="75" t="n">
        <f aca="true">IF(C28="","",TODAY()-C28)</f>
        <v>12</v>
      </c>
      <c r="O28" s="76" t="str">
        <f aca="true">IF(A28="","",IF(N28&gt;180,"DUE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Monitor Only</v>
      </c>
      <c r="P28" s="74"/>
    </row>
    <row r="29" customFormat="false" ht="15" hidden="false" customHeight="true" outlineLevel="0" collapsed="false">
      <c r="A29" s="77" t="s">
        <v>198</v>
      </c>
      <c r="B29" s="69" t="s">
        <v>189</v>
      </c>
      <c r="C29" s="70" t="n">
        <v>46246</v>
      </c>
      <c r="D29" s="69"/>
      <c r="E29" s="69" t="n">
        <v>3.43</v>
      </c>
      <c r="F29" s="69"/>
      <c r="G29" s="69"/>
      <c r="H29" s="71"/>
      <c r="I29" s="72" t="str">
        <f aca="false">IF(OR(G29="",H29=""),"",H29/G29-1)</f>
        <v/>
      </c>
      <c r="J29" s="73"/>
      <c r="K29" s="69"/>
      <c r="L29" s="74"/>
      <c r="M29" s="69"/>
      <c r="N29" s="75" t="n">
        <f aca="true">IF(C29="","",TODAY()-C29)</f>
        <v>13</v>
      </c>
      <c r="O29" s="76" t="str">
        <f aca="true">IF(A29="","",IF(N29&gt;180,"DUE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Monitor Only</v>
      </c>
      <c r="P29" s="74"/>
    </row>
    <row r="30" customFormat="false" ht="15" hidden="false" customHeight="true" outlineLevel="0" collapsed="false">
      <c r="A30" s="77" t="s">
        <v>199</v>
      </c>
      <c r="B30" s="69" t="s">
        <v>189</v>
      </c>
      <c r="C30" s="70" t="n">
        <v>46247</v>
      </c>
      <c r="D30" s="69"/>
      <c r="E30" s="69" t="n">
        <v>3.86</v>
      </c>
      <c r="F30" s="69"/>
      <c r="G30" s="69"/>
      <c r="H30" s="71"/>
      <c r="I30" s="72" t="str">
        <f aca="false">IF(OR(G30="",H30=""),"",H30/G30-1)</f>
        <v/>
      </c>
      <c r="J30" s="73"/>
      <c r="K30" s="69"/>
      <c r="L30" s="74"/>
      <c r="M30" s="69"/>
      <c r="N30" s="75" t="n">
        <f aca="true">IF(C30="","",TODAY()-C30)</f>
        <v>12</v>
      </c>
      <c r="O30" s="76" t="str">
        <f aca="true">IF(A30="","",IF(N30&gt;180,"DUE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P30" s="74"/>
    </row>
    <row r="31" customFormat="false" ht="15" hidden="false" customHeight="true" outlineLevel="0" collapsed="false">
      <c r="A31" s="77" t="s">
        <v>200</v>
      </c>
      <c r="B31" s="69" t="s">
        <v>184</v>
      </c>
      <c r="C31" s="70" t="n">
        <v>46246</v>
      </c>
      <c r="D31" s="69"/>
      <c r="E31" s="69" t="n">
        <v>2.5</v>
      </c>
      <c r="F31" s="69"/>
      <c r="G31" s="69"/>
      <c r="H31" s="71"/>
      <c r="I31" s="72" t="str">
        <f aca="false">IF(OR(G31="",H31=""),"",H31/G31-1)</f>
        <v/>
      </c>
      <c r="J31" s="73"/>
      <c r="K31" s="69"/>
      <c r="L31" s="74"/>
      <c r="M31" s="69"/>
      <c r="N31" s="75" t="n">
        <f aca="true">IF(C31="","",TODAY()-C31)</f>
        <v>13</v>
      </c>
      <c r="O31" s="76" t="str">
        <f aca="true">IF(A31="","",IF(N31&gt;180,"DUE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P31" s="74"/>
    </row>
    <row r="32" customFormat="false" ht="15" hidden="false" customHeight="true" outlineLevel="0" collapsed="false">
      <c r="A32" s="77" t="s">
        <v>201</v>
      </c>
      <c r="B32" s="69" t="s">
        <v>184</v>
      </c>
      <c r="C32" s="70" t="n">
        <v>46245</v>
      </c>
      <c r="D32" s="69"/>
      <c r="E32" s="69" t="n">
        <v>1.93</v>
      </c>
      <c r="F32" s="69"/>
      <c r="G32" s="69"/>
      <c r="H32" s="71"/>
      <c r="I32" s="72" t="str">
        <f aca="false">IF(OR(G32="",H32=""),"",H32/G32-1)</f>
        <v/>
      </c>
      <c r="J32" s="73"/>
      <c r="K32" s="69"/>
      <c r="L32" s="74"/>
      <c r="M32" s="69"/>
      <c r="N32" s="75" t="n">
        <f aca="true">IF(C32="","",TODAY()-C32)</f>
        <v>14</v>
      </c>
      <c r="O32" s="76" t="str">
        <f aca="true">IF(A32="","",IF(N32&gt;180,"DUE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P32" s="74"/>
    </row>
    <row r="33" customFormat="false" ht="15" hidden="false" customHeight="true" outlineLevel="0" collapsed="false">
      <c r="A33" s="77" t="s">
        <v>202</v>
      </c>
      <c r="B33" s="69" t="s">
        <v>184</v>
      </c>
      <c r="C33" s="70" t="n">
        <v>46245</v>
      </c>
      <c r="D33" s="69"/>
      <c r="E33" s="69" t="n">
        <v>2.07</v>
      </c>
      <c r="F33" s="69"/>
      <c r="G33" s="69"/>
      <c r="H33" s="71"/>
      <c r="I33" s="72" t="str">
        <f aca="false">IF(OR(G33="",H33=""),"",H33/G33-1)</f>
        <v/>
      </c>
      <c r="J33" s="73"/>
      <c r="K33" s="69"/>
      <c r="L33" s="74"/>
      <c r="M33" s="69"/>
      <c r="N33" s="75" t="n">
        <f aca="true">IF(C33="","",TODAY()-C33)</f>
        <v>14</v>
      </c>
      <c r="O33" s="76" t="str">
        <f aca="true">IF(A33="","",IF(N33&gt;180,"DUE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Monitor Only</v>
      </c>
      <c r="P33" s="74"/>
    </row>
    <row r="34" customFormat="false" ht="15" hidden="false" customHeight="true" outlineLevel="0" collapsed="false">
      <c r="A34" s="77" t="s">
        <v>203</v>
      </c>
      <c r="B34" s="69" t="s">
        <v>189</v>
      </c>
      <c r="C34" s="70" t="n">
        <v>46245</v>
      </c>
      <c r="D34" s="69"/>
      <c r="E34" s="69" t="n">
        <v>4.5</v>
      </c>
      <c r="F34" s="69"/>
      <c r="G34" s="69"/>
      <c r="H34" s="71"/>
      <c r="I34" s="72" t="str">
        <f aca="false">IF(OR(G34="",H34=""),"",H34/G34-1)</f>
        <v/>
      </c>
      <c r="J34" s="73"/>
      <c r="K34" s="69"/>
      <c r="L34" s="74"/>
      <c r="M34" s="69"/>
      <c r="N34" s="75" t="n">
        <f aca="true">IF(C34="","",TODAY()-C34)</f>
        <v>14</v>
      </c>
      <c r="O34" s="76" t="str">
        <f aca="true">IF(A34="","",IF(N34&gt;180,"DUE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Monitor Only</v>
      </c>
      <c r="P34" s="74"/>
    </row>
    <row r="35" customFormat="false" ht="15" hidden="false" customHeight="true" outlineLevel="0" collapsed="false">
      <c r="A35" s="77" t="s">
        <v>204</v>
      </c>
      <c r="B35" s="69" t="s">
        <v>184</v>
      </c>
      <c r="C35" s="70" t="n">
        <v>46245</v>
      </c>
      <c r="D35" s="69"/>
      <c r="E35" s="69" t="n">
        <v>2.5</v>
      </c>
      <c r="F35" s="69"/>
      <c r="G35" s="69"/>
      <c r="H35" s="71"/>
      <c r="I35" s="72" t="str">
        <f aca="false">IF(OR(G35="",H35=""),"",H35/G35-1)</f>
        <v/>
      </c>
      <c r="J35" s="73"/>
      <c r="K35" s="69"/>
      <c r="L35" s="74"/>
      <c r="M35" s="69"/>
      <c r="N35" s="75" t="n">
        <f aca="true">IF(C35="","",TODAY()-C35)</f>
        <v>14</v>
      </c>
      <c r="O35" s="76" t="str">
        <f aca="true">IF(A35="","",IF(N35&gt;180,"DUE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P35" s="74"/>
    </row>
    <row r="36" customFormat="false" ht="15" hidden="false" customHeight="true" outlineLevel="0" collapsed="false">
      <c r="A36" s="77" t="s">
        <v>205</v>
      </c>
      <c r="B36" s="69" t="s">
        <v>189</v>
      </c>
      <c r="C36" s="70" t="n">
        <v>46258</v>
      </c>
      <c r="D36" s="69"/>
      <c r="E36" s="69" t="n">
        <v>4.21</v>
      </c>
      <c r="F36" s="69"/>
      <c r="G36" s="69"/>
      <c r="H36" s="71"/>
      <c r="I36" s="72" t="str">
        <f aca="false">IF(OR(G36="",H36=""),"",H36/G36-1)</f>
        <v/>
      </c>
      <c r="J36" s="73"/>
      <c r="K36" s="69"/>
      <c r="L36" s="74"/>
      <c r="M36" s="69"/>
      <c r="N36" s="75" t="n">
        <f aca="true">IF(C36="","",TODAY()-C36)</f>
        <v>1</v>
      </c>
      <c r="O36" s="76" t="str">
        <f aca="true">IF(A36="","",IF(N36&gt;180,"DUE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Monitor Only</v>
      </c>
      <c r="P36" s="74"/>
    </row>
    <row r="37" customFormat="false" ht="15" hidden="false" customHeight="true" outlineLevel="0" collapsed="false">
      <c r="A37" s="77" t="s">
        <v>206</v>
      </c>
      <c r="B37" s="69" t="s">
        <v>184</v>
      </c>
      <c r="C37" s="70" t="n">
        <v>46246</v>
      </c>
      <c r="D37" s="69"/>
      <c r="E37" s="69" t="n">
        <v>1.57</v>
      </c>
      <c r="F37" s="69"/>
      <c r="G37" s="69"/>
      <c r="H37" s="71"/>
      <c r="I37" s="72" t="str">
        <f aca="false">IF(OR(G37="",H37=""),"",H37/G37-1)</f>
        <v/>
      </c>
      <c r="J37" s="73"/>
      <c r="K37" s="69"/>
      <c r="L37" s="74"/>
      <c r="M37" s="69"/>
      <c r="N37" s="75" t="n">
        <f aca="true">IF(C37="","",TODAY()-C37)</f>
        <v>13</v>
      </c>
      <c r="O37" s="76" t="str">
        <f aca="true">IF(A37="","",IF(N37&gt;180,"DUE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Monitor Only</v>
      </c>
      <c r="P37" s="74"/>
    </row>
    <row r="38" customFormat="false" ht="15" hidden="false" customHeight="true" outlineLevel="0" collapsed="false">
      <c r="A38" s="77" t="s">
        <v>207</v>
      </c>
      <c r="B38" s="69" t="s">
        <v>184</v>
      </c>
      <c r="C38" s="70" t="n">
        <v>46245</v>
      </c>
      <c r="D38" s="69"/>
      <c r="E38" s="69" t="n">
        <v>2.64</v>
      </c>
      <c r="F38" s="69"/>
      <c r="G38" s="69"/>
      <c r="H38" s="71"/>
      <c r="I38" s="72" t="str">
        <f aca="false">IF(OR(G38="",H38=""),"",H38/G38-1)</f>
        <v/>
      </c>
      <c r="J38" s="73"/>
      <c r="K38" s="69"/>
      <c r="L38" s="74"/>
      <c r="M38" s="69"/>
      <c r="N38" s="75" t="n">
        <f aca="true">IF(C38="","",TODAY()-C38)</f>
        <v>14</v>
      </c>
      <c r="O38" s="76" t="str">
        <f aca="true">IF(A38="","",IF(N38&gt;180,"DUE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Monitor Only</v>
      </c>
      <c r="P38" s="74"/>
    </row>
    <row r="39" customFormat="false" ht="15" hidden="false" customHeight="true" outlineLevel="0" collapsed="false">
      <c r="A39" s="77" t="s">
        <v>155</v>
      </c>
      <c r="B39" s="69" t="s">
        <v>184</v>
      </c>
      <c r="C39" s="70" t="n">
        <v>46240</v>
      </c>
      <c r="D39" s="69"/>
      <c r="E39" s="69" t="n">
        <v>2.64</v>
      </c>
      <c r="F39" s="69"/>
      <c r="G39" s="69"/>
      <c r="H39" s="71"/>
      <c r="I39" s="72" t="str">
        <f aca="false">IF(OR(G39="",H39=""),"",H39/G39-1)</f>
        <v/>
      </c>
      <c r="J39" s="73"/>
      <c r="K39" s="69"/>
      <c r="L39" s="74"/>
      <c r="M39" s="69"/>
      <c r="N39" s="75" t="n">
        <f aca="true">IF(C39="","",TODAY()-C39)</f>
        <v>19</v>
      </c>
      <c r="O39" s="76" t="str">
        <f aca="true">IF(A39="","",IF(N39&gt;180,"DUE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Monitor Only</v>
      </c>
      <c r="P39" s="74"/>
    </row>
    <row r="40" customFormat="false" ht="15" hidden="false" customHeight="true" outlineLevel="0" collapsed="false">
      <c r="A40" s="77" t="s">
        <v>208</v>
      </c>
      <c r="B40" s="69" t="s">
        <v>189</v>
      </c>
      <c r="C40" s="70" t="n">
        <v>46245</v>
      </c>
      <c r="D40" s="69"/>
      <c r="E40" s="69" t="n">
        <v>4.21</v>
      </c>
      <c r="F40" s="69"/>
      <c r="G40" s="69"/>
      <c r="H40" s="71"/>
      <c r="I40" s="72" t="str">
        <f aca="false">IF(OR(G40="",H40=""),"",H40/G40-1)</f>
        <v/>
      </c>
      <c r="J40" s="73"/>
      <c r="K40" s="69"/>
      <c r="L40" s="74"/>
      <c r="M40" s="69"/>
      <c r="N40" s="75" t="n">
        <f aca="true">IF(C40="","",TODAY()-C40)</f>
        <v>14</v>
      </c>
      <c r="O40" s="76" t="str">
        <f aca="true">IF(A40="","",IF(N40&gt;180,"DUE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Monitor Only</v>
      </c>
      <c r="P40" s="74"/>
    </row>
    <row r="41" customFormat="false" ht="15" hidden="false" customHeight="true" outlineLevel="0" collapsed="false">
      <c r="A41" s="77" t="s">
        <v>209</v>
      </c>
      <c r="B41" s="69" t="s">
        <v>189</v>
      </c>
      <c r="C41" s="70" t="n">
        <v>46247</v>
      </c>
      <c r="D41" s="69"/>
      <c r="E41" s="69" t="n">
        <v>3.29</v>
      </c>
      <c r="F41" s="69"/>
      <c r="G41" s="69"/>
      <c r="H41" s="71"/>
      <c r="I41" s="72" t="str">
        <f aca="false">IF(OR(G41="",H41=""),"",H41/G41-1)</f>
        <v/>
      </c>
      <c r="J41" s="73"/>
      <c r="K41" s="69"/>
      <c r="L41" s="74"/>
      <c r="M41" s="69"/>
      <c r="N41" s="75" t="n">
        <f aca="true">IF(C41="","",TODAY()-C41)</f>
        <v>12</v>
      </c>
      <c r="O41" s="76" t="str">
        <f aca="true">IF(A41="","",IF(N41&gt;180,"DUE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Monitor Only</v>
      </c>
      <c r="P41" s="74"/>
    </row>
    <row r="42" customFormat="false" ht="15" hidden="false" customHeight="true" outlineLevel="0" collapsed="false">
      <c r="A42" s="77" t="s">
        <v>210</v>
      </c>
      <c r="B42" s="69" t="s">
        <v>184</v>
      </c>
      <c r="C42" s="70" t="n">
        <v>46245</v>
      </c>
      <c r="D42" s="69"/>
      <c r="E42" s="69" t="n">
        <v>1.36</v>
      </c>
      <c r="F42" s="69"/>
      <c r="G42" s="69"/>
      <c r="H42" s="71"/>
      <c r="I42" s="72" t="str">
        <f aca="false">IF(OR(G42="",H42=""),"",H42/G42-1)</f>
        <v/>
      </c>
      <c r="J42" s="73"/>
      <c r="K42" s="69"/>
      <c r="L42" s="74"/>
      <c r="M42" s="69"/>
      <c r="N42" s="75" t="n">
        <f aca="true">IF(C42="","",TODAY()-C42)</f>
        <v>14</v>
      </c>
      <c r="O42" s="76" t="str">
        <f aca="true">IF(A42="","",IF(N42&gt;180,"DUE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Monitor Only</v>
      </c>
      <c r="P42" s="74"/>
    </row>
    <row r="43" customFormat="false" ht="15" hidden="false" customHeight="false" outlineLevel="0" collapsed="false">
      <c r="A43" s="78" t="s">
        <v>144</v>
      </c>
      <c r="B43" s="22" t="s">
        <v>184</v>
      </c>
      <c r="C43" s="79" t="n">
        <v>46240</v>
      </c>
      <c r="D43" s="78"/>
      <c r="E43" s="78" t="n">
        <v>1.86</v>
      </c>
      <c r="F43" s="78"/>
      <c r="G43" s="78"/>
      <c r="H43" s="80"/>
      <c r="I43" s="81" t="str">
        <f aca="false">IF(OR(G43="",H43=""),"",H43/G43-1)</f>
        <v/>
      </c>
      <c r="J43" s="82"/>
      <c r="K43" s="78"/>
      <c r="L43" s="22"/>
      <c r="M43" s="78"/>
      <c r="N43" s="83" t="n">
        <f aca="true">IF(C43="","",TODAY()-C43)</f>
        <v>19</v>
      </c>
      <c r="O43" s="84" t="str">
        <f aca="true">IF(A43="","",IF(N43&gt;180,"DUE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Monitor Only</v>
      </c>
      <c r="P43" s="22"/>
    </row>
    <row r="44" customFormat="false" ht="15" hidden="false" customHeight="false" outlineLevel="0" collapsed="false">
      <c r="A44" s="78" t="s">
        <v>147</v>
      </c>
      <c r="B44" s="22" t="s">
        <v>184</v>
      </c>
      <c r="C44" s="79" t="n">
        <v>46240</v>
      </c>
      <c r="D44" s="78"/>
      <c r="E44" s="78" t="n">
        <v>1.93</v>
      </c>
      <c r="F44" s="78"/>
      <c r="G44" s="78"/>
      <c r="H44" s="80"/>
      <c r="I44" s="81" t="str">
        <f aca="false">IF(OR(G44="",H44=""),"",H44/G44-1)</f>
        <v/>
      </c>
      <c r="J44" s="82"/>
      <c r="K44" s="78"/>
      <c r="L44" s="22"/>
      <c r="M44" s="78"/>
      <c r="N44" s="83" t="n">
        <f aca="true">IF(C44="","",TODAY()-C44)</f>
        <v>19</v>
      </c>
      <c r="O44" s="84" t="str">
        <f aca="true">IF(A44="","",IF(N44&gt;180,"DUE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P44" s="22"/>
    </row>
    <row r="45" customFormat="false" ht="15" hidden="false" customHeight="false" outlineLevel="0" collapsed="false">
      <c r="A45" s="78" t="s">
        <v>211</v>
      </c>
      <c r="B45" s="22" t="s">
        <v>189</v>
      </c>
      <c r="C45" s="79" t="n">
        <v>46245</v>
      </c>
      <c r="D45" s="78" t="n">
        <v>86.4</v>
      </c>
      <c r="E45" s="78" t="n">
        <v>4.57</v>
      </c>
      <c r="F45" s="78" t="s">
        <v>180</v>
      </c>
      <c r="G45" s="78"/>
      <c r="H45" s="80"/>
      <c r="I45" s="81" t="str">
        <f aca="false">IF(OR(G45="",H45=""),"",H45/G45-1)</f>
        <v/>
      </c>
      <c r="J45" s="82"/>
      <c r="K45" s="78"/>
      <c r="L45" s="22"/>
      <c r="M45" s="78"/>
      <c r="N45" s="83" t="n">
        <f aca="true">IF(C45="","",TODAY()-C45)</f>
        <v>14</v>
      </c>
      <c r="O45" s="84" t="str">
        <f aca="true">IF(A45="","",IF(N45&gt;180,"DUE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Monitor Only</v>
      </c>
      <c r="P45" s="22"/>
    </row>
    <row r="46" customFormat="false" ht="15" hidden="false" customHeight="false" outlineLevel="0" collapsed="false">
      <c r="A46" s="78" t="s">
        <v>212</v>
      </c>
      <c r="B46" s="22" t="s">
        <v>184</v>
      </c>
      <c r="C46" s="79" t="n">
        <v>46246</v>
      </c>
      <c r="D46" s="78"/>
      <c r="E46" s="78" t="n">
        <v>2.86</v>
      </c>
      <c r="F46" s="78"/>
      <c r="G46" s="78"/>
      <c r="H46" s="80"/>
      <c r="I46" s="81" t="str">
        <f aca="false">IF(OR(G46="",H46=""),"",H46/G46-1)</f>
        <v/>
      </c>
      <c r="J46" s="82"/>
      <c r="K46" s="78"/>
      <c r="L46" s="22"/>
      <c r="M46" s="78"/>
      <c r="N46" s="83" t="n">
        <f aca="true">IF(C46="","",TODAY()-C46)</f>
        <v>13</v>
      </c>
      <c r="O46" s="84" t="str">
        <f aca="true">IF(A46="","",IF(N46&gt;180,"DUE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Monitor Only</v>
      </c>
      <c r="P46" s="22"/>
    </row>
    <row r="47" customFormat="false" ht="15" hidden="false" customHeight="false" outlineLevel="0" collapsed="false">
      <c r="A47" s="78" t="s">
        <v>213</v>
      </c>
      <c r="B47" s="22" t="s">
        <v>189</v>
      </c>
      <c r="C47" s="79" t="n">
        <v>46245</v>
      </c>
      <c r="D47" s="78"/>
      <c r="E47" s="78" t="n">
        <v>4.29</v>
      </c>
      <c r="F47" s="78"/>
      <c r="G47" s="78"/>
      <c r="H47" s="80"/>
      <c r="I47" s="81" t="str">
        <f aca="false">IF(OR(G47="",H47=""),"",H47/G47-1)</f>
        <v/>
      </c>
      <c r="J47" s="82"/>
      <c r="K47" s="78"/>
      <c r="L47" s="22"/>
      <c r="M47" s="78"/>
      <c r="N47" s="83" t="n">
        <f aca="true">IF(C47="","",TODAY()-C47)</f>
        <v>14</v>
      </c>
      <c r="O47" s="84" t="str">
        <f aca="true">IF(A47="","",IF(N47&gt;180,"DUE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Monitor Only</v>
      </c>
      <c r="P47" s="22"/>
    </row>
  </sheetData>
  <mergeCells count="1">
    <mergeCell ref="A1:P1"/>
  </mergeCells>
  <conditionalFormatting sqref="O3:O47">
    <cfRule type="expression" priority="2" aboveAverage="0" equalAverage="0" bottom="0" percent="0" rank="0" text="" dxfId="0">
      <formula>ISNUMBER(SEARCH("DUE",O3))</formula>
    </cfRule>
    <cfRule type="expression" priority="3" aboveAverage="0" equalAverage="0" bottom="0" percent="0" rank="0" text="" dxfId="16">
      <formula>ISNUMBER(SEARCH("WATCH",O3))</formula>
    </cfRule>
    <cfRule type="expression" priority="4" aboveAverage="0" equalAverage="0" bottom="0" percent="0" rank="0" text="" dxfId="12">
      <formula>O3="Monitor Only"</formula>
    </cfRule>
  </conditionalFormatting>
  <conditionalFormatting sqref="B3:B47">
    <cfRule type="expression" priority="5" aboveAverage="0" equalAverage="0" bottom="0" percent="0" rank="0" text="" dxfId="17">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1" min="2" style="1" width="11"/>
  </cols>
  <sheetData>
    <row r="1" customFormat="false" ht="25.5" hidden="false" customHeight="true" outlineLevel="0" collapsed="false">
      <c r="A1" s="85" t="s">
        <v>214</v>
      </c>
      <c r="B1" s="85"/>
      <c r="C1" s="85"/>
      <c r="D1" s="85"/>
      <c r="E1" s="85"/>
      <c r="F1" s="85"/>
      <c r="G1" s="85"/>
      <c r="H1" s="85"/>
      <c r="I1" s="85"/>
      <c r="J1" s="85"/>
      <c r="K1" s="85"/>
      <c r="L1" s="85"/>
      <c r="M1" s="85"/>
      <c r="N1" s="85"/>
      <c r="O1" s="85"/>
      <c r="P1" s="85"/>
      <c r="Q1" s="85"/>
    </row>
    <row r="2" customFormat="false" ht="15" hidden="false" customHeight="true" outlineLevel="0" collapsed="false">
      <c r="A2" s="86" t="s">
        <v>215</v>
      </c>
      <c r="B2" s="87" t="s">
        <v>88</v>
      </c>
      <c r="C2" s="87" t="s">
        <v>93</v>
      </c>
      <c r="D2" s="87" t="s">
        <v>95</v>
      </c>
      <c r="E2" s="87" t="s">
        <v>132</v>
      </c>
      <c r="F2" s="87" t="s">
        <v>97</v>
      </c>
      <c r="G2" s="87" t="s">
        <v>99</v>
      </c>
      <c r="H2" s="87" t="s">
        <v>101</v>
      </c>
      <c r="I2" s="87" t="s">
        <v>103</v>
      </c>
      <c r="J2" s="87" t="s">
        <v>141</v>
      </c>
      <c r="K2" s="87" t="s">
        <v>105</v>
      </c>
      <c r="L2" s="87" t="s">
        <v>107</v>
      </c>
      <c r="M2" s="87" t="s">
        <v>109</v>
      </c>
      <c r="N2" s="87" t="s">
        <v>134</v>
      </c>
      <c r="O2" s="87" t="s">
        <v>124</v>
      </c>
      <c r="P2" s="87"/>
      <c r="Q2" s="87" t="s">
        <v>130</v>
      </c>
      <c r="R2" s="87" t="s">
        <v>121</v>
      </c>
      <c r="S2" s="87" t="s">
        <v>137</v>
      </c>
      <c r="T2" s="87" t="s">
        <v>139</v>
      </c>
      <c r="U2" s="87"/>
    </row>
    <row r="3" customFormat="false" ht="15" hidden="false" customHeight="true" outlineLevel="0" collapsed="false">
      <c r="A3" s="88" t="n">
        <v>45149</v>
      </c>
      <c r="B3" s="89" t="n">
        <v>508.45</v>
      </c>
      <c r="C3" s="89" t="n">
        <v>43.74</v>
      </c>
      <c r="D3" s="89" t="n">
        <v>661.78</v>
      </c>
      <c r="E3" s="89" t="n">
        <v>82.98</v>
      </c>
      <c r="F3" s="89" t="n">
        <v>37.06</v>
      </c>
      <c r="G3" s="89" t="n">
        <v>47.9</v>
      </c>
      <c r="H3" s="89" t="n">
        <v>64.37</v>
      </c>
      <c r="I3" s="89" t="n">
        <v>40.85</v>
      </c>
      <c r="J3" s="89" t="n">
        <v>123.51</v>
      </c>
      <c r="K3" s="89" t="n">
        <v>15.41</v>
      </c>
      <c r="L3" s="89" t="n">
        <v>91.99</v>
      </c>
      <c r="M3" s="89" t="n">
        <v>33.51</v>
      </c>
      <c r="N3" s="89" t="n">
        <v>349.86</v>
      </c>
      <c r="O3" s="89" t="n">
        <v>82.85</v>
      </c>
      <c r="P3" s="89"/>
      <c r="Q3" s="89" t="n">
        <v>49.84</v>
      </c>
      <c r="R3" s="89" t="n">
        <v>47.82</v>
      </c>
      <c r="S3" s="89" t="n">
        <v>58.54</v>
      </c>
      <c r="T3" s="89" t="n">
        <v>26.91</v>
      </c>
      <c r="U3" s="89"/>
    </row>
    <row r="4" customFormat="false" ht="15" hidden="false" customHeight="true" outlineLevel="0" collapsed="false">
      <c r="A4" s="90" t="n">
        <v>45156</v>
      </c>
      <c r="B4" s="91" t="n">
        <v>508.13</v>
      </c>
      <c r="C4" s="91" t="n">
        <v>45.14</v>
      </c>
      <c r="D4" s="91" t="n">
        <v>655.33</v>
      </c>
      <c r="E4" s="91" t="n">
        <v>82.58</v>
      </c>
      <c r="F4" s="91" t="n">
        <v>36.7</v>
      </c>
      <c r="G4" s="91" t="n">
        <v>47.8</v>
      </c>
      <c r="H4" s="91" t="n">
        <v>63.59</v>
      </c>
      <c r="I4" s="91" t="n">
        <v>43.3</v>
      </c>
      <c r="J4" s="91" t="n">
        <v>121.47</v>
      </c>
      <c r="K4" s="91" t="n">
        <v>14.4</v>
      </c>
      <c r="L4" s="91" t="n">
        <v>91.1</v>
      </c>
      <c r="M4" s="91" t="n">
        <v>33.97</v>
      </c>
      <c r="N4" s="91" t="n">
        <v>344.82</v>
      </c>
      <c r="O4" s="91" t="n">
        <v>80.3</v>
      </c>
      <c r="P4" s="91"/>
      <c r="Q4" s="91" t="n">
        <v>50</v>
      </c>
      <c r="R4" s="91" t="n">
        <v>46.93</v>
      </c>
      <c r="S4" s="91" t="n">
        <v>58.05</v>
      </c>
      <c r="T4" s="91" t="n">
        <v>26.19</v>
      </c>
      <c r="U4" s="91"/>
    </row>
    <row r="5" customFormat="false" ht="15" hidden="false" customHeight="true" outlineLevel="0" collapsed="false">
      <c r="A5" s="90" t="n">
        <v>45163</v>
      </c>
      <c r="B5" s="91" t="n">
        <v>525.06</v>
      </c>
      <c r="C5" s="91" t="n">
        <v>45.23</v>
      </c>
      <c r="D5" s="91" t="n">
        <v>651.01</v>
      </c>
      <c r="E5" s="91" t="n">
        <v>85.18</v>
      </c>
      <c r="F5" s="91" t="n">
        <v>37.4</v>
      </c>
      <c r="G5" s="91" t="n">
        <v>48.17</v>
      </c>
      <c r="H5" s="91" t="n">
        <v>63.72</v>
      </c>
      <c r="I5" s="91" t="n">
        <v>46.02</v>
      </c>
      <c r="J5" s="91" t="n">
        <v>122.66</v>
      </c>
      <c r="K5" s="91" t="n">
        <v>14.53</v>
      </c>
      <c r="L5" s="91" t="n">
        <v>93.1</v>
      </c>
      <c r="M5" s="91" t="n">
        <v>37.5</v>
      </c>
      <c r="N5" s="91" t="n">
        <v>350.06</v>
      </c>
      <c r="O5" s="91" t="n">
        <v>79</v>
      </c>
      <c r="P5" s="91"/>
      <c r="Q5" s="91" t="n">
        <v>50.17</v>
      </c>
      <c r="R5" s="91" t="n">
        <v>47.68</v>
      </c>
      <c r="S5" s="91" t="n">
        <v>57.89</v>
      </c>
      <c r="T5" s="91" t="n">
        <v>25.98</v>
      </c>
      <c r="U5" s="91"/>
    </row>
    <row r="6" customFormat="false" ht="15" hidden="false" customHeight="true" outlineLevel="0" collapsed="false">
      <c r="A6" s="90" t="n">
        <v>45170</v>
      </c>
      <c r="B6" s="91" t="n">
        <v>563.21</v>
      </c>
      <c r="C6" s="91" t="n">
        <v>49.34</v>
      </c>
      <c r="D6" s="91" t="n">
        <v>662.52</v>
      </c>
      <c r="E6" s="91" t="n">
        <v>87.25</v>
      </c>
      <c r="F6" s="91" t="n">
        <v>40.31</v>
      </c>
      <c r="G6" s="91" t="n">
        <v>50.7</v>
      </c>
      <c r="H6" s="91" t="n">
        <v>70.39</v>
      </c>
      <c r="I6" s="91" t="n">
        <v>48.51</v>
      </c>
      <c r="J6" s="91" t="n">
        <v>124.59</v>
      </c>
      <c r="K6" s="91" t="n">
        <v>15.18</v>
      </c>
      <c r="L6" s="91" t="n">
        <v>93.19</v>
      </c>
      <c r="M6" s="91" t="n">
        <v>39.87</v>
      </c>
      <c r="N6" s="91" t="n">
        <v>351.1</v>
      </c>
      <c r="O6" s="91" t="n">
        <v>82.69</v>
      </c>
      <c r="P6" s="91"/>
      <c r="Q6" s="91" t="n">
        <v>49.61</v>
      </c>
      <c r="R6" s="91" t="n">
        <v>48.55</v>
      </c>
      <c r="S6" s="91" t="n">
        <v>58.82</v>
      </c>
      <c r="T6" s="91" t="n">
        <v>26.66</v>
      </c>
      <c r="U6" s="91"/>
    </row>
    <row r="7" customFormat="false" ht="15" hidden="false" customHeight="true" outlineLevel="0" collapsed="false">
      <c r="A7" s="90" t="n">
        <v>45177</v>
      </c>
      <c r="B7" s="91" t="n">
        <v>560.36</v>
      </c>
      <c r="C7" s="91" t="n">
        <v>49.12</v>
      </c>
      <c r="D7" s="91" t="n">
        <v>627.86</v>
      </c>
      <c r="E7" s="91" t="n">
        <v>85.76</v>
      </c>
      <c r="F7" s="91" t="n">
        <v>42.02</v>
      </c>
      <c r="G7" s="91" t="n">
        <v>49.77</v>
      </c>
      <c r="H7" s="91" t="n">
        <v>70.18</v>
      </c>
      <c r="I7" s="91" t="n">
        <v>45.57</v>
      </c>
      <c r="J7" s="91" t="n">
        <v>122.48</v>
      </c>
      <c r="K7" s="91" t="n">
        <v>15.13</v>
      </c>
      <c r="L7" s="91" t="n">
        <v>89.64</v>
      </c>
      <c r="M7" s="91" t="n">
        <v>39.2</v>
      </c>
      <c r="N7" s="91" t="n">
        <v>343.05</v>
      </c>
      <c r="O7" s="91" t="n">
        <v>79.51</v>
      </c>
      <c r="P7" s="91"/>
      <c r="Q7" s="91" t="n">
        <v>48.75</v>
      </c>
      <c r="R7" s="91" t="n">
        <v>48.23</v>
      </c>
      <c r="S7" s="91" t="n">
        <v>59.17</v>
      </c>
      <c r="T7" s="91" t="n">
        <v>26.47</v>
      </c>
      <c r="U7" s="91"/>
    </row>
    <row r="8" customFormat="false" ht="15" hidden="false" customHeight="true" outlineLevel="0" collapsed="false">
      <c r="A8" s="90" t="n">
        <v>45184</v>
      </c>
      <c r="B8" s="91" t="n">
        <v>528.89</v>
      </c>
      <c r="C8" s="91" t="n">
        <v>46.18</v>
      </c>
      <c r="D8" s="91" t="n">
        <v>596.66</v>
      </c>
      <c r="E8" s="91" t="n">
        <v>85.17</v>
      </c>
      <c r="F8" s="91" t="n">
        <v>41.36</v>
      </c>
      <c r="G8" s="91" t="n">
        <v>45.42</v>
      </c>
      <c r="H8" s="91" t="n">
        <v>69.88</v>
      </c>
      <c r="I8" s="91" t="n">
        <v>43.9</v>
      </c>
      <c r="J8" s="91" t="n">
        <v>123.18</v>
      </c>
      <c r="K8" s="91" t="n">
        <v>15.33</v>
      </c>
      <c r="L8" s="91" t="n">
        <v>89.25</v>
      </c>
      <c r="M8" s="91" t="n">
        <v>38.17</v>
      </c>
      <c r="N8" s="91" t="n">
        <v>348.9</v>
      </c>
      <c r="O8" s="91" t="n">
        <v>79.36</v>
      </c>
      <c r="P8" s="91"/>
      <c r="Q8" s="91" t="n">
        <v>50.71</v>
      </c>
      <c r="R8" s="91" t="n">
        <v>48.21</v>
      </c>
      <c r="S8" s="91" t="n">
        <v>59.17</v>
      </c>
      <c r="T8" s="91" t="n">
        <v>26.3</v>
      </c>
      <c r="U8" s="91"/>
    </row>
    <row r="9" customFormat="false" ht="15" hidden="false" customHeight="true" outlineLevel="0" collapsed="false">
      <c r="A9" s="90" t="n">
        <v>45191</v>
      </c>
      <c r="B9" s="91" t="n">
        <v>512.9</v>
      </c>
      <c r="C9" s="91" t="n">
        <v>45.09</v>
      </c>
      <c r="D9" s="91" t="n">
        <v>587.1</v>
      </c>
      <c r="E9" s="91" t="n">
        <v>82.91</v>
      </c>
      <c r="F9" s="91" t="n">
        <v>40.64</v>
      </c>
      <c r="G9" s="91" t="n">
        <v>45.18</v>
      </c>
      <c r="H9" s="91" t="n">
        <v>68.88</v>
      </c>
      <c r="I9" s="91" t="n">
        <v>41.61</v>
      </c>
      <c r="J9" s="91" t="n">
        <v>114.07</v>
      </c>
      <c r="K9" s="91" t="n">
        <v>14.13</v>
      </c>
      <c r="L9" s="91" t="n">
        <v>85.64</v>
      </c>
      <c r="M9" s="91" t="n">
        <v>36.45</v>
      </c>
      <c r="N9" s="91" t="n">
        <v>349.53</v>
      </c>
      <c r="O9" s="91" t="n">
        <v>76.69</v>
      </c>
      <c r="P9" s="91"/>
      <c r="Q9" s="91" t="n">
        <v>51.22</v>
      </c>
      <c r="R9" s="91" t="n">
        <v>46.91</v>
      </c>
      <c r="S9" s="91" t="n">
        <v>57.46</v>
      </c>
      <c r="T9" s="91" t="n">
        <v>25.91</v>
      </c>
      <c r="U9" s="91"/>
    </row>
    <row r="10" customFormat="false" ht="15" hidden="false" customHeight="true" outlineLevel="0" collapsed="false">
      <c r="A10" s="90" t="n">
        <v>45198</v>
      </c>
      <c r="B10" s="91" t="n">
        <v>509.9</v>
      </c>
      <c r="C10" s="91" t="n">
        <v>45.98</v>
      </c>
      <c r="D10" s="91" t="n">
        <v>588.66</v>
      </c>
      <c r="E10" s="91" t="n">
        <v>83.06</v>
      </c>
      <c r="F10" s="91" t="n">
        <v>41.85</v>
      </c>
      <c r="G10" s="91" t="n">
        <v>45.87</v>
      </c>
      <c r="H10" s="91" t="n">
        <v>68.03</v>
      </c>
      <c r="I10" s="91" t="n">
        <v>43.5</v>
      </c>
      <c r="J10" s="91" t="n">
        <v>112.21</v>
      </c>
      <c r="K10" s="91" t="n">
        <v>16</v>
      </c>
      <c r="L10" s="91" t="n">
        <v>86.9</v>
      </c>
      <c r="M10" s="91" t="n">
        <v>37.2</v>
      </c>
      <c r="N10" s="91" t="n">
        <v>347.74</v>
      </c>
      <c r="O10" s="91" t="n">
        <v>77.95</v>
      </c>
      <c r="P10" s="91"/>
      <c r="Q10" s="91" t="n">
        <v>51.89</v>
      </c>
      <c r="R10" s="91" t="n">
        <v>46.93</v>
      </c>
      <c r="S10" s="91" t="n">
        <v>57.28</v>
      </c>
      <c r="T10" s="91" t="n">
        <v>25.98</v>
      </c>
      <c r="U10" s="91"/>
    </row>
    <row r="11" customFormat="false" ht="15" hidden="false" customHeight="true" outlineLevel="0" collapsed="false">
      <c r="A11" s="90" t="n">
        <v>45205</v>
      </c>
      <c r="B11" s="91" t="n">
        <v>526.68</v>
      </c>
      <c r="C11" s="91" t="n">
        <v>48.51</v>
      </c>
      <c r="D11" s="91" t="n">
        <v>597.36</v>
      </c>
      <c r="E11" s="91" t="n">
        <v>84.53</v>
      </c>
      <c r="F11" s="91" t="n">
        <v>44.17</v>
      </c>
      <c r="G11" s="91" t="n">
        <v>46.81</v>
      </c>
      <c r="H11" s="91" t="n">
        <v>69.96</v>
      </c>
      <c r="I11" s="91" t="n">
        <v>45.76</v>
      </c>
      <c r="J11" s="91" t="n">
        <v>108.91</v>
      </c>
      <c r="K11" s="91" t="n">
        <v>16.61</v>
      </c>
      <c r="L11" s="91" t="n">
        <v>89.29</v>
      </c>
      <c r="M11" s="91" t="n">
        <v>39.77</v>
      </c>
      <c r="N11" s="91" t="n">
        <v>360.62</v>
      </c>
      <c r="O11" s="91" t="n">
        <v>75.6</v>
      </c>
      <c r="P11" s="91"/>
      <c r="Q11" s="91" t="n">
        <v>52.12</v>
      </c>
      <c r="R11" s="91" t="n">
        <v>47.13</v>
      </c>
      <c r="S11" s="91" t="n">
        <v>57.92</v>
      </c>
      <c r="T11" s="91" t="n">
        <v>25.5</v>
      </c>
      <c r="U11" s="91"/>
    </row>
    <row r="12" customFormat="false" ht="15" hidden="false" customHeight="true" outlineLevel="0" collapsed="false">
      <c r="A12" s="90" t="n">
        <v>45212</v>
      </c>
      <c r="B12" s="91" t="n">
        <v>548.76</v>
      </c>
      <c r="C12" s="91" t="n">
        <v>47.46</v>
      </c>
      <c r="D12" s="91" t="n">
        <v>599.75</v>
      </c>
      <c r="E12" s="91" t="n">
        <v>88.32</v>
      </c>
      <c r="F12" s="91" t="n">
        <v>46.43</v>
      </c>
      <c r="G12" s="91" t="n">
        <v>48.68</v>
      </c>
      <c r="H12" s="91" t="n">
        <v>69.21</v>
      </c>
      <c r="I12" s="91" t="n">
        <v>45.46</v>
      </c>
      <c r="J12" s="91" t="n">
        <v>109.65</v>
      </c>
      <c r="K12" s="91" t="n">
        <v>17.36</v>
      </c>
      <c r="L12" s="91" t="n">
        <v>90.46</v>
      </c>
      <c r="M12" s="91" t="n">
        <v>39.1</v>
      </c>
      <c r="N12" s="91" t="n">
        <v>371</v>
      </c>
      <c r="O12" s="91" t="n">
        <v>75.8</v>
      </c>
      <c r="P12" s="91"/>
      <c r="Q12" s="91" t="n">
        <v>52.17</v>
      </c>
      <c r="R12" s="91" t="n">
        <v>47.26</v>
      </c>
      <c r="S12" s="91" t="n">
        <v>58.25</v>
      </c>
      <c r="T12" s="91" t="n">
        <v>25.83</v>
      </c>
      <c r="U12" s="91"/>
    </row>
    <row r="13" customFormat="false" ht="15" hidden="false" customHeight="true" outlineLevel="0" collapsed="false">
      <c r="A13" s="90" t="n">
        <v>45219</v>
      </c>
      <c r="B13" s="91" t="n">
        <v>540.96</v>
      </c>
      <c r="C13" s="91" t="n">
        <v>46.53</v>
      </c>
      <c r="D13" s="91" t="n">
        <v>580.1</v>
      </c>
      <c r="E13" s="91" t="n">
        <v>85.36</v>
      </c>
      <c r="F13" s="91" t="n">
        <v>44.69</v>
      </c>
      <c r="G13" s="91" t="n">
        <v>46.24</v>
      </c>
      <c r="H13" s="91" t="n">
        <v>67.22</v>
      </c>
      <c r="I13" s="91" t="n">
        <v>41.39</v>
      </c>
      <c r="J13" s="91" t="n">
        <v>102.43</v>
      </c>
      <c r="K13" s="91" t="n">
        <v>16.11</v>
      </c>
      <c r="L13" s="91" t="n">
        <v>91.31</v>
      </c>
      <c r="M13" s="91" t="n">
        <v>36.74</v>
      </c>
      <c r="N13" s="91" t="n">
        <v>361.86</v>
      </c>
      <c r="O13" s="91" t="n">
        <v>74.53</v>
      </c>
      <c r="P13" s="91"/>
      <c r="Q13" s="91" t="n">
        <v>52.36</v>
      </c>
      <c r="R13" s="91" t="n">
        <v>46.32</v>
      </c>
      <c r="S13" s="91" t="n">
        <v>56.56</v>
      </c>
      <c r="T13" s="91" t="n">
        <v>25.5</v>
      </c>
      <c r="U13" s="91"/>
    </row>
    <row r="14" customFormat="false" ht="15" hidden="false" customHeight="true" outlineLevel="0" collapsed="false">
      <c r="A14" s="90" t="n">
        <v>45226</v>
      </c>
      <c r="B14" s="91" t="n">
        <v>508.12</v>
      </c>
      <c r="C14" s="91" t="n">
        <v>44.05</v>
      </c>
      <c r="D14" s="91" t="n">
        <v>590</v>
      </c>
      <c r="E14" s="91" t="n">
        <v>83.84</v>
      </c>
      <c r="F14" s="91" t="n">
        <v>43.21</v>
      </c>
      <c r="G14" s="91" t="n">
        <v>45.79</v>
      </c>
      <c r="H14" s="91" t="n">
        <v>65.65</v>
      </c>
      <c r="I14" s="91" t="n">
        <v>40.5</v>
      </c>
      <c r="J14" s="91" t="n">
        <v>97.32</v>
      </c>
      <c r="K14" s="91" t="n">
        <v>15.07</v>
      </c>
      <c r="L14" s="91" t="n">
        <v>85.99</v>
      </c>
      <c r="M14" s="91" t="n">
        <v>36.42</v>
      </c>
      <c r="N14" s="91" t="n">
        <v>355.28</v>
      </c>
      <c r="O14" s="91" t="n">
        <v>73.38</v>
      </c>
      <c r="P14" s="91"/>
      <c r="Q14" s="91" t="n">
        <v>52.83</v>
      </c>
      <c r="R14" s="91" t="n">
        <v>45.36</v>
      </c>
      <c r="S14" s="91" t="n">
        <v>55.42</v>
      </c>
      <c r="T14" s="91" t="n">
        <v>24.66</v>
      </c>
      <c r="U14" s="91"/>
    </row>
    <row r="15" customFormat="false" ht="15" hidden="false" customHeight="true" outlineLevel="0" collapsed="false">
      <c r="A15" s="90" t="n">
        <v>45233</v>
      </c>
      <c r="B15" s="91" t="n">
        <v>563.66</v>
      </c>
      <c r="C15" s="91" t="n">
        <v>53.12</v>
      </c>
      <c r="D15" s="91" t="n">
        <v>642.41</v>
      </c>
      <c r="E15" s="91" t="n">
        <v>88.27</v>
      </c>
      <c r="F15" s="91" t="n">
        <v>47.06</v>
      </c>
      <c r="G15" s="91" t="n">
        <v>49.96</v>
      </c>
      <c r="H15" s="91" t="n">
        <v>72.58</v>
      </c>
      <c r="I15" s="91" t="n">
        <v>45.01</v>
      </c>
      <c r="J15" s="91" t="n">
        <v>106.55</v>
      </c>
      <c r="K15" s="91" t="n">
        <v>18.89</v>
      </c>
      <c r="L15" s="91" t="n">
        <v>91.79</v>
      </c>
      <c r="M15" s="91" t="n">
        <v>40.44</v>
      </c>
      <c r="N15" s="91" t="n">
        <v>376.2</v>
      </c>
      <c r="O15" s="91" t="n">
        <v>78.63</v>
      </c>
      <c r="P15" s="91"/>
      <c r="Q15" s="91" t="n">
        <v>52.79</v>
      </c>
      <c r="R15" s="91" t="n">
        <v>47.52</v>
      </c>
      <c r="S15" s="91" t="n">
        <v>58.65</v>
      </c>
      <c r="T15" s="91" t="n">
        <v>26.11</v>
      </c>
      <c r="U15" s="91"/>
    </row>
    <row r="16" customFormat="false" ht="15" hidden="false" customHeight="true" outlineLevel="0" collapsed="false">
      <c r="A16" s="90" t="n">
        <v>45240</v>
      </c>
      <c r="B16" s="91" t="n">
        <v>597.22</v>
      </c>
      <c r="C16" s="91" t="n">
        <v>51.71</v>
      </c>
      <c r="D16" s="91" t="n">
        <v>661.28</v>
      </c>
      <c r="E16" s="91" t="n">
        <v>95.75</v>
      </c>
      <c r="F16" s="91" t="n">
        <v>49.08</v>
      </c>
      <c r="G16" s="91" t="n">
        <v>53.43</v>
      </c>
      <c r="H16" s="91" t="n">
        <v>75.36</v>
      </c>
      <c r="I16" s="91" t="n">
        <v>48.34</v>
      </c>
      <c r="J16" s="91" t="n">
        <v>104.55</v>
      </c>
      <c r="K16" s="91" t="n">
        <v>19.67</v>
      </c>
      <c r="L16" s="91" t="n">
        <v>97.44</v>
      </c>
      <c r="M16" s="91" t="n">
        <v>41.83</v>
      </c>
      <c r="N16" s="91" t="n">
        <v>373.65</v>
      </c>
      <c r="O16" s="91" t="n">
        <v>75.95</v>
      </c>
      <c r="P16" s="91"/>
      <c r="Q16" s="91" t="n">
        <v>52.88</v>
      </c>
      <c r="R16" s="91" t="n">
        <v>48.51</v>
      </c>
      <c r="S16" s="91" t="n">
        <v>60.38</v>
      </c>
      <c r="T16" s="91" t="n">
        <v>25.93</v>
      </c>
      <c r="U16" s="91"/>
    </row>
    <row r="17" customFormat="false" ht="15" hidden="false" customHeight="true" outlineLevel="0" collapsed="false">
      <c r="A17" s="90" t="n">
        <v>45247</v>
      </c>
      <c r="B17" s="91" t="n">
        <v>602.66</v>
      </c>
      <c r="C17" s="91" t="n">
        <v>53.66</v>
      </c>
      <c r="D17" s="91" t="n">
        <v>686.09</v>
      </c>
      <c r="E17" s="91" t="n">
        <v>97.77</v>
      </c>
      <c r="F17" s="91" t="n">
        <v>51.77</v>
      </c>
      <c r="G17" s="91" t="n">
        <v>54.45</v>
      </c>
      <c r="H17" s="91" t="n">
        <v>77.56</v>
      </c>
      <c r="I17" s="91" t="n">
        <v>49.3</v>
      </c>
      <c r="J17" s="91" t="n">
        <v>110.07</v>
      </c>
      <c r="K17" s="91" t="n">
        <v>20.49</v>
      </c>
      <c r="L17" s="91" t="n">
        <v>99.58</v>
      </c>
      <c r="M17" s="91" t="n">
        <v>43.29</v>
      </c>
      <c r="N17" s="91" t="n">
        <v>350.5</v>
      </c>
      <c r="O17" s="91" t="n">
        <v>80.16</v>
      </c>
      <c r="P17" s="91"/>
      <c r="Q17" s="91" t="n">
        <v>52.65</v>
      </c>
      <c r="R17" s="91" t="n">
        <v>48.97</v>
      </c>
      <c r="S17" s="91" t="n">
        <v>61.69</v>
      </c>
      <c r="T17" s="91" t="n">
        <v>26.59</v>
      </c>
      <c r="U17" s="91"/>
    </row>
    <row r="18" customFormat="false" ht="15" hidden="false" customHeight="true" outlineLevel="0" collapsed="false">
      <c r="A18" s="90" t="n">
        <v>45254</v>
      </c>
      <c r="B18" s="91" t="n">
        <v>619.43</v>
      </c>
      <c r="C18" s="91" t="n">
        <v>54.6</v>
      </c>
      <c r="D18" s="91" t="n">
        <v>691.18</v>
      </c>
      <c r="E18" s="91" t="n">
        <v>97.89</v>
      </c>
      <c r="F18" s="91" t="n">
        <v>52.67</v>
      </c>
      <c r="G18" s="91" t="n">
        <v>55.56</v>
      </c>
      <c r="H18" s="91" t="n">
        <v>76.87</v>
      </c>
      <c r="I18" s="91" t="n">
        <v>47.78</v>
      </c>
      <c r="J18" s="91" t="n">
        <v>112</v>
      </c>
      <c r="K18" s="91" t="n">
        <v>19.2</v>
      </c>
      <c r="L18" s="91" t="n">
        <v>97.83</v>
      </c>
      <c r="M18" s="91" t="n">
        <v>42.68</v>
      </c>
      <c r="N18" s="91" t="n">
        <v>353.04</v>
      </c>
      <c r="O18" s="91" t="n">
        <v>80.17</v>
      </c>
      <c r="P18" s="91"/>
      <c r="Q18" s="91" t="n">
        <v>53.17</v>
      </c>
      <c r="R18" s="91" t="n">
        <v>49.23</v>
      </c>
      <c r="S18" s="91" t="n">
        <v>62.03</v>
      </c>
      <c r="T18" s="91" t="n">
        <v>26.78</v>
      </c>
      <c r="U18" s="91"/>
    </row>
    <row r="19" customFormat="false" ht="15" hidden="false" customHeight="true" outlineLevel="0" collapsed="false">
      <c r="A19" s="90" t="n">
        <v>45261</v>
      </c>
      <c r="B19" s="91" t="n">
        <v>612.47</v>
      </c>
      <c r="C19" s="91" t="n">
        <v>54.16</v>
      </c>
      <c r="D19" s="91" t="n">
        <v>692.2</v>
      </c>
      <c r="E19" s="91" t="n">
        <v>93</v>
      </c>
      <c r="F19" s="91" t="n">
        <v>58.76</v>
      </c>
      <c r="G19" s="91" t="n">
        <v>54.9</v>
      </c>
      <c r="H19" s="91" t="n">
        <v>75.93</v>
      </c>
      <c r="I19" s="91" t="n">
        <v>46.77</v>
      </c>
      <c r="J19" s="91" t="n">
        <v>118.26</v>
      </c>
      <c r="K19" s="91" t="n">
        <v>20.27</v>
      </c>
      <c r="L19" s="91" t="n">
        <v>98.55</v>
      </c>
      <c r="M19" s="91" t="n">
        <v>45.14</v>
      </c>
      <c r="N19" s="91" t="n">
        <v>351.16</v>
      </c>
      <c r="O19" s="91" t="n">
        <v>82.86</v>
      </c>
      <c r="P19" s="91"/>
      <c r="Q19" s="91" t="n">
        <v>53.48</v>
      </c>
      <c r="R19" s="91" t="n">
        <v>48.9</v>
      </c>
      <c r="S19" s="91" t="n">
        <v>61.89</v>
      </c>
      <c r="T19" s="91" t="n">
        <v>27.14</v>
      </c>
      <c r="U19" s="91"/>
    </row>
    <row r="20" customFormat="false" ht="15" hidden="false" customHeight="true" outlineLevel="0" collapsed="false">
      <c r="A20" s="90" t="n">
        <v>45268</v>
      </c>
      <c r="B20" s="91" t="n">
        <v>610.01</v>
      </c>
      <c r="C20" s="91" t="n">
        <v>56.01</v>
      </c>
      <c r="D20" s="91" t="n">
        <v>696.43</v>
      </c>
      <c r="E20" s="91" t="n">
        <v>94.43</v>
      </c>
      <c r="F20" s="91" t="n">
        <v>60.64</v>
      </c>
      <c r="G20" s="91" t="n">
        <v>53.44</v>
      </c>
      <c r="H20" s="91" t="n">
        <v>74.96</v>
      </c>
      <c r="I20" s="91" t="n">
        <v>47.51</v>
      </c>
      <c r="J20" s="91" t="n">
        <v>119.85</v>
      </c>
      <c r="K20" s="91" t="n">
        <v>17.77</v>
      </c>
      <c r="L20" s="91" t="n">
        <v>100.35</v>
      </c>
      <c r="M20" s="91" t="n">
        <v>47.14</v>
      </c>
      <c r="N20" s="91" t="n">
        <v>350.15</v>
      </c>
      <c r="O20" s="91" t="n">
        <v>83.55</v>
      </c>
      <c r="P20" s="91"/>
      <c r="Q20" s="91" t="n">
        <v>53.82</v>
      </c>
      <c r="R20" s="91" t="n">
        <v>49.26</v>
      </c>
      <c r="S20" s="91" t="n">
        <v>62.12</v>
      </c>
      <c r="T20" s="91" t="n">
        <v>27.38</v>
      </c>
      <c r="U20" s="91"/>
    </row>
    <row r="21" customFormat="false" ht="15" hidden="false" customHeight="true" outlineLevel="0" collapsed="false">
      <c r="A21" s="90" t="n">
        <v>45275</v>
      </c>
      <c r="B21" s="91" t="n">
        <v>584.68</v>
      </c>
      <c r="C21" s="91" t="n">
        <v>58.9</v>
      </c>
      <c r="D21" s="91" t="n">
        <v>752.96</v>
      </c>
      <c r="E21" s="91" t="n">
        <v>112.97</v>
      </c>
      <c r="F21" s="91" t="n">
        <v>65.02</v>
      </c>
      <c r="G21" s="91" t="n">
        <v>58.51</v>
      </c>
      <c r="H21" s="91" t="n">
        <v>81.41</v>
      </c>
      <c r="I21" s="91" t="n">
        <v>48.89</v>
      </c>
      <c r="J21" s="91" t="n">
        <v>134.26</v>
      </c>
      <c r="K21" s="91" t="n">
        <v>18.2</v>
      </c>
      <c r="L21" s="91" t="n">
        <v>102.54</v>
      </c>
      <c r="M21" s="91" t="n">
        <v>47.73</v>
      </c>
      <c r="N21" s="91" t="n">
        <v>410.68</v>
      </c>
      <c r="O21" s="91" t="n">
        <v>88.13</v>
      </c>
      <c r="P21" s="91"/>
      <c r="Q21" s="91" t="n">
        <v>54.58</v>
      </c>
      <c r="R21" s="91" t="n">
        <v>50</v>
      </c>
      <c r="S21" s="91" t="n">
        <v>64.24</v>
      </c>
      <c r="T21" s="91" t="n">
        <v>28.14</v>
      </c>
      <c r="U21" s="91"/>
    </row>
    <row r="22" customFormat="false" ht="15" hidden="false" customHeight="true" outlineLevel="0" collapsed="false">
      <c r="A22" s="90" t="n">
        <v>45282</v>
      </c>
      <c r="B22" s="91" t="n">
        <v>598.75</v>
      </c>
      <c r="C22" s="91" t="n">
        <v>59.57</v>
      </c>
      <c r="D22" s="91" t="n">
        <v>752.53</v>
      </c>
      <c r="E22" s="91" t="n">
        <v>112.2</v>
      </c>
      <c r="F22" s="91" t="n">
        <v>63.91</v>
      </c>
      <c r="G22" s="91" t="n">
        <v>58.27</v>
      </c>
      <c r="H22" s="91" t="n">
        <v>86.49</v>
      </c>
      <c r="I22" s="91" t="n">
        <v>48.83</v>
      </c>
      <c r="J22" s="91" t="n">
        <v>132.4</v>
      </c>
      <c r="K22" s="91" t="n">
        <v>17.41</v>
      </c>
      <c r="L22" s="91" t="n">
        <v>103.15</v>
      </c>
      <c r="M22" s="91" t="n">
        <v>48.78</v>
      </c>
      <c r="N22" s="91" t="n">
        <v>405.25</v>
      </c>
      <c r="O22" s="91" t="n">
        <v>90.13</v>
      </c>
      <c r="P22" s="91"/>
      <c r="Q22" s="91" t="n">
        <v>54.82</v>
      </c>
      <c r="R22" s="91" t="n">
        <v>50.16</v>
      </c>
      <c r="S22" s="91" t="n">
        <v>65.04</v>
      </c>
      <c r="T22" s="91" t="n">
        <v>28.41</v>
      </c>
      <c r="U22" s="91"/>
    </row>
    <row r="23" customFormat="false" ht="15" hidden="false" customHeight="true" outlineLevel="0" collapsed="false">
      <c r="A23" s="90" t="n">
        <v>45289</v>
      </c>
      <c r="B23" s="91" t="n">
        <v>596.6</v>
      </c>
      <c r="C23" s="91" t="n">
        <v>58.88</v>
      </c>
      <c r="D23" s="91" t="n">
        <v>756.92</v>
      </c>
      <c r="E23" s="91" t="n">
        <v>111.63</v>
      </c>
      <c r="F23" s="91" t="n">
        <v>63.83</v>
      </c>
      <c r="G23" s="91" t="n">
        <v>58.13</v>
      </c>
      <c r="H23" s="91" t="n">
        <v>85.34</v>
      </c>
      <c r="I23" s="91" t="n">
        <v>49.52</v>
      </c>
      <c r="J23" s="91" t="n">
        <v>133.3</v>
      </c>
      <c r="K23" s="91" t="n">
        <v>17.17</v>
      </c>
      <c r="L23" s="91" t="n">
        <v>104</v>
      </c>
      <c r="M23" s="91" t="n">
        <v>48.03</v>
      </c>
      <c r="N23" s="91" t="n">
        <v>406.89</v>
      </c>
      <c r="O23" s="91" t="n">
        <v>89.8</v>
      </c>
      <c r="P23" s="91"/>
      <c r="Q23" s="91" t="n">
        <v>54.52</v>
      </c>
      <c r="R23" s="91" t="n">
        <v>49.93</v>
      </c>
      <c r="S23" s="91" t="n">
        <v>65.5</v>
      </c>
      <c r="T23" s="91" t="n">
        <v>28.34</v>
      </c>
      <c r="U23" s="91"/>
    </row>
    <row r="24" customFormat="false" ht="15" hidden="false" customHeight="true" outlineLevel="0" collapsed="false">
      <c r="A24" s="90" t="n">
        <v>45296</v>
      </c>
      <c r="B24" s="91" t="n">
        <v>564.6</v>
      </c>
      <c r="C24" s="91" t="n">
        <v>57.73</v>
      </c>
      <c r="D24" s="91" t="n">
        <v>703.34</v>
      </c>
      <c r="E24" s="91" t="n">
        <v>104.93</v>
      </c>
      <c r="F24" s="91" t="n">
        <v>61.87</v>
      </c>
      <c r="G24" s="91" t="n">
        <v>54.43</v>
      </c>
      <c r="H24" s="91" t="n">
        <v>83.45</v>
      </c>
      <c r="I24" s="91" t="n">
        <v>49.1</v>
      </c>
      <c r="J24" s="91" t="n">
        <v>130.56</v>
      </c>
      <c r="K24" s="91" t="n">
        <v>15.98</v>
      </c>
      <c r="L24" s="91" t="n">
        <v>99.61</v>
      </c>
      <c r="M24" s="91" t="n">
        <v>46.31</v>
      </c>
      <c r="N24" s="91" t="n">
        <v>416.5</v>
      </c>
      <c r="O24" s="91" t="n">
        <v>87.47</v>
      </c>
      <c r="P24" s="91"/>
      <c r="Q24" s="91" t="n">
        <v>54.93</v>
      </c>
      <c r="R24" s="91" t="n">
        <v>49.15</v>
      </c>
      <c r="S24" s="91" t="n">
        <v>64.82</v>
      </c>
      <c r="T24" s="91" t="n">
        <v>28.37</v>
      </c>
      <c r="U24" s="91"/>
    </row>
    <row r="25" customFormat="false" ht="15" hidden="false" customHeight="true" outlineLevel="0" collapsed="false">
      <c r="A25" s="90" t="n">
        <v>45303</v>
      </c>
      <c r="B25" s="91" t="n">
        <v>596.54</v>
      </c>
      <c r="C25" s="91" t="n">
        <v>63.01</v>
      </c>
      <c r="D25" s="91" t="n">
        <v>713.22</v>
      </c>
      <c r="E25" s="91" t="n">
        <v>110.77</v>
      </c>
      <c r="F25" s="91" t="n">
        <v>70.84</v>
      </c>
      <c r="G25" s="91" t="n">
        <v>56.06</v>
      </c>
      <c r="H25" s="91" t="n">
        <v>82.39</v>
      </c>
      <c r="I25" s="91" t="n">
        <v>54.71</v>
      </c>
      <c r="J25" s="91" t="n">
        <v>131.55</v>
      </c>
      <c r="K25" s="91" t="n">
        <v>16.76</v>
      </c>
      <c r="L25" s="91" t="n">
        <v>101.24</v>
      </c>
      <c r="M25" s="91" t="n">
        <v>49.52</v>
      </c>
      <c r="N25" s="91" t="n">
        <v>433.4</v>
      </c>
      <c r="O25" s="91" t="n">
        <v>86.48</v>
      </c>
      <c r="P25" s="91"/>
      <c r="Q25" s="91" t="n">
        <v>55.27</v>
      </c>
      <c r="R25" s="91" t="n">
        <v>50.49</v>
      </c>
      <c r="S25" s="91" t="n">
        <v>66.84</v>
      </c>
      <c r="T25" s="91" t="n">
        <v>28.29</v>
      </c>
      <c r="U25" s="91"/>
    </row>
    <row r="26" customFormat="false" ht="15" hidden="false" customHeight="true" outlineLevel="0" collapsed="false">
      <c r="A26" s="90" t="n">
        <v>45310</v>
      </c>
      <c r="B26" s="91" t="n">
        <v>611.55</v>
      </c>
      <c r="C26" s="91" t="n">
        <v>65.88</v>
      </c>
      <c r="D26" s="91" t="n">
        <v>757.83</v>
      </c>
      <c r="E26" s="91" t="n">
        <v>121.12</v>
      </c>
      <c r="F26" s="91" t="n">
        <v>72.64</v>
      </c>
      <c r="G26" s="91" t="n">
        <v>61.3</v>
      </c>
      <c r="H26" s="91" t="n">
        <v>87.51</v>
      </c>
      <c r="I26" s="91" t="n">
        <v>59.49</v>
      </c>
      <c r="J26" s="91" t="n">
        <v>128.44</v>
      </c>
      <c r="K26" s="91" t="n">
        <v>16.78</v>
      </c>
      <c r="L26" s="91" t="n">
        <v>114.2</v>
      </c>
      <c r="M26" s="91" t="n">
        <v>53.67</v>
      </c>
      <c r="N26" s="91" t="n">
        <v>435.02</v>
      </c>
      <c r="O26" s="91" t="n">
        <v>86.74</v>
      </c>
      <c r="P26" s="91"/>
      <c r="Q26" s="91" t="n">
        <v>55.31</v>
      </c>
      <c r="R26" s="91" t="n">
        <v>51.39</v>
      </c>
      <c r="S26" s="91" t="n">
        <v>68.25</v>
      </c>
      <c r="T26" s="91" t="n">
        <v>28.02</v>
      </c>
      <c r="U26" s="91"/>
    </row>
    <row r="27" customFormat="false" ht="15" hidden="false" customHeight="true" outlineLevel="0" collapsed="false">
      <c r="A27" s="90" t="n">
        <v>45317</v>
      </c>
      <c r="B27" s="91" t="n">
        <v>613.93</v>
      </c>
      <c r="C27" s="91" t="n">
        <v>66.1</v>
      </c>
      <c r="D27" s="91" t="n">
        <v>867.75</v>
      </c>
      <c r="E27" s="91" t="n">
        <v>120.49</v>
      </c>
      <c r="F27" s="91" t="n">
        <v>72.58</v>
      </c>
      <c r="G27" s="91" t="n">
        <v>59.94</v>
      </c>
      <c r="H27" s="91" t="n">
        <v>88.05</v>
      </c>
      <c r="I27" s="91" t="n">
        <v>61.03</v>
      </c>
      <c r="J27" s="91" t="n">
        <v>126.87</v>
      </c>
      <c r="K27" s="91" t="n">
        <v>16.35</v>
      </c>
      <c r="L27" s="91" t="n">
        <v>117.26</v>
      </c>
      <c r="M27" s="91" t="n">
        <v>53.46</v>
      </c>
      <c r="N27" s="91" t="n">
        <v>430.17</v>
      </c>
      <c r="O27" s="91" t="n">
        <v>88.78</v>
      </c>
      <c r="P27" s="91"/>
      <c r="Q27" s="91" t="n">
        <v>55.32</v>
      </c>
      <c r="R27" s="91" t="n">
        <v>51.79</v>
      </c>
      <c r="S27" s="91" t="n">
        <v>69.35</v>
      </c>
      <c r="T27" s="91" t="n">
        <v>28.25</v>
      </c>
      <c r="U27" s="91"/>
    </row>
    <row r="28" customFormat="false" ht="15" hidden="false" customHeight="true" outlineLevel="0" collapsed="false">
      <c r="A28" s="90" t="n">
        <v>45324</v>
      </c>
      <c r="B28" s="91" t="n">
        <v>634.76</v>
      </c>
      <c r="C28" s="91" t="n">
        <v>68.28</v>
      </c>
      <c r="D28" s="91" t="n">
        <v>890.66</v>
      </c>
      <c r="E28" s="91" t="n">
        <v>122.43</v>
      </c>
      <c r="F28" s="91" t="n">
        <v>75.89</v>
      </c>
      <c r="G28" s="91" t="n">
        <v>60.43</v>
      </c>
      <c r="H28" s="91" t="n">
        <v>86.48</v>
      </c>
      <c r="I28" s="91" t="n">
        <v>66.16</v>
      </c>
      <c r="J28" s="91" t="n">
        <v>129.25</v>
      </c>
      <c r="K28" s="91" t="n">
        <v>17.02</v>
      </c>
      <c r="L28" s="91" t="n">
        <v>115.75</v>
      </c>
      <c r="M28" s="91" t="n">
        <v>61.47</v>
      </c>
      <c r="N28" s="91" t="n">
        <v>424.68</v>
      </c>
      <c r="O28" s="91" t="n">
        <v>87.12</v>
      </c>
      <c r="P28" s="91"/>
      <c r="Q28" s="91" t="n">
        <v>55.93</v>
      </c>
      <c r="R28" s="91" t="n">
        <v>51.94</v>
      </c>
      <c r="S28" s="91" t="n">
        <v>72.52</v>
      </c>
      <c r="T28" s="91" t="n">
        <v>28.52</v>
      </c>
      <c r="U28" s="91"/>
    </row>
    <row r="29" customFormat="false" ht="15" hidden="false" customHeight="true" outlineLevel="0" collapsed="false">
      <c r="A29" s="90" t="n">
        <v>45331</v>
      </c>
      <c r="B29" s="91" t="n">
        <v>627.21</v>
      </c>
      <c r="C29" s="91" t="n">
        <v>70.61</v>
      </c>
      <c r="D29" s="91" t="n">
        <v>949.6</v>
      </c>
      <c r="E29" s="91" t="n">
        <v>128.34</v>
      </c>
      <c r="F29" s="91" t="n">
        <v>82.34</v>
      </c>
      <c r="G29" s="91" t="n">
        <v>64.98</v>
      </c>
      <c r="H29" s="91" t="n">
        <v>85.56</v>
      </c>
      <c r="I29" s="91" t="n">
        <v>72.13</v>
      </c>
      <c r="J29" s="91" t="n">
        <v>132.48</v>
      </c>
      <c r="K29" s="91" t="n">
        <v>24.38</v>
      </c>
      <c r="L29" s="91" t="n">
        <v>133.11</v>
      </c>
      <c r="M29" s="91" t="n">
        <v>63.52</v>
      </c>
      <c r="N29" s="91" t="n">
        <v>422.91</v>
      </c>
      <c r="O29" s="91" t="n">
        <v>87.91</v>
      </c>
      <c r="P29" s="91"/>
      <c r="Q29" s="91" t="n">
        <v>55.97</v>
      </c>
      <c r="R29" s="91" t="n">
        <v>52.49</v>
      </c>
      <c r="S29" s="91" t="n">
        <v>74.25</v>
      </c>
      <c r="T29" s="91" t="n">
        <v>28.63</v>
      </c>
      <c r="U29" s="91"/>
    </row>
    <row r="30" customFormat="false" ht="15" hidden="false" customHeight="true" outlineLevel="0" collapsed="false">
      <c r="A30" s="90" t="n">
        <v>45338</v>
      </c>
      <c r="B30" s="91" t="n">
        <v>546.66</v>
      </c>
      <c r="C30" s="91" t="n">
        <v>65.44</v>
      </c>
      <c r="D30" s="91" t="n">
        <v>928.94</v>
      </c>
      <c r="E30" s="91" t="n">
        <v>124.55</v>
      </c>
      <c r="F30" s="91" t="n">
        <v>82.31</v>
      </c>
      <c r="G30" s="91" t="n">
        <v>66.14</v>
      </c>
      <c r="H30" s="91" t="n">
        <v>79.5</v>
      </c>
      <c r="I30" s="91" t="n">
        <v>72.61</v>
      </c>
      <c r="J30" s="91" t="n">
        <v>133.39</v>
      </c>
      <c r="K30" s="91" t="n">
        <v>24.44</v>
      </c>
      <c r="L30" s="91" t="n">
        <v>126.69</v>
      </c>
      <c r="M30" s="91" t="n">
        <v>62.97</v>
      </c>
      <c r="N30" s="91" t="n">
        <v>422.2</v>
      </c>
      <c r="O30" s="91" t="n">
        <v>88.53</v>
      </c>
      <c r="P30" s="91"/>
      <c r="Q30" s="91" t="n">
        <v>55.76</v>
      </c>
      <c r="R30" s="91" t="n">
        <v>52.32</v>
      </c>
      <c r="S30" s="91" t="n">
        <v>74.87</v>
      </c>
      <c r="T30" s="91" t="n">
        <v>28.87</v>
      </c>
      <c r="U30" s="91"/>
    </row>
    <row r="31" customFormat="false" ht="15" hidden="false" customHeight="true" outlineLevel="0" collapsed="false">
      <c r="A31" s="90" t="n">
        <v>45345</v>
      </c>
      <c r="B31" s="91" t="n">
        <v>553.44</v>
      </c>
      <c r="C31" s="91" t="n">
        <v>66.92</v>
      </c>
      <c r="D31" s="91" t="n">
        <v>933.25</v>
      </c>
      <c r="E31" s="91" t="n">
        <v>129.64</v>
      </c>
      <c r="F31" s="91" t="n">
        <v>77.87</v>
      </c>
      <c r="G31" s="91" t="n">
        <v>66.88</v>
      </c>
      <c r="H31" s="91" t="n">
        <v>86</v>
      </c>
      <c r="I31" s="91" t="n">
        <v>78.82</v>
      </c>
      <c r="J31" s="91" t="n">
        <v>133.21</v>
      </c>
      <c r="K31" s="91" t="n">
        <v>22.97</v>
      </c>
      <c r="L31" s="91" t="n">
        <v>129.53</v>
      </c>
      <c r="M31" s="91" t="n">
        <v>62.7</v>
      </c>
      <c r="N31" s="91" t="n">
        <v>430.11</v>
      </c>
      <c r="O31" s="91" t="n">
        <v>88.24</v>
      </c>
      <c r="P31" s="91"/>
      <c r="Q31" s="91" t="n">
        <v>55.41</v>
      </c>
      <c r="R31" s="91" t="n">
        <v>52.98</v>
      </c>
      <c r="S31" s="91" t="n">
        <v>76.55</v>
      </c>
      <c r="T31" s="91" t="n">
        <v>29.5</v>
      </c>
      <c r="U31" s="91"/>
    </row>
    <row r="32" customFormat="false" ht="15" hidden="false" customHeight="true" outlineLevel="0" collapsed="false">
      <c r="A32" s="90" t="n">
        <v>45352</v>
      </c>
      <c r="B32" s="91" t="n">
        <v>570.93</v>
      </c>
      <c r="C32" s="91" t="n">
        <v>71.94</v>
      </c>
      <c r="D32" s="91" t="n">
        <v>990.94</v>
      </c>
      <c r="E32" s="91" t="n">
        <v>139.92</v>
      </c>
      <c r="F32" s="91" t="n">
        <v>78.65</v>
      </c>
      <c r="G32" s="91" t="n">
        <v>71.76</v>
      </c>
      <c r="H32" s="91" t="n">
        <v>95.15</v>
      </c>
      <c r="I32" s="91" t="n">
        <v>82.28</v>
      </c>
      <c r="J32" s="91" t="n">
        <v>134.6</v>
      </c>
      <c r="K32" s="91" t="n">
        <v>24.93</v>
      </c>
      <c r="L32" s="91" t="n">
        <v>133.9</v>
      </c>
      <c r="M32" s="91" t="n">
        <v>70.57</v>
      </c>
      <c r="N32" s="91" t="n">
        <v>432.76</v>
      </c>
      <c r="O32" s="91" t="n">
        <v>89.63</v>
      </c>
      <c r="P32" s="91"/>
      <c r="Q32" s="91" t="n">
        <v>54.33</v>
      </c>
      <c r="R32" s="91" t="n">
        <v>53.26</v>
      </c>
      <c r="S32" s="91" t="n">
        <v>78.7</v>
      </c>
      <c r="T32" s="91" t="n">
        <v>30.15</v>
      </c>
      <c r="U32" s="91"/>
    </row>
    <row r="33" customFormat="false" ht="15" hidden="false" customHeight="true" outlineLevel="0" collapsed="false">
      <c r="A33" s="90" t="n">
        <v>45359</v>
      </c>
      <c r="B33" s="91" t="n">
        <v>551.69</v>
      </c>
      <c r="C33" s="91" t="n">
        <v>68.28</v>
      </c>
      <c r="D33" s="91" t="n">
        <v>994.33</v>
      </c>
      <c r="E33" s="91" t="n">
        <v>130.87</v>
      </c>
      <c r="F33" s="91" t="n">
        <v>80.71</v>
      </c>
      <c r="G33" s="91" t="n">
        <v>69.92</v>
      </c>
      <c r="H33" s="91" t="n">
        <v>97.62</v>
      </c>
      <c r="I33" s="91" t="n">
        <v>87.53</v>
      </c>
      <c r="J33" s="91" t="n">
        <v>135.07</v>
      </c>
      <c r="K33" s="91" t="n">
        <v>26.04</v>
      </c>
      <c r="L33" s="91" t="n">
        <v>146.37</v>
      </c>
      <c r="M33" s="91" t="n">
        <v>69.37</v>
      </c>
      <c r="N33" s="91" t="n">
        <v>413.59</v>
      </c>
      <c r="O33" s="91" t="n">
        <v>89.73</v>
      </c>
      <c r="P33" s="91"/>
      <c r="Q33" s="91" t="n">
        <v>55.45</v>
      </c>
      <c r="R33" s="91" t="n">
        <v>53.19</v>
      </c>
      <c r="S33" s="91" t="n">
        <v>79</v>
      </c>
      <c r="T33" s="91" t="n">
        <v>30.74</v>
      </c>
      <c r="U33" s="91"/>
    </row>
    <row r="34" customFormat="false" ht="15" hidden="false" customHeight="true" outlineLevel="0" collapsed="false">
      <c r="A34" s="90" t="n">
        <v>45366</v>
      </c>
      <c r="B34" s="91" t="n">
        <v>492.46</v>
      </c>
      <c r="C34" s="91" t="n">
        <v>69.43</v>
      </c>
      <c r="D34" s="91" t="n">
        <v>940.21</v>
      </c>
      <c r="E34" s="91" t="n">
        <v>123.55</v>
      </c>
      <c r="F34" s="91" t="n">
        <v>78.91</v>
      </c>
      <c r="G34" s="91" t="n">
        <v>68.39</v>
      </c>
      <c r="H34" s="91" t="n">
        <v>93.25</v>
      </c>
      <c r="I34" s="91" t="n">
        <v>87.84</v>
      </c>
      <c r="J34" s="91" t="n">
        <v>129.02</v>
      </c>
      <c r="K34" s="91" t="n">
        <v>23.49</v>
      </c>
      <c r="L34" s="91" t="n">
        <v>136.98</v>
      </c>
      <c r="M34" s="91" t="n">
        <v>74.16</v>
      </c>
      <c r="N34" s="91" t="n">
        <v>407.69</v>
      </c>
      <c r="O34" s="91" t="n">
        <v>88.97</v>
      </c>
      <c r="P34" s="91"/>
      <c r="Q34" s="91" t="n">
        <v>55.68</v>
      </c>
      <c r="R34" s="91" t="n">
        <v>52.91</v>
      </c>
      <c r="S34" s="91" t="n">
        <v>78.59</v>
      </c>
      <c r="T34" s="91" t="n">
        <v>31.16</v>
      </c>
      <c r="U34" s="91"/>
    </row>
    <row r="35" customFormat="false" ht="15" hidden="false" customHeight="true" outlineLevel="0" collapsed="false">
      <c r="A35" s="90" t="n">
        <v>45373</v>
      </c>
      <c r="B35" s="91" t="n">
        <v>499.52</v>
      </c>
      <c r="C35" s="91" t="n">
        <v>76.61</v>
      </c>
      <c r="D35" s="91" t="n">
        <v>979.96</v>
      </c>
      <c r="E35" s="91" t="n">
        <v>135.35</v>
      </c>
      <c r="F35" s="91" t="n">
        <v>81.9</v>
      </c>
      <c r="G35" s="91" t="n">
        <v>71.06</v>
      </c>
      <c r="H35" s="91" t="n">
        <v>110.21</v>
      </c>
      <c r="I35" s="91" t="n">
        <v>94.29</v>
      </c>
      <c r="J35" s="91" t="n">
        <v>128.62</v>
      </c>
      <c r="K35" s="91" t="n">
        <v>24.18</v>
      </c>
      <c r="L35" s="91" t="n">
        <v>140.54</v>
      </c>
      <c r="M35" s="91" t="n">
        <v>82.5</v>
      </c>
      <c r="N35" s="91" t="n">
        <v>415.66</v>
      </c>
      <c r="O35" s="91" t="n">
        <v>91.1</v>
      </c>
      <c r="P35" s="91"/>
      <c r="Q35" s="91" t="n">
        <v>56.54</v>
      </c>
      <c r="R35" s="91" t="n">
        <v>54.26</v>
      </c>
      <c r="S35" s="91" t="n">
        <v>80.83</v>
      </c>
      <c r="T35" s="91" t="n">
        <v>31.91</v>
      </c>
      <c r="U35" s="91"/>
    </row>
    <row r="36" customFormat="false" ht="15" hidden="false" customHeight="true" outlineLevel="0" collapsed="false">
      <c r="A36" s="90" t="n">
        <v>45379</v>
      </c>
      <c r="B36" s="91" t="n">
        <v>504.6</v>
      </c>
      <c r="C36" s="91" t="n">
        <v>72.5</v>
      </c>
      <c r="D36" s="91" t="n">
        <v>970.47</v>
      </c>
      <c r="E36" s="91" t="n">
        <v>132.54</v>
      </c>
      <c r="F36" s="91" t="n">
        <v>80.15</v>
      </c>
      <c r="G36" s="91" t="n">
        <v>69.86</v>
      </c>
      <c r="H36" s="91" t="n">
        <v>117.89</v>
      </c>
      <c r="I36" s="91" t="n">
        <v>90.36</v>
      </c>
      <c r="J36" s="91" t="n">
        <v>130.22</v>
      </c>
      <c r="K36" s="91" t="n">
        <v>23.01</v>
      </c>
      <c r="L36" s="91" t="n">
        <v>136.05</v>
      </c>
      <c r="M36" s="91" t="n">
        <v>81.67</v>
      </c>
      <c r="N36" s="91" t="n">
        <v>418.01</v>
      </c>
      <c r="O36" s="91" t="n">
        <v>93.71</v>
      </c>
      <c r="P36" s="91"/>
      <c r="Q36" s="91" t="n">
        <v>57.15</v>
      </c>
      <c r="R36" s="91" t="n">
        <v>54.24</v>
      </c>
      <c r="S36" s="91" t="n">
        <v>80.22</v>
      </c>
      <c r="T36" s="91" t="n">
        <v>32.41</v>
      </c>
      <c r="U36" s="91"/>
    </row>
    <row r="37" customFormat="false" ht="15" hidden="false" customHeight="true" outlineLevel="0" collapsed="false">
      <c r="A37" s="90" t="n">
        <v>45387</v>
      </c>
      <c r="B37" s="91" t="n">
        <v>485.12</v>
      </c>
      <c r="C37" s="91" t="n">
        <v>74.4</v>
      </c>
      <c r="D37" s="91" t="n">
        <v>979.55</v>
      </c>
      <c r="E37" s="91" t="n">
        <v>133.94</v>
      </c>
      <c r="F37" s="91" t="n">
        <v>78.88</v>
      </c>
      <c r="G37" s="91" t="n">
        <v>68.28</v>
      </c>
      <c r="H37" s="91" t="n">
        <v>123.58</v>
      </c>
      <c r="I37" s="91" t="n">
        <v>88.01</v>
      </c>
      <c r="J37" s="91" t="n">
        <v>124.74</v>
      </c>
      <c r="K37" s="91" t="n">
        <v>22.96</v>
      </c>
      <c r="L37" s="91" t="n">
        <v>141.36</v>
      </c>
      <c r="M37" s="91" t="n">
        <v>85.34</v>
      </c>
      <c r="N37" s="91" t="n">
        <v>406.67</v>
      </c>
      <c r="O37" s="91" t="n">
        <v>91.69</v>
      </c>
      <c r="P37" s="91"/>
      <c r="Q37" s="91" t="n">
        <v>57.21</v>
      </c>
      <c r="R37" s="91" t="n">
        <v>53.59</v>
      </c>
      <c r="S37" s="91" t="n">
        <v>80.45</v>
      </c>
      <c r="T37" s="91" t="n">
        <v>32.33</v>
      </c>
      <c r="U37" s="91"/>
    </row>
    <row r="38" customFormat="false" ht="15" hidden="false" customHeight="true" outlineLevel="0" collapsed="false">
      <c r="A38" s="90" t="n">
        <v>45394</v>
      </c>
      <c r="B38" s="91" t="n">
        <v>474.09</v>
      </c>
      <c r="C38" s="91" t="n">
        <v>67.81</v>
      </c>
      <c r="D38" s="91" t="n">
        <v>961.84</v>
      </c>
      <c r="E38" s="91" t="n">
        <v>134.41</v>
      </c>
      <c r="F38" s="91" t="n">
        <v>77.26</v>
      </c>
      <c r="G38" s="91" t="n">
        <v>68.08</v>
      </c>
      <c r="H38" s="91" t="n">
        <v>122.52</v>
      </c>
      <c r="I38" s="91" t="n">
        <v>88.19</v>
      </c>
      <c r="J38" s="91" t="n">
        <v>119</v>
      </c>
      <c r="K38" s="91" t="n">
        <v>22.67</v>
      </c>
      <c r="L38" s="91" t="n">
        <v>142.52</v>
      </c>
      <c r="M38" s="91" t="n">
        <v>83.89</v>
      </c>
      <c r="N38" s="91" t="n">
        <v>396.55</v>
      </c>
      <c r="O38" s="91" t="n">
        <v>88.86</v>
      </c>
      <c r="P38" s="91"/>
      <c r="Q38" s="91" t="n">
        <v>57.06</v>
      </c>
      <c r="R38" s="91" t="n">
        <v>53.4</v>
      </c>
      <c r="S38" s="91" t="n">
        <v>79.32</v>
      </c>
      <c r="T38" s="91" t="n">
        <v>31.49</v>
      </c>
      <c r="U38" s="91"/>
    </row>
    <row r="39" customFormat="false" ht="15" hidden="false" customHeight="true" outlineLevel="0" collapsed="false">
      <c r="A39" s="90" t="n">
        <v>45401</v>
      </c>
      <c r="B39" s="91" t="n">
        <v>465.02</v>
      </c>
      <c r="C39" s="91" t="n">
        <v>61.52</v>
      </c>
      <c r="D39" s="91" t="n">
        <v>859.54</v>
      </c>
      <c r="E39" s="91" t="n">
        <v>120.47</v>
      </c>
      <c r="F39" s="91" t="n">
        <v>70.66</v>
      </c>
      <c r="G39" s="91" t="n">
        <v>62.82</v>
      </c>
      <c r="H39" s="91" t="n">
        <v>106.77</v>
      </c>
      <c r="I39" s="91" t="n">
        <v>76.2</v>
      </c>
      <c r="J39" s="91" t="n">
        <v>103.49</v>
      </c>
      <c r="K39" s="91" t="n">
        <v>20.47</v>
      </c>
      <c r="L39" s="91" t="n">
        <v>127.7</v>
      </c>
      <c r="M39" s="91" t="n">
        <v>75.01</v>
      </c>
      <c r="N39" s="91" t="n">
        <v>394.28</v>
      </c>
      <c r="O39" s="91" t="n">
        <v>88.06</v>
      </c>
      <c r="P39" s="91"/>
      <c r="Q39" s="91" t="n">
        <v>57.69</v>
      </c>
      <c r="R39" s="91" t="n">
        <v>50.84</v>
      </c>
      <c r="S39" s="91" t="n">
        <v>74.81</v>
      </c>
      <c r="T39" s="91" t="n">
        <v>30.93</v>
      </c>
      <c r="U39" s="91"/>
    </row>
    <row r="40" customFormat="false" ht="15" hidden="false" customHeight="true" outlineLevel="0" collapsed="false">
      <c r="A40" s="90" t="n">
        <v>45408</v>
      </c>
      <c r="B40" s="91" t="n">
        <v>477.56</v>
      </c>
      <c r="C40" s="91" t="n">
        <v>66.18</v>
      </c>
      <c r="D40" s="91" t="n">
        <v>918.97</v>
      </c>
      <c r="E40" s="91" t="n">
        <v>134.41</v>
      </c>
      <c r="F40" s="91" t="n">
        <v>76.02</v>
      </c>
      <c r="G40" s="91" t="n">
        <v>70.63</v>
      </c>
      <c r="H40" s="91" t="n">
        <v>114.84</v>
      </c>
      <c r="I40" s="91" t="n">
        <v>87.74</v>
      </c>
      <c r="J40" s="91" t="n">
        <v>104.06</v>
      </c>
      <c r="K40" s="91" t="n">
        <v>22.52</v>
      </c>
      <c r="L40" s="91" t="n">
        <v>138.3</v>
      </c>
      <c r="M40" s="91" t="n">
        <v>93.49</v>
      </c>
      <c r="N40" s="91" t="n">
        <v>397.48</v>
      </c>
      <c r="O40" s="91" t="n">
        <v>90.24</v>
      </c>
      <c r="P40" s="91"/>
      <c r="Q40" s="91" t="n">
        <v>58.21</v>
      </c>
      <c r="R40" s="91" t="n">
        <v>52.66</v>
      </c>
      <c r="S40" s="91" t="n">
        <v>77.06</v>
      </c>
      <c r="T40" s="91" t="n">
        <v>31.32</v>
      </c>
      <c r="U40" s="91"/>
    </row>
    <row r="41" customFormat="false" ht="15" hidden="false" customHeight="true" outlineLevel="0" collapsed="false">
      <c r="A41" s="90" t="n">
        <v>45415</v>
      </c>
      <c r="B41" s="91" t="n">
        <v>486.18</v>
      </c>
      <c r="C41" s="91" t="n">
        <v>68.6</v>
      </c>
      <c r="D41" s="91" t="n">
        <v>901.63</v>
      </c>
      <c r="E41" s="91" t="n">
        <v>127.81</v>
      </c>
      <c r="F41" s="91" t="n">
        <v>77.55</v>
      </c>
      <c r="G41" s="91" t="n">
        <v>69.66</v>
      </c>
      <c r="H41" s="91" t="n">
        <v>114.7</v>
      </c>
      <c r="I41" s="91" t="n">
        <v>88.79</v>
      </c>
      <c r="J41" s="91" t="n">
        <v>105.89</v>
      </c>
      <c r="K41" s="91" t="n">
        <v>23.33</v>
      </c>
      <c r="L41" s="91" t="n">
        <v>141.56</v>
      </c>
      <c r="M41" s="91" t="n">
        <v>93.01</v>
      </c>
      <c r="N41" s="91" t="n">
        <v>401.08</v>
      </c>
      <c r="O41" s="91" t="n">
        <v>90.86</v>
      </c>
      <c r="P41" s="91"/>
      <c r="Q41" s="91" t="n">
        <v>58.4</v>
      </c>
      <c r="R41" s="91" t="n">
        <v>52.75</v>
      </c>
      <c r="S41" s="91" t="n">
        <v>77.82</v>
      </c>
      <c r="T41" s="91" t="n">
        <v>30.83</v>
      </c>
      <c r="U41" s="91"/>
    </row>
    <row r="42" customFormat="false" ht="15" hidden="false" customHeight="true" outlineLevel="0" collapsed="false">
      <c r="A42" s="90" t="n">
        <v>45422</v>
      </c>
      <c r="B42" s="91" t="n">
        <v>482.29</v>
      </c>
      <c r="C42" s="91" t="n">
        <v>78.51</v>
      </c>
      <c r="D42" s="91" t="n">
        <v>930.29</v>
      </c>
      <c r="E42" s="91" t="n">
        <v>133.28</v>
      </c>
      <c r="F42" s="91" t="n">
        <v>80.19</v>
      </c>
      <c r="G42" s="91" t="n">
        <v>71.83</v>
      </c>
      <c r="H42" s="91" t="n">
        <v>121.24</v>
      </c>
      <c r="I42" s="91" t="n">
        <v>89.88</v>
      </c>
      <c r="J42" s="91" t="n">
        <v>107.49</v>
      </c>
      <c r="K42" s="91" t="n">
        <v>20.6</v>
      </c>
      <c r="L42" s="91" t="n">
        <v>149.26</v>
      </c>
      <c r="M42" s="91" t="n">
        <v>95.4</v>
      </c>
      <c r="N42" s="91" t="n">
        <v>422.78</v>
      </c>
      <c r="O42" s="91" t="n">
        <v>92.43</v>
      </c>
      <c r="P42" s="91"/>
      <c r="Q42" s="91" t="n">
        <v>58.56</v>
      </c>
      <c r="R42" s="91" t="n">
        <v>53.48</v>
      </c>
      <c r="S42" s="91" t="n">
        <v>79.55</v>
      </c>
      <c r="T42" s="91" t="n">
        <v>31.51</v>
      </c>
      <c r="U42" s="91"/>
    </row>
    <row r="43" customFormat="false" ht="15" hidden="false" customHeight="true" outlineLevel="0" collapsed="false">
      <c r="A43" s="90" t="n">
        <v>45429</v>
      </c>
      <c r="B43" s="91" t="n">
        <v>483.43</v>
      </c>
      <c r="C43" s="91" t="n">
        <v>79.97</v>
      </c>
      <c r="D43" s="91" t="n">
        <v>924.97</v>
      </c>
      <c r="E43" s="91" t="n">
        <v>139.53</v>
      </c>
      <c r="F43" s="91" t="n">
        <v>86.48</v>
      </c>
      <c r="G43" s="91" t="n">
        <v>74.77</v>
      </c>
      <c r="H43" s="91" t="n">
        <v>125.29</v>
      </c>
      <c r="I43" s="91" t="n">
        <v>92.48</v>
      </c>
      <c r="J43" s="91" t="n">
        <v>111.5</v>
      </c>
      <c r="K43" s="91" t="n">
        <v>21.76</v>
      </c>
      <c r="L43" s="91" t="n">
        <v>151.68</v>
      </c>
      <c r="M43" s="91" t="n">
        <v>96.81</v>
      </c>
      <c r="N43" s="91" t="n">
        <v>445.21</v>
      </c>
      <c r="O43" s="91" t="n">
        <v>93.45</v>
      </c>
      <c r="P43" s="91"/>
      <c r="Q43" s="91" t="n">
        <v>58.98</v>
      </c>
      <c r="R43" s="91" t="n">
        <v>54.12</v>
      </c>
      <c r="S43" s="91" t="n">
        <v>80.75</v>
      </c>
      <c r="T43" s="91" t="n">
        <v>31.8</v>
      </c>
      <c r="U43" s="91"/>
    </row>
    <row r="44" customFormat="false" ht="15" hidden="false" customHeight="true" outlineLevel="0" collapsed="false">
      <c r="A44" s="90" t="n">
        <v>45436</v>
      </c>
      <c r="B44" s="91" t="n">
        <v>475.43</v>
      </c>
      <c r="C44" s="91" t="n">
        <v>76.64</v>
      </c>
      <c r="D44" s="91" t="n">
        <v>956.22</v>
      </c>
      <c r="E44" s="91" t="n">
        <v>140.78</v>
      </c>
      <c r="F44" s="91" t="n">
        <v>87.87</v>
      </c>
      <c r="G44" s="91" t="n">
        <v>77.91</v>
      </c>
      <c r="H44" s="91" t="n">
        <v>129.49</v>
      </c>
      <c r="I44" s="91" t="n">
        <v>106.47</v>
      </c>
      <c r="J44" s="91" t="n">
        <v>104.75</v>
      </c>
      <c r="K44" s="91" t="n">
        <v>21.01</v>
      </c>
      <c r="L44" s="91" t="n">
        <v>160</v>
      </c>
      <c r="M44" s="91" t="n">
        <v>106.17</v>
      </c>
      <c r="N44" s="91" t="n">
        <v>456.95</v>
      </c>
      <c r="O44" s="91" t="n">
        <v>92.06</v>
      </c>
      <c r="P44" s="91"/>
      <c r="Q44" s="91" t="n">
        <v>59.18</v>
      </c>
      <c r="R44" s="91" t="n">
        <v>54.38</v>
      </c>
      <c r="S44" s="91" t="n">
        <v>82.32</v>
      </c>
      <c r="T44" s="91" t="n">
        <v>31.26</v>
      </c>
      <c r="U44" s="91"/>
    </row>
    <row r="45" customFormat="false" ht="15" hidden="false" customHeight="true" outlineLevel="0" collapsed="false">
      <c r="A45" s="90" t="n">
        <v>45443</v>
      </c>
      <c r="B45" s="91" t="n">
        <v>444.76</v>
      </c>
      <c r="C45" s="91" t="n">
        <v>74.41</v>
      </c>
      <c r="D45" s="91" t="n">
        <v>960.35</v>
      </c>
      <c r="E45" s="91" t="n">
        <v>132.85</v>
      </c>
      <c r="F45" s="91" t="n">
        <v>78.42</v>
      </c>
      <c r="G45" s="91" t="n">
        <v>75.95</v>
      </c>
      <c r="H45" s="91" t="n">
        <v>125</v>
      </c>
      <c r="I45" s="91" t="n">
        <v>109.63</v>
      </c>
      <c r="J45" s="91" t="n">
        <v>110.49</v>
      </c>
      <c r="K45" s="91" t="n">
        <v>21.68</v>
      </c>
      <c r="L45" s="91" t="n">
        <v>151.04</v>
      </c>
      <c r="M45" s="91" t="n">
        <v>98.07</v>
      </c>
      <c r="N45" s="91" t="n">
        <v>455.34</v>
      </c>
      <c r="O45" s="91" t="n">
        <v>93.05</v>
      </c>
      <c r="P45" s="91"/>
      <c r="Q45" s="91" t="n">
        <v>58.79</v>
      </c>
      <c r="R45" s="91" t="n">
        <v>54.19</v>
      </c>
      <c r="S45" s="91" t="n">
        <v>81.42</v>
      </c>
      <c r="T45" s="91" t="n">
        <v>31.62</v>
      </c>
      <c r="U45" s="91"/>
    </row>
    <row r="46" customFormat="false" ht="15" hidden="false" customHeight="true" outlineLevel="0" collapsed="false">
      <c r="A46" s="90" t="n">
        <v>45450</v>
      </c>
      <c r="B46" s="91" t="n">
        <v>465.43</v>
      </c>
      <c r="C46" s="91" t="n">
        <v>74.2</v>
      </c>
      <c r="D46" s="91" t="n">
        <v>1028.42</v>
      </c>
      <c r="E46" s="91" t="n">
        <v>140.66</v>
      </c>
      <c r="F46" s="91" t="n">
        <v>87.28</v>
      </c>
      <c r="G46" s="91" t="n">
        <v>76.9</v>
      </c>
      <c r="H46" s="91" t="n">
        <v>130.94</v>
      </c>
      <c r="I46" s="91" t="n">
        <v>120.89</v>
      </c>
      <c r="J46" s="91" t="n">
        <v>110.2</v>
      </c>
      <c r="K46" s="91" t="n">
        <v>23.31</v>
      </c>
      <c r="L46" s="91" t="n">
        <v>164.39</v>
      </c>
      <c r="M46" s="91" t="n">
        <v>87.68</v>
      </c>
      <c r="N46" s="91" t="n">
        <v>483.04</v>
      </c>
      <c r="O46" s="91" t="n">
        <v>89.88</v>
      </c>
      <c r="P46" s="91"/>
      <c r="Q46" s="91" t="n">
        <v>58.54</v>
      </c>
      <c r="R46" s="91" t="n">
        <v>54.49</v>
      </c>
      <c r="S46" s="91" t="n">
        <v>83.89</v>
      </c>
      <c r="T46" s="91" t="n">
        <v>30.95</v>
      </c>
      <c r="U46" s="91"/>
    </row>
    <row r="47" customFormat="false" ht="15" hidden="false" customHeight="true" outlineLevel="0" collapsed="false">
      <c r="A47" s="90" t="n">
        <v>45457</v>
      </c>
      <c r="B47" s="91" t="n">
        <v>525.31</v>
      </c>
      <c r="C47" s="91" t="n">
        <v>82.13</v>
      </c>
      <c r="D47" s="91" t="n">
        <v>1027.9</v>
      </c>
      <c r="E47" s="91" t="n">
        <v>173.5</v>
      </c>
      <c r="F47" s="91" t="n">
        <v>96.36</v>
      </c>
      <c r="G47" s="91" t="n">
        <v>82.48</v>
      </c>
      <c r="H47" s="91" t="n">
        <v>141.36</v>
      </c>
      <c r="I47" s="91" t="n">
        <v>131.88</v>
      </c>
      <c r="J47" s="91" t="n">
        <v>112.29</v>
      </c>
      <c r="K47" s="91" t="n">
        <v>23.57</v>
      </c>
      <c r="L47" s="91" t="n">
        <v>172.51</v>
      </c>
      <c r="M47" s="91" t="n">
        <v>91.48</v>
      </c>
      <c r="N47" s="91" t="n">
        <v>480.73</v>
      </c>
      <c r="O47" s="91" t="n">
        <v>87.73</v>
      </c>
      <c r="P47" s="91"/>
      <c r="Q47" s="91" t="n">
        <v>57.91</v>
      </c>
      <c r="R47" s="91" t="n">
        <v>55.18</v>
      </c>
      <c r="S47" s="91" t="n">
        <v>87.43</v>
      </c>
      <c r="T47" s="91" t="n">
        <v>30.82</v>
      </c>
      <c r="U47" s="91"/>
    </row>
    <row r="48" customFormat="false" ht="15" hidden="false" customHeight="true" outlineLevel="0" collapsed="false">
      <c r="A48" s="90" t="n">
        <v>45464</v>
      </c>
      <c r="B48" s="91" t="n">
        <v>533.44</v>
      </c>
      <c r="C48" s="91" t="n">
        <v>84.34</v>
      </c>
      <c r="D48" s="91" t="n">
        <v>1036.6</v>
      </c>
      <c r="E48" s="91" t="n">
        <v>165.86</v>
      </c>
      <c r="F48" s="91" t="n">
        <v>95.16</v>
      </c>
      <c r="G48" s="91" t="n">
        <v>81.66</v>
      </c>
      <c r="H48" s="91" t="n">
        <v>139.54</v>
      </c>
      <c r="I48" s="91" t="n">
        <v>126.57</v>
      </c>
      <c r="J48" s="91" t="n">
        <v>109.4</v>
      </c>
      <c r="K48" s="91" t="n">
        <v>23.84</v>
      </c>
      <c r="L48" s="91" t="n">
        <v>173.96</v>
      </c>
      <c r="M48" s="91" t="n">
        <v>90.62</v>
      </c>
      <c r="N48" s="91" t="n">
        <v>468.71</v>
      </c>
      <c r="O48" s="91" t="n">
        <v>88.68</v>
      </c>
      <c r="P48" s="91"/>
      <c r="Q48" s="91" t="n">
        <v>57.95</v>
      </c>
      <c r="R48" s="91" t="n">
        <v>55.24</v>
      </c>
      <c r="S48" s="91" t="n">
        <v>87.36</v>
      </c>
      <c r="T48" s="91" t="n">
        <v>31.12</v>
      </c>
      <c r="U48" s="91"/>
    </row>
    <row r="49" customFormat="false" ht="15" hidden="false" customHeight="true" outlineLevel="0" collapsed="false">
      <c r="A49" s="90" t="n">
        <v>45471</v>
      </c>
      <c r="B49" s="91" t="n">
        <v>555.54</v>
      </c>
      <c r="C49" s="91" t="n">
        <v>87.62</v>
      </c>
      <c r="D49" s="91" t="n">
        <v>1022.73</v>
      </c>
      <c r="E49" s="91" t="n">
        <v>160.55</v>
      </c>
      <c r="F49" s="91" t="n">
        <v>95.8</v>
      </c>
      <c r="G49" s="91" t="n">
        <v>82.45</v>
      </c>
      <c r="H49" s="91" t="n">
        <v>131.53</v>
      </c>
      <c r="I49" s="91" t="n">
        <v>123.54</v>
      </c>
      <c r="J49" s="91" t="n">
        <v>112.31</v>
      </c>
      <c r="K49" s="91" t="n">
        <v>25.33</v>
      </c>
      <c r="L49" s="91" t="n">
        <v>173.81</v>
      </c>
      <c r="M49" s="91" t="n">
        <v>86.57</v>
      </c>
      <c r="N49" s="91" t="n">
        <v>468.72</v>
      </c>
      <c r="O49" s="91" t="n">
        <v>89.72</v>
      </c>
      <c r="P49" s="91"/>
      <c r="Q49" s="91" t="n">
        <v>59.47</v>
      </c>
      <c r="R49" s="91" t="n">
        <v>55.5</v>
      </c>
      <c r="S49" s="91" t="n">
        <v>87.46</v>
      </c>
      <c r="T49" s="91" t="n">
        <v>30.92</v>
      </c>
      <c r="U49" s="91"/>
    </row>
    <row r="50" customFormat="false" ht="15" hidden="false" customHeight="true" outlineLevel="0" collapsed="false">
      <c r="A50" s="90" t="n">
        <v>45478</v>
      </c>
      <c r="B50" s="91" t="n">
        <v>578.34</v>
      </c>
      <c r="C50" s="91" t="n">
        <v>91.54</v>
      </c>
      <c r="D50" s="91" t="n">
        <v>1074.48</v>
      </c>
      <c r="E50" s="91" t="n">
        <v>170.33</v>
      </c>
      <c r="F50" s="91" t="n">
        <v>97.42</v>
      </c>
      <c r="G50" s="91" t="n">
        <v>85.52</v>
      </c>
      <c r="H50" s="91" t="n">
        <v>131.6</v>
      </c>
      <c r="I50" s="91" t="n">
        <v>125.83</v>
      </c>
      <c r="J50" s="91" t="n">
        <v>114.46</v>
      </c>
      <c r="K50" s="91" t="n">
        <v>27.23</v>
      </c>
      <c r="L50" s="91" t="n">
        <v>183.99</v>
      </c>
      <c r="M50" s="91" t="n">
        <v>91.78</v>
      </c>
      <c r="N50" s="91" t="n">
        <v>474.57</v>
      </c>
      <c r="O50" s="91" t="n">
        <v>88.24</v>
      </c>
      <c r="P50" s="91"/>
      <c r="Q50" s="91" t="n">
        <v>59.99</v>
      </c>
      <c r="R50" s="91" t="n">
        <v>55.88</v>
      </c>
      <c r="S50" s="91" t="n">
        <v>90.17</v>
      </c>
      <c r="T50" s="91" t="n">
        <v>30.3</v>
      </c>
      <c r="U50" s="91"/>
    </row>
    <row r="51" customFormat="false" ht="15" hidden="false" customHeight="true" outlineLevel="0" collapsed="false">
      <c r="A51" s="90" t="n">
        <v>45485</v>
      </c>
      <c r="B51" s="91" t="n">
        <v>559.05</v>
      </c>
      <c r="C51" s="91" t="n">
        <v>90.48</v>
      </c>
      <c r="D51" s="91" t="n">
        <v>1085.26</v>
      </c>
      <c r="E51" s="91" t="n">
        <v>170.07</v>
      </c>
      <c r="F51" s="91" t="n">
        <v>92.83</v>
      </c>
      <c r="G51" s="91" t="n">
        <v>85.77</v>
      </c>
      <c r="H51" s="91" t="n">
        <v>133.55</v>
      </c>
      <c r="I51" s="91" t="n">
        <v>129.24</v>
      </c>
      <c r="J51" s="91" t="n">
        <v>120.15</v>
      </c>
      <c r="K51" s="91" t="n">
        <v>28.07</v>
      </c>
      <c r="L51" s="91" t="n">
        <v>187.35</v>
      </c>
      <c r="M51" s="91" t="n">
        <v>89.67</v>
      </c>
      <c r="N51" s="91" t="n">
        <v>488.74</v>
      </c>
      <c r="O51" s="91" t="n">
        <v>93.16</v>
      </c>
      <c r="P51" s="91"/>
      <c r="Q51" s="91" t="n">
        <v>60.21</v>
      </c>
      <c r="R51" s="91" t="n">
        <v>55.84</v>
      </c>
      <c r="S51" s="91" t="n">
        <v>89.99</v>
      </c>
      <c r="T51" s="91" t="n">
        <v>31.46</v>
      </c>
      <c r="U51" s="91"/>
    </row>
    <row r="52" customFormat="false" ht="15" hidden="false" customHeight="true" outlineLevel="0" collapsed="false">
      <c r="A52" s="90" t="n">
        <v>45492</v>
      </c>
      <c r="B52" s="91" t="n">
        <v>551</v>
      </c>
      <c r="C52" s="91" t="n">
        <v>82.64</v>
      </c>
      <c r="D52" s="91" t="n">
        <v>895.37</v>
      </c>
      <c r="E52" s="91" t="n">
        <v>157.35</v>
      </c>
      <c r="F52" s="91" t="n">
        <v>76.24</v>
      </c>
      <c r="G52" s="91" t="n">
        <v>76.26</v>
      </c>
      <c r="H52" s="91" t="n">
        <v>114.26</v>
      </c>
      <c r="I52" s="91" t="n">
        <v>117.93</v>
      </c>
      <c r="J52" s="91" t="n">
        <v>123.75</v>
      </c>
      <c r="K52" s="91" t="n">
        <v>28.58</v>
      </c>
      <c r="L52" s="91" t="n">
        <v>165.77</v>
      </c>
      <c r="M52" s="91" t="n">
        <v>85.31</v>
      </c>
      <c r="N52" s="91" t="n">
        <v>491.57</v>
      </c>
      <c r="O52" s="91" t="n">
        <v>95.62</v>
      </c>
      <c r="P52" s="91"/>
      <c r="Q52" s="91" t="n">
        <v>58.58</v>
      </c>
      <c r="R52" s="91" t="n">
        <v>54.19</v>
      </c>
      <c r="S52" s="91" t="n">
        <v>86.35</v>
      </c>
      <c r="T52" s="91" t="n">
        <v>31.94</v>
      </c>
      <c r="U52" s="91"/>
    </row>
    <row r="53" customFormat="false" ht="15" hidden="false" customHeight="true" outlineLevel="0" collapsed="false">
      <c r="A53" s="90" t="n">
        <v>45499</v>
      </c>
      <c r="B53" s="91" t="n">
        <v>542.44</v>
      </c>
      <c r="C53" s="91" t="n">
        <v>79.8</v>
      </c>
      <c r="D53" s="91" t="n">
        <v>888.39</v>
      </c>
      <c r="E53" s="91" t="n">
        <v>151.63</v>
      </c>
      <c r="F53" s="91" t="n">
        <v>64.04</v>
      </c>
      <c r="G53" s="91" t="n">
        <v>78.74</v>
      </c>
      <c r="H53" s="91" t="n">
        <v>109.41</v>
      </c>
      <c r="I53" s="91" t="n">
        <v>113.06</v>
      </c>
      <c r="J53" s="91" t="n">
        <v>122.68</v>
      </c>
      <c r="K53" s="91" t="n">
        <v>27.18</v>
      </c>
      <c r="L53" s="91" t="n">
        <v>161.94</v>
      </c>
      <c r="M53" s="91" t="n">
        <v>77.12</v>
      </c>
      <c r="N53" s="91" t="n">
        <v>495.26</v>
      </c>
      <c r="O53" s="91" t="n">
        <v>99.09</v>
      </c>
      <c r="P53" s="91"/>
      <c r="Q53" s="91" t="n">
        <v>60.1</v>
      </c>
      <c r="R53" s="91" t="n">
        <v>52.96</v>
      </c>
      <c r="S53" s="91" t="n">
        <v>84.72</v>
      </c>
      <c r="T53" s="91" t="n">
        <v>32.51</v>
      </c>
      <c r="U53" s="91"/>
    </row>
    <row r="54" customFormat="false" ht="15" hidden="false" customHeight="true" outlineLevel="0" collapsed="false">
      <c r="A54" s="90" t="n">
        <v>45506</v>
      </c>
      <c r="B54" s="91" t="n">
        <v>526.17</v>
      </c>
      <c r="C54" s="91" t="n">
        <v>79.83</v>
      </c>
      <c r="D54" s="91" t="n">
        <v>809.35</v>
      </c>
      <c r="E54" s="91" t="n">
        <v>143.82</v>
      </c>
      <c r="F54" s="91" t="n">
        <v>54.47</v>
      </c>
      <c r="G54" s="91" t="n">
        <v>69.62</v>
      </c>
      <c r="H54" s="91" t="n">
        <v>92.7</v>
      </c>
      <c r="I54" s="91" t="n">
        <v>107.27</v>
      </c>
      <c r="J54" s="91" t="n">
        <v>123.98</v>
      </c>
      <c r="K54" s="91" t="n">
        <v>24.74</v>
      </c>
      <c r="L54" s="91" t="n">
        <v>149.86</v>
      </c>
      <c r="M54" s="91" t="n">
        <v>69.46</v>
      </c>
      <c r="N54" s="91" t="n">
        <v>494.46</v>
      </c>
      <c r="O54" s="91" t="n">
        <v>92.01</v>
      </c>
      <c r="P54" s="91"/>
      <c r="Q54" s="91" t="n">
        <v>60.6</v>
      </c>
      <c r="R54" s="91" t="n">
        <v>51.14</v>
      </c>
      <c r="S54" s="91" t="n">
        <v>82.2</v>
      </c>
      <c r="T54" s="91" t="n">
        <v>31.58</v>
      </c>
      <c r="U54" s="91"/>
    </row>
    <row r="55" customFormat="false" ht="15" hidden="false" customHeight="true" outlineLevel="0" collapsed="false">
      <c r="A55" s="90" t="n">
        <v>45513</v>
      </c>
      <c r="B55" s="91" t="n">
        <v>536.3</v>
      </c>
      <c r="C55" s="91" t="n">
        <v>83.95</v>
      </c>
      <c r="D55" s="91" t="n">
        <v>860.55</v>
      </c>
      <c r="E55" s="91" t="n">
        <v>148.26</v>
      </c>
      <c r="F55" s="91" t="n">
        <v>60.23</v>
      </c>
      <c r="G55" s="91" t="n">
        <v>74.68</v>
      </c>
      <c r="H55" s="91" t="n">
        <v>93.08</v>
      </c>
      <c r="I55" s="91" t="n">
        <v>104.75</v>
      </c>
      <c r="J55" s="91" t="n">
        <v>121.9</v>
      </c>
      <c r="K55" s="91" t="n">
        <v>30.01</v>
      </c>
      <c r="L55" s="91" t="n">
        <v>167.12</v>
      </c>
      <c r="M55" s="91" t="n">
        <v>71.46</v>
      </c>
      <c r="N55" s="91" t="n">
        <v>468.45</v>
      </c>
      <c r="O55" s="91" t="n">
        <v>90.39</v>
      </c>
      <c r="P55" s="91"/>
      <c r="Q55" s="91" t="n">
        <v>60.94</v>
      </c>
      <c r="R55" s="91" t="n">
        <v>51.29</v>
      </c>
      <c r="S55" s="91" t="n">
        <v>83.62</v>
      </c>
      <c r="T55" s="91" t="n">
        <v>31.53</v>
      </c>
      <c r="U55" s="91"/>
    </row>
    <row r="56" customFormat="false" ht="15" hidden="false" customHeight="true" outlineLevel="0" collapsed="false">
      <c r="A56" s="90" t="n">
        <v>45520</v>
      </c>
      <c r="B56" s="91" t="n">
        <v>553.46</v>
      </c>
      <c r="C56" s="91" t="n">
        <v>88.47</v>
      </c>
      <c r="D56" s="91" t="n">
        <v>918.66</v>
      </c>
      <c r="E56" s="91" t="n">
        <v>165.72</v>
      </c>
      <c r="F56" s="91" t="n">
        <v>65.64</v>
      </c>
      <c r="G56" s="91" t="n">
        <v>81.96</v>
      </c>
      <c r="H56" s="91" t="n">
        <v>107.99</v>
      </c>
      <c r="I56" s="91" t="n">
        <v>124.58</v>
      </c>
      <c r="J56" s="91" t="n">
        <v>122.85</v>
      </c>
      <c r="K56" s="91" t="n">
        <v>32.08</v>
      </c>
      <c r="L56" s="91" t="n">
        <v>174.54</v>
      </c>
      <c r="M56" s="91" t="n">
        <v>79.42</v>
      </c>
      <c r="N56" s="91" t="n">
        <v>477.37</v>
      </c>
      <c r="O56" s="91" t="n">
        <v>92.97</v>
      </c>
      <c r="P56" s="91"/>
      <c r="Q56" s="91" t="n">
        <v>61.02</v>
      </c>
      <c r="R56" s="91" t="n">
        <v>53.45</v>
      </c>
      <c r="S56" s="91" t="n">
        <v>88.39</v>
      </c>
      <c r="T56" s="91" t="n">
        <v>32.04</v>
      </c>
      <c r="U56" s="91"/>
    </row>
    <row r="57" customFormat="false" ht="15" hidden="false" customHeight="true" outlineLevel="0" collapsed="false">
      <c r="A57" s="90" t="n">
        <v>45527</v>
      </c>
      <c r="B57" s="91" t="n">
        <v>558.3</v>
      </c>
      <c r="C57" s="91" t="n">
        <v>88.78</v>
      </c>
      <c r="D57" s="91" t="n">
        <v>907.26</v>
      </c>
      <c r="E57" s="91" t="n">
        <v>166.36</v>
      </c>
      <c r="F57" s="91" t="n">
        <v>67.89</v>
      </c>
      <c r="G57" s="91" t="n">
        <v>81.78</v>
      </c>
      <c r="H57" s="91" t="n">
        <v>102.85</v>
      </c>
      <c r="I57" s="91" t="n">
        <v>129.37</v>
      </c>
      <c r="J57" s="91" t="n">
        <v>128.86</v>
      </c>
      <c r="K57" s="91" t="n">
        <v>31.78</v>
      </c>
      <c r="L57" s="91" t="n">
        <v>171.28</v>
      </c>
      <c r="M57" s="91" t="n">
        <v>78.55</v>
      </c>
      <c r="N57" s="91" t="n">
        <v>481.24</v>
      </c>
      <c r="O57" s="91" t="n">
        <v>95.86</v>
      </c>
      <c r="P57" s="91"/>
      <c r="Q57" s="91" t="n">
        <v>61.51</v>
      </c>
      <c r="R57" s="91" t="n">
        <v>53.9</v>
      </c>
      <c r="S57" s="91" t="n">
        <v>89.61</v>
      </c>
      <c r="T57" s="91" t="n">
        <v>33.09</v>
      </c>
      <c r="U57" s="91"/>
    </row>
    <row r="58" customFormat="false" ht="15" hidden="false" customHeight="true" outlineLevel="0" collapsed="false">
      <c r="A58" s="90" t="n">
        <v>45534</v>
      </c>
      <c r="B58" s="91" t="n">
        <v>574.41</v>
      </c>
      <c r="C58" s="91" t="n">
        <v>88.35</v>
      </c>
      <c r="D58" s="91" t="n">
        <v>903.87</v>
      </c>
      <c r="E58" s="91" t="n">
        <v>162.82</v>
      </c>
      <c r="F58" s="91" t="n">
        <v>69.32</v>
      </c>
      <c r="G58" s="91" t="n">
        <v>81.94</v>
      </c>
      <c r="H58" s="91" t="n">
        <v>96.24</v>
      </c>
      <c r="I58" s="91" t="n">
        <v>119.37</v>
      </c>
      <c r="J58" s="91" t="n">
        <v>127.82</v>
      </c>
      <c r="K58" s="91" t="n">
        <v>31.48</v>
      </c>
      <c r="L58" s="91" t="n">
        <v>171.7</v>
      </c>
      <c r="M58" s="91" t="n">
        <v>83.03</v>
      </c>
      <c r="N58" s="91" t="n">
        <v>495.89</v>
      </c>
      <c r="O58" s="91" t="n">
        <v>95.91</v>
      </c>
      <c r="P58" s="91"/>
      <c r="Q58" s="91" t="n">
        <v>62.02</v>
      </c>
      <c r="R58" s="91" t="n">
        <v>54.08</v>
      </c>
      <c r="S58" s="91" t="n">
        <v>89.25</v>
      </c>
      <c r="T58" s="91" t="n">
        <v>33.2</v>
      </c>
      <c r="U58" s="91"/>
    </row>
    <row r="59" customFormat="false" ht="15" hidden="false" customHeight="true" outlineLevel="0" collapsed="false">
      <c r="A59" s="90" t="n">
        <v>45541</v>
      </c>
      <c r="B59" s="91" t="n">
        <v>563.41</v>
      </c>
      <c r="C59" s="91" t="n">
        <v>78.58</v>
      </c>
      <c r="D59" s="91" t="n">
        <v>752.79</v>
      </c>
      <c r="E59" s="91" t="n">
        <v>137</v>
      </c>
      <c r="F59" s="91" t="n">
        <v>61.6</v>
      </c>
      <c r="G59" s="91" t="n">
        <v>70.28</v>
      </c>
      <c r="H59" s="91" t="n">
        <v>86.38</v>
      </c>
      <c r="I59" s="91" t="n">
        <v>102.83</v>
      </c>
      <c r="J59" s="91" t="n">
        <v>127.23</v>
      </c>
      <c r="K59" s="91" t="n">
        <v>30.33</v>
      </c>
      <c r="L59" s="91" t="n">
        <v>156.82</v>
      </c>
      <c r="M59" s="91" t="n">
        <v>71.77</v>
      </c>
      <c r="N59" s="91" t="n">
        <v>468</v>
      </c>
      <c r="O59" s="91" t="n">
        <v>90.48</v>
      </c>
      <c r="P59" s="91"/>
      <c r="Q59" s="91" t="n">
        <v>61.85</v>
      </c>
      <c r="R59" s="91" t="n">
        <v>51.36</v>
      </c>
      <c r="S59" s="91" t="n">
        <v>83.92</v>
      </c>
      <c r="T59" s="91" t="n">
        <v>31.83</v>
      </c>
      <c r="U59" s="91"/>
    </row>
    <row r="60" customFormat="false" ht="15" hidden="false" customHeight="true" outlineLevel="0" collapsed="false">
      <c r="A60" s="90" t="n">
        <v>45548</v>
      </c>
      <c r="B60" s="91" t="n">
        <v>536.87</v>
      </c>
      <c r="C60" s="91" t="n">
        <v>89.94</v>
      </c>
      <c r="D60" s="91" t="n">
        <v>816.36</v>
      </c>
      <c r="E60" s="91" t="n">
        <v>167.69</v>
      </c>
      <c r="F60" s="91" t="n">
        <v>64.78</v>
      </c>
      <c r="G60" s="91" t="n">
        <v>75.15</v>
      </c>
      <c r="H60" s="91" t="n">
        <v>91.22</v>
      </c>
      <c r="I60" s="91" t="n">
        <v>119.1</v>
      </c>
      <c r="J60" s="91" t="n">
        <v>129.98</v>
      </c>
      <c r="K60" s="91" t="n">
        <v>35.59</v>
      </c>
      <c r="L60" s="91" t="n">
        <v>172.5</v>
      </c>
      <c r="M60" s="91" t="n">
        <v>85.76</v>
      </c>
      <c r="N60" s="91" t="n">
        <v>485.37</v>
      </c>
      <c r="O60" s="91" t="n">
        <v>93.09</v>
      </c>
      <c r="P60" s="91"/>
      <c r="Q60" s="91" t="n">
        <v>61.3</v>
      </c>
      <c r="R60" s="91" t="n">
        <v>53.75</v>
      </c>
      <c r="S60" s="91" t="n">
        <v>89.08</v>
      </c>
      <c r="T60" s="91" t="n">
        <v>32.58</v>
      </c>
      <c r="U60" s="91"/>
    </row>
    <row r="61" customFormat="false" ht="15" hidden="false" customHeight="true" outlineLevel="0" collapsed="false">
      <c r="A61" s="90" t="n">
        <v>45555</v>
      </c>
      <c r="B61" s="91" t="n">
        <v>522.3</v>
      </c>
      <c r="C61" s="91" t="n">
        <v>96.12</v>
      </c>
      <c r="D61" s="91" t="n">
        <v>795.28</v>
      </c>
      <c r="E61" s="91" t="n">
        <v>171.1</v>
      </c>
      <c r="F61" s="91" t="n">
        <v>74.96</v>
      </c>
      <c r="G61" s="91" t="n">
        <v>75.89</v>
      </c>
      <c r="H61" s="91" t="n">
        <v>90.9</v>
      </c>
      <c r="I61" s="91" t="n">
        <v>116</v>
      </c>
      <c r="J61" s="91" t="n">
        <v>125.47</v>
      </c>
      <c r="K61" s="91" t="n">
        <v>37.2</v>
      </c>
      <c r="L61" s="91" t="n">
        <v>174.08</v>
      </c>
      <c r="M61" s="91" t="n">
        <v>94.54</v>
      </c>
      <c r="N61" s="91" t="n">
        <v>464.92</v>
      </c>
      <c r="O61" s="91" t="n">
        <v>95.9</v>
      </c>
      <c r="P61" s="91"/>
      <c r="Q61" s="91" t="n">
        <v>62.79</v>
      </c>
      <c r="R61" s="91" t="n">
        <v>54.41</v>
      </c>
      <c r="S61" s="91" t="n">
        <v>90.53</v>
      </c>
      <c r="T61" s="91" t="n">
        <v>33.14</v>
      </c>
      <c r="U61" s="91"/>
    </row>
    <row r="62" customFormat="false" ht="15" hidden="false" customHeight="true" outlineLevel="0" collapsed="false">
      <c r="A62" s="90" t="n">
        <v>45562</v>
      </c>
      <c r="B62" s="91" t="n">
        <v>515.48</v>
      </c>
      <c r="C62" s="91" t="n">
        <v>95.07</v>
      </c>
      <c r="D62" s="91" t="n">
        <v>841.54</v>
      </c>
      <c r="E62" s="91" t="n">
        <v>172.69</v>
      </c>
      <c r="F62" s="91" t="n">
        <v>71.47</v>
      </c>
      <c r="G62" s="91" t="n">
        <v>78.24</v>
      </c>
      <c r="H62" s="91" t="n">
        <v>107.5</v>
      </c>
      <c r="I62" s="91" t="n">
        <v>121.4</v>
      </c>
      <c r="J62" s="91" t="n">
        <v>125.59</v>
      </c>
      <c r="K62" s="91" t="n">
        <v>36.84</v>
      </c>
      <c r="L62" s="91" t="n">
        <v>177.97</v>
      </c>
      <c r="M62" s="91" t="n">
        <v>98.41</v>
      </c>
      <c r="N62" s="91" t="n">
        <v>462.88</v>
      </c>
      <c r="O62" s="91" t="n">
        <v>95.56</v>
      </c>
      <c r="P62" s="91"/>
      <c r="Q62" s="91" t="n">
        <v>62.19</v>
      </c>
      <c r="R62" s="91" t="n">
        <v>54.8</v>
      </c>
      <c r="S62" s="91" t="n">
        <v>90.34</v>
      </c>
      <c r="T62" s="91" t="n">
        <v>33.21</v>
      </c>
      <c r="U62" s="91"/>
    </row>
    <row r="63" customFormat="false" ht="15" hidden="false" customHeight="true" outlineLevel="0" collapsed="false">
      <c r="A63" s="90" t="n">
        <v>45569</v>
      </c>
      <c r="B63" s="91" t="n">
        <v>507.22</v>
      </c>
      <c r="C63" s="91" t="n">
        <v>98.99</v>
      </c>
      <c r="D63" s="91" t="n">
        <v>833</v>
      </c>
      <c r="E63" s="91" t="n">
        <v>176.64</v>
      </c>
      <c r="F63" s="91" t="n">
        <v>73.06</v>
      </c>
      <c r="G63" s="91" t="n">
        <v>78.74</v>
      </c>
      <c r="H63" s="91" t="n">
        <v>102.25</v>
      </c>
      <c r="I63" s="91" t="n">
        <v>124.92</v>
      </c>
      <c r="J63" s="91" t="n">
        <v>122.42</v>
      </c>
      <c r="K63" s="91" t="n">
        <v>40.01</v>
      </c>
      <c r="L63" s="91" t="n">
        <v>181.16</v>
      </c>
      <c r="M63" s="91" t="n">
        <v>105.2</v>
      </c>
      <c r="N63" s="91" t="n">
        <v>455.31</v>
      </c>
      <c r="O63" s="91" t="n">
        <v>95.83</v>
      </c>
      <c r="P63" s="91"/>
      <c r="Q63" s="91" t="n">
        <v>62.66</v>
      </c>
      <c r="R63" s="91" t="n">
        <v>54.37</v>
      </c>
      <c r="S63" s="91" t="n">
        <v>91.69</v>
      </c>
      <c r="T63" s="91" t="n">
        <v>33.83</v>
      </c>
      <c r="U63" s="91"/>
    </row>
    <row r="64" customFormat="false" ht="15" hidden="false" customHeight="true" outlineLevel="0" collapsed="false">
      <c r="A64" s="90" t="n">
        <v>45576</v>
      </c>
      <c r="B64" s="91" t="n">
        <v>495.42</v>
      </c>
      <c r="C64" s="91" t="n">
        <v>104.23</v>
      </c>
      <c r="D64" s="91" t="n">
        <v>840.69</v>
      </c>
      <c r="E64" s="91" t="n">
        <v>181.48</v>
      </c>
      <c r="F64" s="91" t="n">
        <v>80.05</v>
      </c>
      <c r="G64" s="91" t="n">
        <v>80.37</v>
      </c>
      <c r="H64" s="91" t="n">
        <v>106.92</v>
      </c>
      <c r="I64" s="91" t="n">
        <v>134.8</v>
      </c>
      <c r="J64" s="91" t="n">
        <v>120.24</v>
      </c>
      <c r="K64" s="91" t="n">
        <v>43.51</v>
      </c>
      <c r="L64" s="91" t="n">
        <v>190.81</v>
      </c>
      <c r="M64" s="91" t="n">
        <v>111.84</v>
      </c>
      <c r="N64" s="91" t="n">
        <v>481.71</v>
      </c>
      <c r="O64" s="91" t="n">
        <v>96.97</v>
      </c>
      <c r="P64" s="91"/>
      <c r="Q64" s="91" t="n">
        <v>63.04</v>
      </c>
      <c r="R64" s="91" t="n">
        <v>54.86</v>
      </c>
      <c r="S64" s="91" t="n">
        <v>93.67</v>
      </c>
      <c r="T64" s="91" t="n">
        <v>33.95</v>
      </c>
      <c r="U64" s="91"/>
    </row>
    <row r="65" customFormat="false" ht="15" hidden="false" customHeight="true" outlineLevel="0" collapsed="false">
      <c r="A65" s="90" t="n">
        <v>45583</v>
      </c>
      <c r="B65" s="91" t="n">
        <v>494.9</v>
      </c>
      <c r="C65" s="91" t="n">
        <v>100.5</v>
      </c>
      <c r="D65" s="91" t="n">
        <v>723.26</v>
      </c>
      <c r="E65" s="91" t="n">
        <v>179.89</v>
      </c>
      <c r="F65" s="91" t="n">
        <v>77.54</v>
      </c>
      <c r="G65" s="91" t="n">
        <v>67.85</v>
      </c>
      <c r="H65" s="91" t="n">
        <v>111.15</v>
      </c>
      <c r="I65" s="91" t="n">
        <v>138</v>
      </c>
      <c r="J65" s="91" t="n">
        <v>122.5</v>
      </c>
      <c r="K65" s="91" t="n">
        <v>42.97</v>
      </c>
      <c r="L65" s="91" t="n">
        <v>200.78</v>
      </c>
      <c r="M65" s="91" t="n">
        <v>112.25</v>
      </c>
      <c r="N65" s="91" t="n">
        <v>483</v>
      </c>
      <c r="O65" s="91" t="n">
        <v>98.19</v>
      </c>
      <c r="P65" s="91"/>
      <c r="Q65" s="91" t="n">
        <v>63.28</v>
      </c>
      <c r="R65" s="91" t="n">
        <v>55.27</v>
      </c>
      <c r="S65" s="91" t="n">
        <v>94.07</v>
      </c>
      <c r="T65" s="91" t="n">
        <v>33.79</v>
      </c>
      <c r="U65" s="91"/>
    </row>
    <row r="66" customFormat="false" ht="15" hidden="false" customHeight="true" outlineLevel="0" collapsed="false">
      <c r="A66" s="90" t="n">
        <v>45590</v>
      </c>
      <c r="B66" s="91" t="n">
        <v>483.72</v>
      </c>
      <c r="C66" s="91" t="n">
        <v>98.52</v>
      </c>
      <c r="D66" s="91" t="n">
        <v>711.7</v>
      </c>
      <c r="E66" s="91" t="n">
        <v>173</v>
      </c>
      <c r="F66" s="91" t="n">
        <v>75.16</v>
      </c>
      <c r="G66" s="91" t="n">
        <v>67.31</v>
      </c>
      <c r="H66" s="91" t="n">
        <v>107.91</v>
      </c>
      <c r="I66" s="91" t="n">
        <v>141.54</v>
      </c>
      <c r="J66" s="91" t="n">
        <v>117.54</v>
      </c>
      <c r="K66" s="91" t="n">
        <v>44.86</v>
      </c>
      <c r="L66" s="91" t="n">
        <v>203.44</v>
      </c>
      <c r="M66" s="91" t="n">
        <v>112.17</v>
      </c>
      <c r="N66" s="91" t="n">
        <v>477.7</v>
      </c>
      <c r="O66" s="91" t="n">
        <v>94.92</v>
      </c>
      <c r="P66" s="91"/>
      <c r="Q66" s="91" t="n">
        <v>63.17</v>
      </c>
      <c r="R66" s="91" t="n">
        <v>55.4</v>
      </c>
      <c r="S66" s="91" t="n">
        <v>92.69</v>
      </c>
      <c r="T66" s="91" t="n">
        <v>33.14</v>
      </c>
      <c r="U66" s="91"/>
    </row>
    <row r="67" customFormat="false" ht="15" hidden="false" customHeight="true" outlineLevel="0" collapsed="false">
      <c r="A67" s="90" t="n">
        <v>45597</v>
      </c>
      <c r="B67" s="91" t="n">
        <v>482.8</v>
      </c>
      <c r="C67" s="91" t="n">
        <v>98.54</v>
      </c>
      <c r="D67" s="91" t="n">
        <v>674.73</v>
      </c>
      <c r="E67" s="91" t="n">
        <v>168.92</v>
      </c>
      <c r="F67" s="91" t="n">
        <v>75.78</v>
      </c>
      <c r="G67" s="91" t="n">
        <v>66.94</v>
      </c>
      <c r="H67" s="91" t="n">
        <v>99.73</v>
      </c>
      <c r="I67" s="91" t="n">
        <v>135.4</v>
      </c>
      <c r="J67" s="91" t="n">
        <v>113.4</v>
      </c>
      <c r="K67" s="91" t="n">
        <v>41.92</v>
      </c>
      <c r="L67" s="91" t="n">
        <v>192.95</v>
      </c>
      <c r="M67" s="91" t="n">
        <v>106.9</v>
      </c>
      <c r="N67" s="91" t="n">
        <v>471.12</v>
      </c>
      <c r="O67" s="91" t="n">
        <v>94.69</v>
      </c>
      <c r="P67" s="91"/>
      <c r="Q67" s="91" t="n">
        <v>62.39</v>
      </c>
      <c r="R67" s="91" t="n">
        <v>54.44</v>
      </c>
      <c r="S67" s="91" t="n">
        <v>91.42</v>
      </c>
      <c r="T67" s="91" t="n">
        <v>33.16</v>
      </c>
      <c r="U67" s="91"/>
    </row>
    <row r="68" customFormat="false" ht="15" hidden="false" customHeight="true" outlineLevel="0" collapsed="false">
      <c r="A68" s="90" t="n">
        <v>45604</v>
      </c>
      <c r="B68" s="91" t="n">
        <v>494.68</v>
      </c>
      <c r="C68" s="91" t="n">
        <v>100.11</v>
      </c>
      <c r="D68" s="91" t="n">
        <v>669.47</v>
      </c>
      <c r="E68" s="91" t="n">
        <v>183.64</v>
      </c>
      <c r="F68" s="91" t="n">
        <v>82.51</v>
      </c>
      <c r="G68" s="91" t="n">
        <v>68.74</v>
      </c>
      <c r="H68" s="91" t="n">
        <v>111.9</v>
      </c>
      <c r="I68" s="91" t="n">
        <v>147.63</v>
      </c>
      <c r="J68" s="91" t="n">
        <v>115.83</v>
      </c>
      <c r="K68" s="91" t="n">
        <v>58.39</v>
      </c>
      <c r="L68" s="91" t="n">
        <v>201.2</v>
      </c>
      <c r="M68" s="91" t="n">
        <v>125.75</v>
      </c>
      <c r="N68" s="91" t="n">
        <v>516.74</v>
      </c>
      <c r="O68" s="91" t="n">
        <v>103.08</v>
      </c>
      <c r="P68" s="91"/>
      <c r="Q68" s="91" t="n">
        <v>62.65</v>
      </c>
      <c r="R68" s="91" t="n">
        <v>56.54</v>
      </c>
      <c r="S68" s="91" t="n">
        <v>96.89</v>
      </c>
      <c r="T68" s="91" t="n">
        <v>35.73</v>
      </c>
      <c r="U68" s="91"/>
    </row>
    <row r="69" customFormat="false" ht="15" hidden="false" customHeight="true" outlineLevel="0" collapsed="false">
      <c r="A69" s="90" t="n">
        <v>45611</v>
      </c>
      <c r="B69" s="91" t="n">
        <v>503.37</v>
      </c>
      <c r="C69" s="91" t="n">
        <v>93.6</v>
      </c>
      <c r="D69" s="91" t="n">
        <v>658.63</v>
      </c>
      <c r="E69" s="91" t="n">
        <v>164.84</v>
      </c>
      <c r="F69" s="91" t="n">
        <v>84.19</v>
      </c>
      <c r="G69" s="91" t="n">
        <v>61.45</v>
      </c>
      <c r="H69" s="91" t="n">
        <v>96.34</v>
      </c>
      <c r="I69" s="91" t="n">
        <v>141.98</v>
      </c>
      <c r="J69" s="91" t="n">
        <v>113.42</v>
      </c>
      <c r="K69" s="91" t="n">
        <v>65.77</v>
      </c>
      <c r="L69" s="91" t="n">
        <v>186.01</v>
      </c>
      <c r="M69" s="91" t="n">
        <v>120.87</v>
      </c>
      <c r="N69" s="91" t="n">
        <v>465.7</v>
      </c>
      <c r="O69" s="91" t="n">
        <v>101.08</v>
      </c>
      <c r="P69" s="91"/>
      <c r="Q69" s="91" t="n">
        <v>62.4</v>
      </c>
      <c r="R69" s="91" t="n">
        <v>55.61</v>
      </c>
      <c r="S69" s="91" t="n">
        <v>93.9</v>
      </c>
      <c r="T69" s="91" t="n">
        <v>35.18</v>
      </c>
      <c r="U69" s="91"/>
    </row>
    <row r="70" customFormat="false" ht="15" hidden="false" customHeight="true" outlineLevel="0" collapsed="false">
      <c r="A70" s="90" t="n">
        <v>45618</v>
      </c>
      <c r="B70" s="91" t="n">
        <v>512.15</v>
      </c>
      <c r="C70" s="91" t="n">
        <v>101.62</v>
      </c>
      <c r="D70" s="91" t="n">
        <v>672.88</v>
      </c>
      <c r="E70" s="91" t="n">
        <v>164.23</v>
      </c>
      <c r="F70" s="91" t="n">
        <v>93.07</v>
      </c>
      <c r="G70" s="91" t="n">
        <v>63.96</v>
      </c>
      <c r="H70" s="91" t="n">
        <v>102.64</v>
      </c>
      <c r="I70" s="91" t="n">
        <v>141.95</v>
      </c>
      <c r="J70" s="91" t="n">
        <v>115.8</v>
      </c>
      <c r="K70" s="91" t="n">
        <v>64.35</v>
      </c>
      <c r="L70" s="91" t="n">
        <v>190.08</v>
      </c>
      <c r="M70" s="91" t="n">
        <v>140.15</v>
      </c>
      <c r="N70" s="91" t="n">
        <v>450.97</v>
      </c>
      <c r="O70" s="91" t="n">
        <v>104.78</v>
      </c>
      <c r="P70" s="91"/>
      <c r="Q70" s="91" t="n">
        <v>61.64</v>
      </c>
      <c r="R70" s="91" t="n">
        <v>56.57</v>
      </c>
      <c r="S70" s="91" t="n">
        <v>95.58</v>
      </c>
      <c r="T70" s="91" t="n">
        <v>36.54</v>
      </c>
      <c r="U70" s="91"/>
    </row>
    <row r="71" customFormat="false" ht="15" hidden="false" customHeight="true" outlineLevel="0" collapsed="false">
      <c r="A71" s="90" t="n">
        <v>45625</v>
      </c>
      <c r="B71" s="91" t="n">
        <v>515.93</v>
      </c>
      <c r="C71" s="91" t="n">
        <v>101.46</v>
      </c>
      <c r="D71" s="91" t="n">
        <v>686.61</v>
      </c>
      <c r="E71" s="91" t="n">
        <v>162.08</v>
      </c>
      <c r="F71" s="91" t="n">
        <v>86.49</v>
      </c>
      <c r="G71" s="91" t="n">
        <v>64.7</v>
      </c>
      <c r="H71" s="91" t="n">
        <v>97.95</v>
      </c>
      <c r="I71" s="91" t="n">
        <v>138.25</v>
      </c>
      <c r="J71" s="91" t="n">
        <v>116.78</v>
      </c>
      <c r="K71" s="91" t="n">
        <v>67.08</v>
      </c>
      <c r="L71" s="91" t="n">
        <v>184.66</v>
      </c>
      <c r="M71" s="91" t="n">
        <v>127.6</v>
      </c>
      <c r="N71" s="91" t="n">
        <v>468.13</v>
      </c>
      <c r="O71" s="91" t="n">
        <v>105.49</v>
      </c>
      <c r="P71" s="91"/>
      <c r="Q71" s="91" t="n">
        <v>62.7</v>
      </c>
      <c r="R71" s="91" t="n">
        <v>57.09</v>
      </c>
      <c r="S71" s="91" t="n">
        <v>96.83</v>
      </c>
      <c r="T71" s="91" t="n">
        <v>36.61</v>
      </c>
      <c r="U71" s="91"/>
    </row>
    <row r="72" customFormat="false" ht="15" hidden="false" customHeight="true" outlineLevel="0" collapsed="false">
      <c r="A72" s="90" t="n">
        <v>45632</v>
      </c>
      <c r="B72" s="91" t="n">
        <v>552.96</v>
      </c>
      <c r="C72" s="91" t="n">
        <v>108.25</v>
      </c>
      <c r="D72" s="91" t="n">
        <v>708.98</v>
      </c>
      <c r="E72" s="91" t="n">
        <v>179.53</v>
      </c>
      <c r="F72" s="91" t="n">
        <v>91.41</v>
      </c>
      <c r="G72" s="91" t="n">
        <v>64.83</v>
      </c>
      <c r="H72" s="91" t="n">
        <v>101.17</v>
      </c>
      <c r="I72" s="91" t="n">
        <v>142.44</v>
      </c>
      <c r="J72" s="91" t="n">
        <v>112</v>
      </c>
      <c r="K72" s="91" t="n">
        <v>76.34</v>
      </c>
      <c r="L72" s="91" t="n">
        <v>203.02</v>
      </c>
      <c r="M72" s="91" t="n">
        <v>133.85</v>
      </c>
      <c r="N72" s="91" t="n">
        <v>462.1</v>
      </c>
      <c r="O72" s="91" t="n">
        <v>103.29</v>
      </c>
      <c r="P72" s="91"/>
      <c r="Q72" s="91" t="n">
        <v>63.35</v>
      </c>
      <c r="R72" s="91" t="n">
        <v>57.62</v>
      </c>
      <c r="S72" s="91" t="n">
        <v>98.7</v>
      </c>
      <c r="T72" s="91" t="n">
        <v>36.58</v>
      </c>
      <c r="U72" s="91"/>
    </row>
    <row r="73" customFormat="false" ht="15" hidden="false" customHeight="true" outlineLevel="0" collapsed="false">
      <c r="A73" s="90" t="n">
        <v>45639</v>
      </c>
      <c r="B73" s="91" t="n">
        <v>465.69</v>
      </c>
      <c r="C73" s="91" t="n">
        <v>112.37</v>
      </c>
      <c r="D73" s="91" t="n">
        <v>718.58</v>
      </c>
      <c r="E73" s="91" t="n">
        <v>224.8</v>
      </c>
      <c r="F73" s="91" t="n">
        <v>92.01</v>
      </c>
      <c r="G73" s="91" t="n">
        <v>65.38</v>
      </c>
      <c r="H73" s="91" t="n">
        <v>102.5</v>
      </c>
      <c r="I73" s="91" t="n">
        <v>134.25</v>
      </c>
      <c r="J73" s="91" t="n">
        <v>111.13</v>
      </c>
      <c r="K73" s="91" t="n">
        <v>76.07</v>
      </c>
      <c r="L73" s="91" t="n">
        <v>200.99</v>
      </c>
      <c r="M73" s="91" t="n">
        <v>125.78</v>
      </c>
      <c r="N73" s="91" t="n">
        <v>463.73</v>
      </c>
      <c r="O73" s="91" t="n">
        <v>102.01</v>
      </c>
      <c r="P73" s="91"/>
      <c r="Q73" s="91" t="n">
        <v>62.8</v>
      </c>
      <c r="R73" s="91" t="n">
        <v>57.85</v>
      </c>
      <c r="S73" s="91" t="n">
        <v>97.77</v>
      </c>
      <c r="T73" s="91" t="n">
        <v>34.97</v>
      </c>
      <c r="U73" s="91"/>
    </row>
    <row r="74" customFormat="false" ht="15" hidden="false" customHeight="true" outlineLevel="0" collapsed="false">
      <c r="A74" s="90" t="n">
        <v>45646</v>
      </c>
      <c r="B74" s="91" t="n">
        <v>447.17</v>
      </c>
      <c r="C74" s="91" t="n">
        <v>112.81</v>
      </c>
      <c r="D74" s="91" t="n">
        <v>705.68</v>
      </c>
      <c r="E74" s="91" t="n">
        <v>220.79</v>
      </c>
      <c r="F74" s="91" t="n">
        <v>90.57</v>
      </c>
      <c r="G74" s="91" t="n">
        <v>62.94</v>
      </c>
      <c r="H74" s="91" t="n">
        <v>90.12</v>
      </c>
      <c r="I74" s="91" t="n">
        <v>134.7</v>
      </c>
      <c r="J74" s="91" t="n">
        <v>103.32</v>
      </c>
      <c r="K74" s="91" t="n">
        <v>80.55</v>
      </c>
      <c r="L74" s="91" t="n">
        <v>197.21</v>
      </c>
      <c r="M74" s="91" t="n">
        <v>120.04</v>
      </c>
      <c r="N74" s="91" t="n">
        <v>397.27</v>
      </c>
      <c r="O74" s="91" t="n">
        <v>96.11</v>
      </c>
      <c r="P74" s="91"/>
      <c r="Q74" s="91" t="n">
        <v>62.76</v>
      </c>
      <c r="R74" s="91" t="n">
        <v>57.2</v>
      </c>
      <c r="S74" s="91" t="n">
        <v>95.58</v>
      </c>
      <c r="T74" s="91" t="n">
        <v>33.9</v>
      </c>
      <c r="U74" s="91"/>
    </row>
    <row r="75" customFormat="false" ht="15" hidden="false" customHeight="true" outlineLevel="0" collapsed="false">
      <c r="A75" s="90" t="n">
        <v>45653</v>
      </c>
      <c r="B75" s="91" t="n">
        <v>446.48</v>
      </c>
      <c r="C75" s="91" t="n">
        <v>113.03</v>
      </c>
      <c r="D75" s="91" t="n">
        <v>713.59</v>
      </c>
      <c r="E75" s="91" t="n">
        <v>241.75</v>
      </c>
      <c r="F75" s="91" t="n">
        <v>88.75</v>
      </c>
      <c r="G75" s="91" t="n">
        <v>64.48</v>
      </c>
      <c r="H75" s="91" t="n">
        <v>88.63</v>
      </c>
      <c r="I75" s="91" t="n">
        <v>137.01</v>
      </c>
      <c r="J75" s="91" t="n">
        <v>105.24</v>
      </c>
      <c r="K75" s="91" t="n">
        <v>79.08</v>
      </c>
      <c r="L75" s="91" t="n">
        <v>201.63</v>
      </c>
      <c r="M75" s="91" t="n">
        <v>115.11</v>
      </c>
      <c r="N75" s="91" t="n">
        <v>408.76</v>
      </c>
      <c r="O75" s="91" t="n">
        <v>96.49</v>
      </c>
      <c r="P75" s="91"/>
      <c r="Q75" s="91" t="n">
        <v>63.42</v>
      </c>
      <c r="R75" s="91" t="n">
        <v>57.74</v>
      </c>
      <c r="S75" s="91" t="n">
        <v>96.59</v>
      </c>
      <c r="T75" s="91" t="n">
        <v>34.21</v>
      </c>
      <c r="U75" s="91"/>
    </row>
    <row r="76" customFormat="false" ht="15" hidden="false" customHeight="true" outlineLevel="0" collapsed="false">
      <c r="A76" s="90" t="n">
        <v>45660</v>
      </c>
      <c r="B76" s="91" t="n">
        <v>430.57</v>
      </c>
      <c r="C76" s="91" t="n">
        <v>115.2</v>
      </c>
      <c r="D76" s="91" t="n">
        <v>714.36</v>
      </c>
      <c r="E76" s="91" t="n">
        <v>232.55</v>
      </c>
      <c r="F76" s="91" t="n">
        <v>89.76</v>
      </c>
      <c r="G76" s="91" t="n">
        <v>65.7</v>
      </c>
      <c r="H76" s="91" t="n">
        <v>89.87</v>
      </c>
      <c r="I76" s="91" t="n">
        <v>144.47</v>
      </c>
      <c r="J76" s="91" t="n">
        <v>105.63</v>
      </c>
      <c r="K76" s="91" t="n">
        <v>79.89</v>
      </c>
      <c r="L76" s="91" t="n">
        <v>208.61</v>
      </c>
      <c r="M76" s="91" t="n">
        <v>125.67</v>
      </c>
      <c r="N76" s="91" t="n">
        <v>407.11</v>
      </c>
      <c r="O76" s="91" t="n">
        <v>97.24</v>
      </c>
      <c r="P76" s="91"/>
      <c r="Q76" s="91" t="n">
        <v>62.85</v>
      </c>
      <c r="R76" s="91" t="n">
        <v>57.08</v>
      </c>
      <c r="S76" s="91" t="n">
        <v>96.89</v>
      </c>
      <c r="T76" s="91" t="n">
        <v>34.47</v>
      </c>
      <c r="U76" s="91"/>
    </row>
    <row r="77" customFormat="false" ht="15" hidden="false" customHeight="true" outlineLevel="0" collapsed="false">
      <c r="A77" s="90" t="n">
        <v>45667</v>
      </c>
      <c r="B77" s="91" t="n">
        <v>405.92</v>
      </c>
      <c r="C77" s="91" t="n">
        <v>114.34</v>
      </c>
      <c r="D77" s="91" t="n">
        <v>739.01</v>
      </c>
      <c r="E77" s="91" t="n">
        <v>224.31</v>
      </c>
      <c r="F77" s="91" t="n">
        <v>87.21</v>
      </c>
      <c r="G77" s="91" t="n">
        <v>68.31</v>
      </c>
      <c r="H77" s="91" t="n">
        <v>99.34</v>
      </c>
      <c r="I77" s="91" t="n">
        <v>135.91</v>
      </c>
      <c r="J77" s="91" t="n">
        <v>103.59</v>
      </c>
      <c r="K77" s="91" t="n">
        <v>67.26</v>
      </c>
      <c r="L77" s="91" t="n">
        <v>208.37</v>
      </c>
      <c r="M77" s="91" t="n">
        <v>128.93</v>
      </c>
      <c r="N77" s="91" t="n">
        <v>409.56</v>
      </c>
      <c r="O77" s="91" t="n">
        <v>94.69</v>
      </c>
      <c r="P77" s="91"/>
      <c r="Q77" s="91" t="n">
        <v>62.45</v>
      </c>
      <c r="R77" s="91" t="n">
        <v>55.98</v>
      </c>
      <c r="S77" s="91" t="n">
        <v>95.58</v>
      </c>
      <c r="T77" s="91" t="n">
        <v>34.46</v>
      </c>
      <c r="U77" s="91"/>
    </row>
    <row r="78" customFormat="false" ht="15" hidden="false" customHeight="true" outlineLevel="0" collapsed="false">
      <c r="A78" s="90" t="n">
        <v>45674</v>
      </c>
      <c r="B78" s="91" t="n">
        <v>429.99</v>
      </c>
      <c r="C78" s="91" t="n">
        <v>119.95</v>
      </c>
      <c r="D78" s="91" t="n">
        <v>756.33</v>
      </c>
      <c r="E78" s="91" t="n">
        <v>237.44</v>
      </c>
      <c r="F78" s="91" t="n">
        <v>89.25</v>
      </c>
      <c r="G78" s="91" t="n">
        <v>75.75</v>
      </c>
      <c r="H78" s="91" t="n">
        <v>105.75</v>
      </c>
      <c r="I78" s="91" t="n">
        <v>137.71</v>
      </c>
      <c r="J78" s="91" t="n">
        <v>109.48</v>
      </c>
      <c r="K78" s="91" t="n">
        <v>71.77</v>
      </c>
      <c r="L78" s="91" t="n">
        <v>211.5</v>
      </c>
      <c r="M78" s="91" t="n">
        <v>135.88</v>
      </c>
      <c r="N78" s="91" t="n">
        <v>422</v>
      </c>
      <c r="O78" s="91" t="n">
        <v>99.32</v>
      </c>
      <c r="P78" s="91"/>
      <c r="Q78" s="91" t="n">
        <v>61.36</v>
      </c>
      <c r="R78" s="91" t="n">
        <v>57.27</v>
      </c>
      <c r="S78" s="91" t="n">
        <v>98.65</v>
      </c>
      <c r="T78" s="91" t="n">
        <v>35.79</v>
      </c>
      <c r="U78" s="91"/>
    </row>
    <row r="79" customFormat="false" ht="15" hidden="false" customHeight="true" outlineLevel="0" collapsed="false">
      <c r="A79" s="90" t="n">
        <v>45681</v>
      </c>
      <c r="B79" s="91" t="n">
        <v>435.38</v>
      </c>
      <c r="C79" s="91" t="n">
        <v>129.17</v>
      </c>
      <c r="D79" s="91" t="n">
        <v>732.25</v>
      </c>
      <c r="E79" s="91" t="n">
        <v>244.7</v>
      </c>
      <c r="F79" s="91" t="n">
        <v>93.73</v>
      </c>
      <c r="G79" s="91" t="n">
        <v>74.98</v>
      </c>
      <c r="H79" s="91" t="n">
        <v>103.19</v>
      </c>
      <c r="I79" s="91" t="n">
        <v>142.62</v>
      </c>
      <c r="J79" s="91" t="n">
        <v>118.93</v>
      </c>
      <c r="K79" s="91" t="n">
        <v>78.98</v>
      </c>
      <c r="L79" s="91" t="n">
        <v>221.88</v>
      </c>
      <c r="M79" s="91" t="n">
        <v>146.32</v>
      </c>
      <c r="N79" s="91" t="n">
        <v>439.62</v>
      </c>
      <c r="O79" s="91" t="n">
        <v>99.82</v>
      </c>
      <c r="P79" s="91"/>
      <c r="Q79" s="91" t="n">
        <v>60.49</v>
      </c>
      <c r="R79" s="91" t="n">
        <v>58.07</v>
      </c>
      <c r="S79" s="91" t="n">
        <v>101.33</v>
      </c>
      <c r="T79" s="91" t="n">
        <v>35.88</v>
      </c>
      <c r="U79" s="91"/>
    </row>
    <row r="80" customFormat="false" ht="15" hidden="false" customHeight="true" outlineLevel="0" collapsed="false">
      <c r="A80" s="90" t="n">
        <v>45688</v>
      </c>
      <c r="B80" s="91" t="n">
        <v>437.45</v>
      </c>
      <c r="C80" s="91" t="n">
        <v>115.23</v>
      </c>
      <c r="D80" s="91" t="n">
        <v>739.31</v>
      </c>
      <c r="E80" s="91" t="n">
        <v>221.27</v>
      </c>
      <c r="F80" s="91" t="n">
        <v>99.52</v>
      </c>
      <c r="G80" s="91" t="n">
        <v>73.82</v>
      </c>
      <c r="H80" s="91" t="n">
        <v>91.24</v>
      </c>
      <c r="I80" s="91" t="n">
        <v>120.07</v>
      </c>
      <c r="J80" s="91" t="n">
        <v>119.25</v>
      </c>
      <c r="K80" s="91" t="n">
        <v>82.49</v>
      </c>
      <c r="L80" s="91" t="n">
        <v>209.32</v>
      </c>
      <c r="M80" s="91" t="n">
        <v>117.02</v>
      </c>
      <c r="N80" s="91" t="n">
        <v>461.68</v>
      </c>
      <c r="O80" s="91" t="n">
        <v>98.31</v>
      </c>
      <c r="P80" s="91"/>
      <c r="Q80" s="91" t="n">
        <v>60.36</v>
      </c>
      <c r="R80" s="91" t="n">
        <v>57.47</v>
      </c>
      <c r="S80" s="91" t="n">
        <v>100.04</v>
      </c>
      <c r="T80" s="91" t="n">
        <v>35.51</v>
      </c>
      <c r="U80" s="91"/>
    </row>
    <row r="81" customFormat="false" ht="15" hidden="false" customHeight="true" outlineLevel="0" collapsed="false">
      <c r="A81" s="90" t="n">
        <v>45695</v>
      </c>
      <c r="B81" s="91" t="n">
        <v>433.07</v>
      </c>
      <c r="C81" s="91" t="n">
        <v>118.47</v>
      </c>
      <c r="D81" s="91" t="n">
        <v>727.7</v>
      </c>
      <c r="E81" s="91" t="n">
        <v>224.87</v>
      </c>
      <c r="F81" s="91" t="n">
        <v>105.4</v>
      </c>
      <c r="G81" s="91" t="n">
        <v>74.77</v>
      </c>
      <c r="H81" s="91" t="n">
        <v>92.3</v>
      </c>
      <c r="I81" s="91" t="n">
        <v>129.84</v>
      </c>
      <c r="J81" s="91" t="n">
        <v>117.35</v>
      </c>
      <c r="K81" s="91" t="n">
        <v>110.85</v>
      </c>
      <c r="L81" s="91" t="n">
        <v>206.12</v>
      </c>
      <c r="M81" s="91" t="n">
        <v>121.38</v>
      </c>
      <c r="N81" s="91" t="n">
        <v>469.32</v>
      </c>
      <c r="O81" s="91" t="n">
        <v>97.17</v>
      </c>
      <c r="P81" s="91"/>
      <c r="Q81" s="91" t="n">
        <v>59.58</v>
      </c>
      <c r="R81" s="91" t="n">
        <v>57.17</v>
      </c>
      <c r="S81" s="91" t="n">
        <v>102.03</v>
      </c>
      <c r="T81" s="91" t="n">
        <v>35.2</v>
      </c>
      <c r="U81" s="91"/>
    </row>
    <row r="82" customFormat="false" ht="15" hidden="false" customHeight="true" outlineLevel="0" collapsed="false">
      <c r="A82" s="90" t="n">
        <v>45702</v>
      </c>
      <c r="B82" s="91" t="n">
        <v>460.16</v>
      </c>
      <c r="C82" s="91" t="n">
        <v>106.87</v>
      </c>
      <c r="D82" s="91" t="n">
        <v>751.55</v>
      </c>
      <c r="E82" s="91" t="n">
        <v>233.04</v>
      </c>
      <c r="F82" s="91" t="n">
        <v>112.94</v>
      </c>
      <c r="G82" s="91" t="n">
        <v>75.07</v>
      </c>
      <c r="H82" s="91" t="n">
        <v>99.52</v>
      </c>
      <c r="I82" s="91" t="n">
        <v>138.85</v>
      </c>
      <c r="J82" s="91" t="n">
        <v>120.85</v>
      </c>
      <c r="K82" s="91" t="n">
        <v>119.16</v>
      </c>
      <c r="L82" s="91" t="n">
        <v>203.9</v>
      </c>
      <c r="M82" s="91" t="n">
        <v>108.05</v>
      </c>
      <c r="N82" s="91" t="n">
        <v>459</v>
      </c>
      <c r="O82" s="91" t="n">
        <v>97.47</v>
      </c>
      <c r="P82" s="91"/>
      <c r="Q82" s="91" t="n">
        <v>57.27</v>
      </c>
      <c r="R82" s="91" t="n">
        <v>58.27</v>
      </c>
      <c r="S82" s="91" t="n">
        <v>103.06</v>
      </c>
      <c r="T82" s="91" t="n">
        <v>35.61</v>
      </c>
      <c r="U82" s="91"/>
    </row>
    <row r="83" customFormat="false" ht="15" hidden="false" customHeight="true" outlineLevel="0" collapsed="false">
      <c r="A83" s="90" t="n">
        <v>45709</v>
      </c>
      <c r="B83" s="91" t="n">
        <v>444.32</v>
      </c>
      <c r="C83" s="91" t="n">
        <v>98.3</v>
      </c>
      <c r="D83" s="91" t="n">
        <v>737.21</v>
      </c>
      <c r="E83" s="91" t="n">
        <v>218.66</v>
      </c>
      <c r="F83" s="91" t="n">
        <v>101.67</v>
      </c>
      <c r="G83" s="91" t="n">
        <v>75.43</v>
      </c>
      <c r="H83" s="91" t="n">
        <v>98.84</v>
      </c>
      <c r="I83" s="91" t="n">
        <v>134.43</v>
      </c>
      <c r="J83" s="91" t="n">
        <v>120.97</v>
      </c>
      <c r="K83" s="91" t="n">
        <v>101.35</v>
      </c>
      <c r="L83" s="91" t="n">
        <v>198.24</v>
      </c>
      <c r="M83" s="91" t="n">
        <v>95.99</v>
      </c>
      <c r="N83" s="91" t="n">
        <v>484.24</v>
      </c>
      <c r="O83" s="91" t="n">
        <v>93.91</v>
      </c>
      <c r="P83" s="91"/>
      <c r="Q83" s="91" t="n">
        <v>58.35</v>
      </c>
      <c r="R83" s="91" t="n">
        <v>57.57</v>
      </c>
      <c r="S83" s="91" t="n">
        <v>99.91</v>
      </c>
      <c r="T83" s="91" t="n">
        <v>35.49</v>
      </c>
      <c r="U83" s="91"/>
    </row>
    <row r="84" customFormat="false" ht="15" hidden="false" customHeight="true" outlineLevel="0" collapsed="false">
      <c r="A84" s="90" t="n">
        <v>45716</v>
      </c>
      <c r="B84" s="91" t="n">
        <v>438.56</v>
      </c>
      <c r="C84" s="91" t="n">
        <v>93.05</v>
      </c>
      <c r="D84" s="91" t="n">
        <v>709.08</v>
      </c>
      <c r="E84" s="91" t="n">
        <v>199.43</v>
      </c>
      <c r="F84" s="91" t="n">
        <v>97.42</v>
      </c>
      <c r="G84" s="91" t="n">
        <v>70.88</v>
      </c>
      <c r="H84" s="91" t="n">
        <v>93.63</v>
      </c>
      <c r="I84" s="91" t="n">
        <v>124.92</v>
      </c>
      <c r="J84" s="91" t="n">
        <v>123.92</v>
      </c>
      <c r="K84" s="91" t="n">
        <v>84.92</v>
      </c>
      <c r="L84" s="91" t="n">
        <v>180.53</v>
      </c>
      <c r="M84" s="91" t="n">
        <v>95.17</v>
      </c>
      <c r="N84" s="91" t="n">
        <v>479.79</v>
      </c>
      <c r="O84" s="91" t="n">
        <v>92.85</v>
      </c>
      <c r="P84" s="91"/>
      <c r="Q84" s="91" t="n">
        <v>58</v>
      </c>
      <c r="R84" s="91" t="n">
        <v>55.98</v>
      </c>
      <c r="S84" s="91" t="n">
        <v>99.8</v>
      </c>
      <c r="T84" s="91" t="n">
        <v>35.32</v>
      </c>
      <c r="U84" s="91"/>
    </row>
    <row r="85" customFormat="false" ht="15" hidden="false" customHeight="true" outlineLevel="0" collapsed="false">
      <c r="A85" s="90" t="n">
        <v>45723</v>
      </c>
      <c r="B85" s="91" t="n">
        <v>449.4</v>
      </c>
      <c r="C85" s="91" t="n">
        <v>83.36</v>
      </c>
      <c r="D85" s="91" t="n">
        <v>732.22</v>
      </c>
      <c r="E85" s="91" t="n">
        <v>194.96</v>
      </c>
      <c r="F85" s="91" t="n">
        <v>83.38</v>
      </c>
      <c r="G85" s="91" t="n">
        <v>71.13</v>
      </c>
      <c r="H85" s="91" t="n">
        <v>92.96</v>
      </c>
      <c r="I85" s="91" t="n">
        <v>112.69</v>
      </c>
      <c r="J85" s="91" t="n">
        <v>119.91</v>
      </c>
      <c r="K85" s="91" t="n">
        <v>84.91</v>
      </c>
      <c r="L85" s="91" t="n">
        <v>177.1</v>
      </c>
      <c r="M85" s="91" t="n">
        <v>85.04</v>
      </c>
      <c r="N85" s="91" t="n">
        <v>488.29</v>
      </c>
      <c r="O85" s="91" t="n">
        <v>88.68</v>
      </c>
      <c r="P85" s="91"/>
      <c r="Q85" s="91" t="n">
        <v>59.03</v>
      </c>
      <c r="R85" s="91" t="n">
        <v>53.76</v>
      </c>
      <c r="S85" s="91" t="n">
        <v>94.54</v>
      </c>
      <c r="T85" s="91" t="n">
        <v>34.81</v>
      </c>
      <c r="U85" s="91"/>
    </row>
    <row r="86" customFormat="false" ht="15" hidden="false" customHeight="true" outlineLevel="0" collapsed="false">
      <c r="A86" s="90" t="n">
        <v>45730</v>
      </c>
      <c r="B86" s="91" t="n">
        <v>394.74</v>
      </c>
      <c r="C86" s="91" t="n">
        <v>83.51</v>
      </c>
      <c r="D86" s="91" t="n">
        <v>714</v>
      </c>
      <c r="E86" s="91" t="n">
        <v>195.54</v>
      </c>
      <c r="F86" s="91" t="n">
        <v>88.43</v>
      </c>
      <c r="G86" s="91" t="n">
        <v>71.3</v>
      </c>
      <c r="H86" s="91" t="n">
        <v>100.79</v>
      </c>
      <c r="I86" s="91" t="n">
        <v>121.67</v>
      </c>
      <c r="J86" s="91" t="n">
        <v>111.89</v>
      </c>
      <c r="K86" s="91" t="n">
        <v>86.24</v>
      </c>
      <c r="L86" s="91" t="n">
        <v>174.09</v>
      </c>
      <c r="M86" s="91" t="n">
        <v>87.45</v>
      </c>
      <c r="N86" s="91" t="n">
        <v>504.77</v>
      </c>
      <c r="O86" s="91" t="n">
        <v>87.02</v>
      </c>
      <c r="P86" s="91"/>
      <c r="Q86" s="91" t="n">
        <v>59.99</v>
      </c>
      <c r="R86" s="91" t="n">
        <v>52.61</v>
      </c>
      <c r="S86" s="91" t="n">
        <v>93.86</v>
      </c>
      <c r="T86" s="91" t="n">
        <v>34.09</v>
      </c>
      <c r="U86" s="91"/>
    </row>
    <row r="87" customFormat="false" ht="15" hidden="false" customHeight="true" outlineLevel="0" collapsed="false">
      <c r="A87" s="90" t="n">
        <v>45737</v>
      </c>
      <c r="B87" s="91" t="n">
        <v>387.26</v>
      </c>
      <c r="C87" s="91" t="n">
        <v>83.13</v>
      </c>
      <c r="D87" s="91" t="n">
        <v>716.22</v>
      </c>
      <c r="E87" s="91" t="n">
        <v>191.66</v>
      </c>
      <c r="F87" s="91" t="n">
        <v>90.56</v>
      </c>
      <c r="G87" s="91" t="n">
        <v>70.65</v>
      </c>
      <c r="H87" s="91" t="n">
        <v>94.72</v>
      </c>
      <c r="I87" s="91" t="n">
        <v>117.7</v>
      </c>
      <c r="J87" s="91" t="n">
        <v>108.42</v>
      </c>
      <c r="K87" s="91" t="n">
        <v>90.96</v>
      </c>
      <c r="L87" s="91" t="n">
        <v>176.73</v>
      </c>
      <c r="M87" s="91" t="n">
        <v>88.63</v>
      </c>
      <c r="N87" s="91" t="n">
        <v>503.2</v>
      </c>
      <c r="O87" s="91" t="n">
        <v>87.86</v>
      </c>
      <c r="P87" s="91"/>
      <c r="Q87" s="91" t="n">
        <v>59.84</v>
      </c>
      <c r="R87" s="91" t="n">
        <v>52.8</v>
      </c>
      <c r="S87" s="91" t="n">
        <v>94.22</v>
      </c>
      <c r="T87" s="91" t="n">
        <v>34.67</v>
      </c>
      <c r="U87" s="91"/>
    </row>
    <row r="88" customFormat="false" ht="15" hidden="false" customHeight="true" outlineLevel="0" collapsed="false">
      <c r="A88" s="90" t="n">
        <v>45744</v>
      </c>
      <c r="B88" s="91" t="n">
        <v>385.71</v>
      </c>
      <c r="C88" s="91" t="n">
        <v>77.94</v>
      </c>
      <c r="D88" s="91" t="n">
        <v>674.58</v>
      </c>
      <c r="E88" s="91" t="n">
        <v>169.12</v>
      </c>
      <c r="F88" s="91" t="n">
        <v>89.28</v>
      </c>
      <c r="G88" s="91" t="n">
        <v>67.36</v>
      </c>
      <c r="H88" s="91" t="n">
        <v>88.44</v>
      </c>
      <c r="I88" s="91" t="n">
        <v>109.67</v>
      </c>
      <c r="J88" s="91" t="n">
        <v>110.45</v>
      </c>
      <c r="K88" s="91" t="n">
        <v>85.85</v>
      </c>
      <c r="L88" s="91" t="n">
        <v>165.25</v>
      </c>
      <c r="M88" s="91" t="n">
        <v>74.25</v>
      </c>
      <c r="N88" s="91" t="n">
        <v>492.69</v>
      </c>
      <c r="O88" s="91" t="n">
        <v>87.12</v>
      </c>
      <c r="P88" s="91"/>
      <c r="Q88" s="91" t="n">
        <v>61.6</v>
      </c>
      <c r="R88" s="91" t="n">
        <v>51.81</v>
      </c>
      <c r="S88" s="91" t="n">
        <v>92.19</v>
      </c>
      <c r="T88" s="91" t="n">
        <v>34.1</v>
      </c>
      <c r="U88" s="91"/>
    </row>
    <row r="89" customFormat="false" ht="15" hidden="false" customHeight="true" outlineLevel="0" collapsed="false">
      <c r="A89" s="90" t="n">
        <v>45751</v>
      </c>
      <c r="B89" s="91" t="n">
        <v>349.07</v>
      </c>
      <c r="C89" s="91" t="n">
        <v>64.37</v>
      </c>
      <c r="D89" s="91" t="n">
        <v>605.55</v>
      </c>
      <c r="E89" s="91" t="n">
        <v>146.29</v>
      </c>
      <c r="F89" s="91" t="n">
        <v>80.41</v>
      </c>
      <c r="G89" s="91" t="n">
        <v>57.65</v>
      </c>
      <c r="H89" s="91" t="n">
        <v>64.72</v>
      </c>
      <c r="I89" s="91" t="n">
        <v>94.31</v>
      </c>
      <c r="J89" s="91" t="n">
        <v>98.23</v>
      </c>
      <c r="K89" s="91" t="n">
        <v>74.01</v>
      </c>
      <c r="L89" s="91" t="n">
        <v>146.8</v>
      </c>
      <c r="M89" s="91" t="n">
        <v>59.41</v>
      </c>
      <c r="N89" s="91" t="n">
        <v>474.62</v>
      </c>
      <c r="O89" s="91" t="n">
        <v>78</v>
      </c>
      <c r="P89" s="91"/>
      <c r="Q89" s="91" t="n">
        <v>60.58</v>
      </c>
      <c r="R89" s="91" t="n">
        <v>46.6</v>
      </c>
      <c r="S89" s="91" t="n">
        <v>82.32</v>
      </c>
      <c r="T89" s="91" t="n">
        <v>30.95</v>
      </c>
      <c r="U89" s="91"/>
    </row>
    <row r="90" customFormat="false" ht="15" hidden="false" customHeight="true" outlineLevel="0" collapsed="false">
      <c r="A90" s="90" t="n">
        <v>45758</v>
      </c>
      <c r="B90" s="91" t="n">
        <v>352.47</v>
      </c>
      <c r="C90" s="91" t="n">
        <v>72.67</v>
      </c>
      <c r="D90" s="91" t="n">
        <v>668.81</v>
      </c>
      <c r="E90" s="91" t="n">
        <v>181.94</v>
      </c>
      <c r="F90" s="91" t="n">
        <v>94.48</v>
      </c>
      <c r="G90" s="91" t="n">
        <v>67.02</v>
      </c>
      <c r="H90" s="91" t="n">
        <v>69.55</v>
      </c>
      <c r="I90" s="91" t="n">
        <v>110.93</v>
      </c>
      <c r="J90" s="91" t="n">
        <v>96.23</v>
      </c>
      <c r="K90" s="91" t="n">
        <v>88.55</v>
      </c>
      <c r="L90" s="91" t="n">
        <v>157.08</v>
      </c>
      <c r="M90" s="91" t="n">
        <v>69.61</v>
      </c>
      <c r="N90" s="91" t="n">
        <v>484.22</v>
      </c>
      <c r="O90" s="91" t="n">
        <v>78.98</v>
      </c>
      <c r="P90" s="91"/>
      <c r="Q90" s="91" t="n">
        <v>61.24</v>
      </c>
      <c r="R90" s="91" t="n">
        <v>49.54</v>
      </c>
      <c r="S90" s="91" t="n">
        <v>89.82</v>
      </c>
      <c r="T90" s="91" t="n">
        <v>31.56</v>
      </c>
      <c r="U90" s="91"/>
    </row>
    <row r="91" customFormat="false" ht="15" hidden="false" customHeight="true" outlineLevel="0" collapsed="false">
      <c r="A91" s="90" t="n">
        <v>45764</v>
      </c>
      <c r="B91" s="91" t="n">
        <v>348.8</v>
      </c>
      <c r="C91" s="91" t="n">
        <v>71.2</v>
      </c>
      <c r="D91" s="91" t="n">
        <v>640.16</v>
      </c>
      <c r="E91" s="91" t="n">
        <v>170.99</v>
      </c>
      <c r="F91" s="91" t="n">
        <v>93.91</v>
      </c>
      <c r="G91" s="91" t="n">
        <v>63.44</v>
      </c>
      <c r="H91" s="91" t="n">
        <v>68.8</v>
      </c>
      <c r="I91" s="91" t="n">
        <v>101.49</v>
      </c>
      <c r="J91" s="91" t="n">
        <v>102.1</v>
      </c>
      <c r="K91" s="91" t="n">
        <v>93.78</v>
      </c>
      <c r="L91" s="91" t="n">
        <v>151.74</v>
      </c>
      <c r="M91" s="91" t="n">
        <v>73.21</v>
      </c>
      <c r="N91" s="91" t="n">
        <v>489.1</v>
      </c>
      <c r="O91" s="91" t="n">
        <v>80.45</v>
      </c>
      <c r="P91" s="91"/>
      <c r="Q91" s="91" t="n">
        <v>61.83</v>
      </c>
      <c r="R91" s="91" t="n">
        <v>48.74</v>
      </c>
      <c r="S91" s="91" t="n">
        <v>88.26</v>
      </c>
      <c r="T91" s="91" t="n">
        <v>31.78</v>
      </c>
      <c r="U91" s="91"/>
    </row>
    <row r="92" customFormat="false" ht="15" hidden="false" customHeight="true" outlineLevel="0" collapsed="false">
      <c r="A92" s="90" t="n">
        <v>45772</v>
      </c>
      <c r="B92" s="91" t="n">
        <v>367.72</v>
      </c>
      <c r="C92" s="91" t="n">
        <v>77.91</v>
      </c>
      <c r="D92" s="91" t="n">
        <v>677.27</v>
      </c>
      <c r="E92" s="91" t="n">
        <v>192.31</v>
      </c>
      <c r="F92" s="91" t="n">
        <v>106.22</v>
      </c>
      <c r="G92" s="91" t="n">
        <v>69.46</v>
      </c>
      <c r="H92" s="91" t="n">
        <v>79.78</v>
      </c>
      <c r="I92" s="91" t="n">
        <v>111.01</v>
      </c>
      <c r="J92" s="91" t="n">
        <v>102.24</v>
      </c>
      <c r="K92" s="91" t="n">
        <v>112.78</v>
      </c>
      <c r="L92" s="91" t="n">
        <v>165.1</v>
      </c>
      <c r="M92" s="91" t="n">
        <v>86.95</v>
      </c>
      <c r="N92" s="91" t="n">
        <v>493.84</v>
      </c>
      <c r="O92" s="91" t="n">
        <v>82.71</v>
      </c>
      <c r="P92" s="91"/>
      <c r="Q92" s="91" t="n">
        <v>61.82</v>
      </c>
      <c r="R92" s="91" t="n">
        <v>51.09</v>
      </c>
      <c r="S92" s="91" t="n">
        <v>94.02</v>
      </c>
      <c r="T92" s="91" t="n">
        <v>32.83</v>
      </c>
      <c r="U92" s="91"/>
    </row>
    <row r="93" customFormat="false" ht="15" hidden="false" customHeight="true" outlineLevel="0" collapsed="false">
      <c r="A93" s="90" t="n">
        <v>45779</v>
      </c>
      <c r="B93" s="91" t="n">
        <v>380.87</v>
      </c>
      <c r="C93" s="91" t="n">
        <v>91.02</v>
      </c>
      <c r="D93" s="91" t="n">
        <v>690.33</v>
      </c>
      <c r="E93" s="91" t="n">
        <v>203.64</v>
      </c>
      <c r="F93" s="91" t="n">
        <v>110.15</v>
      </c>
      <c r="G93" s="91" t="n">
        <v>69.82</v>
      </c>
      <c r="H93" s="91" t="n">
        <v>80.72</v>
      </c>
      <c r="I93" s="91" t="n">
        <v>114.5</v>
      </c>
      <c r="J93" s="91" t="n">
        <v>105.41</v>
      </c>
      <c r="K93" s="91" t="n">
        <v>124.28</v>
      </c>
      <c r="L93" s="91" t="n">
        <v>179.28</v>
      </c>
      <c r="M93" s="91" t="n">
        <v>95</v>
      </c>
      <c r="N93" s="91" t="n">
        <v>501.15</v>
      </c>
      <c r="O93" s="91" t="n">
        <v>85.52</v>
      </c>
      <c r="P93" s="91"/>
      <c r="Q93" s="91" t="n">
        <v>61.87</v>
      </c>
      <c r="R93" s="91" t="n">
        <v>51.49</v>
      </c>
      <c r="S93" s="91" t="n">
        <v>97.8</v>
      </c>
      <c r="T93" s="91" t="n">
        <v>33.46</v>
      </c>
      <c r="U93" s="91"/>
    </row>
    <row r="94" customFormat="false" ht="15" hidden="false" customHeight="true" outlineLevel="0" collapsed="false">
      <c r="A94" s="90" t="n">
        <v>45786</v>
      </c>
      <c r="B94" s="91" t="n">
        <v>383.28</v>
      </c>
      <c r="C94" s="91" t="n">
        <v>86.52</v>
      </c>
      <c r="D94" s="91" t="n">
        <v>706.21</v>
      </c>
      <c r="E94" s="91" t="n">
        <v>208.2</v>
      </c>
      <c r="F94" s="91" t="n">
        <v>102.64</v>
      </c>
      <c r="G94" s="91" t="n">
        <v>70.12</v>
      </c>
      <c r="H94" s="91" t="n">
        <v>85.86</v>
      </c>
      <c r="I94" s="91" t="n">
        <v>116.65</v>
      </c>
      <c r="J94" s="91" t="n">
        <v>106.91</v>
      </c>
      <c r="K94" s="91" t="n">
        <v>117.3</v>
      </c>
      <c r="L94" s="91" t="n">
        <v>176.52</v>
      </c>
      <c r="M94" s="91" t="n">
        <v>94.06</v>
      </c>
      <c r="N94" s="91" t="n">
        <v>424.99</v>
      </c>
      <c r="O94" s="91" t="n">
        <v>86.51</v>
      </c>
      <c r="P94" s="91"/>
      <c r="Q94" s="91" t="n">
        <v>62.54</v>
      </c>
      <c r="R94" s="91" t="n">
        <v>51.63</v>
      </c>
      <c r="S94" s="91" t="n">
        <v>98.48</v>
      </c>
      <c r="T94" s="91" t="n">
        <v>33.4</v>
      </c>
      <c r="U94" s="91"/>
    </row>
    <row r="95" customFormat="false" ht="15" hidden="false" customHeight="true" outlineLevel="0" collapsed="false">
      <c r="A95" s="90" t="n">
        <v>45793</v>
      </c>
      <c r="B95" s="91" t="n">
        <v>417.13</v>
      </c>
      <c r="C95" s="91" t="n">
        <v>96.42</v>
      </c>
      <c r="D95" s="91" t="n">
        <v>748.1</v>
      </c>
      <c r="E95" s="91" t="n">
        <v>228.61</v>
      </c>
      <c r="F95" s="91" t="n">
        <v>109.82</v>
      </c>
      <c r="G95" s="91" t="n">
        <v>79.12</v>
      </c>
      <c r="H95" s="91" t="n">
        <v>98</v>
      </c>
      <c r="I95" s="91" t="n">
        <v>135.4</v>
      </c>
      <c r="J95" s="91" t="n">
        <v>110.55</v>
      </c>
      <c r="K95" s="91" t="n">
        <v>129.52</v>
      </c>
      <c r="L95" s="91" t="n">
        <v>194.22</v>
      </c>
      <c r="M95" s="91" t="n">
        <v>106.04</v>
      </c>
      <c r="N95" s="91" t="n">
        <v>438.65</v>
      </c>
      <c r="O95" s="91" t="n">
        <v>90.74</v>
      </c>
      <c r="P95" s="91"/>
      <c r="Q95" s="91" t="n">
        <v>62.95</v>
      </c>
      <c r="R95" s="91" t="n">
        <v>52.52</v>
      </c>
      <c r="S95" s="91" t="n">
        <v>105.2</v>
      </c>
      <c r="T95" s="91" t="n">
        <v>34.84</v>
      </c>
      <c r="U95" s="91"/>
    </row>
    <row r="96" customFormat="false" ht="15" hidden="false" customHeight="true" outlineLevel="0" collapsed="false">
      <c r="A96" s="90" t="n">
        <v>45800</v>
      </c>
      <c r="B96" s="91" t="n">
        <v>407.69</v>
      </c>
      <c r="C96" s="91" t="n">
        <v>91.2</v>
      </c>
      <c r="D96" s="91" t="n">
        <v>732.49</v>
      </c>
      <c r="E96" s="91" t="n">
        <v>228.72</v>
      </c>
      <c r="F96" s="91" t="n">
        <v>113.9</v>
      </c>
      <c r="G96" s="91" t="n">
        <v>75.72</v>
      </c>
      <c r="H96" s="91" t="n">
        <v>93.37</v>
      </c>
      <c r="I96" s="91" t="n">
        <v>131.29</v>
      </c>
      <c r="J96" s="91" t="n">
        <v>104.04</v>
      </c>
      <c r="K96" s="91" t="n">
        <v>123.31</v>
      </c>
      <c r="L96" s="91" t="n">
        <v>191.98</v>
      </c>
      <c r="M96" s="91" t="n">
        <v>104.14</v>
      </c>
      <c r="N96" s="91" t="n">
        <v>436</v>
      </c>
      <c r="O96" s="91" t="n">
        <v>87.11</v>
      </c>
      <c r="P96" s="91"/>
      <c r="Q96" s="91" t="n">
        <v>63.05</v>
      </c>
      <c r="R96" s="91" t="n">
        <v>52.04</v>
      </c>
      <c r="S96" s="91" t="n">
        <v>102.85</v>
      </c>
      <c r="T96" s="91" t="n">
        <v>33.63</v>
      </c>
      <c r="U96" s="91"/>
    </row>
    <row r="97" customFormat="false" ht="15" hidden="false" customHeight="true" outlineLevel="0" collapsed="false">
      <c r="A97" s="90" t="n">
        <v>45807</v>
      </c>
      <c r="B97" s="91" t="n">
        <v>415.09</v>
      </c>
      <c r="C97" s="91" t="n">
        <v>86.64</v>
      </c>
      <c r="D97" s="91" t="n">
        <v>736.77</v>
      </c>
      <c r="E97" s="91" t="n">
        <v>242.07</v>
      </c>
      <c r="F97" s="91" t="n">
        <v>117.84</v>
      </c>
      <c r="G97" s="91" t="n">
        <v>75.69</v>
      </c>
      <c r="H97" s="91" t="n">
        <v>94.46</v>
      </c>
      <c r="I97" s="91" t="n">
        <v>135.13</v>
      </c>
      <c r="J97" s="91" t="n">
        <v>108.6</v>
      </c>
      <c r="K97" s="91" t="n">
        <v>131.78</v>
      </c>
      <c r="L97" s="91" t="n">
        <v>193.32</v>
      </c>
      <c r="M97" s="91" t="n">
        <v>107.93</v>
      </c>
      <c r="N97" s="91" t="n">
        <v>442.05</v>
      </c>
      <c r="O97" s="91" t="n">
        <v>88.13</v>
      </c>
      <c r="P97" s="91"/>
      <c r="Q97" s="91" t="n">
        <v>63.27</v>
      </c>
      <c r="R97" s="91" t="n">
        <v>52.63</v>
      </c>
      <c r="S97" s="91" t="n">
        <v>105.35</v>
      </c>
      <c r="T97" s="91" t="n">
        <v>33.89</v>
      </c>
      <c r="U97" s="91"/>
    </row>
    <row r="98" customFormat="false" ht="15" hidden="false" customHeight="true" outlineLevel="0" collapsed="false">
      <c r="A98" s="90" t="n">
        <v>45814</v>
      </c>
      <c r="B98" s="91" t="n">
        <v>416.92</v>
      </c>
      <c r="C98" s="91" t="n">
        <v>97.25</v>
      </c>
      <c r="D98" s="91" t="n">
        <v>753.02</v>
      </c>
      <c r="E98" s="91" t="n">
        <v>246.93</v>
      </c>
      <c r="F98" s="91" t="n">
        <v>117.1</v>
      </c>
      <c r="G98" s="91" t="n">
        <v>80.8</v>
      </c>
      <c r="H98" s="91" t="n">
        <v>108.56</v>
      </c>
      <c r="I98" s="91" t="n">
        <v>141.72</v>
      </c>
      <c r="J98" s="91" t="n">
        <v>108.79</v>
      </c>
      <c r="K98" s="91" t="n">
        <v>127.72</v>
      </c>
      <c r="L98" s="91" t="n">
        <v>205.18</v>
      </c>
      <c r="M98" s="91" t="n">
        <v>115.36</v>
      </c>
      <c r="N98" s="91" t="n">
        <v>450.5</v>
      </c>
      <c r="O98" s="91" t="n">
        <v>89.76</v>
      </c>
      <c r="P98" s="91"/>
      <c r="Q98" s="91" t="n">
        <v>63.41</v>
      </c>
      <c r="R98" s="91" t="n">
        <v>52.7</v>
      </c>
      <c r="S98" s="91" t="n">
        <v>106.92</v>
      </c>
      <c r="T98" s="91" t="n">
        <v>34.69</v>
      </c>
      <c r="U98" s="91"/>
    </row>
    <row r="99" customFormat="false" ht="15" hidden="false" customHeight="true" outlineLevel="0" collapsed="false">
      <c r="A99" s="90" t="n">
        <v>45821</v>
      </c>
      <c r="B99" s="91" t="n">
        <v>391.68</v>
      </c>
      <c r="C99" s="91" t="n">
        <v>92.35</v>
      </c>
      <c r="D99" s="91" t="n">
        <v>761</v>
      </c>
      <c r="E99" s="91" t="n">
        <v>248.7</v>
      </c>
      <c r="F99" s="91" t="n">
        <v>120.16</v>
      </c>
      <c r="G99" s="91" t="n">
        <v>86.77</v>
      </c>
      <c r="H99" s="91" t="n">
        <v>115.6</v>
      </c>
      <c r="I99" s="91" t="n">
        <v>141.97</v>
      </c>
      <c r="J99" s="91" t="n">
        <v>107.28</v>
      </c>
      <c r="K99" s="91" t="n">
        <v>137.4</v>
      </c>
      <c r="L99" s="91" t="n">
        <v>211.1</v>
      </c>
      <c r="M99" s="91" t="n">
        <v>110.97</v>
      </c>
      <c r="N99" s="91" t="n">
        <v>455.45</v>
      </c>
      <c r="O99" s="91" t="n">
        <v>89.22</v>
      </c>
      <c r="P99" s="91"/>
      <c r="Q99" s="91" t="n">
        <v>62.75</v>
      </c>
      <c r="R99" s="91" t="n">
        <v>52.59</v>
      </c>
      <c r="S99" s="91" t="n">
        <v>106.16</v>
      </c>
      <c r="T99" s="91" t="n">
        <v>35.07</v>
      </c>
      <c r="U99" s="91"/>
    </row>
    <row r="100" customFormat="false" ht="15" hidden="false" customHeight="true" outlineLevel="0" collapsed="false">
      <c r="A100" s="90" t="n">
        <v>45828</v>
      </c>
      <c r="B100" s="91" t="n">
        <v>376.92</v>
      </c>
      <c r="C100" s="91" t="n">
        <v>86.25</v>
      </c>
      <c r="D100" s="91" t="n">
        <v>756.53</v>
      </c>
      <c r="E100" s="91" t="n">
        <v>249.99</v>
      </c>
      <c r="F100" s="91" t="n">
        <v>119.08</v>
      </c>
      <c r="G100" s="91" t="n">
        <v>85</v>
      </c>
      <c r="H100" s="91" t="n">
        <v>123.6</v>
      </c>
      <c r="I100" s="91" t="n">
        <v>143.85</v>
      </c>
      <c r="J100" s="91" t="n">
        <v>105.69</v>
      </c>
      <c r="K100" s="91" t="n">
        <v>137.3</v>
      </c>
      <c r="L100" s="91" t="n">
        <v>209.51</v>
      </c>
      <c r="M100" s="91" t="n">
        <v>118.54</v>
      </c>
      <c r="N100" s="91" t="n">
        <v>440.87</v>
      </c>
      <c r="O100" s="91" t="n">
        <v>89.37</v>
      </c>
      <c r="P100" s="91"/>
      <c r="Q100" s="91" t="n">
        <v>63.47</v>
      </c>
      <c r="R100" s="91" t="n">
        <v>52.75</v>
      </c>
      <c r="S100" s="91" t="n">
        <v>106.91</v>
      </c>
      <c r="T100" s="91" t="n">
        <v>35.03</v>
      </c>
      <c r="U100" s="91"/>
    </row>
    <row r="101" customFormat="false" ht="15" hidden="false" customHeight="true" outlineLevel="0" collapsed="false">
      <c r="A101" s="90" t="n">
        <v>45835</v>
      </c>
      <c r="B101" s="91" t="n">
        <v>385.83</v>
      </c>
      <c r="C101" s="91" t="n">
        <v>99.39</v>
      </c>
      <c r="D101" s="91" t="n">
        <v>795.95</v>
      </c>
      <c r="E101" s="91" t="n">
        <v>269.35</v>
      </c>
      <c r="F101" s="91" t="n">
        <v>124.83</v>
      </c>
      <c r="G101" s="91" t="n">
        <v>88.99</v>
      </c>
      <c r="H101" s="91" t="n">
        <v>124.76</v>
      </c>
      <c r="I101" s="91" t="n">
        <v>157.75</v>
      </c>
      <c r="J101" s="91" t="n">
        <v>105.62</v>
      </c>
      <c r="K101" s="91" t="n">
        <v>130.74</v>
      </c>
      <c r="L101" s="91" t="n">
        <v>228.57</v>
      </c>
      <c r="M101" s="91" t="n">
        <v>127.16</v>
      </c>
      <c r="N101" s="91" t="n">
        <v>441.3</v>
      </c>
      <c r="O101" s="91" t="n">
        <v>91.21</v>
      </c>
      <c r="P101" s="91"/>
      <c r="Q101" s="91" t="n">
        <v>63.94</v>
      </c>
      <c r="R101" s="91" t="n">
        <v>54.27</v>
      </c>
      <c r="S101" s="91" t="n">
        <v>111.84</v>
      </c>
      <c r="T101" s="91" t="n">
        <v>35.33</v>
      </c>
      <c r="U101" s="91"/>
    </row>
    <row r="102" customFormat="false" ht="15" hidden="false" customHeight="true" outlineLevel="0" collapsed="false">
      <c r="A102" s="90" t="n">
        <v>45841</v>
      </c>
      <c r="B102" s="91" t="n">
        <v>379.31</v>
      </c>
      <c r="C102" s="91" t="n">
        <v>102.52</v>
      </c>
      <c r="D102" s="91" t="n">
        <v>794.5</v>
      </c>
      <c r="E102" s="91" t="n">
        <v>275.18</v>
      </c>
      <c r="F102" s="91" t="n">
        <v>128.53</v>
      </c>
      <c r="G102" s="91" t="n">
        <v>92.46</v>
      </c>
      <c r="H102" s="91" t="n">
        <v>122.29</v>
      </c>
      <c r="I102" s="91" t="n">
        <v>159.34</v>
      </c>
      <c r="J102" s="91" t="n">
        <v>108.02</v>
      </c>
      <c r="K102" s="91" t="n">
        <v>134.36</v>
      </c>
      <c r="L102" s="91" t="n">
        <v>234.8</v>
      </c>
      <c r="M102" s="91" t="n">
        <v>127.84</v>
      </c>
      <c r="N102" s="91" t="n">
        <v>459.62</v>
      </c>
      <c r="O102" s="91" t="n">
        <v>95.01</v>
      </c>
      <c r="P102" s="91"/>
      <c r="Q102" s="91" t="n">
        <v>64.17</v>
      </c>
      <c r="R102" s="91" t="n">
        <v>54.16</v>
      </c>
      <c r="S102" s="91" t="n">
        <v>112.51</v>
      </c>
      <c r="T102" s="91" t="n">
        <v>35.77</v>
      </c>
      <c r="U102" s="91"/>
    </row>
    <row r="103" customFormat="false" ht="15" hidden="false" customHeight="true" outlineLevel="0" collapsed="false">
      <c r="A103" s="90" t="n">
        <v>45849</v>
      </c>
      <c r="B103" s="91" t="n">
        <v>363.35</v>
      </c>
      <c r="C103" s="91" t="n">
        <v>108.57</v>
      </c>
      <c r="D103" s="91" t="n">
        <v>801.93</v>
      </c>
      <c r="E103" s="91" t="n">
        <v>274.38</v>
      </c>
      <c r="F103" s="91" t="n">
        <v>119.61</v>
      </c>
      <c r="G103" s="91" t="n">
        <v>92.46</v>
      </c>
      <c r="H103" s="91" t="n">
        <v>124.53</v>
      </c>
      <c r="I103" s="91" t="n">
        <v>164.92</v>
      </c>
      <c r="J103" s="91" t="n">
        <v>109.17</v>
      </c>
      <c r="K103" s="91" t="n">
        <v>142.1</v>
      </c>
      <c r="L103" s="91" t="n">
        <v>230.4</v>
      </c>
      <c r="M103" s="91" t="n">
        <v>123.3</v>
      </c>
      <c r="N103" s="91" t="n">
        <v>468.85</v>
      </c>
      <c r="O103" s="91" t="n">
        <v>94.88</v>
      </c>
      <c r="P103" s="91"/>
      <c r="Q103" s="91" t="n">
        <v>64.18</v>
      </c>
      <c r="R103" s="91" t="n">
        <v>54.36</v>
      </c>
      <c r="S103" s="91" t="n">
        <v>112.17</v>
      </c>
      <c r="T103" s="91" t="n">
        <v>35.84</v>
      </c>
      <c r="U103" s="91"/>
    </row>
    <row r="104" customFormat="false" ht="15" hidden="false" customHeight="true" outlineLevel="0" collapsed="false">
      <c r="A104" s="90" t="n">
        <v>45856</v>
      </c>
      <c r="B104" s="91" t="n">
        <v>365.79</v>
      </c>
      <c r="C104" s="91" t="n">
        <v>111.78</v>
      </c>
      <c r="D104" s="91" t="n">
        <v>734.58</v>
      </c>
      <c r="E104" s="91" t="n">
        <v>283.34</v>
      </c>
      <c r="F104" s="91" t="n">
        <v>118.99</v>
      </c>
      <c r="G104" s="91" t="n">
        <v>93.11</v>
      </c>
      <c r="H104" s="91" t="n">
        <v>114.39</v>
      </c>
      <c r="I104" s="91" t="n">
        <v>172.41</v>
      </c>
      <c r="J104" s="91" t="n">
        <v>106.78</v>
      </c>
      <c r="K104" s="91" t="n">
        <v>153.52</v>
      </c>
      <c r="L104" s="91" t="n">
        <v>240.4</v>
      </c>
      <c r="M104" s="91" t="n">
        <v>129.06</v>
      </c>
      <c r="N104" s="91" t="n">
        <v>459.81</v>
      </c>
      <c r="O104" s="91" t="n">
        <v>93.77</v>
      </c>
      <c r="P104" s="91"/>
      <c r="Q104" s="91" t="n">
        <v>64.32</v>
      </c>
      <c r="R104" s="91" t="n">
        <v>54.69</v>
      </c>
      <c r="S104" s="91" t="n">
        <v>113.83</v>
      </c>
      <c r="T104" s="91" t="n">
        <v>35.08</v>
      </c>
      <c r="U104" s="91"/>
    </row>
    <row r="105" customFormat="false" ht="15" hidden="false" customHeight="true" outlineLevel="0" collapsed="false">
      <c r="A105" s="90" t="n">
        <v>45863</v>
      </c>
      <c r="B105" s="91" t="n">
        <v>370.74</v>
      </c>
      <c r="C105" s="91" t="n">
        <v>114.28</v>
      </c>
      <c r="D105" s="91" t="n">
        <v>711.25</v>
      </c>
      <c r="E105" s="91" t="n">
        <v>290.18</v>
      </c>
      <c r="F105" s="91" t="n">
        <v>116.98</v>
      </c>
      <c r="G105" s="91" t="n">
        <v>90.21</v>
      </c>
      <c r="H105" s="91" t="n">
        <v>111.26</v>
      </c>
      <c r="I105" s="91" t="n">
        <v>173.5</v>
      </c>
      <c r="J105" s="91" t="n">
        <v>110.29</v>
      </c>
      <c r="K105" s="91" t="n">
        <v>158.8</v>
      </c>
      <c r="L105" s="91" t="n">
        <v>245.6</v>
      </c>
      <c r="M105" s="91" t="n">
        <v>137.47</v>
      </c>
      <c r="N105" s="91" t="n">
        <v>469.65</v>
      </c>
      <c r="O105" s="91" t="n">
        <v>95.15</v>
      </c>
      <c r="P105" s="91"/>
      <c r="Q105" s="91" t="n">
        <v>64.87</v>
      </c>
      <c r="R105" s="91" t="n">
        <v>55.08</v>
      </c>
      <c r="S105" s="91" t="n">
        <v>115.03</v>
      </c>
      <c r="T105" s="91" t="n">
        <v>35.85</v>
      </c>
      <c r="U105" s="91"/>
    </row>
    <row r="106" customFormat="false" ht="15" hidden="false" customHeight="true" outlineLevel="0" collapsed="false">
      <c r="A106" s="90" t="n">
        <v>45870</v>
      </c>
      <c r="B106" s="91" t="n">
        <v>347.8</v>
      </c>
      <c r="C106" s="91" t="n">
        <v>117.57</v>
      </c>
      <c r="D106" s="91" t="n">
        <v>689.82</v>
      </c>
      <c r="E106" s="91" t="n">
        <v>288.64</v>
      </c>
      <c r="F106" s="91" t="n">
        <v>111.67</v>
      </c>
      <c r="G106" s="91" t="n">
        <v>88.66</v>
      </c>
      <c r="H106" s="91" t="n">
        <v>104.88</v>
      </c>
      <c r="I106" s="91" t="n">
        <v>173.72</v>
      </c>
      <c r="J106" s="91" t="n">
        <v>104.91</v>
      </c>
      <c r="K106" s="91" t="n">
        <v>154.27</v>
      </c>
      <c r="L106" s="91" t="n">
        <v>235.21</v>
      </c>
      <c r="M106" s="91" t="n">
        <v>141.59</v>
      </c>
      <c r="N106" s="91" t="n">
        <v>462.13</v>
      </c>
      <c r="O106" s="91" t="n">
        <v>90.37</v>
      </c>
      <c r="P106" s="91"/>
      <c r="Q106" s="91" t="n">
        <v>65</v>
      </c>
      <c r="R106" s="91" t="n">
        <v>53.81</v>
      </c>
      <c r="S106" s="91" t="n">
        <v>113.23</v>
      </c>
      <c r="T106" s="91" t="n">
        <v>34.35</v>
      </c>
      <c r="U106" s="91"/>
    </row>
    <row r="107" customFormat="false" ht="15" hidden="false" customHeight="true" outlineLevel="0" collapsed="false">
      <c r="A107" s="90" t="n">
        <v>45877</v>
      </c>
      <c r="B107" s="91" t="n">
        <v>341.05</v>
      </c>
      <c r="C107" s="91" t="n">
        <v>139.18</v>
      </c>
      <c r="D107" s="91" t="n">
        <v>722.32</v>
      </c>
      <c r="E107" s="91" t="n">
        <v>304.97</v>
      </c>
      <c r="F107" s="91" t="n">
        <v>106.12</v>
      </c>
      <c r="G107" s="91" t="n">
        <v>91.48</v>
      </c>
      <c r="H107" s="91" t="n">
        <v>118.89</v>
      </c>
      <c r="I107" s="91" t="n">
        <v>182.7</v>
      </c>
      <c r="J107" s="91" t="n">
        <v>105.68</v>
      </c>
      <c r="K107" s="91" t="n">
        <v>186.96</v>
      </c>
      <c r="L107" s="91" t="n">
        <v>241.83</v>
      </c>
      <c r="M107" s="91" t="n">
        <v>139.93</v>
      </c>
      <c r="N107" s="91" t="n">
        <v>366.54</v>
      </c>
      <c r="O107" s="91" t="n">
        <v>92.47</v>
      </c>
      <c r="P107" s="91"/>
      <c r="Q107" s="91" t="n">
        <v>64.89</v>
      </c>
      <c r="R107" s="91" t="n">
        <v>55.32</v>
      </c>
      <c r="S107" s="91" t="n">
        <v>117.19</v>
      </c>
      <c r="T107" s="91" t="n">
        <v>34.69</v>
      </c>
      <c r="U107" s="91"/>
    </row>
    <row r="108" customFormat="false" ht="15" hidden="false" customHeight="true" outlineLevel="0" collapsed="false">
      <c r="A108" s="90" t="n">
        <v>45884</v>
      </c>
      <c r="B108" s="91" t="n">
        <v>354.85</v>
      </c>
      <c r="C108" s="91" t="n">
        <v>137.3</v>
      </c>
      <c r="D108" s="91" t="n">
        <v>742.16</v>
      </c>
      <c r="E108" s="91" t="n">
        <v>306.34</v>
      </c>
      <c r="F108" s="91" t="n">
        <v>106.98</v>
      </c>
      <c r="G108" s="91" t="n">
        <v>87.49</v>
      </c>
      <c r="H108" s="91" t="n">
        <v>120.87</v>
      </c>
      <c r="I108" s="91" t="n">
        <v>180.45</v>
      </c>
      <c r="J108" s="91" t="n">
        <v>106.59</v>
      </c>
      <c r="K108" s="91" t="n">
        <v>177.17</v>
      </c>
      <c r="L108" s="91" t="n">
        <v>238.88</v>
      </c>
      <c r="M108" s="91" t="n">
        <v>133.07</v>
      </c>
      <c r="N108" s="91" t="n">
        <v>392.79</v>
      </c>
      <c r="O108" s="91" t="n">
        <v>95.23</v>
      </c>
      <c r="P108" s="91"/>
      <c r="Q108" s="91" t="n">
        <v>65.1</v>
      </c>
      <c r="R108" s="91" t="n">
        <v>55.8</v>
      </c>
      <c r="S108" s="91" t="n">
        <v>117.31</v>
      </c>
      <c r="T108" s="91" t="n">
        <v>36.06</v>
      </c>
      <c r="U108" s="91"/>
    </row>
    <row r="109" customFormat="false" ht="15" hidden="false" customHeight="true" outlineLevel="0" collapsed="false">
      <c r="A109" s="90" t="n">
        <v>45891</v>
      </c>
      <c r="B109" s="91" t="n">
        <v>362.09</v>
      </c>
      <c r="C109" s="91" t="n">
        <v>133.25</v>
      </c>
      <c r="D109" s="91" t="n">
        <v>754.89</v>
      </c>
      <c r="E109" s="91" t="n">
        <v>294</v>
      </c>
      <c r="F109" s="91" t="n">
        <v>105.14</v>
      </c>
      <c r="G109" s="91" t="n">
        <v>87.03</v>
      </c>
      <c r="H109" s="91" t="n">
        <v>117.68</v>
      </c>
      <c r="I109" s="91" t="n">
        <v>177.99</v>
      </c>
      <c r="J109" s="91" t="n">
        <v>112.28</v>
      </c>
      <c r="K109" s="91" t="n">
        <v>158.74</v>
      </c>
      <c r="L109" s="91" t="n">
        <v>232.99</v>
      </c>
      <c r="M109" s="91" t="n">
        <v>125.97</v>
      </c>
      <c r="N109" s="91" t="n">
        <v>395.12</v>
      </c>
      <c r="O109" s="91" t="n">
        <v>99.02</v>
      </c>
      <c r="P109" s="91"/>
      <c r="Q109" s="91" t="n">
        <v>64.28</v>
      </c>
      <c r="R109" s="91" t="n">
        <v>55.67</v>
      </c>
      <c r="S109" s="91" t="n">
        <v>116.51</v>
      </c>
      <c r="T109" s="91" t="n">
        <v>36.99</v>
      </c>
      <c r="U109" s="91"/>
    </row>
    <row r="110" customFormat="false" ht="15" hidden="false" customHeight="true" outlineLevel="0" collapsed="false">
      <c r="A110" s="90" t="n">
        <v>45898</v>
      </c>
      <c r="B110" s="91" t="n">
        <v>356.7</v>
      </c>
      <c r="C110" s="91" t="n">
        <v>136.55</v>
      </c>
      <c r="D110" s="91" t="n">
        <v>742.62</v>
      </c>
      <c r="E110" s="91" t="n">
        <v>297.39</v>
      </c>
      <c r="F110" s="91" t="n">
        <v>105.93</v>
      </c>
      <c r="G110" s="91" t="n">
        <v>87.2</v>
      </c>
      <c r="H110" s="91" t="n">
        <v>119.01</v>
      </c>
      <c r="I110" s="91" t="n">
        <v>174.18</v>
      </c>
      <c r="J110" s="91" t="n">
        <v>113.78</v>
      </c>
      <c r="K110" s="91" t="n">
        <v>156.71</v>
      </c>
      <c r="L110" s="91" t="n">
        <v>230.87</v>
      </c>
      <c r="M110" s="91" t="n">
        <v>127.55</v>
      </c>
      <c r="N110" s="91" t="n">
        <v>391.02</v>
      </c>
      <c r="O110" s="91" t="n">
        <v>99.85</v>
      </c>
      <c r="P110" s="91"/>
      <c r="Q110" s="91" t="n">
        <v>64.91</v>
      </c>
      <c r="R110" s="91" t="n">
        <v>55.68</v>
      </c>
      <c r="S110" s="91" t="n">
        <v>116.48</v>
      </c>
      <c r="T110" s="91" t="n">
        <v>37.33</v>
      </c>
      <c r="U110" s="91"/>
    </row>
    <row r="111" customFormat="false" ht="15" hidden="false" customHeight="true" outlineLevel="0" collapsed="false">
      <c r="A111" s="90" t="n">
        <v>45905</v>
      </c>
      <c r="B111" s="91" t="n">
        <v>348.97</v>
      </c>
      <c r="C111" s="91" t="n">
        <v>142.85</v>
      </c>
      <c r="D111" s="91" t="n">
        <v>781.7</v>
      </c>
      <c r="E111" s="91" t="n">
        <v>334.89</v>
      </c>
      <c r="F111" s="91" t="n">
        <v>104.41</v>
      </c>
      <c r="G111" s="91" t="n">
        <v>90.51</v>
      </c>
      <c r="H111" s="91" t="n">
        <v>131.37</v>
      </c>
      <c r="I111" s="91" t="n">
        <v>167.02</v>
      </c>
      <c r="J111" s="91" t="n">
        <v>113.65</v>
      </c>
      <c r="K111" s="91" t="n">
        <v>153.11</v>
      </c>
      <c r="L111" s="91" t="n">
        <v>243.41</v>
      </c>
      <c r="M111" s="91" t="n">
        <v>124</v>
      </c>
      <c r="N111" s="91" t="n">
        <v>396.12</v>
      </c>
      <c r="O111" s="91" t="n">
        <v>100.94</v>
      </c>
      <c r="P111" s="91"/>
      <c r="Q111" s="91" t="n">
        <v>65.56</v>
      </c>
      <c r="R111" s="91" t="n">
        <v>55.78</v>
      </c>
      <c r="S111" s="91" t="n">
        <v>117.05</v>
      </c>
      <c r="T111" s="91" t="n">
        <v>37.61</v>
      </c>
      <c r="U111" s="91"/>
    </row>
    <row r="112" customFormat="false" ht="15" hidden="false" customHeight="true" outlineLevel="0" collapsed="false">
      <c r="A112" s="90" t="n">
        <v>45912</v>
      </c>
      <c r="B112" s="91" t="n">
        <v>349.36</v>
      </c>
      <c r="C112" s="91" t="n">
        <v>139.39</v>
      </c>
      <c r="D112" s="91" t="n">
        <v>813.87</v>
      </c>
      <c r="E112" s="91" t="n">
        <v>359.87</v>
      </c>
      <c r="F112" s="91" t="n">
        <v>109.03</v>
      </c>
      <c r="G112" s="91" t="n">
        <v>96.4</v>
      </c>
      <c r="H112" s="91" t="n">
        <v>157.23</v>
      </c>
      <c r="I112" s="91" t="n">
        <v>177.82</v>
      </c>
      <c r="J112" s="91" t="n">
        <v>115.35</v>
      </c>
      <c r="K112" s="91" t="n">
        <v>171.43</v>
      </c>
      <c r="L112" s="91" t="n">
        <v>259.33</v>
      </c>
      <c r="M112" s="91" t="n">
        <v>134.84</v>
      </c>
      <c r="N112" s="91" t="n">
        <v>394.53</v>
      </c>
      <c r="O112" s="91" t="n">
        <v>100.14</v>
      </c>
      <c r="P112" s="91"/>
      <c r="Q112" s="91" t="n">
        <v>65.6</v>
      </c>
      <c r="R112" s="91" t="n">
        <v>56.54</v>
      </c>
      <c r="S112" s="91" t="n">
        <v>120.48</v>
      </c>
      <c r="T112" s="91" t="n">
        <v>37.5</v>
      </c>
      <c r="U112" s="91"/>
    </row>
    <row r="113" customFormat="false" ht="15" hidden="false" customHeight="true" outlineLevel="0" collapsed="false">
      <c r="A113" s="90" t="n">
        <v>45919</v>
      </c>
      <c r="B113" s="91" t="n">
        <v>365.9</v>
      </c>
      <c r="C113" s="91" t="n">
        <v>149.61</v>
      </c>
      <c r="D113" s="91" t="n">
        <v>932.15</v>
      </c>
      <c r="E113" s="91" t="n">
        <v>344.94</v>
      </c>
      <c r="F113" s="91" t="n">
        <v>125.64</v>
      </c>
      <c r="G113" s="91" t="n">
        <v>104.48</v>
      </c>
      <c r="H113" s="91" t="n">
        <v>162.73</v>
      </c>
      <c r="I113" s="91" t="n">
        <v>176.67</v>
      </c>
      <c r="J113" s="91" t="n">
        <v>113.51</v>
      </c>
      <c r="K113" s="91" t="n">
        <v>182.39</v>
      </c>
      <c r="L113" s="91" t="n">
        <v>264.87</v>
      </c>
      <c r="M113" s="91" t="n">
        <v>143.6</v>
      </c>
      <c r="N113" s="91" t="n">
        <v>383.12</v>
      </c>
      <c r="O113" s="91" t="n">
        <v>100.71</v>
      </c>
      <c r="P113" s="91"/>
      <c r="Q113" s="91" t="n">
        <v>65.27</v>
      </c>
      <c r="R113" s="91" t="n">
        <v>57.16</v>
      </c>
      <c r="S113" s="91" t="n">
        <v>121.93</v>
      </c>
      <c r="T113" s="91" t="n">
        <v>37.45</v>
      </c>
      <c r="U113" s="91"/>
    </row>
    <row r="114" customFormat="false" ht="15" hidden="false" customHeight="true" outlineLevel="0" collapsed="false">
      <c r="A114" s="90" t="n">
        <v>45926</v>
      </c>
      <c r="B114" s="91" t="n">
        <v>360.37</v>
      </c>
      <c r="C114" s="91" t="n">
        <v>142.5</v>
      </c>
      <c r="D114" s="91" t="n">
        <v>951.52</v>
      </c>
      <c r="E114" s="91" t="n">
        <v>334.53</v>
      </c>
      <c r="F114" s="91" t="n">
        <v>120.36</v>
      </c>
      <c r="G114" s="91" t="n">
        <v>106.43</v>
      </c>
      <c r="H114" s="91" t="n">
        <v>157.27</v>
      </c>
      <c r="I114" s="91" t="n">
        <v>178.19</v>
      </c>
      <c r="J114" s="91" t="n">
        <v>114.19</v>
      </c>
      <c r="K114" s="91" t="n">
        <v>177.57</v>
      </c>
      <c r="L114" s="91" t="n">
        <v>273.36</v>
      </c>
      <c r="M114" s="91" t="n">
        <v>138.62</v>
      </c>
      <c r="N114" s="91" t="n">
        <v>385.74</v>
      </c>
      <c r="O114" s="91" t="n">
        <v>100.55</v>
      </c>
      <c r="P114" s="91"/>
      <c r="Q114" s="91" t="n">
        <v>65.37</v>
      </c>
      <c r="R114" s="91" t="n">
        <v>57.25</v>
      </c>
      <c r="S114" s="91" t="n">
        <v>120.58</v>
      </c>
      <c r="T114" s="91" t="n">
        <v>37.74</v>
      </c>
      <c r="U114" s="91"/>
    </row>
    <row r="115" customFormat="false" ht="15" hidden="false" customHeight="true" outlineLevel="0" collapsed="false">
      <c r="A115" s="90" t="n">
        <v>45933</v>
      </c>
      <c r="B115" s="91" t="n">
        <v>346.74</v>
      </c>
      <c r="C115" s="91" t="n">
        <v>145.5</v>
      </c>
      <c r="D115" s="91" t="n">
        <v>1032.22</v>
      </c>
      <c r="E115" s="91" t="n">
        <v>338.37</v>
      </c>
      <c r="F115" s="91" t="n">
        <v>122.47</v>
      </c>
      <c r="G115" s="91" t="n">
        <v>110.16</v>
      </c>
      <c r="H115" s="91" t="n">
        <v>187.83</v>
      </c>
      <c r="I115" s="91" t="n">
        <v>187.62</v>
      </c>
      <c r="J115" s="91" t="n">
        <v>117.06</v>
      </c>
      <c r="K115" s="91" t="n">
        <v>173.07</v>
      </c>
      <c r="L115" s="91" t="n">
        <v>292.19</v>
      </c>
      <c r="M115" s="91" t="n">
        <v>160.2</v>
      </c>
      <c r="N115" s="91" t="n">
        <v>403.3</v>
      </c>
      <c r="O115" s="91" t="n">
        <v>100.66</v>
      </c>
      <c r="P115" s="91"/>
      <c r="Q115" s="91" t="n">
        <v>64.79</v>
      </c>
      <c r="R115" s="91" t="n">
        <v>57.28</v>
      </c>
      <c r="S115" s="91" t="n">
        <v>120.09</v>
      </c>
      <c r="T115" s="91" t="n">
        <v>37.87</v>
      </c>
      <c r="U115" s="91"/>
    </row>
    <row r="116" customFormat="false" ht="15" hidden="false" customHeight="true" outlineLevel="0" collapsed="false">
      <c r="A116" s="90" t="n">
        <v>45940</v>
      </c>
      <c r="B116" s="91" t="n">
        <v>337.51</v>
      </c>
      <c r="C116" s="91" t="n">
        <v>154.1</v>
      </c>
      <c r="D116" s="91" t="n">
        <v>936.19</v>
      </c>
      <c r="E116" s="91" t="n">
        <v>324.63</v>
      </c>
      <c r="F116" s="91" t="n">
        <v>123.42</v>
      </c>
      <c r="G116" s="91" t="n">
        <v>98.28</v>
      </c>
      <c r="H116" s="91" t="n">
        <v>181.6</v>
      </c>
      <c r="I116" s="91" t="n">
        <v>183.16</v>
      </c>
      <c r="J116" s="91" t="n">
        <v>111.23</v>
      </c>
      <c r="K116" s="91" t="n">
        <v>175.44</v>
      </c>
      <c r="L116" s="91" t="n">
        <v>280.66</v>
      </c>
      <c r="M116" s="91" t="n">
        <v>169.01</v>
      </c>
      <c r="N116" s="91" t="n">
        <v>407.79</v>
      </c>
      <c r="O116" s="91" t="n">
        <v>95.19</v>
      </c>
      <c r="P116" s="91"/>
      <c r="Q116" s="91" t="n">
        <v>66.2</v>
      </c>
      <c r="R116" s="91" t="n">
        <v>56.33</v>
      </c>
      <c r="S116" s="91" t="n">
        <v>118.5</v>
      </c>
      <c r="T116" s="91" t="n">
        <v>36.58</v>
      </c>
      <c r="U116" s="91"/>
    </row>
    <row r="117" customFormat="false" ht="15" hidden="false" customHeight="true" outlineLevel="0" collapsed="false">
      <c r="A117" s="90" t="n">
        <v>45947</v>
      </c>
      <c r="B117" s="91" t="n">
        <v>333.26</v>
      </c>
      <c r="C117" s="91" t="n">
        <v>143.1</v>
      </c>
      <c r="D117" s="91" t="n">
        <v>1029.27</v>
      </c>
      <c r="E117" s="91" t="n">
        <v>349.33</v>
      </c>
      <c r="F117" s="91" t="n">
        <v>121.16</v>
      </c>
      <c r="G117" s="91" t="n">
        <v>110.67</v>
      </c>
      <c r="H117" s="91" t="n">
        <v>202.38</v>
      </c>
      <c r="I117" s="91" t="n">
        <v>183.22</v>
      </c>
      <c r="J117" s="91" t="n">
        <v>124.08</v>
      </c>
      <c r="K117" s="91" t="n">
        <v>178.15</v>
      </c>
      <c r="L117" s="91" t="n">
        <v>295.08</v>
      </c>
      <c r="M117" s="91" t="n">
        <v>174</v>
      </c>
      <c r="N117" s="91" t="n">
        <v>416.81</v>
      </c>
      <c r="O117" s="91" t="n">
        <v>97.06</v>
      </c>
      <c r="P117" s="91"/>
      <c r="Q117" s="91" t="n">
        <v>66.35</v>
      </c>
      <c r="R117" s="91" t="n">
        <v>57.48</v>
      </c>
      <c r="S117" s="91" t="n">
        <v>120.42</v>
      </c>
      <c r="T117" s="91" t="n">
        <v>37.09</v>
      </c>
      <c r="U117" s="91"/>
    </row>
    <row r="118" customFormat="false" ht="15" hidden="false" customHeight="true" outlineLevel="0" collapsed="false">
      <c r="A118" s="90" t="n">
        <v>45954</v>
      </c>
      <c r="B118" s="91" t="n">
        <v>353.52</v>
      </c>
      <c r="C118" s="91" t="n">
        <v>153.82</v>
      </c>
      <c r="D118" s="91" t="n">
        <v>1033.1</v>
      </c>
      <c r="E118" s="91" t="n">
        <v>354.13</v>
      </c>
      <c r="F118" s="91" t="n">
        <v>131.83</v>
      </c>
      <c r="G118" s="91" t="n">
        <v>118.28</v>
      </c>
      <c r="H118" s="91" t="n">
        <v>219.02</v>
      </c>
      <c r="I118" s="91" t="n">
        <v>186.26</v>
      </c>
      <c r="J118" s="91" t="n">
        <v>126.43</v>
      </c>
      <c r="K118" s="91" t="n">
        <v>184.63</v>
      </c>
      <c r="L118" s="91" t="n">
        <v>294.96</v>
      </c>
      <c r="M118" s="91" t="n">
        <v>186.06</v>
      </c>
      <c r="N118" s="91" t="n">
        <v>421.39</v>
      </c>
      <c r="O118" s="91" t="n">
        <v>99.91</v>
      </c>
      <c r="P118" s="91"/>
      <c r="Q118" s="91" t="n">
        <v>66.27</v>
      </c>
      <c r="R118" s="91" t="n">
        <v>58.55</v>
      </c>
      <c r="S118" s="91" t="n">
        <v>121.71</v>
      </c>
      <c r="T118" s="91" t="n">
        <v>38.06</v>
      </c>
      <c r="U118" s="91"/>
    </row>
    <row r="119" customFormat="false" ht="15" hidden="false" customHeight="true" outlineLevel="0" collapsed="false">
      <c r="A119" s="90" t="n">
        <v>45961</v>
      </c>
      <c r="B119" s="91" t="n">
        <v>340.31</v>
      </c>
      <c r="C119" s="91" t="n">
        <v>157.69</v>
      </c>
      <c r="D119" s="91" t="n">
        <v>1059.23</v>
      </c>
      <c r="E119" s="91" t="n">
        <v>369.63</v>
      </c>
      <c r="F119" s="91" t="n">
        <v>135.75</v>
      </c>
      <c r="G119" s="91" t="n">
        <v>120.87</v>
      </c>
      <c r="H119" s="91" t="n">
        <v>223.77</v>
      </c>
      <c r="I119" s="91" t="n">
        <v>202.49</v>
      </c>
      <c r="J119" s="91" t="n">
        <v>124.09</v>
      </c>
      <c r="K119" s="91" t="n">
        <v>200.47</v>
      </c>
      <c r="L119" s="91" t="n">
        <v>300.43</v>
      </c>
      <c r="M119" s="91" t="n">
        <v>192.86</v>
      </c>
      <c r="N119" s="91" t="n">
        <v>425.57</v>
      </c>
      <c r="O119" s="91" t="n">
        <v>97.8</v>
      </c>
      <c r="P119" s="91"/>
      <c r="Q119" s="91" t="n">
        <v>66.29</v>
      </c>
      <c r="R119" s="91" t="n">
        <v>59.1</v>
      </c>
      <c r="S119" s="91" t="n">
        <v>121.7</v>
      </c>
      <c r="T119" s="91" t="n">
        <v>37.82</v>
      </c>
      <c r="U119" s="91"/>
    </row>
    <row r="120" customFormat="false" ht="15" hidden="false" customHeight="true" outlineLevel="0" collapsed="false">
      <c r="A120" s="90" t="n">
        <v>45968</v>
      </c>
      <c r="B120" s="91" t="n">
        <v>326.95</v>
      </c>
      <c r="C120" s="91" t="n">
        <v>134.65</v>
      </c>
      <c r="D120" s="91" t="n">
        <v>1016.96</v>
      </c>
      <c r="E120" s="91" t="n">
        <v>349.43</v>
      </c>
      <c r="F120" s="91" t="n">
        <v>134.95</v>
      </c>
      <c r="G120" s="91" t="n">
        <v>119.34</v>
      </c>
      <c r="H120" s="91" t="n">
        <v>237.92</v>
      </c>
      <c r="I120" s="91" t="n">
        <v>188.15</v>
      </c>
      <c r="J120" s="91" t="n">
        <v>125.6</v>
      </c>
      <c r="K120" s="91" t="n">
        <v>177.93</v>
      </c>
      <c r="L120" s="91" t="n">
        <v>286.5</v>
      </c>
      <c r="M120" s="91" t="n">
        <v>179.8</v>
      </c>
      <c r="N120" s="91" t="n">
        <v>409.47</v>
      </c>
      <c r="O120" s="91" t="n">
        <v>97.74</v>
      </c>
      <c r="P120" s="91"/>
      <c r="Q120" s="91" t="n">
        <v>67</v>
      </c>
      <c r="R120" s="91" t="n">
        <v>57.71</v>
      </c>
      <c r="S120" s="91" t="n">
        <v>118.53</v>
      </c>
      <c r="T120" s="91" t="n">
        <v>37.88</v>
      </c>
      <c r="U120" s="91"/>
    </row>
    <row r="121" customFormat="false" ht="15" hidden="false" customHeight="true" outlineLevel="0" collapsed="false">
      <c r="A121" s="90" t="n">
        <v>45975</v>
      </c>
      <c r="B121" s="91" t="n">
        <v>331.11</v>
      </c>
      <c r="C121" s="91" t="n">
        <v>131.37</v>
      </c>
      <c r="D121" s="91" t="n">
        <v>1006.98</v>
      </c>
      <c r="E121" s="91" t="n">
        <v>342.46</v>
      </c>
      <c r="F121" s="91" t="n">
        <v>134.39</v>
      </c>
      <c r="G121" s="91" t="n">
        <v>113.43</v>
      </c>
      <c r="H121" s="91" t="n">
        <v>246.83</v>
      </c>
      <c r="I121" s="91" t="n">
        <v>190.17</v>
      </c>
      <c r="J121" s="91" t="n">
        <v>122.83</v>
      </c>
      <c r="K121" s="91" t="n">
        <v>174.01</v>
      </c>
      <c r="L121" s="91" t="n">
        <v>284.82</v>
      </c>
      <c r="M121" s="91" t="n">
        <v>170.97</v>
      </c>
      <c r="N121" s="91" t="n">
        <v>437.15</v>
      </c>
      <c r="O121" s="91" t="n">
        <v>97.59</v>
      </c>
      <c r="P121" s="91"/>
      <c r="Q121" s="91" t="n">
        <v>66.44</v>
      </c>
      <c r="R121" s="91" t="n">
        <v>57.82</v>
      </c>
      <c r="S121" s="91" t="n">
        <v>117.83</v>
      </c>
      <c r="T121" s="91" t="n">
        <v>38.3</v>
      </c>
      <c r="U121" s="91"/>
    </row>
    <row r="122" customFormat="false" ht="15" hidden="false" customHeight="true" outlineLevel="0" collapsed="false">
      <c r="A122" s="90" t="n">
        <v>45982</v>
      </c>
      <c r="B122" s="91" t="n">
        <v>324.19</v>
      </c>
      <c r="C122" s="91" t="n">
        <v>117.43</v>
      </c>
      <c r="D122" s="91" t="n">
        <v>966.57</v>
      </c>
      <c r="E122" s="91" t="n">
        <v>340.2</v>
      </c>
      <c r="F122" s="91" t="n">
        <v>122.67</v>
      </c>
      <c r="G122" s="91" t="n">
        <v>109.71</v>
      </c>
      <c r="H122" s="91" t="n">
        <v>207.37</v>
      </c>
      <c r="I122" s="91" t="n">
        <v>178.88</v>
      </c>
      <c r="J122" s="91" t="n">
        <v>125.79</v>
      </c>
      <c r="K122" s="91" t="n">
        <v>154.85</v>
      </c>
      <c r="L122" s="91" t="n">
        <v>275.06</v>
      </c>
      <c r="M122" s="91" t="n">
        <v>159.83</v>
      </c>
      <c r="N122" s="91" t="n">
        <v>426.76</v>
      </c>
      <c r="O122" s="91" t="n">
        <v>96.83</v>
      </c>
      <c r="P122" s="91"/>
      <c r="Q122" s="91" t="n">
        <v>67.05</v>
      </c>
      <c r="R122" s="91" t="n">
        <v>56.24</v>
      </c>
      <c r="S122" s="91" t="n">
        <v>114.3</v>
      </c>
      <c r="T122" s="91" t="n">
        <v>37.53</v>
      </c>
      <c r="U122" s="91"/>
    </row>
    <row r="123" customFormat="false" ht="15" hidden="false" customHeight="true" outlineLevel="0" collapsed="false">
      <c r="A123" s="90" t="n">
        <v>45989</v>
      </c>
      <c r="B123" s="91" t="n">
        <v>320.13</v>
      </c>
      <c r="C123" s="91" t="n">
        <v>130.68</v>
      </c>
      <c r="D123" s="91" t="n">
        <v>1060</v>
      </c>
      <c r="E123" s="91" t="n">
        <v>402.96</v>
      </c>
      <c r="F123" s="91" t="n">
        <v>127.29</v>
      </c>
      <c r="G123" s="91" t="n">
        <v>117.55</v>
      </c>
      <c r="H123" s="91" t="n">
        <v>236.48</v>
      </c>
      <c r="I123" s="91" t="n">
        <v>177</v>
      </c>
      <c r="J123" s="91" t="n">
        <v>128.53</v>
      </c>
      <c r="K123" s="91" t="n">
        <v>168.45</v>
      </c>
      <c r="L123" s="91" t="n">
        <v>291.51</v>
      </c>
      <c r="M123" s="91" t="n">
        <v>179.73</v>
      </c>
      <c r="N123" s="91" t="n">
        <v>433.61</v>
      </c>
      <c r="O123" s="91" t="n">
        <v>101.13</v>
      </c>
      <c r="P123" s="91"/>
      <c r="Q123" s="91" t="n">
        <v>66.74</v>
      </c>
      <c r="R123" s="91" t="n">
        <v>58.81</v>
      </c>
      <c r="S123" s="91" t="n">
        <v>120.12</v>
      </c>
      <c r="T123" s="91" t="n">
        <v>38.82</v>
      </c>
      <c r="U123" s="91"/>
    </row>
    <row r="124" customFormat="false" ht="15" hidden="false" customHeight="true" outlineLevel="0" collapsed="false">
      <c r="A124" s="90" t="n">
        <v>45996</v>
      </c>
      <c r="B124" s="91" t="n">
        <v>346.26</v>
      </c>
      <c r="C124" s="91" t="n">
        <v>128.59</v>
      </c>
      <c r="D124" s="91" t="n">
        <v>1099.47</v>
      </c>
      <c r="E124" s="91" t="n">
        <v>390.24</v>
      </c>
      <c r="F124" s="91" t="n">
        <v>128.01</v>
      </c>
      <c r="G124" s="91" t="n">
        <v>121.45</v>
      </c>
      <c r="H124" s="91" t="n">
        <v>237.22</v>
      </c>
      <c r="I124" s="91" t="n">
        <v>182.41</v>
      </c>
      <c r="J124" s="91" t="n">
        <v>127.98</v>
      </c>
      <c r="K124" s="91" t="n">
        <v>181.76</v>
      </c>
      <c r="L124" s="91" t="n">
        <v>294.72</v>
      </c>
      <c r="M124" s="91" t="n">
        <v>189.02</v>
      </c>
      <c r="N124" s="91" t="n">
        <v>455.48</v>
      </c>
      <c r="O124" s="91" t="n">
        <v>102.9</v>
      </c>
      <c r="P124" s="91"/>
      <c r="Q124" s="91" t="n">
        <v>66.72</v>
      </c>
      <c r="R124" s="91" t="n">
        <v>58.82</v>
      </c>
      <c r="S124" s="91" t="n">
        <v>120.85</v>
      </c>
      <c r="T124" s="91" t="n">
        <v>39.42</v>
      </c>
      <c r="U124" s="91"/>
    </row>
    <row r="125" customFormat="false" ht="15" hidden="false" customHeight="true" outlineLevel="0" collapsed="false">
      <c r="A125" s="90" t="n">
        <v>46003</v>
      </c>
      <c r="B125" s="91" t="n">
        <v>356.43</v>
      </c>
      <c r="C125" s="91" t="n">
        <v>124.76</v>
      </c>
      <c r="D125" s="91" t="n">
        <v>1080.85</v>
      </c>
      <c r="E125" s="91" t="n">
        <v>359.93</v>
      </c>
      <c r="F125" s="91" t="n">
        <v>126.2</v>
      </c>
      <c r="G125" s="91" t="n">
        <v>119.39</v>
      </c>
      <c r="H125" s="91" t="n">
        <v>241.14</v>
      </c>
      <c r="I125" s="91" t="n">
        <v>175.02</v>
      </c>
      <c r="J125" s="91" t="n">
        <v>130.18</v>
      </c>
      <c r="K125" s="91" t="n">
        <v>183.57</v>
      </c>
      <c r="L125" s="91" t="n">
        <v>292.04</v>
      </c>
      <c r="M125" s="91" t="n">
        <v>161.27</v>
      </c>
      <c r="N125" s="91" t="n">
        <v>452.04</v>
      </c>
      <c r="O125" s="91" t="n">
        <v>105.11</v>
      </c>
      <c r="P125" s="91"/>
      <c r="Q125" s="91" t="n">
        <v>66.97</v>
      </c>
      <c r="R125" s="91" t="n">
        <v>58.18</v>
      </c>
      <c r="S125" s="91" t="n">
        <v>119.1</v>
      </c>
      <c r="T125" s="91" t="n">
        <v>39.7</v>
      </c>
      <c r="U125" s="91"/>
    </row>
    <row r="126" customFormat="false" ht="15" hidden="false" customHeight="true" outlineLevel="0" collapsed="false">
      <c r="A126" s="90" t="n">
        <v>46010</v>
      </c>
      <c r="B126" s="91" t="n">
        <v>355.86</v>
      </c>
      <c r="C126" s="91" t="n">
        <v>131.12</v>
      </c>
      <c r="D126" s="91" t="n">
        <v>1056.02</v>
      </c>
      <c r="E126" s="91" t="n">
        <v>340.36</v>
      </c>
      <c r="F126" s="91" t="n">
        <v>120.32</v>
      </c>
      <c r="G126" s="91" t="n">
        <v>124.57</v>
      </c>
      <c r="H126" s="91" t="n">
        <v>265.92</v>
      </c>
      <c r="I126" s="91" t="n">
        <v>180.99</v>
      </c>
      <c r="J126" s="91" t="n">
        <v>127.23</v>
      </c>
      <c r="K126" s="91" t="n">
        <v>193.38</v>
      </c>
      <c r="L126" s="91" t="n">
        <v>288.95</v>
      </c>
      <c r="M126" s="91" t="n">
        <v>159.82</v>
      </c>
      <c r="N126" s="91" t="n">
        <v>456.2</v>
      </c>
      <c r="O126" s="91" t="n">
        <v>103.78</v>
      </c>
      <c r="P126" s="91"/>
      <c r="Q126" s="91" t="n">
        <v>67.16</v>
      </c>
      <c r="R126" s="91" t="n">
        <v>58.62</v>
      </c>
      <c r="S126" s="91" t="n">
        <v>119.53</v>
      </c>
      <c r="T126" s="91" t="n">
        <v>39.53</v>
      </c>
      <c r="U126" s="91"/>
    </row>
    <row r="127" customFormat="false" ht="15" hidden="false" customHeight="true" outlineLevel="0" collapsed="false">
      <c r="A127" s="90" t="n">
        <v>46017</v>
      </c>
      <c r="B127" s="91" t="n">
        <v>353.8</v>
      </c>
      <c r="C127" s="91" t="n">
        <v>131.84</v>
      </c>
      <c r="D127" s="91" t="n">
        <v>1072.75</v>
      </c>
      <c r="E127" s="91" t="n">
        <v>352.13</v>
      </c>
      <c r="F127" s="91" t="n">
        <v>120.3</v>
      </c>
      <c r="G127" s="91" t="n">
        <v>127.96</v>
      </c>
      <c r="H127" s="91" t="n">
        <v>284.79</v>
      </c>
      <c r="I127" s="91" t="n">
        <v>190.53</v>
      </c>
      <c r="J127" s="91" t="n">
        <v>128.71</v>
      </c>
      <c r="K127" s="91" t="n">
        <v>188.71</v>
      </c>
      <c r="L127" s="91" t="n">
        <v>302.84</v>
      </c>
      <c r="M127" s="91" t="n">
        <v>167.58</v>
      </c>
      <c r="N127" s="91" t="n">
        <v>462.9</v>
      </c>
      <c r="O127" s="91" t="n">
        <v>103.69</v>
      </c>
      <c r="P127" s="91"/>
      <c r="Q127" s="91" t="n">
        <v>66.57</v>
      </c>
      <c r="R127" s="91" t="n">
        <v>59.34</v>
      </c>
      <c r="S127" s="91" t="n">
        <v>121.38</v>
      </c>
      <c r="T127" s="91" t="n">
        <v>39.79</v>
      </c>
      <c r="U127" s="91"/>
    </row>
    <row r="128" customFormat="false" ht="15" hidden="false" customHeight="true" outlineLevel="0" collapsed="false">
      <c r="A128" s="90" t="n">
        <v>46024</v>
      </c>
      <c r="B128" s="91" t="n">
        <v>333.3</v>
      </c>
      <c r="C128" s="91" t="n">
        <v>133.6</v>
      </c>
      <c r="D128" s="91" t="n">
        <v>1163.78</v>
      </c>
      <c r="E128" s="91" t="n">
        <v>347.62</v>
      </c>
      <c r="F128" s="91" t="n">
        <v>113.4</v>
      </c>
      <c r="G128" s="91" t="n">
        <v>127.45</v>
      </c>
      <c r="H128" s="91" t="n">
        <v>315.42</v>
      </c>
      <c r="I128" s="91" t="n">
        <v>188.85</v>
      </c>
      <c r="J128" s="91" t="n">
        <v>129.05</v>
      </c>
      <c r="K128" s="91" t="n">
        <v>167.86</v>
      </c>
      <c r="L128" s="91" t="n">
        <v>319.61</v>
      </c>
      <c r="M128" s="91" t="n">
        <v>175.61</v>
      </c>
      <c r="N128" s="91" t="n">
        <v>452.13</v>
      </c>
      <c r="O128" s="91" t="n">
        <v>103.12</v>
      </c>
      <c r="P128" s="91"/>
      <c r="Q128" s="91" t="n">
        <v>67.03</v>
      </c>
      <c r="R128" s="91" t="n">
        <v>58.09</v>
      </c>
      <c r="S128" s="91" t="n">
        <v>119.67</v>
      </c>
      <c r="T128" s="91" t="n">
        <v>39.42</v>
      </c>
      <c r="U128" s="91"/>
    </row>
    <row r="129" customFormat="false" ht="15" hidden="false" customHeight="true" outlineLevel="0" collapsed="false">
      <c r="A129" s="90" t="n">
        <v>46031</v>
      </c>
      <c r="B129" s="91" t="n">
        <v>333.95</v>
      </c>
      <c r="C129" s="91" t="n">
        <v>122.89</v>
      </c>
      <c r="D129" s="91" t="n">
        <v>1273.88</v>
      </c>
      <c r="E129" s="91" t="n">
        <v>344.97</v>
      </c>
      <c r="F129" s="91" t="n">
        <v>117.65</v>
      </c>
      <c r="G129" s="91" t="n">
        <v>140</v>
      </c>
      <c r="H129" s="91" t="n">
        <v>345.09</v>
      </c>
      <c r="I129" s="91" t="n">
        <v>184.86</v>
      </c>
      <c r="J129" s="91" t="n">
        <v>129.4</v>
      </c>
      <c r="K129" s="91" t="n">
        <v>177.49</v>
      </c>
      <c r="L129" s="91" t="n">
        <v>323.63</v>
      </c>
      <c r="M129" s="91" t="n">
        <v>163.58</v>
      </c>
      <c r="N129" s="91" t="n">
        <v>463.86</v>
      </c>
      <c r="O129" s="91" t="n">
        <v>107.33</v>
      </c>
      <c r="P129" s="91"/>
      <c r="Q129" s="91" t="n">
        <v>66.64</v>
      </c>
      <c r="R129" s="91" t="n">
        <v>59.16</v>
      </c>
      <c r="S129" s="91" t="n">
        <v>120.03</v>
      </c>
      <c r="T129" s="91" t="n">
        <v>40.43</v>
      </c>
      <c r="U129" s="91"/>
    </row>
    <row r="130" customFormat="false" ht="15" hidden="false" customHeight="true" outlineLevel="0" collapsed="false">
      <c r="A130" s="90" t="n">
        <v>46038</v>
      </c>
      <c r="B130" s="91" t="n">
        <v>296.12</v>
      </c>
      <c r="C130" s="91" t="n">
        <v>129.83</v>
      </c>
      <c r="D130" s="91" t="n">
        <v>1358.57</v>
      </c>
      <c r="E130" s="91" t="n">
        <v>351.71</v>
      </c>
      <c r="F130" s="91" t="n">
        <v>113.47</v>
      </c>
      <c r="G130" s="91" t="n">
        <v>156.78</v>
      </c>
      <c r="H130" s="91" t="n">
        <v>362.75</v>
      </c>
      <c r="I130" s="91" t="n">
        <v>186.23</v>
      </c>
      <c r="J130" s="91" t="n">
        <v>133.21</v>
      </c>
      <c r="K130" s="91" t="n">
        <v>170.96</v>
      </c>
      <c r="L130" s="91" t="n">
        <v>342.4</v>
      </c>
      <c r="M130" s="91" t="n">
        <v>176.93</v>
      </c>
      <c r="N130" s="91" t="n">
        <v>441.36</v>
      </c>
      <c r="O130" s="91" t="n">
        <v>108.51</v>
      </c>
      <c r="P130" s="91"/>
      <c r="Q130" s="91" t="n">
        <v>65.89</v>
      </c>
      <c r="R130" s="91" t="n">
        <v>58.92</v>
      </c>
      <c r="S130" s="91" t="n">
        <v>120</v>
      </c>
      <c r="T130" s="91" t="n">
        <v>39.61</v>
      </c>
      <c r="U130" s="91"/>
    </row>
    <row r="131" customFormat="false" ht="15" hidden="false" customHeight="true" outlineLevel="0" collapsed="false">
      <c r="A131" s="90" t="n">
        <v>46045</v>
      </c>
      <c r="B131" s="91" t="n">
        <v>301.07</v>
      </c>
      <c r="C131" s="91" t="n">
        <v>136.34</v>
      </c>
      <c r="D131" s="91" t="n">
        <v>1389.04</v>
      </c>
      <c r="E131" s="91" t="n">
        <v>320.05</v>
      </c>
      <c r="F131" s="91" t="n">
        <v>113.12</v>
      </c>
      <c r="G131" s="91" t="n">
        <v>151.28</v>
      </c>
      <c r="H131" s="91" t="n">
        <v>399.65</v>
      </c>
      <c r="I131" s="91" t="n">
        <v>187.67</v>
      </c>
      <c r="J131" s="91" t="n">
        <v>127.15</v>
      </c>
      <c r="K131" s="91" t="n">
        <v>169.6</v>
      </c>
      <c r="L131" s="91" t="n">
        <v>334.87</v>
      </c>
      <c r="M131" s="91" t="n">
        <v>182.49</v>
      </c>
      <c r="N131" s="91" t="n">
        <v>468.41</v>
      </c>
      <c r="O131" s="91" t="n">
        <v>108.49</v>
      </c>
      <c r="P131" s="91"/>
      <c r="Q131" s="91" t="n">
        <v>65.01</v>
      </c>
      <c r="R131" s="91" t="n">
        <v>59.22</v>
      </c>
      <c r="S131" s="91" t="n">
        <v>117.92</v>
      </c>
      <c r="T131" s="91" t="n">
        <v>39.86</v>
      </c>
      <c r="U131" s="91"/>
    </row>
    <row r="132" customFormat="false" ht="15" hidden="false" customHeight="true" outlineLevel="0" collapsed="false">
      <c r="A132" s="90" t="n">
        <v>46052</v>
      </c>
      <c r="B132" s="91" t="n">
        <v>293.25</v>
      </c>
      <c r="C132" s="91" t="n">
        <v>141.74</v>
      </c>
      <c r="D132" s="91" t="n">
        <v>1423</v>
      </c>
      <c r="E132" s="91" t="n">
        <v>331.3</v>
      </c>
      <c r="F132" s="91" t="n">
        <v>110.35</v>
      </c>
      <c r="G132" s="91" t="n">
        <v>142.79</v>
      </c>
      <c r="H132" s="91" t="n">
        <v>414.88</v>
      </c>
      <c r="I132" s="91" t="n">
        <v>191.13</v>
      </c>
      <c r="J132" s="91" t="n">
        <v>130.56</v>
      </c>
      <c r="K132" s="91" t="n">
        <v>146.59</v>
      </c>
      <c r="L132" s="91" t="n">
        <v>330.56</v>
      </c>
      <c r="M132" s="91" t="n">
        <v>186.18</v>
      </c>
      <c r="N132" s="91" t="n">
        <v>469.9</v>
      </c>
      <c r="O132" s="91" t="n">
        <v>109.27</v>
      </c>
      <c r="P132" s="91"/>
      <c r="Q132" s="91" t="n">
        <v>64.28</v>
      </c>
      <c r="R132" s="91" t="n">
        <v>59.43</v>
      </c>
      <c r="S132" s="91" t="n">
        <v>119.87</v>
      </c>
      <c r="T132" s="91" t="n">
        <v>39.47</v>
      </c>
      <c r="U132" s="91"/>
    </row>
    <row r="133" customFormat="false" ht="15" hidden="false" customHeight="true" outlineLevel="0" collapsed="false">
      <c r="A133" s="90" t="n">
        <v>46059</v>
      </c>
      <c r="B133" s="91" t="n">
        <v>268.38</v>
      </c>
      <c r="C133" s="91" t="n">
        <v>137.49</v>
      </c>
      <c r="D133" s="91" t="n">
        <v>1413.01</v>
      </c>
      <c r="E133" s="91" t="n">
        <v>332.92</v>
      </c>
      <c r="F133" s="91" t="n">
        <v>98.88</v>
      </c>
      <c r="G133" s="91" t="n">
        <v>144.29</v>
      </c>
      <c r="H133" s="91" t="n">
        <v>394.69</v>
      </c>
      <c r="I133" s="91" t="n">
        <v>185.41</v>
      </c>
      <c r="J133" s="91" t="n">
        <v>136.95</v>
      </c>
      <c r="K133" s="91" t="n">
        <v>135.9</v>
      </c>
      <c r="L133" s="91" t="n">
        <v>348.85</v>
      </c>
      <c r="M133" s="91" t="n">
        <v>195.58</v>
      </c>
      <c r="N133" s="91" t="n">
        <v>477.92</v>
      </c>
      <c r="O133" s="91" t="n">
        <v>115.19</v>
      </c>
      <c r="P133" s="91"/>
      <c r="Q133" s="91" t="n">
        <v>63.39</v>
      </c>
      <c r="R133" s="91" t="n">
        <v>58.05</v>
      </c>
      <c r="S133" s="91" t="n">
        <v>119.84</v>
      </c>
      <c r="T133" s="91" t="n">
        <v>40.43</v>
      </c>
      <c r="U133" s="91"/>
    </row>
    <row r="134" customFormat="false" ht="15" hidden="false" customHeight="true" outlineLevel="0" collapsed="false">
      <c r="A134" s="90" t="n">
        <v>46066</v>
      </c>
      <c r="B134" s="91" t="n">
        <v>263.97</v>
      </c>
      <c r="C134" s="91" t="n">
        <v>141.59</v>
      </c>
      <c r="D134" s="91" t="n">
        <v>1406.61</v>
      </c>
      <c r="E134" s="91" t="n">
        <v>325.17</v>
      </c>
      <c r="F134" s="91" t="n">
        <v>107.41</v>
      </c>
      <c r="G134" s="91" t="n">
        <v>146.41</v>
      </c>
      <c r="H134" s="91" t="n">
        <v>411.66</v>
      </c>
      <c r="I134" s="91" t="n">
        <v>182.81</v>
      </c>
      <c r="J134" s="91" t="n">
        <v>138.97</v>
      </c>
      <c r="K134" s="91" t="n">
        <v>131.41</v>
      </c>
      <c r="L134" s="91" t="n">
        <v>366.36</v>
      </c>
      <c r="M134" s="91" t="n">
        <v>234.53</v>
      </c>
      <c r="N134" s="91" t="n">
        <v>491.47</v>
      </c>
      <c r="O134" s="91" t="n">
        <v>114.9</v>
      </c>
      <c r="P134" s="91"/>
      <c r="Q134" s="91" t="n">
        <v>64.13</v>
      </c>
      <c r="R134" s="91" t="n">
        <v>57.51</v>
      </c>
      <c r="S134" s="91" t="n">
        <v>118.25</v>
      </c>
      <c r="T134" s="91" t="n">
        <v>40.26</v>
      </c>
      <c r="U134" s="91"/>
    </row>
    <row r="135" customFormat="false" ht="15" hidden="false" customHeight="true" outlineLevel="0" collapsed="false">
      <c r="A135" s="90" t="n">
        <v>46073</v>
      </c>
      <c r="B135" s="91" t="n">
        <v>258.61</v>
      </c>
      <c r="C135" s="91" t="n">
        <v>132.79</v>
      </c>
      <c r="D135" s="91" t="n">
        <v>1469.59</v>
      </c>
      <c r="E135" s="91" t="n">
        <v>332.65</v>
      </c>
      <c r="F135" s="91" t="n">
        <v>97.15</v>
      </c>
      <c r="G135" s="91" t="n">
        <v>149.6</v>
      </c>
      <c r="H135" s="91" t="n">
        <v>428.17</v>
      </c>
      <c r="I135" s="91" t="n">
        <v>189.82</v>
      </c>
      <c r="J135" s="91" t="n">
        <v>141.51</v>
      </c>
      <c r="K135" s="91" t="n">
        <v>135.24</v>
      </c>
      <c r="L135" s="91" t="n">
        <v>370.54</v>
      </c>
      <c r="M135" s="91" t="n">
        <v>243.75</v>
      </c>
      <c r="N135" s="91" t="n">
        <v>476.9</v>
      </c>
      <c r="O135" s="91" t="n">
        <v>115.54</v>
      </c>
      <c r="P135" s="91"/>
      <c r="Q135" s="91" t="n">
        <v>65.44</v>
      </c>
      <c r="R135" s="91" t="n">
        <v>58.15</v>
      </c>
      <c r="S135" s="91" t="n">
        <v>119.96</v>
      </c>
      <c r="T135" s="91" t="n">
        <v>40.34</v>
      </c>
      <c r="U135" s="91"/>
    </row>
    <row r="136" customFormat="false" ht="15" hidden="false" customHeight="true" outlineLevel="0" collapsed="false">
      <c r="A136" s="90" t="n">
        <v>46080</v>
      </c>
      <c r="B136" s="91" t="n">
        <v>262.41</v>
      </c>
      <c r="C136" s="91" t="n">
        <v>133.5</v>
      </c>
      <c r="D136" s="91" t="n">
        <v>1450.56</v>
      </c>
      <c r="E136" s="91" t="n">
        <v>319.55</v>
      </c>
      <c r="F136" s="91" t="n">
        <v>93</v>
      </c>
      <c r="G136" s="91" t="n">
        <v>152.46</v>
      </c>
      <c r="H136" s="91" t="n">
        <v>412.37</v>
      </c>
      <c r="I136" s="91" t="n">
        <v>177.19</v>
      </c>
      <c r="J136" s="91" t="n">
        <v>142.57</v>
      </c>
      <c r="K136" s="91" t="n">
        <v>137.19</v>
      </c>
      <c r="L136" s="91" t="n">
        <v>374.58</v>
      </c>
      <c r="M136" s="91" t="n">
        <v>254.89</v>
      </c>
      <c r="N136" s="91" t="n">
        <v>496.83</v>
      </c>
      <c r="O136" s="91" t="n">
        <v>112.98</v>
      </c>
      <c r="P136" s="91"/>
      <c r="Q136" s="91" t="n">
        <v>67.12</v>
      </c>
      <c r="R136" s="91" t="n">
        <v>58.04</v>
      </c>
      <c r="S136" s="91" t="n">
        <v>119.47</v>
      </c>
      <c r="T136" s="91" t="n">
        <v>40.48</v>
      </c>
      <c r="U136" s="91"/>
    </row>
    <row r="137" customFormat="false" ht="15" hidden="false" customHeight="true" outlineLevel="0" collapsed="false">
      <c r="A137" s="90" t="n">
        <v>46087</v>
      </c>
      <c r="B137" s="91" t="n">
        <v>283.62</v>
      </c>
      <c r="C137" s="91" t="n">
        <v>132.89</v>
      </c>
      <c r="D137" s="91" t="n">
        <v>1292.8</v>
      </c>
      <c r="E137" s="91" t="n">
        <v>330.48</v>
      </c>
      <c r="F137" s="91" t="n">
        <v>107.25</v>
      </c>
      <c r="G137" s="91" t="n">
        <v>134.46</v>
      </c>
      <c r="H137" s="91" t="n">
        <v>370.3</v>
      </c>
      <c r="I137" s="91" t="n">
        <v>177.82</v>
      </c>
      <c r="J137" s="91" t="n">
        <v>134.54</v>
      </c>
      <c r="K137" s="91" t="n">
        <v>157.16</v>
      </c>
      <c r="L137" s="91" t="n">
        <v>338.89</v>
      </c>
      <c r="M137" s="91" t="n">
        <v>241.78</v>
      </c>
      <c r="N137" s="91" t="n">
        <v>456.69</v>
      </c>
      <c r="O137" s="91" t="n">
        <v>108.65</v>
      </c>
      <c r="P137" s="91"/>
      <c r="Q137" s="91" t="n">
        <v>67.27</v>
      </c>
      <c r="R137" s="91" t="n">
        <v>56.85</v>
      </c>
      <c r="S137" s="91" t="n">
        <v>118.24</v>
      </c>
      <c r="T137" s="91" t="n">
        <v>40.11</v>
      </c>
      <c r="U137" s="91"/>
    </row>
    <row r="138" customFormat="false" ht="15" hidden="false" customHeight="true" outlineLevel="0" collapsed="false">
      <c r="A138" s="90" t="n">
        <v>46094</v>
      </c>
      <c r="B138" s="91" t="n">
        <v>249.32</v>
      </c>
      <c r="C138" s="91" t="n">
        <v>133.57</v>
      </c>
      <c r="D138" s="91" t="n">
        <v>1345.69</v>
      </c>
      <c r="E138" s="91" t="n">
        <v>322.16</v>
      </c>
      <c r="F138" s="91" t="n">
        <v>110.45</v>
      </c>
      <c r="G138" s="91" t="n">
        <v>141.86</v>
      </c>
      <c r="H138" s="91" t="n">
        <v>426.13</v>
      </c>
      <c r="I138" s="91" t="n">
        <v>180.25</v>
      </c>
      <c r="J138" s="91" t="n">
        <v>131.75</v>
      </c>
      <c r="K138" s="91" t="n">
        <v>150.95</v>
      </c>
      <c r="L138" s="91" t="n">
        <v>338.31</v>
      </c>
      <c r="M138" s="91" t="n">
        <v>258.88</v>
      </c>
      <c r="N138" s="91" t="n">
        <v>469.34</v>
      </c>
      <c r="O138" s="91" t="n">
        <v>106.29</v>
      </c>
      <c r="P138" s="91"/>
      <c r="Q138" s="91" t="n">
        <v>67.54</v>
      </c>
      <c r="R138" s="91" t="n">
        <v>56.56</v>
      </c>
      <c r="S138" s="91" t="n">
        <v>116.18</v>
      </c>
      <c r="T138" s="91" t="n">
        <v>39.2</v>
      </c>
      <c r="U138" s="91"/>
    </row>
    <row r="139" customFormat="false" ht="15" hidden="false" customHeight="true" outlineLevel="0" collapsed="false">
      <c r="A139" s="90" t="n">
        <v>46101</v>
      </c>
      <c r="B139" s="91" t="n">
        <v>248.15</v>
      </c>
      <c r="C139" s="91" t="n">
        <v>131.22</v>
      </c>
      <c r="D139" s="91" t="n">
        <v>1317.25</v>
      </c>
      <c r="E139" s="91" t="n">
        <v>310.51</v>
      </c>
      <c r="F139" s="91" t="n">
        <v>102.25</v>
      </c>
      <c r="G139" s="91" t="n">
        <v>149.87</v>
      </c>
      <c r="H139" s="91" t="n">
        <v>422.9</v>
      </c>
      <c r="I139" s="91" t="n">
        <v>172.7</v>
      </c>
      <c r="J139" s="91" t="n">
        <v>128.01</v>
      </c>
      <c r="K139" s="91" t="n">
        <v>150.68</v>
      </c>
      <c r="L139" s="91" t="n">
        <v>329.24</v>
      </c>
      <c r="M139" s="91" t="n">
        <v>255.88</v>
      </c>
      <c r="N139" s="91" t="n">
        <v>454</v>
      </c>
      <c r="O139" s="91" t="n">
        <v>106.08</v>
      </c>
      <c r="P139" s="91"/>
      <c r="Q139" s="91" t="n">
        <v>67.68</v>
      </c>
      <c r="R139" s="91" t="n">
        <v>55.76</v>
      </c>
      <c r="S139" s="91" t="n">
        <v>113.78</v>
      </c>
      <c r="T139" s="91" t="n">
        <v>39.24</v>
      </c>
      <c r="U139" s="91"/>
    </row>
    <row r="140" customFormat="false" ht="15" hidden="false" customHeight="true" outlineLevel="0" collapsed="false">
      <c r="A140" s="90" t="n">
        <v>46108</v>
      </c>
      <c r="B140" s="91" t="n">
        <v>234.84</v>
      </c>
      <c r="C140" s="91" t="n">
        <v>120.77</v>
      </c>
      <c r="D140" s="91" t="n">
        <v>1302.47</v>
      </c>
      <c r="E140" s="91" t="n">
        <v>300.68</v>
      </c>
      <c r="F140" s="91" t="n">
        <v>92.4</v>
      </c>
      <c r="G140" s="91" t="n">
        <v>144.32</v>
      </c>
      <c r="H140" s="91" t="n">
        <v>357.22</v>
      </c>
      <c r="I140" s="91" t="n">
        <v>167.52</v>
      </c>
      <c r="J140" s="91" t="n">
        <v>128.9</v>
      </c>
      <c r="K140" s="91" t="n">
        <v>143.06</v>
      </c>
      <c r="L140" s="91" t="n">
        <v>326.74</v>
      </c>
      <c r="M140" s="91" t="n">
        <v>251.07</v>
      </c>
      <c r="N140" s="91" t="n">
        <v>433.07</v>
      </c>
      <c r="O140" s="91" t="n">
        <v>109.23</v>
      </c>
      <c r="P140" s="91"/>
      <c r="Q140" s="91" t="n">
        <v>67.7</v>
      </c>
      <c r="R140" s="91" t="n">
        <v>54.13</v>
      </c>
      <c r="S140" s="91" t="n">
        <v>110.31</v>
      </c>
      <c r="T140" s="91" t="n">
        <v>38.75</v>
      </c>
      <c r="U140" s="91"/>
    </row>
    <row r="141" customFormat="false" ht="15" hidden="false" customHeight="true" outlineLevel="0" collapsed="false">
      <c r="A141" s="90" t="n">
        <v>46114</v>
      </c>
      <c r="B141" s="91" t="n">
        <v>242.92</v>
      </c>
      <c r="C141" s="91" t="n">
        <v>126.68</v>
      </c>
      <c r="D141" s="91" t="n">
        <v>1317.23</v>
      </c>
      <c r="E141" s="91" t="n">
        <v>314.55</v>
      </c>
      <c r="F141" s="91" t="n">
        <v>99.78</v>
      </c>
      <c r="G141" s="91" t="n">
        <v>151.68</v>
      </c>
      <c r="H141" s="91" t="n">
        <v>366.24</v>
      </c>
      <c r="I141" s="91" t="n">
        <v>177.39</v>
      </c>
      <c r="J141" s="91" t="n">
        <v>133.77</v>
      </c>
      <c r="K141" s="91" t="n">
        <v>148.46</v>
      </c>
      <c r="L141" s="91" t="n">
        <v>339.04</v>
      </c>
      <c r="M141" s="91" t="n">
        <v>261.29</v>
      </c>
      <c r="N141" s="91" t="n">
        <v>438.71</v>
      </c>
      <c r="O141" s="91" t="n">
        <v>111.42</v>
      </c>
      <c r="P141" s="91"/>
      <c r="Q141" s="91" t="n">
        <v>67.75</v>
      </c>
      <c r="R141" s="91" t="n">
        <v>55.59</v>
      </c>
      <c r="S141" s="91" t="n">
        <v>114.74</v>
      </c>
      <c r="T141" s="91" t="n">
        <v>39.84</v>
      </c>
      <c r="U141" s="91"/>
    </row>
    <row r="142" customFormat="false" ht="15" hidden="false" customHeight="true" outlineLevel="0" collapsed="false">
      <c r="A142" s="90" t="n">
        <v>46122</v>
      </c>
      <c r="B142" s="91" t="n">
        <v>225.35</v>
      </c>
      <c r="C142" s="91" t="n">
        <v>147.35</v>
      </c>
      <c r="D142" s="91" t="n">
        <v>1478.28</v>
      </c>
      <c r="E142" s="91" t="n">
        <v>371.55</v>
      </c>
      <c r="F142" s="91" t="n">
        <v>94.76</v>
      </c>
      <c r="G142" s="91" t="n">
        <v>173.73</v>
      </c>
      <c r="H142" s="91" t="n">
        <v>420.59</v>
      </c>
      <c r="I142" s="91" t="n">
        <v>188.63</v>
      </c>
      <c r="J142" s="91" t="n">
        <v>137.19</v>
      </c>
      <c r="K142" s="91" t="n">
        <v>128.06</v>
      </c>
      <c r="L142" s="91" t="n">
        <v>370.6</v>
      </c>
      <c r="M142" s="91" t="n">
        <v>295.11</v>
      </c>
      <c r="N142" s="91" t="n">
        <v>436.27</v>
      </c>
      <c r="O142" s="91" t="n">
        <v>114.73</v>
      </c>
      <c r="P142" s="91"/>
      <c r="Q142" s="91" t="n">
        <v>68.04</v>
      </c>
      <c r="R142" s="91" t="n">
        <v>57.62</v>
      </c>
      <c r="S142" s="91" t="n">
        <v>123.34</v>
      </c>
      <c r="T142" s="91" t="n">
        <v>39.64</v>
      </c>
      <c r="U142" s="91"/>
    </row>
    <row r="143" customFormat="false" ht="15" hidden="false" customHeight="true" outlineLevel="0" collapsed="false">
      <c r="A143" s="90" t="n">
        <v>46129</v>
      </c>
      <c r="B143" s="91" t="n">
        <v>244.45</v>
      </c>
      <c r="C143" s="91" t="n">
        <v>164.23</v>
      </c>
      <c r="D143" s="91" t="n">
        <v>1459.8</v>
      </c>
      <c r="E143" s="91" t="n">
        <v>406.54</v>
      </c>
      <c r="F143" s="91" t="n">
        <v>105.99</v>
      </c>
      <c r="G143" s="91" t="n">
        <v>179.14</v>
      </c>
      <c r="H143" s="91" t="n">
        <v>455.07</v>
      </c>
      <c r="I143" s="91" t="n">
        <v>201.68</v>
      </c>
      <c r="J143" s="91" t="n">
        <v>145.1</v>
      </c>
      <c r="K143" s="91" t="n">
        <v>146.39</v>
      </c>
      <c r="L143" s="91" t="n">
        <v>370.5</v>
      </c>
      <c r="M143" s="91" t="n">
        <v>307.34</v>
      </c>
      <c r="N143" s="91" t="n">
        <v>441.2</v>
      </c>
      <c r="O143" s="91" t="n">
        <v>117.52</v>
      </c>
      <c r="P143" s="91"/>
      <c r="Q143" s="91" t="n">
        <v>67.32</v>
      </c>
      <c r="R143" s="91" t="n">
        <v>58.66</v>
      </c>
      <c r="S143" s="91" t="n">
        <v>128.3</v>
      </c>
      <c r="T143" s="91" t="n">
        <v>41.76</v>
      </c>
      <c r="U143" s="91"/>
    </row>
    <row r="144" customFormat="false" ht="15" hidden="false" customHeight="true" outlineLevel="0" collapsed="false">
      <c r="A144" s="90" t="n">
        <v>46136</v>
      </c>
      <c r="B144" s="91" t="n">
        <v>245.44</v>
      </c>
      <c r="C144" s="91" t="n">
        <v>176.91</v>
      </c>
      <c r="D144" s="91" t="n">
        <v>1457.7</v>
      </c>
      <c r="E144" s="91" t="n">
        <v>422.76</v>
      </c>
      <c r="F144" s="91" t="n">
        <v>112.03</v>
      </c>
      <c r="G144" s="91" t="n">
        <v>193.5</v>
      </c>
      <c r="H144" s="91" t="n">
        <v>496.72</v>
      </c>
      <c r="I144" s="91" t="n">
        <v>208.27</v>
      </c>
      <c r="J144" s="91" t="n">
        <v>142.1</v>
      </c>
      <c r="K144" s="91" t="n">
        <v>143.09</v>
      </c>
      <c r="L144" s="91" t="n">
        <v>402.46</v>
      </c>
      <c r="M144" s="91" t="n">
        <v>323.46</v>
      </c>
      <c r="N144" s="91" t="n">
        <v>430.29</v>
      </c>
      <c r="O144" s="91" t="n">
        <v>118.96</v>
      </c>
      <c r="P144" s="91"/>
      <c r="Q144" s="91" t="n">
        <v>67.35</v>
      </c>
      <c r="R144" s="91" t="n">
        <v>58.99</v>
      </c>
      <c r="S144" s="91" t="n">
        <v>131.52</v>
      </c>
      <c r="T144" s="91" t="n">
        <v>41.52</v>
      </c>
      <c r="U144" s="91"/>
    </row>
    <row r="145" customFormat="false" ht="15" hidden="false" customHeight="true" outlineLevel="0" collapsed="false">
      <c r="A145" s="90" t="n">
        <v>46143</v>
      </c>
      <c r="B145" s="91" t="n">
        <v>250.71</v>
      </c>
      <c r="C145" s="91" t="n">
        <v>172.7</v>
      </c>
      <c r="D145" s="91" t="n">
        <v>1427.02</v>
      </c>
      <c r="E145" s="91" t="n">
        <v>421.28</v>
      </c>
      <c r="F145" s="91" t="n">
        <v>113.91</v>
      </c>
      <c r="G145" s="91" t="n">
        <v>172.63</v>
      </c>
      <c r="H145" s="91" t="n">
        <v>542.21</v>
      </c>
      <c r="I145" s="91" t="n">
        <v>198.45</v>
      </c>
      <c r="J145" s="91" t="n">
        <v>141.41</v>
      </c>
      <c r="K145" s="91" t="n">
        <v>144.07</v>
      </c>
      <c r="L145" s="91" t="n">
        <v>397.67</v>
      </c>
      <c r="M145" s="91" t="n">
        <v>328.31</v>
      </c>
      <c r="N145" s="91" t="n">
        <v>423.92</v>
      </c>
      <c r="O145" s="91" t="n">
        <v>119.96</v>
      </c>
      <c r="P145" s="91"/>
      <c r="Q145" s="91" t="n">
        <v>67.92</v>
      </c>
      <c r="R145" s="91" t="n">
        <v>58.86</v>
      </c>
      <c r="S145" s="91" t="n">
        <v>134.42</v>
      </c>
      <c r="T145" s="91" t="n">
        <v>42.59</v>
      </c>
      <c r="U145" s="91"/>
    </row>
    <row r="146" customFormat="false" ht="15" hidden="false" customHeight="true" outlineLevel="0" collapsed="false">
      <c r="A146" s="90" t="n">
        <v>46150</v>
      </c>
      <c r="B146" s="91" t="n">
        <v>253.04</v>
      </c>
      <c r="C146" s="91" t="n">
        <v>141.77</v>
      </c>
      <c r="D146" s="91" t="n">
        <v>1592.02</v>
      </c>
      <c r="E146" s="91" t="n">
        <v>430</v>
      </c>
      <c r="F146" s="91" t="n">
        <v>131.94</v>
      </c>
      <c r="G146" s="91" t="n">
        <v>186.92</v>
      </c>
      <c r="H146" s="91" t="n">
        <v>746.81</v>
      </c>
      <c r="I146" s="91" t="n">
        <v>215.2</v>
      </c>
      <c r="J146" s="91" t="n">
        <v>144.09</v>
      </c>
      <c r="K146" s="91" t="n">
        <v>137.8</v>
      </c>
      <c r="L146" s="91" t="n">
        <v>411.68</v>
      </c>
      <c r="M146" s="91" t="n">
        <v>339.97</v>
      </c>
      <c r="N146" s="91" t="n">
        <v>429.82</v>
      </c>
      <c r="O146" s="91" t="n">
        <v>119.84</v>
      </c>
      <c r="P146" s="91"/>
      <c r="Q146" s="91" t="n">
        <v>67.08</v>
      </c>
      <c r="R146" s="91" t="n">
        <v>59.61</v>
      </c>
      <c r="S146" s="91" t="n">
        <v>143.81</v>
      </c>
      <c r="T146" s="91" t="n">
        <v>43.62</v>
      </c>
      <c r="U146" s="91"/>
    </row>
    <row r="147" customFormat="false" ht="15" hidden="false" customHeight="true" outlineLevel="0" collapsed="false">
      <c r="A147" s="90" t="n">
        <v>46157</v>
      </c>
      <c r="B147" s="91" t="n">
        <v>247.6</v>
      </c>
      <c r="C147" s="91" t="n">
        <v>141.97</v>
      </c>
      <c r="D147" s="91" t="n">
        <v>1501.81</v>
      </c>
      <c r="E147" s="91" t="n">
        <v>425.19</v>
      </c>
      <c r="F147" s="91" t="n">
        <v>148.52</v>
      </c>
      <c r="G147" s="91" t="n">
        <v>180.43</v>
      </c>
      <c r="H147" s="91" t="n">
        <v>724.66</v>
      </c>
      <c r="I147" s="91" t="n">
        <v>225.32</v>
      </c>
      <c r="J147" s="91" t="n">
        <v>140.53</v>
      </c>
      <c r="K147" s="91" t="n">
        <v>133.99</v>
      </c>
      <c r="L147" s="91" t="n">
        <v>404.35</v>
      </c>
      <c r="M147" s="91" t="n">
        <v>370.94</v>
      </c>
      <c r="N147" s="91" t="n">
        <v>436.95</v>
      </c>
      <c r="O147" s="91" t="n">
        <v>117.25</v>
      </c>
      <c r="P147" s="91"/>
      <c r="Q147" s="91" t="n">
        <v>67.59</v>
      </c>
      <c r="R147" s="91" t="n">
        <v>59.77</v>
      </c>
      <c r="S147" s="91" t="n">
        <v>143.48</v>
      </c>
      <c r="T147" s="91" t="n">
        <v>42.5</v>
      </c>
      <c r="U147" s="91"/>
    </row>
    <row r="148" customFormat="false" ht="15" hidden="false" customHeight="true" outlineLevel="0" collapsed="false">
      <c r="A148" s="90" t="n">
        <v>46164</v>
      </c>
      <c r="B148" s="91" t="n">
        <v>244.76</v>
      </c>
      <c r="C148" s="91" t="n">
        <v>154.03</v>
      </c>
      <c r="D148" s="91" t="n">
        <v>1632.9</v>
      </c>
      <c r="E148" s="91" t="n">
        <v>414.14</v>
      </c>
      <c r="F148" s="91" t="n">
        <v>165.87</v>
      </c>
      <c r="G148" s="91" t="n">
        <v>188.84</v>
      </c>
      <c r="H148" s="91" t="n">
        <v>751</v>
      </c>
      <c r="I148" s="91" t="n">
        <v>215.33</v>
      </c>
      <c r="J148" s="91" t="n">
        <v>145.9</v>
      </c>
      <c r="K148" s="91" t="n">
        <v>136.88</v>
      </c>
      <c r="L148" s="91" t="n">
        <v>404.52</v>
      </c>
      <c r="M148" s="91" t="n">
        <v>327.46</v>
      </c>
      <c r="N148" s="91" t="n">
        <v>434.52</v>
      </c>
      <c r="O148" s="91" t="n">
        <v>120.03</v>
      </c>
      <c r="P148" s="91"/>
      <c r="Q148" s="91" t="n">
        <v>68.33</v>
      </c>
      <c r="R148" s="91" t="n">
        <v>60.21</v>
      </c>
      <c r="S148" s="91" t="n">
        <v>144.94</v>
      </c>
      <c r="T148" s="91" t="n">
        <v>44.18</v>
      </c>
      <c r="U148" s="91"/>
    </row>
    <row r="149" customFormat="false" ht="15" hidden="false" customHeight="true" outlineLevel="0" collapsed="false">
      <c r="A149" s="90" t="n">
        <v>46171</v>
      </c>
      <c r="B149" s="91" t="n">
        <v>259.21</v>
      </c>
      <c r="C149" s="91" t="n">
        <v>159.47</v>
      </c>
      <c r="D149" s="91" t="n">
        <v>1612.76</v>
      </c>
      <c r="E149" s="91" t="n">
        <v>446.77</v>
      </c>
      <c r="F149" s="91" t="n">
        <v>182.75</v>
      </c>
      <c r="G149" s="91" t="n">
        <v>192.17</v>
      </c>
      <c r="H149" s="91" t="n">
        <v>971</v>
      </c>
      <c r="I149" s="91" t="n">
        <v>211.14</v>
      </c>
      <c r="J149" s="91" t="n">
        <v>143.47</v>
      </c>
      <c r="K149" s="91" t="n">
        <v>156.54</v>
      </c>
      <c r="L149" s="91" t="n">
        <v>418.45</v>
      </c>
      <c r="M149" s="91" t="n">
        <v>315.71</v>
      </c>
      <c r="N149" s="91" t="n">
        <v>447.54</v>
      </c>
      <c r="O149" s="91" t="n">
        <v>120.05</v>
      </c>
      <c r="P149" s="91"/>
      <c r="Q149" s="91" t="n">
        <v>67.7</v>
      </c>
      <c r="R149" s="91" t="n">
        <v>61.15</v>
      </c>
      <c r="S149" s="91" t="n">
        <v>150.59</v>
      </c>
      <c r="T149" s="91" t="n">
        <v>46.57</v>
      </c>
      <c r="U149" s="91"/>
    </row>
    <row r="150" customFormat="false" ht="15" hidden="false" customHeight="true" outlineLevel="0" collapsed="false">
      <c r="A150" s="90" t="n">
        <v>46178</v>
      </c>
      <c r="B150" s="91" t="n">
        <v>251.44</v>
      </c>
      <c r="C150" s="91" t="n">
        <v>154.27</v>
      </c>
      <c r="D150" s="91" t="n">
        <v>1641.74</v>
      </c>
      <c r="E150" s="91" t="n">
        <v>385.73</v>
      </c>
      <c r="F150" s="91" t="n">
        <v>167.76</v>
      </c>
      <c r="G150" s="91" t="n">
        <v>192.92</v>
      </c>
      <c r="H150" s="91" t="n">
        <v>864.01</v>
      </c>
      <c r="I150" s="91" t="n">
        <v>205.1</v>
      </c>
      <c r="J150" s="91" t="n">
        <v>144.54</v>
      </c>
      <c r="K150" s="91" t="n">
        <v>135.53</v>
      </c>
      <c r="L150" s="91" t="n">
        <v>415.17</v>
      </c>
      <c r="M150" s="91" t="n">
        <v>300.51</v>
      </c>
      <c r="N150" s="91" t="n">
        <v>446.83</v>
      </c>
      <c r="O150" s="91" t="n">
        <v>119.7</v>
      </c>
      <c r="P150" s="91"/>
      <c r="Q150" s="91" t="n">
        <v>67.58</v>
      </c>
      <c r="R150" s="91" t="n">
        <v>58.9</v>
      </c>
      <c r="S150" s="91" t="n">
        <v>144.28</v>
      </c>
      <c r="T150" s="91" t="n">
        <v>46.05</v>
      </c>
      <c r="U150" s="91"/>
    </row>
    <row r="151" customFormat="false" ht="15" hidden="false" customHeight="true" outlineLevel="0" collapsed="false">
      <c r="A151" s="90" t="n">
        <v>46185</v>
      </c>
      <c r="B151" s="91" t="n">
        <v>204.02</v>
      </c>
      <c r="C151" s="91" t="n">
        <v>163.24</v>
      </c>
      <c r="D151" s="91" t="n">
        <v>1863.55</v>
      </c>
      <c r="E151" s="91" t="n">
        <v>382.07</v>
      </c>
      <c r="F151" s="91" t="n">
        <v>170.7</v>
      </c>
      <c r="G151" s="91" t="n">
        <v>254.54</v>
      </c>
      <c r="H151" s="91" t="n">
        <v>981.61</v>
      </c>
      <c r="I151" s="91" t="n">
        <v>205.19</v>
      </c>
      <c r="J151" s="91" t="n">
        <v>148.74</v>
      </c>
      <c r="K151" s="91" t="n">
        <v>127.99</v>
      </c>
      <c r="L151" s="91" t="n">
        <v>423.93</v>
      </c>
      <c r="M151" s="91" t="n">
        <v>302.87</v>
      </c>
      <c r="N151" s="91" t="n">
        <v>444.93</v>
      </c>
      <c r="O151" s="91" t="n">
        <v>124.38</v>
      </c>
      <c r="P151" s="91"/>
      <c r="Q151" s="91" t="n">
        <v>68.45</v>
      </c>
      <c r="R151" s="91" t="n">
        <v>59.86</v>
      </c>
      <c r="S151" s="91" t="n">
        <v>152.48</v>
      </c>
      <c r="T151" s="91" t="n">
        <v>46.29</v>
      </c>
      <c r="U151" s="91"/>
    </row>
    <row r="152" customFormat="false" ht="15" hidden="false" customHeight="true" outlineLevel="0" collapsed="false">
      <c r="A152" s="90" t="n">
        <v>46191</v>
      </c>
      <c r="B152" s="91" t="n">
        <v>195.16</v>
      </c>
      <c r="C152" s="91" t="n">
        <v>169.67</v>
      </c>
      <c r="D152" s="91" t="n">
        <v>1929.68</v>
      </c>
      <c r="E152" s="91" t="n">
        <v>411.35</v>
      </c>
      <c r="F152" s="91" t="n">
        <v>171.22</v>
      </c>
      <c r="G152" s="91" t="n">
        <v>259.56</v>
      </c>
      <c r="H152" s="91" t="n">
        <v>1133.99</v>
      </c>
      <c r="I152" s="91" t="n">
        <v>210.69</v>
      </c>
      <c r="J152" s="91" t="n">
        <v>140.54</v>
      </c>
      <c r="K152" s="91" t="n">
        <v>128.47</v>
      </c>
      <c r="L152" s="91" t="n">
        <v>462.12</v>
      </c>
      <c r="M152" s="91" t="n">
        <v>333.05</v>
      </c>
      <c r="N152" s="91" t="n">
        <v>451.63</v>
      </c>
      <c r="O152" s="91" t="n">
        <v>122</v>
      </c>
      <c r="P152" s="91"/>
      <c r="Q152" s="91"/>
      <c r="R152" s="91" t="n">
        <v>61.34</v>
      </c>
      <c r="S152" s="91" t="n">
        <v>159.9</v>
      </c>
      <c r="T152" s="91" t="n">
        <v>45.25</v>
      </c>
      <c r="U152" s="91"/>
    </row>
    <row r="153" customFormat="false" ht="15" hidden="false" customHeight="true" outlineLevel="0" collapsed="false">
      <c r="A153" s="90" t="n">
        <v>46199</v>
      </c>
      <c r="B153" s="91" t="n">
        <v>202.73</v>
      </c>
      <c r="C153" s="91" t="n">
        <v>157.6</v>
      </c>
      <c r="D153" s="91" t="n">
        <v>1794.62</v>
      </c>
      <c r="E153" s="91" t="n">
        <v>365.02</v>
      </c>
      <c r="F153" s="91" t="n">
        <v>175.27</v>
      </c>
      <c r="G153" s="91" t="n">
        <v>248.64</v>
      </c>
      <c r="H153" s="91" t="n">
        <v>1132.33</v>
      </c>
      <c r="I153" s="91" t="n">
        <v>192.53</v>
      </c>
      <c r="J153" s="91" t="n">
        <v>139.97</v>
      </c>
      <c r="K153" s="91" t="n">
        <v>112.93</v>
      </c>
      <c r="L153" s="91" t="n">
        <v>432.35</v>
      </c>
      <c r="M153" s="91" t="n">
        <v>303.95</v>
      </c>
      <c r="N153" s="91" t="n">
        <v>491.34</v>
      </c>
      <c r="O153" s="91" t="n">
        <v>124.94</v>
      </c>
      <c r="P153" s="91"/>
      <c r="Q153" s="91"/>
      <c r="R153" s="91" t="n">
        <v>59.42</v>
      </c>
      <c r="S153" s="91" t="n">
        <v>154.2</v>
      </c>
      <c r="T153" s="91" t="n">
        <v>46.19</v>
      </c>
      <c r="U153" s="91"/>
    </row>
    <row r="154" customFormat="false" ht="15" hidden="false" customHeight="true" outlineLevel="0" collapsed="false">
      <c r="A154" s="90" t="n">
        <v>46205</v>
      </c>
      <c r="B154" s="91" t="n">
        <v>219.72</v>
      </c>
      <c r="C154" s="91" t="n">
        <v>159.99</v>
      </c>
      <c r="D154" s="91" t="n">
        <v>1769.32</v>
      </c>
      <c r="E154" s="91" t="n">
        <v>360.45</v>
      </c>
      <c r="F154" s="91" t="n">
        <v>193.98</v>
      </c>
      <c r="G154" s="91" t="n">
        <v>235.55</v>
      </c>
      <c r="H154" s="91" t="n">
        <v>975.56</v>
      </c>
      <c r="I154" s="91" t="n">
        <v>194.83</v>
      </c>
      <c r="J154" s="91" t="n">
        <v>139.43</v>
      </c>
      <c r="K154" s="91" t="n">
        <v>129.3</v>
      </c>
      <c r="L154" s="91" t="n">
        <v>434.16</v>
      </c>
      <c r="M154" s="91" t="n">
        <v>300.53</v>
      </c>
      <c r="N154" s="91" t="n">
        <v>528.04</v>
      </c>
      <c r="O154" s="91" t="n">
        <v>123.51</v>
      </c>
      <c r="P154" s="91"/>
      <c r="Q154" s="91"/>
      <c r="R154" s="91" t="n">
        <v>59.39</v>
      </c>
      <c r="S154" s="91" t="n">
        <v>150.83</v>
      </c>
      <c r="T154" s="91" t="n">
        <v>47</v>
      </c>
      <c r="U154" s="91"/>
    </row>
    <row r="155" customFormat="false" ht="15" hidden="false" customHeight="true" outlineLevel="0" collapsed="false">
      <c r="A155" s="90" t="n">
        <v>46213</v>
      </c>
      <c r="B155" s="91" t="n">
        <v>223.64</v>
      </c>
      <c r="C155" s="91" t="n">
        <v>186.96</v>
      </c>
      <c r="D155" s="91" t="n">
        <v>1797.32</v>
      </c>
      <c r="E155" s="91" t="n">
        <v>399.97</v>
      </c>
      <c r="F155" s="91" t="n">
        <v>187.18</v>
      </c>
      <c r="G155" s="91" t="n">
        <v>231.52</v>
      </c>
      <c r="H155" s="91" t="n">
        <v>979.3</v>
      </c>
      <c r="I155" s="91" t="n">
        <v>210.96</v>
      </c>
      <c r="J155" s="91" t="n">
        <v>140.87</v>
      </c>
      <c r="K155" s="91" t="n">
        <v>126.79</v>
      </c>
      <c r="L155" s="91" t="n">
        <v>434.11</v>
      </c>
      <c r="M155" s="91" t="n">
        <v>318.86</v>
      </c>
      <c r="N155" s="91" t="n">
        <v>485.39</v>
      </c>
      <c r="O155" s="91" t="n">
        <v>123.95</v>
      </c>
      <c r="P155" s="91"/>
      <c r="Q155" s="91"/>
      <c r="R155" s="91" t="n">
        <v>60.51</v>
      </c>
      <c r="S155" s="91" t="n">
        <v>153.75</v>
      </c>
      <c r="T155" s="91" t="n">
        <v>47.39</v>
      </c>
      <c r="U155" s="91"/>
    </row>
    <row r="156" customFormat="false" ht="15" hidden="false" customHeight="true" outlineLevel="0" collapsed="false">
      <c r="A156" s="90" t="n">
        <v>46220</v>
      </c>
      <c r="B156" s="91" t="n">
        <v>237.25</v>
      </c>
      <c r="C156" s="91" t="n">
        <v>168.61</v>
      </c>
      <c r="D156" s="91" t="n">
        <v>1747.58</v>
      </c>
      <c r="E156" s="91" t="n">
        <v>370.83</v>
      </c>
      <c r="F156" s="91" t="n">
        <v>203.08</v>
      </c>
      <c r="G156" s="91" t="n">
        <v>212.75</v>
      </c>
      <c r="H156" s="91" t="n">
        <v>848.95</v>
      </c>
      <c r="I156" s="91" t="n">
        <v>202.81</v>
      </c>
      <c r="J156" s="91" t="n">
        <v>149.79</v>
      </c>
      <c r="K156" s="91" t="n">
        <v>132.38</v>
      </c>
      <c r="L156" s="91" t="n">
        <v>398.37</v>
      </c>
      <c r="M156" s="91" t="n">
        <v>289.56</v>
      </c>
      <c r="N156" s="91" t="n">
        <v>485.65</v>
      </c>
      <c r="O156" s="91" t="n">
        <v>125.35</v>
      </c>
      <c r="P156" s="91"/>
      <c r="Q156" s="91"/>
      <c r="R156" s="91" t="n">
        <v>58.51</v>
      </c>
      <c r="S156" s="91" t="n">
        <v>143.89</v>
      </c>
      <c r="T156" s="91" t="n">
        <v>47.8</v>
      </c>
      <c r="U156" s="91"/>
    </row>
    <row r="157" customFormat="false" ht="15" hidden="false" customHeight="true" outlineLevel="0" collapsed="false">
      <c r="A157" s="90" t="n">
        <v>46227</v>
      </c>
      <c r="B157" s="91" t="n">
        <v>225.11</v>
      </c>
      <c r="C157" s="91" t="n">
        <v>173.99</v>
      </c>
      <c r="D157" s="91" t="n">
        <v>1757.09</v>
      </c>
      <c r="E157" s="91" t="n">
        <v>381.92</v>
      </c>
      <c r="F157" s="91" t="n">
        <v>183.28</v>
      </c>
      <c r="G157" s="91" t="n">
        <v>210.52</v>
      </c>
      <c r="H157" s="91" t="n">
        <v>920.95</v>
      </c>
      <c r="I157" s="91" t="n">
        <v>206.84</v>
      </c>
      <c r="J157" s="91" t="n">
        <v>147.63</v>
      </c>
      <c r="K157" s="91" t="n">
        <v>122.92</v>
      </c>
      <c r="L157" s="91" t="n">
        <v>403.41</v>
      </c>
      <c r="M157" s="91" t="n">
        <v>290.36</v>
      </c>
      <c r="N157" s="91" t="n">
        <v>477.36</v>
      </c>
      <c r="O157" s="91" t="n">
        <v>125.28</v>
      </c>
      <c r="P157" s="91"/>
      <c r="Q157" s="91"/>
      <c r="R157" s="91" t="n">
        <v>57.96</v>
      </c>
      <c r="S157" s="91" t="n">
        <v>146.51</v>
      </c>
      <c r="T157" s="91" t="n">
        <v>48.14</v>
      </c>
      <c r="U157" s="91"/>
    </row>
    <row r="158" customFormat="false" ht="15" hidden="false" customHeight="true" outlineLevel="0" collapsed="false">
      <c r="A158" s="90" t="n">
        <v>46234</v>
      </c>
      <c r="B158" s="91" t="n">
        <v>250.41</v>
      </c>
      <c r="C158" s="91" t="n">
        <v>180.35</v>
      </c>
      <c r="D158" s="91" t="n">
        <v>1629</v>
      </c>
      <c r="E158" s="91" t="n">
        <v>389.28</v>
      </c>
      <c r="F158" s="91" t="n">
        <v>190.86</v>
      </c>
      <c r="G158" s="91" t="n">
        <v>182.82</v>
      </c>
      <c r="H158" s="91" t="n">
        <v>823.03</v>
      </c>
      <c r="I158" s="91" t="n">
        <v>200.75</v>
      </c>
      <c r="J158" s="91" t="n">
        <v>144.61</v>
      </c>
      <c r="K158" s="91" t="n">
        <v>123.06</v>
      </c>
      <c r="L158" s="91" t="n">
        <v>404.25</v>
      </c>
      <c r="M158" s="91" t="n">
        <v>241.57</v>
      </c>
      <c r="N158" s="91" t="n">
        <v>477.1</v>
      </c>
      <c r="O158" s="91" t="n">
        <v>125.28</v>
      </c>
      <c r="P158" s="91"/>
      <c r="Q158" s="91"/>
      <c r="R158" s="91" t="n">
        <v>58.25</v>
      </c>
      <c r="S158" s="91" t="n">
        <v>143.83</v>
      </c>
      <c r="T158" s="91" t="n">
        <v>49.74</v>
      </c>
      <c r="U158" s="91"/>
    </row>
    <row r="159" customFormat="false" ht="15" hidden="false" customHeight="true" outlineLevel="0" collapsed="false">
      <c r="A159" s="90"/>
      <c r="B159" s="91"/>
      <c r="C159" s="91"/>
      <c r="D159" s="91"/>
      <c r="E159" s="91"/>
      <c r="F159" s="91"/>
      <c r="G159" s="91"/>
      <c r="H159" s="91"/>
      <c r="I159" s="91"/>
      <c r="J159" s="91"/>
      <c r="K159" s="91"/>
      <c r="L159" s="91"/>
      <c r="M159" s="91"/>
      <c r="N159" s="91"/>
      <c r="O159" s="91"/>
      <c r="P159" s="91"/>
      <c r="Q159" s="91"/>
      <c r="R159" s="91"/>
      <c r="S159" s="91"/>
      <c r="T159" s="91"/>
      <c r="U159" s="91"/>
    </row>
    <row r="160" customFormat="false" ht="15" hidden="false" customHeight="true" outlineLevel="0" collapsed="false">
      <c r="A160" s="90"/>
      <c r="B160" s="91"/>
      <c r="C160" s="91"/>
      <c r="D160" s="91"/>
      <c r="E160" s="91"/>
      <c r="F160" s="91"/>
      <c r="G160" s="91"/>
      <c r="H160" s="91"/>
      <c r="I160" s="91"/>
      <c r="J160" s="91"/>
      <c r="K160" s="91"/>
      <c r="L160" s="91"/>
      <c r="M160" s="91"/>
      <c r="N160" s="91"/>
      <c r="O160" s="91"/>
      <c r="P160" s="91"/>
      <c r="Q160" s="91"/>
      <c r="R160" s="91"/>
      <c r="S160" s="91"/>
      <c r="T160" s="91"/>
      <c r="U160" s="91"/>
    </row>
    <row r="161" customFormat="false" ht="15" hidden="false" customHeight="true" outlineLevel="0" collapsed="false">
      <c r="A161" s="90"/>
      <c r="B161" s="91"/>
      <c r="C161" s="91"/>
      <c r="D161" s="91"/>
      <c r="E161" s="91"/>
      <c r="F161" s="91"/>
      <c r="G161" s="91"/>
      <c r="H161" s="91"/>
      <c r="I161" s="91"/>
      <c r="J161" s="91"/>
      <c r="K161" s="91"/>
      <c r="L161" s="91"/>
      <c r="M161" s="91"/>
      <c r="N161" s="91"/>
      <c r="O161" s="91"/>
      <c r="P161" s="91"/>
      <c r="Q161" s="91"/>
      <c r="R161" s="91"/>
      <c r="S161" s="91"/>
      <c r="T161" s="91"/>
      <c r="U161" s="91"/>
    </row>
    <row r="162" customFormat="false" ht="15" hidden="false" customHeight="true" outlineLevel="0" collapsed="false">
      <c r="A162" s="90"/>
      <c r="B162" s="91"/>
      <c r="C162" s="91"/>
      <c r="D162" s="91"/>
      <c r="E162" s="91"/>
      <c r="F162" s="91"/>
      <c r="G162" s="91"/>
      <c r="H162" s="91"/>
      <c r="I162" s="91"/>
      <c r="J162" s="91"/>
      <c r="K162" s="91"/>
      <c r="L162" s="91"/>
      <c r="M162" s="91"/>
      <c r="N162" s="91"/>
      <c r="O162" s="91"/>
      <c r="P162" s="91"/>
      <c r="Q162" s="91"/>
      <c r="R162" s="91"/>
      <c r="S162" s="91"/>
      <c r="T162" s="91"/>
      <c r="U162" s="91"/>
    </row>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J31" activeCellId="0" sqref="J31"/>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false" hidden="false" outlineLevel="0" max="4" min="4" style="1" width="8.67"/>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2" t="s">
        <v>74</v>
      </c>
      <c r="B1" s="92" t="s">
        <v>216</v>
      </c>
      <c r="C1" s="92" t="s">
        <v>217</v>
      </c>
      <c r="D1" s="93" t="s">
        <v>218</v>
      </c>
      <c r="E1" s="93" t="s">
        <v>219</v>
      </c>
      <c r="F1" s="92" t="s">
        <v>220</v>
      </c>
      <c r="G1" s="92" t="s">
        <v>221</v>
      </c>
      <c r="H1" s="92" t="s">
        <v>222</v>
      </c>
      <c r="I1" s="92" t="s">
        <v>223</v>
      </c>
      <c r="J1" s="92" t="s">
        <v>224</v>
      </c>
    </row>
    <row r="2" customFormat="false" ht="15" hidden="false" customHeight="true" outlineLevel="0" collapsed="false">
      <c r="A2" s="76" t="str">
        <f aca="false">IF(Scoring!A3="","",Scoring!A3)</f>
        <v>MU</v>
      </c>
      <c r="B2" s="94" t="str">
        <f aca="false">IF(Scoring!B3="","",Scoring!B3)</f>
        <v>Micron Technology</v>
      </c>
      <c r="C2" s="95" t="n">
        <f aca="false">IF(Scoring!C3="","",Scoring!C3)</f>
        <v>46240</v>
      </c>
      <c r="D2" s="96" t="n">
        <f aca="false">IF(Scoring!N3="","",Scoring!N3)</f>
        <v>3.64285714285714</v>
      </c>
      <c r="E2" s="97" t="n">
        <f aca="false">IF(Scoring!AF3="","",Scoring!AF3)</f>
        <v>71.8</v>
      </c>
      <c r="F2" s="98" t="str">
        <f aca="false">IF(Scoring!AG3="","",Scoring!AG3)</f>
        <v>BUY</v>
      </c>
      <c r="G2" s="98" t="str">
        <f aca="false">IF(Scoring!AH3="","",Scoring!AH3)</f>
        <v>OK</v>
      </c>
      <c r="H2" s="98" t="str">
        <f aca="false">IF(Scoring!AI3="","",Scoring!AI3)</f>
        <v>OK</v>
      </c>
      <c r="I2" s="98" t="str">
        <f aca="false">IF(Scoring!AJ3="","",Scoring!AJ3)</f>
        <v>OK</v>
      </c>
      <c r="J2" s="98" t="str">
        <f aca="false">IF(Scoring!AK3="","",Scoring!AK3)</f>
        <v>OK</v>
      </c>
    </row>
    <row r="3" customFormat="false" ht="15" hidden="false" customHeight="true" outlineLevel="0" collapsed="false">
      <c r="A3" s="76" t="str">
        <f aca="false">IF(Scoring!A4="","",Scoring!A4)</f>
        <v>AVGO</v>
      </c>
      <c r="B3" s="94" t="str">
        <f aca="false">IF(Scoring!B4="","",Scoring!B4)</f>
        <v>Broadcom Inc.</v>
      </c>
      <c r="C3" s="95" t="n">
        <f aca="false">IF(Scoring!C4="","",Scoring!C4)</f>
        <v>46240</v>
      </c>
      <c r="D3" s="96" t="n">
        <f aca="false">IF(Scoring!N4="","",Scoring!N4)</f>
        <v>4.07142857142857</v>
      </c>
      <c r="E3" s="97" t="n">
        <f aca="false">IF(Scoring!AF4="","",Scoring!AF4)</f>
        <v>80.8</v>
      </c>
      <c r="F3" s="98" t="str">
        <f aca="false">IF(Scoring!AG4="","",Scoring!AG4)</f>
        <v>STRONG BUY</v>
      </c>
      <c r="G3" s="98" t="str">
        <f aca="false">IF(Scoring!AH4="","",Scoring!AH4)</f>
        <v>OK</v>
      </c>
      <c r="H3" s="98" t="str">
        <f aca="false">IF(Scoring!AI4="","",Scoring!AI4)</f>
        <v>OK</v>
      </c>
      <c r="I3" s="98" t="str">
        <f aca="false">IF(Scoring!AJ4="","",Scoring!AJ4)</f>
        <v>OK</v>
      </c>
      <c r="J3" s="98" t="str">
        <f aca="false">IF(Scoring!AK4="","",Scoring!AK4)</f>
        <v>OK</v>
      </c>
    </row>
    <row r="4" customFormat="false" ht="15" hidden="false" customHeight="true" outlineLevel="0" collapsed="false">
      <c r="A4" s="76" t="str">
        <f aca="false">IF(Scoring!A5="","",Scoring!A5)</f>
        <v>PLTR</v>
      </c>
      <c r="B4" s="94" t="str">
        <f aca="false">IF(Scoring!B5="","",Scoring!B5)</f>
        <v>Palantir Technologies</v>
      </c>
      <c r="C4" s="95" t="n">
        <f aca="false">IF(Scoring!C5="","",Scoring!C5)</f>
        <v>46240</v>
      </c>
      <c r="D4" s="96" t="n">
        <f aca="false">IF(Scoring!N5="","",Scoring!N5)</f>
        <v>4</v>
      </c>
      <c r="E4" s="97" t="n">
        <f aca="false">IF(Scoring!AF5="","",Scoring!AF5)</f>
        <v>75.2</v>
      </c>
      <c r="F4" s="98" t="str">
        <f aca="false">IF(Scoring!AG5="","",Scoring!AG5)</f>
        <v>BUY</v>
      </c>
      <c r="G4" s="98" t="str">
        <f aca="false">IF(Scoring!AH5="","",Scoring!AH5)</f>
        <v>OK</v>
      </c>
      <c r="H4" s="98" t="str">
        <f aca="false">IF(Scoring!AI5="","",Scoring!AI5)</f>
        <v>OK</v>
      </c>
      <c r="I4" s="98" t="str">
        <f aca="false">IF(Scoring!AJ5="","",Scoring!AJ5)</f>
        <v>OK</v>
      </c>
      <c r="J4" s="98" t="str">
        <f aca="false">IF(Scoring!AK5="","",Scoring!AK5)</f>
        <v>OK</v>
      </c>
    </row>
    <row r="5" customFormat="false" ht="15" hidden="false" customHeight="true" outlineLevel="0" collapsed="false">
      <c r="A5" s="76" t="str">
        <f aca="false">IF(Scoring!A6="","",Scoring!A6)</f>
        <v>NVDA</v>
      </c>
      <c r="B5" s="94" t="str">
        <f aca="false">IF(Scoring!B6="","",Scoring!B6)</f>
        <v>NVIDIA Corporation</v>
      </c>
      <c r="C5" s="95" t="n">
        <f aca="false">IF(Scoring!C6="","",Scoring!C6)</f>
        <v>46240</v>
      </c>
      <c r="D5" s="96" t="n">
        <f aca="false">IF(Scoring!N6="","",Scoring!N6)</f>
        <v>4.57142857142857</v>
      </c>
      <c r="E5" s="97" t="n">
        <f aca="false">IF(Scoring!AF6="","",Scoring!AF6)</f>
        <v>93.2</v>
      </c>
      <c r="F5" s="98" t="str">
        <f aca="false">IF(Scoring!AG6="","",Scoring!AG6)</f>
        <v>STRONG BUY</v>
      </c>
      <c r="G5" s="98" t="str">
        <f aca="false">IF(Scoring!AH6="","",Scoring!AH6)</f>
        <v>OK</v>
      </c>
      <c r="H5" s="98" t="str">
        <f aca="false">IF(Scoring!AI6="","",Scoring!AI6)</f>
        <v>OK</v>
      </c>
      <c r="I5" s="98" t="str">
        <f aca="false">IF(Scoring!AJ6="","",Scoring!AJ6)</f>
        <v>OK</v>
      </c>
      <c r="J5" s="98" t="str">
        <f aca="false">IF(Scoring!AK6="","",Scoring!AK6)</f>
        <v>OK</v>
      </c>
    </row>
    <row r="6" customFormat="false" ht="15" hidden="false" customHeight="true" outlineLevel="0" collapsed="false">
      <c r="A6" s="76" t="str">
        <f aca="false">IF(Scoring!A7="","",Scoring!A7)</f>
        <v>VRTX</v>
      </c>
      <c r="B6" s="94" t="str">
        <f aca="false">IF(Scoring!B7="","",Scoring!B7)</f>
        <v>Vertex Pharmaceuticals</v>
      </c>
      <c r="C6" s="95" t="n">
        <f aca="false">IF(Scoring!C7="","",Scoring!C7)</f>
        <v>46241</v>
      </c>
      <c r="D6" s="96" t="n">
        <f aca="false">IF(Scoring!N7="","",Scoring!N7)</f>
        <v>3.78571428571429</v>
      </c>
      <c r="E6" s="97" t="n">
        <f aca="false">IF(Scoring!AF7="","",Scoring!AF7)</f>
        <v>75.6</v>
      </c>
      <c r="F6" s="98" t="str">
        <f aca="false">IF(Scoring!AG7="","",Scoring!AG7)</f>
        <v>BUY</v>
      </c>
      <c r="G6" s="98" t="str">
        <f aca="false">IF(Scoring!AH7="","",Scoring!AH7)</f>
        <v>OK</v>
      </c>
      <c r="H6" s="98" t="str">
        <f aca="false">IF(Scoring!AI7="","",Scoring!AI7)</f>
        <v>OK</v>
      </c>
      <c r="I6" s="98" t="str">
        <f aca="false">IF(Scoring!AJ7="","",Scoring!AJ7)</f>
        <v>OK</v>
      </c>
      <c r="J6" s="98" t="str">
        <f aca="false">IF(Scoring!AK7="","",Scoring!AK7)</f>
        <v>OK</v>
      </c>
    </row>
    <row r="7" customFormat="false" ht="15" hidden="false" customHeight="true" outlineLevel="0" collapsed="false">
      <c r="A7" s="76" t="str">
        <f aca="false">IF(Scoring!A8="","",Scoring!A8)</f>
        <v>PLD</v>
      </c>
      <c r="B7" s="94" t="str">
        <f aca="false">IF(Scoring!B8="","",Scoring!B8)</f>
        <v>Prologis Inc. (REIT-adapted)</v>
      </c>
      <c r="C7" s="95" t="n">
        <f aca="false">IF(Scoring!C8="","",Scoring!C8)</f>
        <v>46240</v>
      </c>
      <c r="D7" s="96" t="n">
        <f aca="false">IF(Scoring!N8="","",Scoring!N8)</f>
        <v>4.35714285714286</v>
      </c>
      <c r="E7" s="97" t="n">
        <f aca="false">IF(Scoring!AF8="","",Scoring!AF8)</f>
        <v>82</v>
      </c>
      <c r="F7" s="98" t="str">
        <f aca="false">IF(Scoring!AG8="","",Scoring!AG8)</f>
        <v>STRONG BUY</v>
      </c>
      <c r="G7" s="98" t="str">
        <f aca="false">IF(Scoring!AH8="","",Scoring!AH8)</f>
        <v>OK</v>
      </c>
      <c r="H7" s="98" t="str">
        <f aca="false">IF(Scoring!AI8="","",Scoring!AI8)</f>
        <v>OK</v>
      </c>
      <c r="I7" s="98" t="str">
        <f aca="false">IF(Scoring!AJ8="","",Scoring!AJ8)</f>
        <v>OK</v>
      </c>
      <c r="J7" s="98" t="str">
        <f aca="false">IF(Scoring!AK8="","",Scoring!AK8)</f>
        <v>OK</v>
      </c>
    </row>
    <row r="8" customFormat="false" ht="15" hidden="false" customHeight="true" outlineLevel="1" collapsed="false">
      <c r="A8" s="76" t="str">
        <f aca="false">IF(Scoring!A9="","",Scoring!A9)</f>
        <v>SFM</v>
      </c>
      <c r="B8" s="94" t="str">
        <f aca="false">IF(Scoring!B9="","",Scoring!B9)</f>
        <v>Sprouts Farmers Market</v>
      </c>
      <c r="C8" s="95" t="n">
        <f aca="false">IF(Scoring!C9="","",Scoring!C9)</f>
        <v>46240</v>
      </c>
      <c r="D8" s="96" t="n">
        <f aca="false">IF(Scoring!N9="","",Scoring!N9)</f>
        <v>1.85714285714286</v>
      </c>
      <c r="E8" s="97" t="str">
        <f aca="false">IF(Scoring!AF9="","",Scoring!AF9)</f>
        <v/>
      </c>
      <c r="F8" s="98" t="str">
        <f aca="false">IF(Scoring!AG9="","",Scoring!AG9)</f>
        <v/>
      </c>
      <c r="G8" s="98" t="str">
        <f aca="false">IF(Scoring!AH9="","",Scoring!AH9)</f>
        <v>FAIL</v>
      </c>
      <c r="H8" s="98" t="str">
        <f aca="false">IF(Scoring!AI9="","",Scoring!AI9)</f>
        <v>REVIEW</v>
      </c>
      <c r="I8" s="98" t="str">
        <f aca="false">IF(Scoring!AJ9="","",Scoring!AJ9)</f>
        <v>AVOID</v>
      </c>
      <c r="J8" s="98" t="str">
        <f aca="false">IF(Scoring!AK9="","",Scoring!AK9)</f>
        <v>OK</v>
      </c>
    </row>
    <row r="9" customFormat="false" ht="15" hidden="false" customHeight="true" outlineLevel="1" collapsed="false">
      <c r="A9" s="76" t="str">
        <f aca="false">IF(Scoring!A10="","",Scoring!A10)</f>
        <v>ONON</v>
      </c>
      <c r="B9" s="94" t="str">
        <f aca="false">IF(Scoring!B10="","",Scoring!B10)</f>
        <v>On Holding AG</v>
      </c>
      <c r="C9" s="95" t="n">
        <f aca="false">IF(Scoring!C10="","",Scoring!C10)</f>
        <v>46240</v>
      </c>
      <c r="D9" s="96" t="n">
        <f aca="false">IF(Scoring!N10="","",Scoring!N10)</f>
        <v>2.64285714285714</v>
      </c>
      <c r="E9" s="97" t="str">
        <f aca="false">IF(Scoring!AF10="","",Scoring!AF10)</f>
        <v/>
      </c>
      <c r="F9" s="98" t="str">
        <f aca="false">IF(Scoring!AG10="","",Scoring!AG10)</f>
        <v/>
      </c>
      <c r="G9" s="98" t="str">
        <f aca="false">IF(Scoring!AH10="","",Scoring!AH10)</f>
        <v>FAIL</v>
      </c>
      <c r="H9" s="98" t="str">
        <f aca="false">IF(Scoring!AI10="","",Scoring!AI10)</f>
        <v>OK</v>
      </c>
      <c r="I9" s="98" t="str">
        <f aca="false">IF(Scoring!AJ10="","",Scoring!AJ10)</f>
        <v>AVOID</v>
      </c>
      <c r="J9" s="98" t="str">
        <f aca="false">IF(Scoring!AK10="","",Scoring!AK10)</f>
        <v>OK</v>
      </c>
    </row>
    <row r="10" customFormat="false" ht="15" hidden="false" customHeight="true" outlineLevel="1" collapsed="false">
      <c r="A10" s="76" t="str">
        <f aca="false">IF(Scoring!A11="","",Scoring!A11)</f>
        <v>TSLA</v>
      </c>
      <c r="B10" s="94" t="str">
        <f aca="false">IF(Scoring!B11="","",Scoring!B11)</f>
        <v>Tesla Inc.</v>
      </c>
      <c r="C10" s="95" t="n">
        <f aca="false">IF(Scoring!C11="","",Scoring!C11)</f>
        <v>46240</v>
      </c>
      <c r="D10" s="96" t="n">
        <f aca="false">IF(Scoring!N11="","",Scoring!N11)</f>
        <v>1.92857142857143</v>
      </c>
      <c r="E10" s="97" t="str">
        <f aca="false">IF(Scoring!AF11="","",Scoring!AF11)</f>
        <v/>
      </c>
      <c r="F10" s="98" t="str">
        <f aca="false">IF(Scoring!AG11="","",Scoring!AG11)</f>
        <v/>
      </c>
      <c r="G10" s="98" t="str">
        <f aca="false">IF(Scoring!AH11="","",Scoring!AH11)</f>
        <v>FAIL</v>
      </c>
      <c r="H10" s="98" t="str">
        <f aca="false">IF(Scoring!AI11="","",Scoring!AI11)</f>
        <v>REVIEW</v>
      </c>
      <c r="I10" s="98" t="str">
        <f aca="false">IF(Scoring!AJ11="","",Scoring!AJ11)</f>
        <v>AVOID</v>
      </c>
      <c r="J10" s="98" t="str">
        <f aca="false">IF(Scoring!AK11="","",Scoring!AK11)</f>
        <v>OK</v>
      </c>
    </row>
    <row r="11" customFormat="false" ht="15" hidden="false" customHeight="true" outlineLevel="0" collapsed="false">
      <c r="A11" s="76" t="str">
        <f aca="false">IF(Scoring!A12="","",Scoring!A12)</f>
        <v>ADBE</v>
      </c>
      <c r="B11" s="94" t="str">
        <f aca="false">IF(Scoring!B12="","",Scoring!B12)</f>
        <v>Adobe Inc.</v>
      </c>
      <c r="C11" s="95" t="n">
        <f aca="false">IF(Scoring!C12="","",Scoring!C12)</f>
        <v>46240</v>
      </c>
      <c r="D11" s="96" t="n">
        <f aca="false">IF(Scoring!N12="","",Scoring!N12)</f>
        <v>4.57142857142857</v>
      </c>
      <c r="E11" s="97" t="n">
        <f aca="false">IF(Scoring!AF12="","",Scoring!AF12)</f>
        <v>85.8</v>
      </c>
      <c r="F11" s="98" t="str">
        <f aca="false">IF(Scoring!AG12="","",Scoring!AG12)</f>
        <v>STRONG BUY</v>
      </c>
      <c r="G11" s="98" t="str">
        <f aca="false">IF(Scoring!AH12="","",Scoring!AH12)</f>
        <v>OK</v>
      </c>
      <c r="H11" s="98" t="str">
        <f aca="false">IF(Scoring!AI12="","",Scoring!AI12)</f>
        <v>OK</v>
      </c>
      <c r="I11" s="98" t="str">
        <f aca="false">IF(Scoring!AJ12="","",Scoring!AJ12)</f>
        <v>OK</v>
      </c>
      <c r="J11" s="98" t="str">
        <f aca="false">IF(Scoring!AK12="","",Scoring!AK12)</f>
        <v>OK</v>
      </c>
    </row>
    <row r="12" customFormat="false" ht="15" hidden="false" customHeight="true" outlineLevel="0" collapsed="false">
      <c r="A12" s="76" t="str">
        <f aca="false">IF(Scoring!A13="","",Scoring!A13)</f>
        <v>ANET</v>
      </c>
      <c r="B12" s="94" t="str">
        <f aca="false">IF(Scoring!B13="","",Scoring!B13)</f>
        <v>Arista Networks</v>
      </c>
      <c r="C12" s="95" t="n">
        <f aca="false">IF(Scoring!C13="","",Scoring!C13)</f>
        <v>46240</v>
      </c>
      <c r="D12" s="96" t="n">
        <f aca="false">IF(Scoring!N13="","",Scoring!N13)</f>
        <v>4.57142857142857</v>
      </c>
      <c r="E12" s="97" t="n">
        <f aca="false">IF(Scoring!AF13="","",Scoring!AF13)</f>
        <v>85</v>
      </c>
      <c r="F12" s="98" t="str">
        <f aca="false">IF(Scoring!AG13="","",Scoring!AG13)</f>
        <v>STRONG BUY</v>
      </c>
      <c r="G12" s="98" t="str">
        <f aca="false">IF(Scoring!AH13="","",Scoring!AH13)</f>
        <v>OK</v>
      </c>
      <c r="H12" s="98" t="str">
        <f aca="false">IF(Scoring!AI13="","",Scoring!AI13)</f>
        <v>OK</v>
      </c>
      <c r="I12" s="98" t="str">
        <f aca="false">IF(Scoring!AJ13="","",Scoring!AJ13)</f>
        <v>OK</v>
      </c>
      <c r="J12" s="98" t="str">
        <f aca="false">IF(Scoring!AK13="","",Scoring!AK13)</f>
        <v>OK</v>
      </c>
    </row>
    <row r="13" customFormat="false" ht="15" hidden="false" customHeight="true" outlineLevel="0" collapsed="false">
      <c r="A13" s="76" t="str">
        <f aca="false">IF(Scoring!A14="","",Scoring!A14)</f>
        <v>ASML</v>
      </c>
      <c r="B13" s="94" t="str">
        <f aca="false">IF(Scoring!B14="","",Scoring!B14)</f>
        <v>ASML Holding</v>
      </c>
      <c r="C13" s="95" t="n">
        <f aca="false">IF(Scoring!C14="","",Scoring!C14)</f>
        <v>46240</v>
      </c>
      <c r="D13" s="96" t="n">
        <f aca="false">IF(Scoring!N14="","",Scoring!N14)</f>
        <v>3.57142857142857</v>
      </c>
      <c r="E13" s="97" t="n">
        <f aca="false">IF(Scoring!AF14="","",Scoring!AF14)</f>
        <v>73.2</v>
      </c>
      <c r="F13" s="98" t="str">
        <f aca="false">IF(Scoring!AG14="","",Scoring!AG14)</f>
        <v>BUY</v>
      </c>
      <c r="G13" s="98" t="str">
        <f aca="false">IF(Scoring!AH14="","",Scoring!AH14)</f>
        <v>OK</v>
      </c>
      <c r="H13" s="98" t="str">
        <f aca="false">IF(Scoring!AI14="","",Scoring!AI14)</f>
        <v>OK</v>
      </c>
      <c r="I13" s="98" t="str">
        <f aca="false">IF(Scoring!AJ14="","",Scoring!AJ14)</f>
        <v>OK</v>
      </c>
      <c r="J13" s="98" t="str">
        <f aca="false">IF(Scoring!AK14="","",Scoring!AK14)</f>
        <v>OK</v>
      </c>
    </row>
    <row r="14" customFormat="false" ht="15" hidden="false" customHeight="true" outlineLevel="0" collapsed="false">
      <c r="A14" s="76" t="str">
        <f aca="false">IF(Scoring!A15="","",Scoring!A15)</f>
        <v>CRWD</v>
      </c>
      <c r="B14" s="94" t="str">
        <f aca="false">IF(Scoring!B15="","",Scoring!B15)</f>
        <v>CrowdStrike Holdings</v>
      </c>
      <c r="C14" s="95" t="n">
        <f aca="false">IF(Scoring!C15="","",Scoring!C15)</f>
        <v>46240</v>
      </c>
      <c r="D14" s="96" t="n">
        <f aca="false">IF(Scoring!N15="","",Scoring!N15)</f>
        <v>4</v>
      </c>
      <c r="E14" s="97" t="n">
        <f aca="false">IF(Scoring!AF15="","",Scoring!AF15)</f>
        <v>70.4</v>
      </c>
      <c r="F14" s="98" t="str">
        <f aca="false">IF(Scoring!AG15="","",Scoring!AG15)</f>
        <v>BUY</v>
      </c>
      <c r="G14" s="98" t="str">
        <f aca="false">IF(Scoring!AH15="","",Scoring!AH15)</f>
        <v>OK</v>
      </c>
      <c r="H14" s="98" t="str">
        <f aca="false">IF(Scoring!AI15="","",Scoring!AI15)</f>
        <v>OK</v>
      </c>
      <c r="I14" s="98" t="str">
        <f aca="false">IF(Scoring!AJ15="","",Scoring!AJ15)</f>
        <v>OK</v>
      </c>
      <c r="J14" s="98" t="str">
        <f aca="false">IF(Scoring!AK15="","",Scoring!AK15)</f>
        <v>OK</v>
      </c>
    </row>
    <row r="15" customFormat="false" ht="15" hidden="false" customHeight="true" outlineLevel="0" collapsed="false">
      <c r="A15" s="76" t="str">
        <f aca="false">IF(Scoring!A16="","",Scoring!A16)</f>
        <v>KLAC</v>
      </c>
      <c r="B15" s="94" t="str">
        <f aca="false">IF(Scoring!B16="","",Scoring!B16)</f>
        <v>KLA Corporation</v>
      </c>
      <c r="C15" s="95" t="n">
        <f aca="false">IF(Scoring!C16="","",Scoring!C16)</f>
        <v>46240</v>
      </c>
      <c r="D15" s="96" t="n">
        <f aca="false">IF(Scoring!N16="","",Scoring!N16)</f>
        <v>3.42857142857143</v>
      </c>
      <c r="E15" s="97" t="n">
        <f aca="false">IF(Scoring!AF16="","",Scoring!AF16)</f>
        <v>68.6</v>
      </c>
      <c r="F15" s="98" t="str">
        <f aca="false">IF(Scoring!AG16="","",Scoring!AG16)</f>
        <v>BUY</v>
      </c>
      <c r="G15" s="98" t="str">
        <f aca="false">IF(Scoring!AH16="","",Scoring!AH16)</f>
        <v>OK</v>
      </c>
      <c r="H15" s="98" t="str">
        <f aca="false">IF(Scoring!AI16="","",Scoring!AI16)</f>
        <v>OK</v>
      </c>
      <c r="I15" s="98" t="str">
        <f aca="false">IF(Scoring!AJ16="","",Scoring!AJ16)</f>
        <v>OK</v>
      </c>
      <c r="J15" s="98" t="str">
        <f aca="false">IF(Scoring!AK16="","",Scoring!AK16)</f>
        <v>OK</v>
      </c>
    </row>
    <row r="16" customFormat="false" ht="15" hidden="false" customHeight="true" outlineLevel="0" collapsed="false">
      <c r="A16" s="76" t="str">
        <f aca="false">IF(Scoring!A17="","",Scoring!A17)</f>
        <v>TSM</v>
      </c>
      <c r="B16" s="94" t="str">
        <f aca="false">IF(Scoring!B17="","",Scoring!B17)</f>
        <v>Taiwan Semiconductor Mfg.</v>
      </c>
      <c r="C16" s="95" t="n">
        <f aca="false">IF(Scoring!C17="","",Scoring!C17)</f>
        <v>46240</v>
      </c>
      <c r="D16" s="96" t="n">
        <f aca="false">IF(Scoring!N17="","",Scoring!N17)</f>
        <v>4</v>
      </c>
      <c r="E16" s="97" t="n">
        <f aca="false">IF(Scoring!AF17="","",Scoring!AF17)</f>
        <v>81</v>
      </c>
      <c r="F16" s="98" t="str">
        <f aca="false">IF(Scoring!AG17="","",Scoring!AG17)</f>
        <v>STRONG BUY</v>
      </c>
      <c r="G16" s="98" t="str">
        <f aca="false">IF(Scoring!AH17="","",Scoring!AH17)</f>
        <v>OK</v>
      </c>
      <c r="H16" s="98" t="str">
        <f aca="false">IF(Scoring!AI17="","",Scoring!AI17)</f>
        <v>OK</v>
      </c>
      <c r="I16" s="98" t="str">
        <f aca="false">IF(Scoring!AJ17="","",Scoring!AJ17)</f>
        <v>OK</v>
      </c>
      <c r="J16" s="98" t="str">
        <f aca="false">IF(Scoring!AK17="","",Scoring!AK17)</f>
        <v>OK</v>
      </c>
    </row>
    <row r="17" customFormat="false" ht="15" hidden="false" customHeight="true" outlineLevel="0" collapsed="false">
      <c r="A17" s="76" t="str">
        <f aca="false">IF(Scoring!A18="","",Scoring!A18)</f>
        <v>VRT</v>
      </c>
      <c r="B17" s="94" t="str">
        <f aca="false">IF(Scoring!B18="","",Scoring!B18)</f>
        <v>Vertiv Holdings</v>
      </c>
      <c r="C17" s="95" t="n">
        <f aca="false">IF(Scoring!C18="","",Scoring!C18)</f>
        <v>46240</v>
      </c>
      <c r="D17" s="96" t="n">
        <f aca="false">IF(Scoring!N18="","",Scoring!N18)</f>
        <v>4.35714285714286</v>
      </c>
      <c r="E17" s="97" t="n">
        <f aca="false">IF(Scoring!AF18="","",Scoring!AF18)</f>
        <v>82.8</v>
      </c>
      <c r="F17" s="98" t="str">
        <f aca="false">IF(Scoring!AG18="","",Scoring!AG18)</f>
        <v>STRONG BUY</v>
      </c>
      <c r="G17" s="98" t="str">
        <f aca="false">IF(Scoring!AH18="","",Scoring!AH18)</f>
        <v>OK</v>
      </c>
      <c r="H17" s="98" t="str">
        <f aca="false">IF(Scoring!AI18="","",Scoring!AI18)</f>
        <v>OK</v>
      </c>
      <c r="I17" s="98" t="str">
        <f aca="false">IF(Scoring!AJ18="","",Scoring!AJ18)</f>
        <v>OK</v>
      </c>
      <c r="J17" s="98" t="str">
        <f aca="false">IF(Scoring!AK18="","",Scoring!AK18)</f>
        <v>OK</v>
      </c>
    </row>
    <row r="18" customFormat="false" ht="15" hidden="false" customHeight="true" outlineLevel="0" collapsed="false">
      <c r="A18" s="76" t="str">
        <f aca="false">IF(Scoring!A19="","",Scoring!A19)</f>
        <v>COST</v>
      </c>
      <c r="B18" s="94" t="str">
        <f aca="false">IF(Scoring!B19="","",Scoring!B19)</f>
        <v>Costco Wholesale Corp.</v>
      </c>
      <c r="C18" s="95" t="n">
        <f aca="false">IF(Scoring!C19="","",Scoring!C19)</f>
        <v>46245</v>
      </c>
      <c r="D18" s="96" t="n">
        <f aca="false">IF(Scoring!N19="","",Scoring!N19)</f>
        <v>4.14285714285714</v>
      </c>
      <c r="E18" s="97" t="n">
        <f aca="false">IF(Scoring!AF19="","",Scoring!AF19)</f>
        <v>77.4</v>
      </c>
      <c r="F18" s="98" t="str">
        <f aca="false">IF(Scoring!AG19="","",Scoring!AG19)</f>
        <v>BUY</v>
      </c>
      <c r="G18" s="98" t="str">
        <f aca="false">IF(Scoring!AH19="","",Scoring!AH19)</f>
        <v>OK</v>
      </c>
      <c r="H18" s="98" t="str">
        <f aca="false">IF(Scoring!AI19="","",Scoring!AI19)</f>
        <v>OK</v>
      </c>
      <c r="I18" s="98" t="str">
        <f aca="false">IF(Scoring!AJ19="","",Scoring!AJ19)</f>
        <v>OK</v>
      </c>
      <c r="J18" s="98" t="str">
        <f aca="false">IF(Scoring!AK19="","",Scoring!AK19)</f>
        <v>OK</v>
      </c>
    </row>
    <row r="19" customFormat="false" ht="15" hidden="false" customHeight="true" outlineLevel="0" collapsed="false">
      <c r="A19" s="76" t="str">
        <f aca="false">IF(Scoring!A20="","",Scoring!A20)</f>
        <v>V</v>
      </c>
      <c r="B19" s="94" t="str">
        <f aca="false">IF(Scoring!B20="","",Scoring!B20)</f>
        <v>Visa Inc.</v>
      </c>
      <c r="C19" s="95" t="n">
        <f aca="false">IF(Scoring!C20="","",Scoring!C20)</f>
        <v>46245</v>
      </c>
      <c r="D19" s="96" t="n">
        <f aca="false">IF(Scoring!N20="","",Scoring!N20)</f>
        <v>4.57142857142857</v>
      </c>
      <c r="E19" s="97" t="n">
        <f aca="false">IF(Scoring!AF20="","",Scoring!AF20)</f>
        <v>86.4</v>
      </c>
      <c r="F19" s="98" t="str">
        <f aca="false">IF(Scoring!AG20="","",Scoring!AG20)</f>
        <v>STRONG BUY</v>
      </c>
      <c r="G19" s="98" t="str">
        <f aca="false">IF(Scoring!AH20="","",Scoring!AH20)</f>
        <v>OK</v>
      </c>
      <c r="H19" s="98" t="str">
        <f aca="false">IF(Scoring!AI20="","",Scoring!AI20)</f>
        <v>OK</v>
      </c>
      <c r="I19" s="98" t="str">
        <f aca="false">IF(Scoring!AJ20="","",Scoring!AJ20)</f>
        <v>OK</v>
      </c>
      <c r="J19" s="98" t="str">
        <f aca="false">IF(Scoring!AK20="","",Scoring!AK20)</f>
        <v>OK</v>
      </c>
    </row>
    <row r="20" customFormat="false" ht="15" hidden="false" customHeight="true" outlineLevel="1" collapsed="false">
      <c r="A20" s="76" t="str">
        <f aca="false">IF(Scoring!A21="","",Scoring!A21)</f>
        <v>NEE</v>
      </c>
      <c r="B20" s="94" t="str">
        <f aca="false">IF(Scoring!B21="","",Scoring!B21)</f>
        <v>NextEra Energy Inc.</v>
      </c>
      <c r="C20" s="95" t="n">
        <f aca="false">IF(Scoring!C21="","",Scoring!C21)</f>
        <v>46245</v>
      </c>
      <c r="D20" s="96" t="n">
        <f aca="false">IF(Scoring!N21="","",Scoring!N21)</f>
        <v>2.5</v>
      </c>
      <c r="E20" s="97" t="str">
        <f aca="false">IF(Scoring!AF21="","",Scoring!AF21)</f>
        <v/>
      </c>
      <c r="F20" s="98" t="str">
        <f aca="false">IF(Scoring!AG21="","",Scoring!AG21)</f>
        <v/>
      </c>
      <c r="G20" s="98" t="str">
        <f aca="false">IF(Scoring!AH21="","",Scoring!AH21)</f>
        <v>FAIL</v>
      </c>
      <c r="H20" s="98" t="str">
        <f aca="false">IF(Scoring!AI21="","",Scoring!AI21)</f>
        <v>REVIEW</v>
      </c>
      <c r="I20" s="98" t="str">
        <f aca="false">IF(Scoring!AJ21="","",Scoring!AJ21)</f>
        <v>AVOID</v>
      </c>
      <c r="J20" s="98" t="str">
        <f aca="false">IF(Scoring!AK21="","",Scoring!AK21)</f>
        <v>OK</v>
      </c>
    </row>
    <row r="21" customFormat="false" ht="15" hidden="false" customHeight="true" outlineLevel="1" collapsed="false">
      <c r="A21" s="76" t="str">
        <f aca="false">IF(Scoring!A22="","",Scoring!A22)</f>
        <v>CRK</v>
      </c>
      <c r="B21" s="94" t="str">
        <f aca="false">IF(Scoring!B22="","",Scoring!B22)</f>
        <v>Comstock Resources Inc.</v>
      </c>
      <c r="C21" s="95" t="n">
        <f aca="false">IF(Scoring!C22="","",Scoring!C22)</f>
        <v>46245</v>
      </c>
      <c r="D21" s="96" t="n">
        <f aca="false">IF(Scoring!N22="","",Scoring!N22)</f>
        <v>1.21428571428571</v>
      </c>
      <c r="E21" s="97" t="str">
        <f aca="false">IF(Scoring!AF22="","",Scoring!AF22)</f>
        <v/>
      </c>
      <c r="F21" s="98" t="str">
        <f aca="false">IF(Scoring!AG22="","",Scoring!AG22)</f>
        <v/>
      </c>
      <c r="G21" s="98" t="str">
        <f aca="false">IF(Scoring!AH22="","",Scoring!AH22)</f>
        <v>FAIL</v>
      </c>
      <c r="H21" s="98" t="str">
        <f aca="false">IF(Scoring!AI22="","",Scoring!AI22)</f>
        <v>REVIEW</v>
      </c>
      <c r="I21" s="98" t="str">
        <f aca="false">IF(Scoring!AJ22="","",Scoring!AJ22)</f>
        <v>AVOID</v>
      </c>
      <c r="J21" s="98" t="str">
        <f aca="false">IF(Scoring!AK22="","",Scoring!AK22)</f>
        <v>OK</v>
      </c>
    </row>
    <row r="22" customFormat="false" ht="15" hidden="false" customHeight="true" outlineLevel="0" collapsed="false">
      <c r="A22" s="76" t="str">
        <f aca="false">IF(Scoring!A23="","",Scoring!A23)</f>
        <v>ET</v>
      </c>
      <c r="B22" s="94" t="str">
        <f aca="false">IF(Scoring!B23="","",Scoring!B23)</f>
        <v>Energy Transfer LP</v>
      </c>
      <c r="C22" s="95" t="n">
        <f aca="false">IF(Scoring!C23="","",Scoring!C23)</f>
        <v>46245</v>
      </c>
      <c r="D22" s="96" t="n">
        <f aca="false">IF(Scoring!N23="","",Scoring!N23)</f>
        <v>4</v>
      </c>
      <c r="E22" s="97" t="str">
        <f aca="false">IF(Scoring!AF23="","",Scoring!AF23)</f>
        <v/>
      </c>
      <c r="F22" s="98" t="str">
        <f aca="false">IF(Scoring!AG23="","",Scoring!AG23)</f>
        <v/>
      </c>
      <c r="G22" s="98" t="str">
        <f aca="false">IF(Scoring!AH23="","",Scoring!AH23)</f>
        <v>OK</v>
      </c>
      <c r="H22" s="98" t="str">
        <f aca="false">IF(Scoring!AI23="","",Scoring!AI23)</f>
        <v>OK</v>
      </c>
      <c r="I22" s="98" t="str">
        <f aca="false">IF(Scoring!AJ23="","",Scoring!AJ23)</f>
        <v>OK</v>
      </c>
      <c r="J22" s="98" t="str">
        <f aca="false">IF(Scoring!AK23="","",Scoring!AK23)</f>
        <v>OK</v>
      </c>
    </row>
    <row r="23" customFormat="false" ht="15" hidden="false" customHeight="true" outlineLevel="1" collapsed="false">
      <c r="A23" s="76" t="str">
        <f aca="false">IF(Scoring!A24="","",Scoring!A24)</f>
        <v>LBRT</v>
      </c>
      <c r="B23" s="94" t="str">
        <f aca="false">IF(Scoring!B24="","",Scoring!B24)</f>
        <v>Liberty Energy Inc.</v>
      </c>
      <c r="C23" s="95" t="n">
        <f aca="false">IF(Scoring!C24="","",Scoring!C24)</f>
        <v>46245</v>
      </c>
      <c r="D23" s="96" t="n">
        <f aca="false">IF(Scoring!N24="","",Scoring!N24)</f>
        <v>2.07142857142857</v>
      </c>
      <c r="E23" s="97" t="str">
        <f aca="false">IF(Scoring!AF24="","",Scoring!AF24)</f>
        <v/>
      </c>
      <c r="F23" s="98" t="str">
        <f aca="false">IF(Scoring!AG24="","",Scoring!AG24)</f>
        <v/>
      </c>
      <c r="G23" s="98" t="str">
        <f aca="false">IF(Scoring!AH24="","",Scoring!AH24)</f>
        <v>FAIL</v>
      </c>
      <c r="H23" s="98" t="str">
        <f aca="false">IF(Scoring!AI24="","",Scoring!AI24)</f>
        <v>REVIEW</v>
      </c>
      <c r="I23" s="98" t="str">
        <f aca="false">IF(Scoring!AJ24="","",Scoring!AJ24)</f>
        <v>AVOID</v>
      </c>
      <c r="J23" s="98" t="str">
        <f aca="false">IF(Scoring!AK24="","",Scoring!AK24)</f>
        <v>OK</v>
      </c>
    </row>
    <row r="24" customFormat="false" ht="15" hidden="false" customHeight="true" outlineLevel="1" collapsed="false">
      <c r="A24" s="76" t="str">
        <f aca="false">IF(Scoring!A25="","",Scoring!A25)</f>
        <v>NOV</v>
      </c>
      <c r="B24" s="94" t="str">
        <f aca="false">IF(Scoring!B25="","",Scoring!B25)</f>
        <v>NOV Inc.</v>
      </c>
      <c r="C24" s="95" t="n">
        <f aca="false">IF(Scoring!C25="","",Scoring!C25)</f>
        <v>46245</v>
      </c>
      <c r="D24" s="96" t="n">
        <f aca="false">IF(Scoring!N25="","",Scoring!N25)</f>
        <v>2.64285714285714</v>
      </c>
      <c r="E24" s="97" t="str">
        <f aca="false">IF(Scoring!AF25="","",Scoring!AF25)</f>
        <v/>
      </c>
      <c r="F24" s="98" t="str">
        <f aca="false">IF(Scoring!AG25="","",Scoring!AG25)</f>
        <v/>
      </c>
      <c r="G24" s="98" t="str">
        <f aca="false">IF(Scoring!AH25="","",Scoring!AH25)</f>
        <v>FAIL</v>
      </c>
      <c r="H24" s="98" t="str">
        <f aca="false">IF(Scoring!AI25="","",Scoring!AI25)</f>
        <v>OK</v>
      </c>
      <c r="I24" s="98" t="str">
        <f aca="false">IF(Scoring!AJ25="","",Scoring!AJ25)</f>
        <v>AVOID</v>
      </c>
      <c r="J24" s="98" t="str">
        <f aca="false">IF(Scoring!AK25="","",Scoring!AK25)</f>
        <v>OK</v>
      </c>
    </row>
    <row r="25" customFormat="false" ht="15" hidden="false" customHeight="true" outlineLevel="1" collapsed="false">
      <c r="A25" s="76" t="str">
        <f aca="false">IF(Scoring!A26="","",Scoring!A26)</f>
        <v>CE</v>
      </c>
      <c r="B25" s="94" t="str">
        <f aca="false">IF(Scoring!B26="","",Scoring!B26)</f>
        <v>Celanese Corp.</v>
      </c>
      <c r="C25" s="95" t="n">
        <f aca="false">IF(Scoring!C26="","",Scoring!C26)</f>
        <v>46245</v>
      </c>
      <c r="D25" s="96" t="n">
        <f aca="false">IF(Scoring!N26="","",Scoring!N26)</f>
        <v>1.78571428571429</v>
      </c>
      <c r="E25" s="97" t="str">
        <f aca="false">IF(Scoring!AF26="","",Scoring!AF26)</f>
        <v/>
      </c>
      <c r="F25" s="98" t="str">
        <f aca="false">IF(Scoring!AG26="","",Scoring!AG26)</f>
        <v/>
      </c>
      <c r="G25" s="98" t="str">
        <f aca="false">IF(Scoring!AH26="","",Scoring!AH26)</f>
        <v>FAIL</v>
      </c>
      <c r="H25" s="98" t="str">
        <f aca="false">IF(Scoring!AI26="","",Scoring!AI26)</f>
        <v>REVIEW</v>
      </c>
      <c r="I25" s="98" t="str">
        <f aca="false">IF(Scoring!AJ26="","",Scoring!AJ26)</f>
        <v>AVOID</v>
      </c>
      <c r="J25" s="98" t="str">
        <f aca="false">IF(Scoring!AK26="","",Scoring!AK26)</f>
        <v>OK</v>
      </c>
    </row>
    <row r="26" customFormat="false" ht="15" hidden="false" customHeight="true" outlineLevel="1" collapsed="false">
      <c r="A26" s="76" t="str">
        <f aca="false">IF(Scoring!A27="","",Scoring!A27)</f>
        <v>CLF</v>
      </c>
      <c r="B26" s="94" t="str">
        <f aca="false">IF(Scoring!B27="","",Scoring!B27)</f>
        <v>Cleveland-Cliffs Inc.</v>
      </c>
      <c r="C26" s="95" t="n">
        <f aca="false">IF(Scoring!C27="","",Scoring!C27)</f>
        <v>46245</v>
      </c>
      <c r="D26" s="96" t="n">
        <f aca="false">IF(Scoring!N27="","",Scoring!N27)</f>
        <v>1.85714285714286</v>
      </c>
      <c r="E26" s="97" t="str">
        <f aca="false">IF(Scoring!AF27="","",Scoring!AF27)</f>
        <v/>
      </c>
      <c r="F26" s="98" t="str">
        <f aca="false">IF(Scoring!AG27="","",Scoring!AG27)</f>
        <v/>
      </c>
      <c r="G26" s="98" t="str">
        <f aca="false">IF(Scoring!AH27="","",Scoring!AH27)</f>
        <v>FAIL</v>
      </c>
      <c r="H26" s="98" t="str">
        <f aca="false">IF(Scoring!AI27="","",Scoring!AI27)</f>
        <v>REVIEW</v>
      </c>
      <c r="I26" s="98" t="str">
        <f aca="false">IF(Scoring!AJ27="","",Scoring!AJ27)</f>
        <v>AVOID</v>
      </c>
      <c r="J26" s="98" t="str">
        <f aca="false">IF(Scoring!AK27="","",Scoring!AK27)</f>
        <v>OK</v>
      </c>
    </row>
    <row r="27" customFormat="false" ht="15" hidden="false" customHeight="false" outlineLevel="0" collapsed="false">
      <c r="A27" s="99" t="str">
        <f aca="false">IF(Scoring!A28="","",Scoring!A28)</f>
        <v>LIN</v>
      </c>
      <c r="B27" s="100" t="str">
        <f aca="false">IF(Scoring!B28="","",Scoring!B28)</f>
        <v>Linde plc</v>
      </c>
      <c r="C27" s="101" t="n">
        <f aca="false">IF(Scoring!C28="","",Scoring!C28)</f>
        <v>46245</v>
      </c>
      <c r="D27" s="102" t="n">
        <f aca="false">IF(Scoring!N28="","",Scoring!N28)</f>
        <v>4.5</v>
      </c>
      <c r="E27" s="103" t="str">
        <f aca="false">IF(Scoring!AF28="","",Scoring!AF28)</f>
        <v/>
      </c>
      <c r="F27" s="99" t="str">
        <f aca="false">IF(Scoring!AG28="","",Scoring!AG28)</f>
        <v/>
      </c>
      <c r="G27" s="99" t="str">
        <f aca="false">IF(Scoring!AH28="","",Scoring!AH28)</f>
        <v>OK</v>
      </c>
      <c r="H27" s="99" t="str">
        <f aca="false">IF(Scoring!AI28="","",Scoring!AI28)</f>
        <v>OK</v>
      </c>
      <c r="I27" s="99" t="str">
        <f aca="false">IF(Scoring!AJ28="","",Scoring!AJ28)</f>
        <v>OK</v>
      </c>
      <c r="J27" s="99" t="str">
        <f aca="false">IF(Scoring!AK28="","",Scoring!AK28)</f>
        <v>OK</v>
      </c>
    </row>
    <row r="28" customFormat="false" ht="30" hidden="false" customHeight="true" outlineLevel="0" collapsed="false">
      <c r="A28" s="104" t="str">
        <f aca="false">IF(Scoring!A29="","",Scoring!A29)</f>
        <v>DEO</v>
      </c>
      <c r="B28" s="100" t="str">
        <f aca="false">IF(Scoring!B29="","",Scoring!B29)</f>
        <v>Diageo plc</v>
      </c>
      <c r="C28" s="101" t="n">
        <f aca="false">IF(Scoring!C29="","",Scoring!C29)</f>
        <v>46245</v>
      </c>
      <c r="D28" s="102" t="n">
        <f aca="false">IF(Scoring!N29="","",Scoring!N29)</f>
        <v>2.35714285714286</v>
      </c>
      <c r="E28" s="103" t="str">
        <f aca="false">IF(Scoring!AF29="","",Scoring!AF29)</f>
        <v/>
      </c>
      <c r="F28" s="99" t="str">
        <f aca="false">IF(Scoring!AG29="","",Scoring!AG29)</f>
        <v/>
      </c>
      <c r="G28" s="104" t="str">
        <f aca="false">IF(Scoring!AH29="","",Scoring!AH29)</f>
        <v>FAIL</v>
      </c>
      <c r="H28" s="104" t="str">
        <f aca="false">IF(Scoring!AI29="","",Scoring!AI29)</f>
        <v>OK</v>
      </c>
      <c r="I28" s="104" t="str">
        <f aca="false">IF(Scoring!AJ29="","",Scoring!AJ29)</f>
        <v>AVOID</v>
      </c>
      <c r="J28" s="104" t="str">
        <f aca="false">IF(Scoring!AK29="","",Scoring!AK29)</f>
        <v>OK</v>
      </c>
    </row>
    <row r="29" customFormat="false" ht="15" hidden="false" customHeight="false" outlineLevel="0" collapsed="false">
      <c r="A29" s="99" t="str">
        <f aca="false">IF(Scoring!A30="","",Scoring!A30)</f>
        <v>EL</v>
      </c>
      <c r="B29" s="100" t="str">
        <f aca="false">IF(Scoring!B30="","",Scoring!B30)</f>
        <v>Estee Lauder Companies</v>
      </c>
      <c r="C29" s="101" t="n">
        <f aca="false">IF(Scoring!C30="","",Scoring!C30)</f>
        <v>46245</v>
      </c>
      <c r="D29" s="102" t="n">
        <f aca="false">IF(Scoring!N30="","",Scoring!N30)</f>
        <v>2.14285714285714</v>
      </c>
      <c r="E29" s="103" t="str">
        <f aca="false">IF(Scoring!AF30="","",Scoring!AF30)</f>
        <v/>
      </c>
      <c r="F29" s="99" t="str">
        <f aca="false">IF(Scoring!AG30="","",Scoring!AG30)</f>
        <v/>
      </c>
      <c r="G29" s="99" t="str">
        <f aca="false">IF(Scoring!AH30="","",Scoring!AH30)</f>
        <v>FAIL</v>
      </c>
      <c r="H29" s="99" t="str">
        <f aca="false">IF(Scoring!AI30="","",Scoring!AI30)</f>
        <v>REVIEW</v>
      </c>
      <c r="I29" s="99" t="str">
        <f aca="false">IF(Scoring!AJ30="","",Scoring!AJ30)</f>
        <v>AVOID</v>
      </c>
      <c r="J29" s="99" t="str">
        <f aca="false">IF(Scoring!AK30="","",Scoring!AK30)</f>
        <v>OK</v>
      </c>
    </row>
    <row r="30" customFormat="false" ht="15" hidden="false" customHeight="false" outlineLevel="0" collapsed="false">
      <c r="A30" s="99" t="str">
        <f aca="false">IF(Scoring!A31="","",Scoring!A31)</f>
        <v>HRL</v>
      </c>
      <c r="B30" s="100" t="str">
        <f aca="false">IF(Scoring!B31="","",Scoring!B31)</f>
        <v>Hormel Foods Corp.</v>
      </c>
      <c r="C30" s="101" t="n">
        <f aca="false">IF(Scoring!C31="","",Scoring!C31)</f>
        <v>46245</v>
      </c>
      <c r="D30" s="102" t="n">
        <f aca="false">IF(Scoring!N31="","",Scoring!N31)</f>
        <v>1.92857142857143</v>
      </c>
      <c r="E30" s="103" t="str">
        <f aca="false">IF(Scoring!AF31="","",Scoring!AF31)</f>
        <v/>
      </c>
      <c r="F30" s="99" t="str">
        <f aca="false">IF(Scoring!AG31="","",Scoring!AG31)</f>
        <v/>
      </c>
      <c r="G30" s="99" t="str">
        <f aca="false">IF(Scoring!AH31="","",Scoring!AH31)</f>
        <v>FAIL</v>
      </c>
      <c r="H30" s="99" t="str">
        <f aca="false">IF(Scoring!AI31="","",Scoring!AI31)</f>
        <v>REVIEW</v>
      </c>
      <c r="I30" s="99" t="str">
        <f aca="false">IF(Scoring!AJ31="","",Scoring!AJ31)</f>
        <v>AVOID</v>
      </c>
      <c r="J30" s="99" t="str">
        <f aca="false">IF(Scoring!AK31="","",Scoring!AK31)</f>
        <v>OK</v>
      </c>
    </row>
    <row r="31" customFormat="false" ht="15" hidden="false" customHeight="false" outlineLevel="0" collapsed="false">
      <c r="A31" s="99" t="str">
        <f aca="false">IF(Scoring!A32="","",Scoring!A32)</f>
        <v>PG</v>
      </c>
      <c r="B31" s="100" t="str">
        <f aca="false">IF(Scoring!B32="","",Scoring!B32)</f>
        <v>Procter &amp; Gamble Co.</v>
      </c>
      <c r="C31" s="101" t="n">
        <f aca="false">IF(Scoring!C32="","",Scoring!C32)</f>
        <v>46245</v>
      </c>
      <c r="D31" s="102" t="n">
        <f aca="false">IF(Scoring!N32="","",Scoring!N32)</f>
        <v>4.21428571428571</v>
      </c>
      <c r="E31" s="103" t="str">
        <f aca="false">IF(Scoring!AF32="","",Scoring!AF32)</f>
        <v/>
      </c>
      <c r="F31" s="99" t="str">
        <f aca="false">IF(Scoring!AG32="","",Scoring!AG32)</f>
        <v/>
      </c>
      <c r="G31" s="99" t="str">
        <f aca="false">IF(Scoring!AH32="","",Scoring!AH32)</f>
        <v>OK</v>
      </c>
      <c r="H31" s="99" t="str">
        <f aca="false">IF(Scoring!AI32="","",Scoring!AI32)</f>
        <v>OK</v>
      </c>
      <c r="I31" s="99" t="str">
        <f aca="false">IF(Scoring!AJ32="","",Scoring!AJ32)</f>
        <v>OK</v>
      </c>
      <c r="J31" s="99" t="str">
        <f aca="false">IF(Scoring!AK32="","",Scoring!AK32)</f>
        <v>OK</v>
      </c>
    </row>
    <row r="32" customFormat="false" ht="15" hidden="false" customHeight="false" outlineLevel="0" collapsed="false">
      <c r="A32" s="99" t="str">
        <f aca="false">IF(Scoring!A33="","",Scoring!A33)</f>
        <v>CMG</v>
      </c>
      <c r="B32" s="100" t="str">
        <f aca="false">IF(Scoring!B33="","",Scoring!B33)</f>
        <v>Chipotle Mexican Grill</v>
      </c>
      <c r="C32" s="101" t="n">
        <f aca="false">IF(Scoring!C33="","",Scoring!C33)</f>
        <v>46245</v>
      </c>
      <c r="D32" s="102" t="n">
        <f aca="false">IF(Scoring!N33="","",Scoring!N33)</f>
        <v>3.71428571428571</v>
      </c>
      <c r="E32" s="103" t="str">
        <f aca="false">IF(Scoring!AF33="","",Scoring!AF33)</f>
        <v/>
      </c>
      <c r="F32" s="99" t="str">
        <f aca="false">IF(Scoring!AG33="","",Scoring!AG33)</f>
        <v/>
      </c>
      <c r="G32" s="99" t="str">
        <f aca="false">IF(Scoring!AH33="","",Scoring!AH33)</f>
        <v>OK</v>
      </c>
      <c r="H32" s="99" t="str">
        <f aca="false">IF(Scoring!AI33="","",Scoring!AI33)</f>
        <v>OK</v>
      </c>
      <c r="I32" s="99" t="str">
        <f aca="false">IF(Scoring!AJ33="","",Scoring!AJ33)</f>
        <v>OK</v>
      </c>
      <c r="J32" s="99" t="str">
        <f aca="false">IF(Scoring!AK33="","",Scoring!AK33)</f>
        <v>OK</v>
      </c>
    </row>
    <row r="33" customFormat="false" ht="15" hidden="false" customHeight="false" outlineLevel="0" collapsed="false">
      <c r="A33" s="99" t="str">
        <f aca="false">IF(Scoring!A34="","",Scoring!A34)</f>
        <v>DPZ</v>
      </c>
      <c r="B33" s="100" t="str">
        <f aca="false">IF(Scoring!B34="","",Scoring!B34)</f>
        <v>Domino's Pizza Inc.</v>
      </c>
      <c r="C33" s="101" t="n">
        <f aca="false">IF(Scoring!C34="","",Scoring!C34)</f>
        <v>46245</v>
      </c>
      <c r="D33" s="102" t="n">
        <f aca="false">IF(Scoring!N34="","",Scoring!N34)</f>
        <v>4.85714285714286</v>
      </c>
      <c r="E33" s="103" t="str">
        <f aca="false">IF(Scoring!AF34="","",Scoring!AF34)</f>
        <v/>
      </c>
      <c r="F33" s="99" t="str">
        <f aca="false">IF(Scoring!AG34="","",Scoring!AG34)</f>
        <v/>
      </c>
      <c r="G33" s="99" t="str">
        <f aca="false">IF(Scoring!AH34="","",Scoring!AH34)</f>
        <v>OK</v>
      </c>
      <c r="H33" s="99" t="str">
        <f aca="false">IF(Scoring!AI34="","",Scoring!AI34)</f>
        <v>OK</v>
      </c>
      <c r="I33" s="99" t="str">
        <f aca="false">IF(Scoring!AJ34="","",Scoring!AJ34)</f>
        <v>OK</v>
      </c>
      <c r="J33" s="99" t="str">
        <f aca="false">IF(Scoring!AK34="","",Scoring!AK34)</f>
        <v>OK</v>
      </c>
    </row>
    <row r="34" customFormat="false" ht="15" hidden="false" customHeight="false" outlineLevel="0" collapsed="false">
      <c r="A34" s="99" t="str">
        <f aca="false">IF(Scoring!A35="","",Scoring!A35)</f>
        <v>PZZA</v>
      </c>
      <c r="B34" s="100" t="str">
        <f aca="false">IF(Scoring!B35="","",Scoring!B35)</f>
        <v>Papa John's Intl.</v>
      </c>
      <c r="C34" s="101" t="n">
        <f aca="false">IF(Scoring!C35="","",Scoring!C35)</f>
        <v>46245</v>
      </c>
      <c r="D34" s="102" t="n">
        <f aca="false">IF(Scoring!N35="","",Scoring!N35)</f>
        <v>1.35714285714286</v>
      </c>
      <c r="E34" s="103" t="str">
        <f aca="false">IF(Scoring!AF35="","",Scoring!AF35)</f>
        <v/>
      </c>
      <c r="F34" s="99" t="str">
        <f aca="false">IF(Scoring!AG35="","",Scoring!AG35)</f>
        <v/>
      </c>
      <c r="G34" s="99" t="str">
        <f aca="false">IF(Scoring!AH35="","",Scoring!AH35)</f>
        <v>FAIL</v>
      </c>
      <c r="H34" s="99" t="str">
        <f aca="false">IF(Scoring!AI35="","",Scoring!AI35)</f>
        <v>REVIEW</v>
      </c>
      <c r="I34" s="99" t="str">
        <f aca="false">IF(Scoring!AJ35="","",Scoring!AJ35)</f>
        <v>AVOID</v>
      </c>
      <c r="J34" s="99" t="str">
        <f aca="false">IF(Scoring!AK35="","",Scoring!AK35)</f>
        <v>OK</v>
      </c>
    </row>
    <row r="35" customFormat="false" ht="15" hidden="false" customHeight="false" outlineLevel="0" collapsed="false">
      <c r="A35" s="99" t="str">
        <f aca="false">IF(Scoring!A36="","",Scoring!A36)</f>
        <v>YUM</v>
      </c>
      <c r="B35" s="100" t="str">
        <f aca="false">IF(Scoring!B36="","",Scoring!B36)</f>
        <v>Yum! Brands Inc.</v>
      </c>
      <c r="C35" s="101" t="n">
        <f aca="false">IF(Scoring!C36="","",Scoring!C36)</f>
        <v>46245</v>
      </c>
      <c r="D35" s="102" t="n">
        <f aca="false">IF(Scoring!N36="","",Scoring!N36)</f>
        <v>4.28571428571429</v>
      </c>
      <c r="E35" s="103" t="str">
        <f aca="false">IF(Scoring!AF36="","",Scoring!AF36)</f>
        <v/>
      </c>
      <c r="F35" s="99" t="str">
        <f aca="false">IF(Scoring!AG36="","",Scoring!AG36)</f>
        <v/>
      </c>
      <c r="G35" s="99" t="str">
        <f aca="false">IF(Scoring!AH36="","",Scoring!AH36)</f>
        <v>OK</v>
      </c>
      <c r="H35" s="99" t="str">
        <f aca="false">IF(Scoring!AI36="","",Scoring!AI36)</f>
        <v>OK</v>
      </c>
      <c r="I35" s="99" t="str">
        <f aca="false">IF(Scoring!AJ36="","",Scoring!AJ36)</f>
        <v>OK</v>
      </c>
      <c r="J35" s="99" t="str">
        <f aca="false">IF(Scoring!AK36="","",Scoring!AK36)</f>
        <v>OK</v>
      </c>
    </row>
    <row r="36" customFormat="false" ht="15" hidden="false" customHeight="false" outlineLevel="0" collapsed="false">
      <c r="A36" s="99" t="str">
        <f aca="false">IF(Scoring!A37="","",Scoring!A37)</f>
        <v>NKE</v>
      </c>
      <c r="B36" s="100" t="str">
        <f aca="false">IF(Scoring!B37="","",Scoring!B37)</f>
        <v>Nike Inc.</v>
      </c>
      <c r="C36" s="101" t="n">
        <f aca="false">IF(Scoring!C37="","",Scoring!C37)</f>
        <v>46246</v>
      </c>
      <c r="D36" s="102" t="n">
        <f aca="false">IF(Scoring!N37="","",Scoring!N37)</f>
        <v>1.57142857142857</v>
      </c>
      <c r="E36" s="103" t="str">
        <f aca="false">IF(Scoring!AF37="","",Scoring!AF37)</f>
        <v/>
      </c>
      <c r="F36" s="99" t="str">
        <f aca="false">IF(Scoring!AG37="","",Scoring!AG37)</f>
        <v/>
      </c>
      <c r="G36" s="99" t="str">
        <f aca="false">IF(Scoring!AH37="","",Scoring!AH37)</f>
        <v>FAIL</v>
      </c>
      <c r="H36" s="99" t="str">
        <f aca="false">IF(Scoring!AI37="","",Scoring!AI37)</f>
        <v>REVIEW</v>
      </c>
      <c r="I36" s="99" t="str">
        <f aca="false">IF(Scoring!AJ37="","",Scoring!AJ37)</f>
        <v>AVOID</v>
      </c>
      <c r="J36" s="99" t="str">
        <f aca="false">IF(Scoring!AK37="","",Scoring!AK37)</f>
        <v>OK</v>
      </c>
    </row>
    <row r="37" customFormat="false" ht="15" hidden="false" customHeight="false" outlineLevel="0" collapsed="false">
      <c r="A37" s="99" t="str">
        <f aca="false">IF(Scoring!A38="","",Scoring!A38)</f>
        <v>VFC</v>
      </c>
      <c r="B37" s="100" t="str">
        <f aca="false">IF(Scoring!B38="","",Scoring!B38)</f>
        <v>V.F. Corporation</v>
      </c>
      <c r="C37" s="101" t="n">
        <f aca="false">IF(Scoring!C38="","",Scoring!C38)</f>
        <v>46246</v>
      </c>
      <c r="D37" s="102" t="n">
        <f aca="false">IF(Scoring!N38="","",Scoring!N38)</f>
        <v>2.85714285714286</v>
      </c>
      <c r="E37" s="103" t="str">
        <f aca="false">IF(Scoring!AF38="","",Scoring!AF38)</f>
        <v/>
      </c>
      <c r="F37" s="99" t="str">
        <f aca="false">IF(Scoring!AG38="","",Scoring!AG38)</f>
        <v/>
      </c>
      <c r="G37" s="99" t="str">
        <f aca="false">IF(Scoring!AH38="","",Scoring!AH38)</f>
        <v>FAIL</v>
      </c>
      <c r="H37" s="99" t="str">
        <f aca="false">IF(Scoring!AI38="","",Scoring!AI38)</f>
        <v>OK</v>
      </c>
      <c r="I37" s="99" t="str">
        <f aca="false">IF(Scoring!AJ38="","",Scoring!AJ38)</f>
        <v>OK</v>
      </c>
      <c r="J37" s="99" t="str">
        <f aca="false">IF(Scoring!AK38="","",Scoring!AK38)</f>
        <v>OK</v>
      </c>
    </row>
    <row r="38" customFormat="false" ht="15" hidden="false" customHeight="false" outlineLevel="0" collapsed="false">
      <c r="A38" s="99" t="str">
        <f aca="false">IF(Scoring!A39="","",Scoring!A39)</f>
        <v>GOOS</v>
      </c>
      <c r="B38" s="100" t="str">
        <f aca="false">IF(Scoring!B39="","",Scoring!B39)</f>
        <v>Canada Goose Holdings</v>
      </c>
      <c r="C38" s="101" t="n">
        <f aca="false">IF(Scoring!C39="","",Scoring!C39)</f>
        <v>46246</v>
      </c>
      <c r="D38" s="102" t="n">
        <f aca="false">IF(Scoring!N39="","",Scoring!N39)</f>
        <v>2.5</v>
      </c>
      <c r="E38" s="103" t="str">
        <f aca="false">IF(Scoring!AF39="","",Scoring!AF39)</f>
        <v/>
      </c>
      <c r="F38" s="99" t="str">
        <f aca="false">IF(Scoring!AG39="","",Scoring!AG39)</f>
        <v/>
      </c>
      <c r="G38" s="99" t="str">
        <f aca="false">IF(Scoring!AH39="","",Scoring!AH39)</f>
        <v>FAIL</v>
      </c>
      <c r="H38" s="99" t="str">
        <f aca="false">IF(Scoring!AI39="","",Scoring!AI39)</f>
        <v>REVIEW</v>
      </c>
      <c r="I38" s="99" t="str">
        <f aca="false">IF(Scoring!AJ39="","",Scoring!AJ39)</f>
        <v>AVOID</v>
      </c>
      <c r="J38" s="99" t="str">
        <f aca="false">IF(Scoring!AK39="","",Scoring!AK39)</f>
        <v>OK</v>
      </c>
    </row>
    <row r="39" customFormat="false" ht="15" hidden="false" customHeight="false" outlineLevel="0" collapsed="false">
      <c r="A39" s="99" t="str">
        <f aca="false">IF(Scoring!A40="","",Scoring!A40)</f>
        <v>AAP</v>
      </c>
      <c r="B39" s="100" t="str">
        <f aca="false">IF(Scoring!B40="","",Scoring!B40)</f>
        <v>Advance Auto Parts Inc.</v>
      </c>
      <c r="C39" s="101" t="n">
        <f aca="false">IF(Scoring!C40="","",Scoring!C40)</f>
        <v>46246</v>
      </c>
      <c r="D39" s="102" t="n">
        <f aca="false">IF(Scoring!N40="","",Scoring!N40)</f>
        <v>1.35714285714286</v>
      </c>
      <c r="E39" s="103" t="str">
        <f aca="false">IF(Scoring!AF40="","",Scoring!AF40)</f>
        <v/>
      </c>
      <c r="F39" s="99" t="str">
        <f aca="false">IF(Scoring!AG40="","",Scoring!AG40)</f>
        <v/>
      </c>
      <c r="G39" s="99" t="str">
        <f aca="false">IF(Scoring!AH40="","",Scoring!AH40)</f>
        <v>FAIL</v>
      </c>
      <c r="H39" s="99" t="str">
        <f aca="false">IF(Scoring!AI40="","",Scoring!AI40)</f>
        <v>REVIEW</v>
      </c>
      <c r="I39" s="99" t="str">
        <f aca="false">IF(Scoring!AJ40="","",Scoring!AJ40)</f>
        <v>AVOID</v>
      </c>
      <c r="J39" s="99" t="str">
        <f aca="false">IF(Scoring!AK40="","",Scoring!AK40)</f>
        <v>OK</v>
      </c>
    </row>
    <row r="40" customFormat="false" ht="15" hidden="false" customHeight="false" outlineLevel="0" collapsed="false">
      <c r="A40" s="99" t="str">
        <f aca="false">IF(Scoring!A41="","",Scoring!A41)</f>
        <v>BABA</v>
      </c>
      <c r="B40" s="100" t="str">
        <f aca="false">IF(Scoring!B41="","",Scoring!B41)</f>
        <v>Alibaba Group Holding Ltd.</v>
      </c>
      <c r="C40" s="101" t="n">
        <f aca="false">IF(Scoring!C41="","",Scoring!C41)</f>
        <v>46246</v>
      </c>
      <c r="D40" s="102" t="n">
        <f aca="false">IF(Scoring!N41="","",Scoring!N41)</f>
        <v>2.78571428571429</v>
      </c>
      <c r="E40" s="103" t="str">
        <f aca="false">IF(Scoring!AF41="","",Scoring!AF41)</f>
        <v/>
      </c>
      <c r="F40" s="99" t="str">
        <f aca="false">IF(Scoring!AG41="","",Scoring!AG41)</f>
        <v/>
      </c>
      <c r="G40" s="99" t="str">
        <f aca="false">IF(Scoring!AH41="","",Scoring!AH41)</f>
        <v>FAIL</v>
      </c>
      <c r="H40" s="99" t="str">
        <f aca="false">IF(Scoring!AI41="","",Scoring!AI41)</f>
        <v>OK</v>
      </c>
      <c r="I40" s="99" t="str">
        <f aca="false">IF(Scoring!AJ41="","",Scoring!AJ41)</f>
        <v>AVOID</v>
      </c>
      <c r="J40" s="99" t="str">
        <f aca="false">IF(Scoring!AK41="","",Scoring!AK41)</f>
        <v>OK</v>
      </c>
    </row>
    <row r="41" customFormat="false" ht="15" hidden="false" customHeight="false" outlineLevel="0" collapsed="false">
      <c r="A41" s="99" t="str">
        <f aca="false">IF(Scoring!A42="","",Scoring!A42)</f>
        <v>ETSY</v>
      </c>
      <c r="B41" s="100" t="str">
        <f aca="false">IF(Scoring!B42="","",Scoring!B42)</f>
        <v>Etsy Inc.</v>
      </c>
      <c r="C41" s="101" t="n">
        <f aca="false">IF(Scoring!C42="","",Scoring!C42)</f>
        <v>46246</v>
      </c>
      <c r="D41" s="102" t="n">
        <f aca="false">IF(Scoring!N42="","",Scoring!N42)</f>
        <v>3.42857142857143</v>
      </c>
      <c r="E41" s="103" t="str">
        <f aca="false">IF(Scoring!AF42="","",Scoring!AF42)</f>
        <v/>
      </c>
      <c r="F41" s="99" t="str">
        <f aca="false">IF(Scoring!AG42="","",Scoring!AG42)</f>
        <v/>
      </c>
      <c r="G41" s="99" t="str">
        <f aca="false">IF(Scoring!AH42="","",Scoring!AH42)</f>
        <v>OK</v>
      </c>
      <c r="H41" s="99" t="str">
        <f aca="false">IF(Scoring!AI42="","",Scoring!AI42)</f>
        <v>OK</v>
      </c>
      <c r="I41" s="99" t="str">
        <f aca="false">IF(Scoring!AJ42="","",Scoring!AJ42)</f>
        <v>OK</v>
      </c>
      <c r="J41" s="99" t="str">
        <f aca="false">IF(Scoring!AK42="","",Scoring!AK42)</f>
        <v>OK</v>
      </c>
    </row>
    <row r="42" customFormat="false" ht="15" hidden="false" customHeight="false" outlineLevel="0" collapsed="false">
      <c r="A42" s="99" t="str">
        <f aca="false">IF(Scoring!A43="","",Scoring!A43)</f>
        <v>GE</v>
      </c>
      <c r="B42" s="100" t="str">
        <f aca="false">IF(Scoring!B43="","",Scoring!B43)</f>
        <v>GE Aerospace</v>
      </c>
      <c r="C42" s="101" t="n">
        <f aca="false">IF(Scoring!C43="","",Scoring!C43)</f>
        <v>46247</v>
      </c>
      <c r="D42" s="102" t="n">
        <f aca="false">IF(Scoring!N43="","",Scoring!N43)</f>
        <v>3.85714285714286</v>
      </c>
      <c r="E42" s="103" t="str">
        <f aca="false">IF(Scoring!AF43="","",Scoring!AF43)</f>
        <v/>
      </c>
      <c r="F42" s="99" t="str">
        <f aca="false">IF(Scoring!AG43="","",Scoring!AG43)</f>
        <v/>
      </c>
      <c r="G42" s="99" t="str">
        <f aca="false">IF(Scoring!AH43="","",Scoring!AH43)</f>
        <v>OK</v>
      </c>
      <c r="H42" s="99" t="str">
        <f aca="false">IF(Scoring!AI43="","",Scoring!AI43)</f>
        <v>OK</v>
      </c>
      <c r="I42" s="99" t="str">
        <f aca="false">IF(Scoring!AJ43="","",Scoring!AJ43)</f>
        <v>OK</v>
      </c>
      <c r="J42" s="99" t="str">
        <f aca="false">IF(Scoring!AK43="","",Scoring!AK43)</f>
        <v>OK</v>
      </c>
    </row>
    <row r="43" customFormat="false" ht="15" hidden="false" customHeight="false" outlineLevel="0" collapsed="false">
      <c r="A43" s="99" t="str">
        <f aca="false">IF(Scoring!A44="","",Scoring!A44)</f>
        <v>PH</v>
      </c>
      <c r="B43" s="100" t="str">
        <f aca="false">IF(Scoring!B44="","",Scoring!B44)</f>
        <v>Parker-Hannifin Corporation</v>
      </c>
      <c r="C43" s="101" t="n">
        <f aca="false">IF(Scoring!C44="","",Scoring!C44)</f>
        <v>46247</v>
      </c>
      <c r="D43" s="102" t="n">
        <f aca="false">IF(Scoring!N44="","",Scoring!N44)</f>
        <v>3.28571428571429</v>
      </c>
      <c r="E43" s="103" t="str">
        <f aca="false">IF(Scoring!AF44="","",Scoring!AF44)</f>
        <v/>
      </c>
      <c r="F43" s="99" t="str">
        <f aca="false">IF(Scoring!AG44="","",Scoring!AG44)</f>
        <v/>
      </c>
      <c r="G43" s="99" t="str">
        <f aca="false">IF(Scoring!AH44="","",Scoring!AH44)</f>
        <v>OK</v>
      </c>
      <c r="H43" s="99" t="str">
        <f aca="false">IF(Scoring!AI44="","",Scoring!AI44)</f>
        <v>OK</v>
      </c>
      <c r="I43" s="99" t="str">
        <f aca="false">IF(Scoring!AJ44="","",Scoring!AJ44)</f>
        <v>OK</v>
      </c>
      <c r="J43" s="99" t="str">
        <f aca="false">IF(Scoring!AK44="","",Scoring!AK44)</f>
        <v>OK</v>
      </c>
    </row>
    <row r="44" customFormat="false" ht="15" hidden="false" customHeight="false" outlineLevel="0" collapsed="false">
      <c r="A44" s="99" t="str">
        <f aca="false">IF(Scoring!A45="","",Scoring!A45)</f>
        <v>ETN</v>
      </c>
      <c r="B44" s="100" t="str">
        <f aca="false">IF(Scoring!B45="","",Scoring!B45)</f>
        <v>Eaton Corporation plc</v>
      </c>
      <c r="C44" s="101" t="n">
        <f aca="false">IF(Scoring!C45="","",Scoring!C45)</f>
        <v>46247</v>
      </c>
      <c r="D44" s="102" t="n">
        <f aca="false">IF(Scoring!N45="","",Scoring!N45)</f>
        <v>3.5</v>
      </c>
      <c r="E44" s="103" t="str">
        <f aca="false">IF(Scoring!AF45="","",Scoring!AF45)</f>
        <v/>
      </c>
      <c r="F44" s="99" t="str">
        <f aca="false">IF(Scoring!AG45="","",Scoring!AG45)</f>
        <v/>
      </c>
      <c r="G44" s="99" t="str">
        <f aca="false">IF(Scoring!AH45="","",Scoring!AH45)</f>
        <v>OK</v>
      </c>
      <c r="H44" s="99" t="str">
        <f aca="false">IF(Scoring!AI45="","",Scoring!AI45)</f>
        <v>OK</v>
      </c>
      <c r="I44" s="99" t="str">
        <f aca="false">IF(Scoring!AJ45="","",Scoring!AJ45)</f>
        <v>OK</v>
      </c>
      <c r="J44" s="99" t="str">
        <f aca="false">IF(Scoring!AK45="","",Scoring!AK45)</f>
        <v>OK</v>
      </c>
    </row>
    <row r="45" customFormat="false" ht="15" hidden="false" customHeight="false" outlineLevel="0" collapsed="false">
      <c r="A45" s="99" t="str">
        <f aca="false">IF(Scoring!A46="","",Scoring!A46)</f>
        <v>DIS</v>
      </c>
      <c r="B45" s="100" t="str">
        <f aca="false">IF(Scoring!B46="","",Scoring!B46)</f>
        <v>The Walt Disney Company</v>
      </c>
      <c r="C45" s="101" t="n">
        <f aca="false">IF(Scoring!C46="","",Scoring!C46)</f>
        <v>46258</v>
      </c>
      <c r="D45" s="102" t="n">
        <f aca="false">IF(Scoring!N46="","",Scoring!N46)</f>
        <v>2.92857142857143</v>
      </c>
      <c r="E45" s="103" t="str">
        <f aca="false">IF(Scoring!AF46="","",Scoring!AF46)</f>
        <v/>
      </c>
      <c r="F45" s="99" t="str">
        <f aca="false">IF(Scoring!AG46="","",Scoring!AG46)</f>
        <v/>
      </c>
      <c r="G45" s="99" t="str">
        <f aca="false">IF(Scoring!AH46="","",Scoring!AH46)</f>
        <v>FAIL</v>
      </c>
      <c r="H45" s="99" t="str">
        <f aca="false">IF(Scoring!AI46="","",Scoring!AI46)</f>
        <v>OK</v>
      </c>
      <c r="I45" s="99" t="str">
        <f aca="false">IF(Scoring!AJ46="","",Scoring!AJ46)</f>
        <v>AVOID</v>
      </c>
      <c r="J45" s="99" t="str">
        <f aca="false">IF(Scoring!AK46="","",Scoring!AK46)</f>
        <v>OK</v>
      </c>
    </row>
    <row r="46" customFormat="false" ht="15" hidden="false" customHeight="false" outlineLevel="0" collapsed="false">
      <c r="A46" s="99" t="str">
        <f aca="false">IF(Scoring!A47="","",Scoring!A47)</f>
        <v>NFLX</v>
      </c>
      <c r="B46" s="100" t="str">
        <f aca="false">IF(Scoring!B47="","",Scoring!B47)</f>
        <v>Netflix, Inc.</v>
      </c>
      <c r="C46" s="101" t="n">
        <f aca="false">IF(Scoring!C47="","",Scoring!C47)</f>
        <v>46258</v>
      </c>
      <c r="D46" s="102" t="n">
        <f aca="false">IF(Scoring!N47="","",Scoring!N47)</f>
        <v>4.21428571428571</v>
      </c>
      <c r="E46" s="103" t="str">
        <f aca="false">IF(Scoring!AF47="","",Scoring!AF47)</f>
        <v/>
      </c>
      <c r="F46" s="99" t="str">
        <f aca="false">IF(Scoring!AG47="","",Scoring!AG47)</f>
        <v/>
      </c>
      <c r="G46" s="99" t="str">
        <f aca="false">IF(Scoring!AH47="","",Scoring!AH47)</f>
        <v>OK</v>
      </c>
      <c r="H46" s="99" t="str">
        <f aca="false">IF(Scoring!AI47="","",Scoring!AI47)</f>
        <v>OK</v>
      </c>
      <c r="I46" s="99" t="str">
        <f aca="false">IF(Scoring!AJ47="","",Scoring!AJ47)</f>
        <v>OK</v>
      </c>
      <c r="J46" s="99" t="str">
        <f aca="false">IF(Scoring!AK47="","",Scoring!AK47)</f>
        <v>OK</v>
      </c>
    </row>
    <row r="48" customFormat="false" ht="15" hidden="false" customHeight="false" outlineLevel="0" collapsed="false">
      <c r="A48" s="105" t="s">
        <v>225</v>
      </c>
      <c r="B48" s="105"/>
      <c r="C48" s="105"/>
      <c r="D48" s="105"/>
      <c r="E48" s="105"/>
      <c r="F48" s="105"/>
    </row>
  </sheetData>
  <mergeCells count="1">
    <mergeCell ref="A48:F48"/>
  </mergeCells>
  <conditionalFormatting sqref="F2:F46">
    <cfRule type="cellIs" priority="2" operator="equal" aboveAverage="0" equalAverage="0" bottom="0" percent="0" rank="0" text="" dxfId="23">
      <formula>"STRONG BUY"</formula>
    </cfRule>
    <cfRule type="cellIs" priority="3" operator="equal" aboveAverage="0" equalAverage="0" bottom="0" percent="0" rank="0" text="" dxfId="24">
      <formula>"BUY"</formula>
    </cfRule>
    <cfRule type="cellIs" priority="4" operator="equal" aboveAverage="0" equalAverage="0" bottom="0" percent="0" rank="0" text="" dxfId="16">
      <formula>"WATCH LIST"</formula>
    </cfRule>
    <cfRule type="cellIs" priority="5" operator="equal" aboveAverage="0" equalAverage="0" bottom="0" percent="0" rank="0" text="" dxfId="17">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6">
      <formula>"REVIEW"</formula>
    </cfRule>
  </conditionalFormatting>
  <conditionalFormatting sqref="J2:J46">
    <cfRule type="cellIs" priority="10" operator="equal" aboveAverage="0" equalAverage="0" bottom="0" percent="0" rank="0" text="" dxfId="16">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 activePane="bottomRight" state="frozen"/>
      <selection pane="topLeft" activeCell="A1" activeCellId="0" sqref="A1"/>
      <selection pane="topRight" activeCell="AA1" activeCellId="0" sqref="AA1"/>
      <selection pane="bottomLeft" activeCell="A3" activeCellId="0" sqref="A3"/>
      <selection pane="bottomRight" activeCell="A1" activeCellId="0" sqref="A1"/>
    </sheetView>
  </sheetViews>
  <sheetFormatPr defaultColWidth="8.66796875" defaultRowHeight="15" customHeight="false" zeroHeight="false" outlineLevelRow="1" outlineLevelCol="1"/>
  <cols>
    <col collapsed="false" customWidth="true" hidden="false" outlineLevel="0" max="1" min="1" style="1" width="8"/>
    <col collapsed="false" customWidth="true" hidden="false" outlineLevel="0" max="2" min="2" style="1" width="18"/>
    <col collapsed="false" customWidth="true" hidden="false" outlineLevel="0" max="3" min="3" style="1" width="10"/>
    <col collapsed="false" customWidth="true" hidden="false" outlineLevel="1" max="32" min="4" style="1" width="8.83"/>
    <col collapsed="false" customWidth="true" hidden="false" outlineLevel="0" max="33" min="33" style="1" width="12"/>
    <col collapsed="false" customWidth="true" hidden="false" outlineLevel="0" max="37" min="34" style="1" width="8"/>
    <col collapsed="false" customWidth="false" hidden="false" outlineLevel="0" max="38" min="38" style="1" width="8.67"/>
    <col collapsed="false" customWidth="true" hidden="false" outlineLevel="0" max="39" min="39" style="1" width="6.83"/>
    <col collapsed="false" customWidth="true" hidden="false" outlineLevel="0" max="45" min="40" style="1" width="10"/>
  </cols>
  <sheetData>
    <row r="1" customFormat="false" ht="33.75" hidden="false" customHeight="true" outlineLevel="0" collapsed="false">
      <c r="D1" s="106" t="s">
        <v>226</v>
      </c>
      <c r="E1" s="106"/>
      <c r="F1" s="106"/>
      <c r="G1" s="106"/>
      <c r="H1" s="106"/>
      <c r="I1" s="106"/>
      <c r="J1" s="106"/>
      <c r="K1" s="106"/>
      <c r="L1" s="106"/>
      <c r="M1" s="106"/>
      <c r="N1" s="106"/>
      <c r="O1" s="106"/>
      <c r="P1" s="106" t="s">
        <v>227</v>
      </c>
      <c r="Q1" s="106"/>
      <c r="R1" s="106"/>
      <c r="S1" s="106"/>
      <c r="T1" s="106"/>
      <c r="U1" s="106"/>
      <c r="V1" s="106"/>
      <c r="W1" s="106"/>
      <c r="X1" s="106"/>
      <c r="Y1" s="106" t="s">
        <v>228</v>
      </c>
      <c r="Z1" s="106"/>
      <c r="AA1" s="106"/>
      <c r="AB1" s="106"/>
      <c r="AC1" s="106"/>
      <c r="AD1" s="106"/>
      <c r="AE1" s="106"/>
      <c r="AH1" s="107" t="s">
        <v>229</v>
      </c>
      <c r="AI1" s="107"/>
      <c r="AJ1" s="107"/>
      <c r="AK1" s="107"/>
      <c r="AL1" s="108" t="s">
        <v>230</v>
      </c>
      <c r="AM1" s="108"/>
      <c r="AN1" s="109" t="s">
        <v>231</v>
      </c>
      <c r="AO1" s="109"/>
      <c r="AP1" s="109"/>
      <c r="AQ1" s="109"/>
      <c r="AR1" s="109"/>
      <c r="AS1" s="109"/>
    </row>
    <row r="2" customFormat="false" ht="37.5" hidden="false" customHeight="true" outlineLevel="0" collapsed="false">
      <c r="A2" s="67" t="s">
        <v>74</v>
      </c>
      <c r="B2" s="67" t="s">
        <v>216</v>
      </c>
      <c r="C2" s="67" t="s">
        <v>232</v>
      </c>
      <c r="D2" s="110" t="s">
        <v>233</v>
      </c>
      <c r="E2" s="110" t="s">
        <v>234</v>
      </c>
      <c r="F2" s="110" t="s">
        <v>235</v>
      </c>
      <c r="G2" s="110" t="s">
        <v>234</v>
      </c>
      <c r="H2" s="110" t="s">
        <v>236</v>
      </c>
      <c r="I2" s="110" t="s">
        <v>234</v>
      </c>
      <c r="J2" s="110" t="s">
        <v>237</v>
      </c>
      <c r="K2" s="110" t="s">
        <v>234</v>
      </c>
      <c r="L2" s="110" t="s">
        <v>238</v>
      </c>
      <c r="M2" s="110" t="s">
        <v>239</v>
      </c>
      <c r="N2" s="110" t="s">
        <v>240</v>
      </c>
      <c r="O2" s="110" t="s">
        <v>241</v>
      </c>
      <c r="P2" s="67" t="s">
        <v>242</v>
      </c>
      <c r="Q2" s="67" t="s">
        <v>234</v>
      </c>
      <c r="R2" s="67" t="s">
        <v>243</v>
      </c>
      <c r="S2" s="67" t="s">
        <v>234</v>
      </c>
      <c r="T2" s="67" t="s">
        <v>244</v>
      </c>
      <c r="U2" s="67" t="s">
        <v>234</v>
      </c>
      <c r="V2" s="67" t="s">
        <v>245</v>
      </c>
      <c r="W2" s="67" t="s">
        <v>234</v>
      </c>
      <c r="X2" s="67" t="s">
        <v>246</v>
      </c>
      <c r="Y2" s="67" t="s">
        <v>247</v>
      </c>
      <c r="Z2" s="67" t="s">
        <v>234</v>
      </c>
      <c r="AA2" s="67" t="s">
        <v>248</v>
      </c>
      <c r="AB2" s="67" t="s">
        <v>234</v>
      </c>
      <c r="AC2" s="67" t="s">
        <v>249</v>
      </c>
      <c r="AD2" s="67" t="s">
        <v>234</v>
      </c>
      <c r="AE2" s="67" t="s">
        <v>250</v>
      </c>
      <c r="AF2" s="67" t="s">
        <v>251</v>
      </c>
      <c r="AG2" s="67" t="s">
        <v>220</v>
      </c>
      <c r="AH2" s="107" t="s">
        <v>252</v>
      </c>
      <c r="AI2" s="107" t="s">
        <v>253</v>
      </c>
      <c r="AJ2" s="107" t="s">
        <v>254</v>
      </c>
      <c r="AK2" s="107" t="s">
        <v>255</v>
      </c>
      <c r="AL2" s="111" t="s">
        <v>256</v>
      </c>
      <c r="AM2" s="67" t="s">
        <v>257</v>
      </c>
      <c r="AN2" s="67" t="s">
        <v>258</v>
      </c>
      <c r="AO2" s="67" t="s">
        <v>259</v>
      </c>
      <c r="AP2" s="67" t="s">
        <v>260</v>
      </c>
      <c r="AQ2" s="67" t="s">
        <v>261</v>
      </c>
      <c r="AR2" s="67" t="s">
        <v>262</v>
      </c>
      <c r="AS2" s="111" t="s">
        <v>263</v>
      </c>
    </row>
    <row r="3" customFormat="false" ht="15" hidden="false" customHeight="true" outlineLevel="0" collapsed="false">
      <c r="A3" s="68" t="s">
        <v>101</v>
      </c>
      <c r="B3" s="69" t="s">
        <v>102</v>
      </c>
      <c r="C3" s="73" t="n">
        <v>46240</v>
      </c>
      <c r="D3" s="69" t="n">
        <v>3</v>
      </c>
      <c r="E3" s="69" t="s">
        <v>264</v>
      </c>
      <c r="F3" s="69" t="n">
        <v>3</v>
      </c>
      <c r="G3" s="69" t="s">
        <v>264</v>
      </c>
      <c r="H3" s="69" t="n">
        <v>4</v>
      </c>
      <c r="I3" s="69" t="s">
        <v>265</v>
      </c>
      <c r="J3" s="69" t="n">
        <v>5</v>
      </c>
      <c r="K3" s="69" t="s">
        <v>265</v>
      </c>
      <c r="L3" s="69" t="n">
        <v>4</v>
      </c>
      <c r="M3" s="69" t="s">
        <v>264</v>
      </c>
      <c r="N3" s="112" t="n">
        <f aca="false">IF(COUNT(D3,F3,H3,J3,L3)=0,"",(D3*0.2+F3*0.15+H3*0.15+J3*0.1+L3*0.1)/0.7)</f>
        <v>3.64285714285714</v>
      </c>
      <c r="O3" s="113" t="n">
        <f aca="false">IF(COUNT(D3,F3,H3,J3,L3)=0,"",D3*0.2+F3*0.15+H3*0.15+J3*0.1+L3*0.1)</f>
        <v>2.55</v>
      </c>
      <c r="P3" s="69" t="n">
        <v>4</v>
      </c>
      <c r="Q3" s="69" t="s">
        <v>264</v>
      </c>
      <c r="R3" s="69" t="n">
        <v>5</v>
      </c>
      <c r="S3" s="69" t="s">
        <v>264</v>
      </c>
      <c r="T3" s="69" t="n">
        <v>5</v>
      </c>
      <c r="U3" s="69" t="s">
        <v>265</v>
      </c>
      <c r="V3" s="69" t="n">
        <v>1</v>
      </c>
      <c r="W3" s="69" t="s">
        <v>265</v>
      </c>
      <c r="X3" s="113" t="n">
        <f aca="false">IF(COUNT(P3,R3,T3,V3)=0,"",P3*0.08+R3*0.06+T3*0.03+V3*0.08)</f>
        <v>0.85</v>
      </c>
      <c r="Y3" s="69" t="n">
        <v>5</v>
      </c>
      <c r="Z3" s="69" t="s">
        <v>265</v>
      </c>
      <c r="AA3" s="69" t="n">
        <v>3</v>
      </c>
      <c r="AB3" s="69" t="s">
        <v>264</v>
      </c>
      <c r="AC3" s="69" t="n">
        <v>3</v>
      </c>
      <c r="AD3" s="69" t="s">
        <v>266</v>
      </c>
      <c r="AE3" s="113" t="n">
        <f aca="false">IF(COUNT(Y3,AA3,AC3)=0,"",Y3*0.02+AA3*0.02+AC3*0.01)</f>
        <v>0.19</v>
      </c>
      <c r="AF3" s="97" t="n">
        <f aca="false">IF(OR(O3="",X3="",AE3=""),"",(O3+X3+AE3)*20)</f>
        <v>71.8</v>
      </c>
      <c r="AG3" s="76" t="str">
        <f aca="false">IF(AF3="","",IF(AF3&gt;=80,"STRONG BUY",IF(AF3&gt;=65,"BUY",IF(AF3&gt;=50,"WATCH LIST",IF(AF3&gt;=35,"AVOID","PASS")))))</f>
        <v>BUY</v>
      </c>
      <c r="AH3" s="76" t="str">
        <f aca="false">IF(N3="","",IF(N3&lt;3,"FAIL","OK"))</f>
        <v>OK</v>
      </c>
      <c r="AI3" s="76" t="str">
        <f aca="false">IF(COUNT(D3:L3)=0,"",IF(COUNTIF(D3:L3,1)&gt;0,"REVIEW","OK"))</f>
        <v>OK</v>
      </c>
      <c r="AJ3" s="76" t="str">
        <f aca="false">IF(COUNT(D3:L3)=0,"",IF(COUNTIF(D3:L3,"&lt;=2")&gt;=2,"AVOID","OK"))</f>
        <v>OK</v>
      </c>
      <c r="AK3" s="76" t="str">
        <f aca="false">IF(COUNTA(E3:M3)=0,"",IF(COUNTIF(E3:M3,"L")&gt;=2,"CAP AT BUY","OK"))</f>
        <v>OK</v>
      </c>
      <c r="AL3" s="78" t="s">
        <v>267</v>
      </c>
      <c r="AM3" s="69" t="s">
        <v>268</v>
      </c>
      <c r="AN3" s="69"/>
      <c r="AO3" s="76"/>
      <c r="AP3" s="69" t="str">
        <f aca="false">IF(OR(AN3="",AO3=""),"",IF(AN3&gt;AO3,"OK","LOW CONF"))</f>
        <v/>
      </c>
      <c r="AQ3" s="69"/>
      <c r="AR3" s="76"/>
      <c r="AS3" s="84" t="str">
        <f aca="false">IF(OR(AQ3="",AR3=""),"",IF(AQ3&lt;AR3,"Decreased",IF(AQ3&gt;AR3,"Increased","Flat")))</f>
        <v/>
      </c>
    </row>
    <row r="4" customFormat="false" ht="15" hidden="false" customHeight="true" outlineLevel="0" collapsed="false">
      <c r="A4" s="68" t="s">
        <v>132</v>
      </c>
      <c r="B4" s="69" t="s">
        <v>133</v>
      </c>
      <c r="C4" s="73" t="n">
        <v>46240</v>
      </c>
      <c r="D4" s="69" t="n">
        <v>3</v>
      </c>
      <c r="E4" s="69" t="s">
        <v>264</v>
      </c>
      <c r="F4" s="69" t="n">
        <v>4</v>
      </c>
      <c r="G4" s="69" t="s">
        <v>265</v>
      </c>
      <c r="H4" s="69" t="n">
        <v>5</v>
      </c>
      <c r="I4" s="69" t="s">
        <v>265</v>
      </c>
      <c r="J4" s="69" t="n">
        <v>4</v>
      </c>
      <c r="K4" s="69" t="s">
        <v>264</v>
      </c>
      <c r="L4" s="69" t="n">
        <v>5</v>
      </c>
      <c r="M4" s="69" t="s">
        <v>265</v>
      </c>
      <c r="N4" s="112" t="n">
        <f aca="false">IF(COUNT(D4,F4,H4,J4,L4)=0,"",(D4*0.2+F4*0.15+H4*0.15+J4*0.1+L4*0.1)/0.7)</f>
        <v>4.07142857142857</v>
      </c>
      <c r="O4" s="113" t="n">
        <f aca="false">IF(COUNT(D4,F4,H4,J4,L4)=0,"",D4*0.2+F4*0.15+H4*0.15+J4*0.1+L4*0.1)</f>
        <v>2.85</v>
      </c>
      <c r="P4" s="69" t="n">
        <v>4</v>
      </c>
      <c r="Q4" s="69" t="s">
        <v>265</v>
      </c>
      <c r="R4" s="69" t="n">
        <v>4</v>
      </c>
      <c r="S4" s="69" t="s">
        <v>266</v>
      </c>
      <c r="T4" s="69" t="n">
        <v>4</v>
      </c>
      <c r="U4" s="69" t="s">
        <v>264</v>
      </c>
      <c r="V4" s="69" t="n">
        <v>4</v>
      </c>
      <c r="W4" s="69" t="s">
        <v>264</v>
      </c>
      <c r="X4" s="113" t="n">
        <f aca="false">IF(COUNT(P4,R4,T4,V4)=0,"",P4*0.08+R4*0.06+T4*0.03+V4*0.08)</f>
        <v>1</v>
      </c>
      <c r="Y4" s="69" t="n">
        <v>3</v>
      </c>
      <c r="Z4" s="69" t="s">
        <v>264</v>
      </c>
      <c r="AA4" s="69" t="n">
        <v>5</v>
      </c>
      <c r="AB4" s="69" t="s">
        <v>265</v>
      </c>
      <c r="AC4" s="69" t="n">
        <v>3</v>
      </c>
      <c r="AD4" s="69" t="s">
        <v>264</v>
      </c>
      <c r="AE4" s="113" t="n">
        <f aca="false">IF(COUNT(Y4,AA4,AC4)=0,"",Y4*0.02+AA4*0.02+AC4*0.01)</f>
        <v>0.19</v>
      </c>
      <c r="AF4" s="97" t="n">
        <f aca="false">IF(OR(O4="",X4="",AE4=""),"",(O4+X4+AE4)*20)</f>
        <v>80.8</v>
      </c>
      <c r="AG4" s="76" t="str">
        <f aca="false">IF(AF4="","",IF(AF4&gt;=80,"STRONG BUY",IF(AF4&gt;=65,"BUY",IF(AF4&gt;=50,"WATCH LIST",IF(AF4&gt;=35,"AVOID","PASS")))))</f>
        <v>STRONG BUY</v>
      </c>
      <c r="AH4" s="76" t="str">
        <f aca="false">IF(N4="","",IF(N4&lt;3,"FAIL","OK"))</f>
        <v>OK</v>
      </c>
      <c r="AI4" s="76" t="str">
        <f aca="false">IF(COUNT(D4:L4)=0,"",IF(COUNTIF(D4:L4,1)&gt;0,"REVIEW","OK"))</f>
        <v>OK</v>
      </c>
      <c r="AJ4" s="76" t="str">
        <f aca="false">IF(COUNT(D4:L4)=0,"",IF(COUNTIF(D4:L4,"&lt;=2")&gt;=2,"AVOID","OK"))</f>
        <v>OK</v>
      </c>
      <c r="AK4" s="76" t="str">
        <f aca="false">IF(COUNTA(E4:M4)=0,"",IF(COUNTIF(E4:M4,"L")&gt;=2,"CAP AT BUY","OK"))</f>
        <v>OK</v>
      </c>
      <c r="AL4" s="78" t="s">
        <v>267</v>
      </c>
      <c r="AM4" s="69" t="s">
        <v>268</v>
      </c>
      <c r="AN4" s="69"/>
      <c r="AO4" s="76"/>
      <c r="AP4" s="69" t="str">
        <f aca="false">IF(OR(AN4="",AO4=""),"",IF(AN4&gt;AO4,"OK","LOW CONF"))</f>
        <v/>
      </c>
      <c r="AQ4" s="69"/>
      <c r="AR4" s="76"/>
      <c r="AS4" s="84" t="str">
        <f aca="false">IF(OR(AQ4="",AR4=""),"",IF(AQ4&lt;AR4,"Decreased",IF(AQ4&gt;AR4,"Increased","Flat")))</f>
        <v/>
      </c>
    </row>
    <row r="5" customFormat="false" ht="15" hidden="false" customHeight="true" outlineLevel="0" collapsed="false">
      <c r="A5" s="68" t="s">
        <v>105</v>
      </c>
      <c r="B5" s="69" t="s">
        <v>106</v>
      </c>
      <c r="C5" s="73" t="n">
        <v>46240</v>
      </c>
      <c r="D5" s="69" t="n">
        <v>2</v>
      </c>
      <c r="E5" s="69" t="s">
        <v>265</v>
      </c>
      <c r="F5" s="69" t="n">
        <v>5</v>
      </c>
      <c r="G5" s="69" t="s">
        <v>265</v>
      </c>
      <c r="H5" s="69" t="n">
        <v>5</v>
      </c>
      <c r="I5" s="69" t="s">
        <v>264</v>
      </c>
      <c r="J5" s="69" t="n">
        <v>4</v>
      </c>
      <c r="K5" s="69" t="s">
        <v>264</v>
      </c>
      <c r="L5" s="69" t="n">
        <v>5</v>
      </c>
      <c r="M5" s="69" t="s">
        <v>265</v>
      </c>
      <c r="N5" s="112" t="n">
        <f aca="false">IF(COUNT(D5,F5,H5,J5,L5)=0,"",(D5*0.2+F5*0.15+H5*0.15+J5*0.1+L5*0.1)/0.7)</f>
        <v>4</v>
      </c>
      <c r="O5" s="113" t="n">
        <f aca="false">IF(COUNT(D5,F5,H5,J5,L5)=0,"",D5*0.2+F5*0.15+H5*0.15+J5*0.1+L5*0.1)</f>
        <v>2.8</v>
      </c>
      <c r="P5" s="69" t="n">
        <v>3</v>
      </c>
      <c r="Q5" s="69" t="s">
        <v>264</v>
      </c>
      <c r="R5" s="69" t="n">
        <v>5</v>
      </c>
      <c r="S5" s="69" t="s">
        <v>265</v>
      </c>
      <c r="T5" s="69" t="n">
        <v>3</v>
      </c>
      <c r="U5" s="69" t="s">
        <v>264</v>
      </c>
      <c r="V5" s="69" t="n">
        <v>2</v>
      </c>
      <c r="W5" s="69" t="s">
        <v>264</v>
      </c>
      <c r="X5" s="113" t="n">
        <f aca="false">IF(COUNT(P5,R5,T5,V5)=0,"",P5*0.08+R5*0.06+T5*0.03+V5*0.08)</f>
        <v>0.79</v>
      </c>
      <c r="Y5" s="69" t="n">
        <v>3</v>
      </c>
      <c r="Z5" s="69" t="s">
        <v>266</v>
      </c>
      <c r="AA5" s="69" t="n">
        <v>4</v>
      </c>
      <c r="AB5" s="69" t="s">
        <v>264</v>
      </c>
      <c r="AC5" s="69" t="n">
        <v>3</v>
      </c>
      <c r="AD5" s="69" t="s">
        <v>266</v>
      </c>
      <c r="AE5" s="113" t="n">
        <f aca="false">IF(COUNT(Y5,AA5,AC5)=0,"",Y5*0.02+AA5*0.02+AC5*0.01)</f>
        <v>0.17</v>
      </c>
      <c r="AF5" s="97" t="n">
        <f aca="false">IF(OR(O5="",X5="",AE5=""),"",(O5+X5+AE5)*20)</f>
        <v>75.2</v>
      </c>
      <c r="AG5" s="76" t="str">
        <f aca="false">IF(AF5="","",IF(AF5&gt;=80,"STRONG BUY",IF(AF5&gt;=65,"BUY",IF(AF5&gt;=50,"WATCH LIST",IF(AF5&gt;=35,"AVOID","PASS")))))</f>
        <v>BUY</v>
      </c>
      <c r="AH5" s="76" t="str">
        <f aca="false">IF(N5="","",IF(N5&lt;3,"FAIL","OK"))</f>
        <v>OK</v>
      </c>
      <c r="AI5" s="76" t="str">
        <f aca="false">IF(COUNT(D5:L5)=0,"",IF(COUNTIF(D5:L5,1)&gt;0,"REVIEW","OK"))</f>
        <v>OK</v>
      </c>
      <c r="AJ5" s="76" t="str">
        <f aca="false">IF(COUNT(D5:L5)=0,"",IF(COUNTIF(D5:L5,"&lt;=2")&gt;=2,"AVOID","OK"))</f>
        <v>OK</v>
      </c>
      <c r="AK5" s="76" t="str">
        <f aca="false">IF(COUNTA(E5:M5)=0,"",IF(COUNTIF(E5:M5,"L")&gt;=2,"CAP AT BUY","OK"))</f>
        <v>OK</v>
      </c>
      <c r="AL5" s="78" t="s">
        <v>267</v>
      </c>
      <c r="AM5" s="69" t="s">
        <v>269</v>
      </c>
      <c r="AN5" s="69"/>
      <c r="AO5" s="76"/>
      <c r="AP5" s="69" t="str">
        <f aca="false">IF(OR(AN5="",AO5=""),"",IF(AN5&gt;AO5,"OK","LOW CONF"))</f>
        <v/>
      </c>
      <c r="AQ5" s="69"/>
      <c r="AR5" s="76"/>
      <c r="AS5" s="84" t="str">
        <f aca="false">IF(OR(AQ5="",AR5=""),"",IF(AQ5&lt;AR5,"Decreased",IF(AQ5&gt;AR5,"Increased","Flat")))</f>
        <v/>
      </c>
    </row>
    <row r="6" customFormat="false" ht="15" hidden="false" customHeight="true" outlineLevel="0" collapsed="false">
      <c r="A6" s="68" t="s">
        <v>103</v>
      </c>
      <c r="B6" s="69" t="s">
        <v>104</v>
      </c>
      <c r="C6" s="73" t="n">
        <v>46240</v>
      </c>
      <c r="D6" s="69" t="n">
        <v>4</v>
      </c>
      <c r="E6" s="69" t="s">
        <v>265</v>
      </c>
      <c r="F6" s="69" t="n">
        <v>5</v>
      </c>
      <c r="G6" s="69" t="s">
        <v>265</v>
      </c>
      <c r="H6" s="69" t="n">
        <v>5</v>
      </c>
      <c r="I6" s="69" t="s">
        <v>265</v>
      </c>
      <c r="J6" s="69" t="n">
        <v>4</v>
      </c>
      <c r="K6" s="69" t="s">
        <v>265</v>
      </c>
      <c r="L6" s="69" t="n">
        <v>5</v>
      </c>
      <c r="M6" s="69" t="s">
        <v>265</v>
      </c>
      <c r="N6" s="112" t="n">
        <f aca="false">IF(COUNT(D6,F6,H6,J6,L6)=0,"",(D6*0.2+F6*0.15+H6*0.15+J6*0.1+L6*0.1)/0.7)</f>
        <v>4.57142857142857</v>
      </c>
      <c r="O6" s="113" t="n">
        <f aca="false">IF(COUNT(D6,F6,H6,J6,L6)=0,"",D6*0.2+F6*0.15+H6*0.15+J6*0.1+L6*0.1)</f>
        <v>3.2</v>
      </c>
      <c r="P6" s="69" t="n">
        <v>5</v>
      </c>
      <c r="Q6" s="69" t="s">
        <v>265</v>
      </c>
      <c r="R6" s="69" t="n">
        <v>5</v>
      </c>
      <c r="S6" s="69" t="s">
        <v>265</v>
      </c>
      <c r="T6" s="69" t="n">
        <v>5</v>
      </c>
      <c r="U6" s="69" t="s">
        <v>265</v>
      </c>
      <c r="V6" s="69" t="n">
        <v>5</v>
      </c>
      <c r="W6" s="69" t="s">
        <v>264</v>
      </c>
      <c r="X6" s="113" t="n">
        <f aca="false">IF(COUNT(P6,R6,T6,V6)=0,"",P6*0.08+R6*0.06+T6*0.03+V6*0.08)</f>
        <v>1.25</v>
      </c>
      <c r="Y6" s="69" t="n">
        <v>4</v>
      </c>
      <c r="Z6" s="69" t="s">
        <v>264</v>
      </c>
      <c r="AA6" s="69" t="n">
        <v>5</v>
      </c>
      <c r="AB6" s="69" t="s">
        <v>264</v>
      </c>
      <c r="AC6" s="69" t="n">
        <v>3</v>
      </c>
      <c r="AD6" s="69" t="s">
        <v>266</v>
      </c>
      <c r="AE6" s="113" t="n">
        <f aca="false">IF(COUNT(Y6,AA6,AC6)=0,"",Y6*0.02+AA6*0.02+AC6*0.01)</f>
        <v>0.21</v>
      </c>
      <c r="AF6" s="97" t="n">
        <f aca="false">IF(OR(O6="",X6="",AE6=""),"",(O6+X6+AE6)*20)</f>
        <v>93.2</v>
      </c>
      <c r="AG6" s="76" t="str">
        <f aca="false">IF(AF6="","",IF(AF6&gt;=80,"STRONG BUY",IF(AF6&gt;=65,"BUY",IF(AF6&gt;=50,"WATCH LIST",IF(AF6&gt;=35,"AVOID","PASS")))))</f>
        <v>STRONG BUY</v>
      </c>
      <c r="AH6" s="76" t="str">
        <f aca="false">IF(N6="","",IF(N6&lt;3,"FAIL","OK"))</f>
        <v>OK</v>
      </c>
      <c r="AI6" s="76" t="str">
        <f aca="false">IF(COUNT(D6:L6)=0,"",IF(COUNTIF(D6:L6,1)&gt;0,"REVIEW","OK"))</f>
        <v>OK</v>
      </c>
      <c r="AJ6" s="76" t="str">
        <f aca="false">IF(COUNT(D6:L6)=0,"",IF(COUNTIF(D6:L6,"&lt;=2")&gt;=2,"AVOID","OK"))</f>
        <v>OK</v>
      </c>
      <c r="AK6" s="76" t="str">
        <f aca="false">IF(COUNTA(E6:M6)=0,"",IF(COUNTIF(E6:M6,"L")&gt;=2,"CAP AT BUY","OK"))</f>
        <v>OK</v>
      </c>
      <c r="AL6" s="78" t="s">
        <v>267</v>
      </c>
      <c r="AM6" s="69" t="s">
        <v>268</v>
      </c>
      <c r="AN6" s="69"/>
      <c r="AO6" s="76"/>
      <c r="AP6" s="69" t="str">
        <f aca="false">IF(OR(AN6="",AO6=""),"",IF(AN6&gt;AO6,"OK","LOW CONF"))</f>
        <v/>
      </c>
      <c r="AQ6" s="69"/>
      <c r="AR6" s="76"/>
      <c r="AS6" s="84" t="str">
        <f aca="false">IF(OR(AQ6="",AR6=""),"",IF(AQ6&lt;AR6,"Decreased",IF(AQ6&gt;AR6,"Increased","Flat")))</f>
        <v/>
      </c>
    </row>
    <row r="7" customFormat="false" ht="15" hidden="false" customHeight="true" outlineLevel="0" collapsed="false">
      <c r="A7" s="68" t="s">
        <v>134</v>
      </c>
      <c r="B7" s="69" t="s">
        <v>135</v>
      </c>
      <c r="C7" s="73" t="n">
        <v>46241</v>
      </c>
      <c r="D7" s="69" t="n">
        <v>4</v>
      </c>
      <c r="E7" s="69" t="s">
        <v>265</v>
      </c>
      <c r="F7" s="69" t="n">
        <v>3</v>
      </c>
      <c r="G7" s="69" t="s">
        <v>264</v>
      </c>
      <c r="H7" s="69" t="n">
        <v>4</v>
      </c>
      <c r="I7" s="69" t="s">
        <v>264</v>
      </c>
      <c r="J7" s="69" t="n">
        <v>4</v>
      </c>
      <c r="K7" s="69" t="s">
        <v>264</v>
      </c>
      <c r="L7" s="69" t="n">
        <v>4</v>
      </c>
      <c r="M7" s="69" t="s">
        <v>265</v>
      </c>
      <c r="N7" s="112" t="n">
        <f aca="false">IF(COUNT(D7,F7,H7,J7,L7)=0,"",(D7*0.2+F7*0.15+H7*0.15+J7*0.1+L7*0.1)/0.7)</f>
        <v>3.78571428571429</v>
      </c>
      <c r="O7" s="113" t="n">
        <f aca="false">IF(COUNT(D7,F7,H7,J7,L7)=0,"",D7*0.2+F7*0.15+H7*0.15+J7*0.1+L7*0.1)</f>
        <v>2.65</v>
      </c>
      <c r="P7" s="69" t="n">
        <v>3</v>
      </c>
      <c r="Q7" s="69" t="s">
        <v>264</v>
      </c>
      <c r="R7" s="69" t="n">
        <v>4</v>
      </c>
      <c r="S7" s="69" t="s">
        <v>264</v>
      </c>
      <c r="T7" s="69" t="n">
        <v>4</v>
      </c>
      <c r="U7" s="69" t="s">
        <v>264</v>
      </c>
      <c r="V7" s="69" t="n">
        <v>4</v>
      </c>
      <c r="W7" s="69" t="s">
        <v>264</v>
      </c>
      <c r="X7" s="113" t="n">
        <f aca="false">IF(COUNT(P7,R7,T7,V7)=0,"",P7*0.08+R7*0.06+T7*0.03+V7*0.08)</f>
        <v>0.92</v>
      </c>
      <c r="Y7" s="69" t="n">
        <v>4</v>
      </c>
      <c r="Z7" s="69" t="s">
        <v>264</v>
      </c>
      <c r="AA7" s="69" t="n">
        <v>5</v>
      </c>
      <c r="AB7" s="69" t="s">
        <v>265</v>
      </c>
      <c r="AC7" s="69" t="n">
        <v>3</v>
      </c>
      <c r="AD7" s="69" t="s">
        <v>266</v>
      </c>
      <c r="AE7" s="113" t="n">
        <f aca="false">IF(COUNT(Y7,AA7,AC7)=0,"",Y7*0.02+AA7*0.02+AC7*0.01)</f>
        <v>0.21</v>
      </c>
      <c r="AF7" s="97" t="n">
        <f aca="false">IF(OR(O7="",X7="",AE7=""),"",(O7+X7+AE7)*20)</f>
        <v>75.6</v>
      </c>
      <c r="AG7" s="76" t="str">
        <f aca="false">IF(AF7="","",IF(AF7&gt;=80,"STRONG BUY",IF(AF7&gt;=65,"BUY",IF(AF7&gt;=50,"WATCH LIST",IF(AF7&gt;=35,"AVOID","PASS")))))</f>
        <v>BUY</v>
      </c>
      <c r="AH7" s="76" t="str">
        <f aca="false">IF(N7="","",IF(N7&lt;3,"FAIL","OK"))</f>
        <v>OK</v>
      </c>
      <c r="AI7" s="76" t="str">
        <f aca="false">IF(COUNT(D7:L7)=0,"",IF(COUNTIF(D7:L7,1)&gt;0,"REVIEW","OK"))</f>
        <v>OK</v>
      </c>
      <c r="AJ7" s="76" t="str">
        <f aca="false">IF(COUNT(D7:L7)=0,"",IF(COUNTIF(D7:L7,"&lt;=2")&gt;=2,"AVOID","OK"))</f>
        <v>OK</v>
      </c>
      <c r="AK7" s="76" t="str">
        <f aca="false">IF(COUNTA(E7:M7)=0,"",IF(COUNTIF(E7:M7,"L")&gt;=2,"CAP AT BUY","OK"))</f>
        <v>OK</v>
      </c>
      <c r="AL7" s="78" t="s">
        <v>270</v>
      </c>
      <c r="AM7" s="69" t="s">
        <v>271</v>
      </c>
      <c r="AN7" s="69"/>
      <c r="AO7" s="76"/>
      <c r="AP7" s="69" t="str">
        <f aca="false">IF(OR(AN7="",AO7=""),"",IF(AN7&gt;AO7,"OK","LOW CONF"))</f>
        <v/>
      </c>
      <c r="AQ7" s="69"/>
      <c r="AR7" s="76"/>
      <c r="AS7" s="84" t="str">
        <f aca="false">IF(OR(AQ7="",AR7=""),"",IF(AQ7&lt;AR7,"Decreased",IF(AQ7&gt;AR7,"Increased","Flat")))</f>
        <v/>
      </c>
    </row>
    <row r="8" customFormat="false" ht="15" hidden="false" customHeight="true" outlineLevel="0" collapsed="false">
      <c r="A8" s="68" t="s">
        <v>141</v>
      </c>
      <c r="B8" s="69" t="s">
        <v>272</v>
      </c>
      <c r="C8" s="73" t="n">
        <v>46240</v>
      </c>
      <c r="D8" s="69" t="n">
        <v>4</v>
      </c>
      <c r="E8" s="69" t="s">
        <v>264</v>
      </c>
      <c r="F8" s="69" t="n">
        <v>4</v>
      </c>
      <c r="G8" s="69" t="s">
        <v>264</v>
      </c>
      <c r="H8" s="69" t="n">
        <v>5</v>
      </c>
      <c r="I8" s="69" t="s">
        <v>265</v>
      </c>
      <c r="J8" s="69" t="n">
        <v>4</v>
      </c>
      <c r="K8" s="69" t="s">
        <v>264</v>
      </c>
      <c r="L8" s="69" t="n">
        <v>5</v>
      </c>
      <c r="M8" s="69" t="s">
        <v>265</v>
      </c>
      <c r="N8" s="112" t="n">
        <f aca="false">IF(COUNT(D8,F8,H8,J8,L8)=0,"",(D8*0.2+F8*0.15+H8*0.15+J8*0.1+L8*0.1)/0.7)</f>
        <v>4.35714285714286</v>
      </c>
      <c r="O8" s="113" t="n">
        <f aca="false">IF(COUNT(D8,F8,H8,J8,L8)=0,"",D8*0.2+F8*0.15+H8*0.15+J8*0.1+L8*0.1)</f>
        <v>3.05</v>
      </c>
      <c r="P8" s="69" t="n">
        <v>5</v>
      </c>
      <c r="Q8" s="69" t="s">
        <v>265</v>
      </c>
      <c r="R8" s="69" t="n">
        <v>3</v>
      </c>
      <c r="S8" s="69" t="s">
        <v>266</v>
      </c>
      <c r="T8" s="69" t="n">
        <v>4</v>
      </c>
      <c r="U8" s="69" t="s">
        <v>266</v>
      </c>
      <c r="V8" s="69" t="n">
        <v>2</v>
      </c>
      <c r="W8" s="69" t="s">
        <v>265</v>
      </c>
      <c r="X8" s="113" t="n">
        <f aca="false">IF(COUNT(P8,R8,T8,V8)=0,"",P8*0.08+R8*0.06+T8*0.03+V8*0.08)</f>
        <v>0.86</v>
      </c>
      <c r="Y8" s="69" t="n">
        <v>4</v>
      </c>
      <c r="Z8" s="69" t="s">
        <v>266</v>
      </c>
      <c r="AA8" s="69" t="n">
        <v>4</v>
      </c>
      <c r="AB8" s="69" t="s">
        <v>264</v>
      </c>
      <c r="AC8" s="69" t="n">
        <v>3</v>
      </c>
      <c r="AD8" s="69" t="s">
        <v>266</v>
      </c>
      <c r="AE8" s="113" t="n">
        <f aca="false">IF(COUNT(Y8,AA8,AC8)=0,"",Y8*0.02+AA8*0.02+AC8*0.01)</f>
        <v>0.19</v>
      </c>
      <c r="AF8" s="97" t="n">
        <f aca="false">IF(OR(O8="",X8="",AE8=""),"",(O8+X8+AE8)*20)</f>
        <v>82</v>
      </c>
      <c r="AG8" s="76" t="str">
        <f aca="false">IF(AF8="","",IF(AF8&gt;=80,"STRONG BUY",IF(AF8&gt;=65,"BUY",IF(AF8&gt;=50,"WATCH LIST",IF(AF8&gt;=35,"AVOID","PASS")))))</f>
        <v>STRONG BUY</v>
      </c>
      <c r="AH8" s="76" t="str">
        <f aca="false">IF(N8="","",IF(N8&lt;3,"FAIL","OK"))</f>
        <v>OK</v>
      </c>
      <c r="AI8" s="76" t="str">
        <f aca="false">IF(COUNT(D8:L8)=0,"",IF(COUNTIF(D8:L8,1)&gt;0,"REVIEW","OK"))</f>
        <v>OK</v>
      </c>
      <c r="AJ8" s="76" t="str">
        <f aca="false">IF(COUNT(D8:L8)=0,"",IF(COUNTIF(D8:L8,"&lt;=2")&gt;=2,"AVOID","OK"))</f>
        <v>OK</v>
      </c>
      <c r="AK8" s="76" t="str">
        <f aca="false">IF(COUNTA(E8:M8)=0,"",IF(COUNTIF(E8:M8,"L")&gt;=2,"CAP AT BUY","OK"))</f>
        <v>OK</v>
      </c>
      <c r="AL8" s="78" t="s">
        <v>273</v>
      </c>
      <c r="AM8" s="69" t="s">
        <v>274</v>
      </c>
      <c r="AN8" s="69"/>
      <c r="AO8" s="76"/>
      <c r="AP8" s="69" t="str">
        <f aca="false">IF(OR(AN8="",AO8=""),"",IF(AN8&gt;AO8,"OK","LOW CONF"))</f>
        <v/>
      </c>
      <c r="AQ8" s="69"/>
      <c r="AR8" s="76"/>
      <c r="AS8" s="84" t="str">
        <f aca="false">IF(OR(AQ8="",AR8=""),"",IF(AQ8&lt;AR8,"Decreased",IF(AQ8&gt;AR8,"Increased","Flat")))</f>
        <v/>
      </c>
    </row>
    <row r="9" customFormat="false" ht="15" hidden="true" customHeight="true" outlineLevel="1" collapsed="false">
      <c r="A9" s="68" t="s">
        <v>144</v>
      </c>
      <c r="B9" s="69" t="s">
        <v>145</v>
      </c>
      <c r="C9" s="73" t="n">
        <v>46240</v>
      </c>
      <c r="D9" s="69" t="n">
        <v>2</v>
      </c>
      <c r="E9" s="69" t="s">
        <v>264</v>
      </c>
      <c r="F9" s="69" t="n">
        <v>2</v>
      </c>
      <c r="G9" s="69" t="s">
        <v>264</v>
      </c>
      <c r="H9" s="69" t="n">
        <v>2</v>
      </c>
      <c r="I9" s="69" t="s">
        <v>264</v>
      </c>
      <c r="J9" s="69" t="n">
        <v>2</v>
      </c>
      <c r="K9" s="69" t="s">
        <v>264</v>
      </c>
      <c r="L9" s="69" t="n">
        <v>1</v>
      </c>
      <c r="M9" s="69" t="s">
        <v>265</v>
      </c>
      <c r="N9" s="112" t="n">
        <f aca="false">IF(COUNT(D9,F9,H9,J9,L9)=0,"",(D9*0.2+F9*0.15+H9*0.15+J9*0.1+L9*0.1)/0.7)</f>
        <v>1.85714285714286</v>
      </c>
      <c r="O9" s="113" t="n">
        <f aca="false">IF(COUNT(D9,F9,H9,J9,L9)=0,"",D9*0.2+F9*0.15+H9*0.15+J9*0.1+L9*0.1)</f>
        <v>1.3</v>
      </c>
      <c r="P9" s="69"/>
      <c r="Q9" s="69"/>
      <c r="R9" s="69"/>
      <c r="S9" s="69"/>
      <c r="T9" s="69"/>
      <c r="U9" s="69"/>
      <c r="V9" s="69"/>
      <c r="W9" s="69"/>
      <c r="X9" s="113" t="str">
        <f aca="false">IF(COUNT(P9,R9,T9,V9)=0,"",P9*0.08+R9*0.06+T9*0.03+V9*0.08)</f>
        <v/>
      </c>
      <c r="Y9" s="69"/>
      <c r="Z9" s="69"/>
      <c r="AA9" s="69"/>
      <c r="AB9" s="69"/>
      <c r="AC9" s="69"/>
      <c r="AD9" s="69"/>
      <c r="AE9" s="113" t="str">
        <f aca="false">IF(COUNT(Y9,AA9,AC9)=0,"",Y9*0.02+AA9*0.02+AC9*0.01)</f>
        <v/>
      </c>
      <c r="AF9" s="97" t="str">
        <f aca="false">IF(OR(O9="",X9="",AE9=""),"",(O9+X9+AE9)*20)</f>
        <v/>
      </c>
      <c r="AG9" s="76" t="str">
        <f aca="false">IF(AF9="","",IF(AF9&gt;=80,"STRONG BUY",IF(AF9&gt;=65,"BUY",IF(AF9&gt;=50,"WATCH LIST",IF(AF9&gt;=35,"AVOID","PASS")))))</f>
        <v/>
      </c>
      <c r="AH9" s="76" t="str">
        <f aca="false">IF(N9="","",IF(N9&lt;3,"FAIL","OK"))</f>
        <v>FAIL</v>
      </c>
      <c r="AI9" s="76" t="str">
        <f aca="false">IF(COUNT(D9:L9)=0,"",IF(COUNTIF(D9:L9,1)&gt;0,"REVIEW","OK"))</f>
        <v>REVIEW</v>
      </c>
      <c r="AJ9" s="76" t="str">
        <f aca="false">IF(COUNT(D9:L9)=0,"",IF(COUNTIF(D9:L9,"&lt;=2")&gt;=2,"AVOID","OK"))</f>
        <v>AVOID</v>
      </c>
      <c r="AK9" s="76" t="str">
        <f aca="false">IF(COUNTA(E9:M9)=0,"",IF(COUNTIF(E9:M9,"L")&gt;=2,"CAP AT BUY","OK"))</f>
        <v>OK</v>
      </c>
      <c r="AL9" s="78" t="s">
        <v>275</v>
      </c>
      <c r="AM9" s="69" t="s">
        <v>276</v>
      </c>
      <c r="AN9" s="69"/>
      <c r="AO9" s="76"/>
      <c r="AP9" s="69" t="str">
        <f aca="false">IF(OR(AN9="",AO9=""),"",IF(AN9&gt;AO9,"OK","LOW CONF"))</f>
        <v/>
      </c>
      <c r="AQ9" s="69"/>
      <c r="AR9" s="76"/>
      <c r="AS9" s="84" t="str">
        <f aca="false">IF(OR(AQ9="",AR9=""),"",IF(AQ9&lt;AR9,"Decreased",IF(AQ9&gt;AR9,"Increased","Flat")))</f>
        <v/>
      </c>
    </row>
    <row r="10" customFormat="false" ht="15" hidden="true" customHeight="true" outlineLevel="1" collapsed="false">
      <c r="A10" s="68" t="s">
        <v>155</v>
      </c>
      <c r="B10" s="69" t="s">
        <v>156</v>
      </c>
      <c r="C10" s="73" t="n">
        <v>46240</v>
      </c>
      <c r="D10" s="69" t="n">
        <v>2</v>
      </c>
      <c r="E10" s="69" t="s">
        <v>264</v>
      </c>
      <c r="F10" s="69" t="n">
        <v>4</v>
      </c>
      <c r="G10" s="69" t="s">
        <v>265</v>
      </c>
      <c r="H10" s="69" t="n">
        <v>3</v>
      </c>
      <c r="I10" s="69" t="s">
        <v>264</v>
      </c>
      <c r="J10" s="69" t="n">
        <v>2</v>
      </c>
      <c r="K10" s="69" t="s">
        <v>264</v>
      </c>
      <c r="L10" s="69" t="n">
        <v>2</v>
      </c>
      <c r="M10" s="69" t="s">
        <v>265</v>
      </c>
      <c r="N10" s="112" t="n">
        <f aca="false">IF(COUNT(D10,F10,H10,J10,L10)=0,"",(D10*0.2+F10*0.15+H10*0.15+J10*0.1+L10*0.1)/0.7)</f>
        <v>2.64285714285714</v>
      </c>
      <c r="O10" s="113" t="n">
        <f aca="false">IF(COUNT(D10,F10,H10,J10,L10)=0,"",D10*0.2+F10*0.15+H10*0.15+J10*0.1+L10*0.1)</f>
        <v>1.85</v>
      </c>
      <c r="P10" s="69"/>
      <c r="Q10" s="69"/>
      <c r="R10" s="69"/>
      <c r="S10" s="69"/>
      <c r="T10" s="69"/>
      <c r="U10" s="69"/>
      <c r="V10" s="69"/>
      <c r="W10" s="69"/>
      <c r="X10" s="113" t="str">
        <f aca="false">IF(COUNT(P10,R10,T10,V10)=0,"",P10*0.08+R10*0.06+T10*0.03+V10*0.08)</f>
        <v/>
      </c>
      <c r="Y10" s="69"/>
      <c r="Z10" s="69"/>
      <c r="AA10" s="69"/>
      <c r="AB10" s="69"/>
      <c r="AC10" s="69"/>
      <c r="AD10" s="69"/>
      <c r="AE10" s="113" t="str">
        <f aca="false">IF(COUNT(Y10,AA10,AC10)=0,"",Y10*0.02+AA10*0.02+AC10*0.01)</f>
        <v/>
      </c>
      <c r="AF10" s="97" t="str">
        <f aca="false">IF(OR(O10="",X10="",AE10=""),"",(O10+X10+AE10)*20)</f>
        <v/>
      </c>
      <c r="AG10" s="76" t="str">
        <f aca="false">IF(AF10="","",IF(AF10&gt;=80,"STRONG BUY",IF(AF10&gt;=65,"BUY",IF(AF10&gt;=50,"WATCH LIST",IF(AF10&gt;=35,"AVOID","PASS")))))</f>
        <v/>
      </c>
      <c r="AH10" s="76" t="str">
        <f aca="false">IF(N10="","",IF(N10&lt;3,"FAIL","OK"))</f>
        <v>FAIL</v>
      </c>
      <c r="AI10" s="76" t="str">
        <f aca="false">IF(COUNT(D10:L10)=0,"",IF(COUNTIF(D10:L10,1)&gt;0,"REVIEW","OK"))</f>
        <v>OK</v>
      </c>
      <c r="AJ10" s="76" t="str">
        <f aca="false">IF(COUNT(D10:L10)=0,"",IF(COUNTIF(D10:L10,"&lt;=2")&gt;=2,"AVOID","OK"))</f>
        <v>AVOID</v>
      </c>
      <c r="AK10" s="76" t="str">
        <f aca="false">IF(COUNTA(E10:M10)=0,"",IF(COUNTIF(E10:M10,"L")&gt;=2,"CAP AT BUY","OK"))</f>
        <v>OK</v>
      </c>
      <c r="AL10" s="78" t="s">
        <v>277</v>
      </c>
      <c r="AM10" s="69" t="s">
        <v>278</v>
      </c>
      <c r="AN10" s="69"/>
      <c r="AO10" s="76"/>
      <c r="AP10" s="69" t="str">
        <f aca="false">IF(OR(AN10="",AO10=""),"",IF(AN10&gt;AO10,"OK","LOW CONF"))</f>
        <v/>
      </c>
      <c r="AQ10" s="69"/>
      <c r="AR10" s="76"/>
      <c r="AS10" s="84" t="str">
        <f aca="false">IF(OR(AQ10="",AR10=""),"",IF(AQ10&lt;AR10,"Decreased",IF(AQ10&gt;AR10,"Increased","Flat")))</f>
        <v/>
      </c>
    </row>
    <row r="11" customFormat="false" ht="15" hidden="true" customHeight="true" outlineLevel="1" collapsed="false">
      <c r="A11" s="68" t="s">
        <v>147</v>
      </c>
      <c r="B11" s="69" t="s">
        <v>148</v>
      </c>
      <c r="C11" s="73" t="n">
        <v>46240</v>
      </c>
      <c r="D11" s="69" t="n">
        <v>1</v>
      </c>
      <c r="E11" s="69" t="s">
        <v>265</v>
      </c>
      <c r="F11" s="69" t="n">
        <v>2</v>
      </c>
      <c r="G11" s="69" t="s">
        <v>264</v>
      </c>
      <c r="H11" s="69" t="n">
        <v>3</v>
      </c>
      <c r="I11" s="69" t="s">
        <v>264</v>
      </c>
      <c r="J11" s="69" t="n">
        <v>3</v>
      </c>
      <c r="K11" s="69" t="s">
        <v>264</v>
      </c>
      <c r="L11" s="69" t="n">
        <v>1</v>
      </c>
      <c r="M11" s="69" t="s">
        <v>265</v>
      </c>
      <c r="N11" s="112" t="n">
        <f aca="false">IF(COUNT(D11,F11,H11,J11,L11)=0,"",(D11*0.2+F11*0.15+H11*0.15+J11*0.1+L11*0.1)/0.7)</f>
        <v>1.92857142857143</v>
      </c>
      <c r="O11" s="113" t="n">
        <f aca="false">IF(COUNT(D11,F11,H11,J11,L11)=0,"",D11*0.2+F11*0.15+H11*0.15+J11*0.1+L11*0.1)</f>
        <v>1.35</v>
      </c>
      <c r="P11" s="69"/>
      <c r="Q11" s="69"/>
      <c r="R11" s="69"/>
      <c r="S11" s="69"/>
      <c r="T11" s="69"/>
      <c r="U11" s="69"/>
      <c r="V11" s="69"/>
      <c r="W11" s="69"/>
      <c r="X11" s="113" t="str">
        <f aca="false">IF(COUNT(P11,R11,T11,V11)=0,"",P11*0.08+R11*0.06+T11*0.03+V11*0.08)</f>
        <v/>
      </c>
      <c r="Y11" s="69"/>
      <c r="Z11" s="69"/>
      <c r="AA11" s="69"/>
      <c r="AB11" s="69"/>
      <c r="AC11" s="69"/>
      <c r="AD11" s="69"/>
      <c r="AE11" s="113" t="str">
        <f aca="false">IF(COUNT(Y11,AA11,AC11)=0,"",Y11*0.02+AA11*0.02+AC11*0.01)</f>
        <v/>
      </c>
      <c r="AF11" s="97" t="str">
        <f aca="false">IF(OR(O11="",X11="",AE11=""),"",(O11+X11+AE11)*20)</f>
        <v/>
      </c>
      <c r="AG11" s="76" t="str">
        <f aca="false">IF(AF11="","",IF(AF11&gt;=80,"STRONG BUY",IF(AF11&gt;=65,"BUY",IF(AF11&gt;=50,"WATCH LIST",IF(AF11&gt;=35,"AVOID","PASS")))))</f>
        <v/>
      </c>
      <c r="AH11" s="76" t="str">
        <f aca="false">IF(N11="","",IF(N11&lt;3,"FAIL","OK"))</f>
        <v>FAIL</v>
      </c>
      <c r="AI11" s="76" t="str">
        <f aca="false">IF(COUNT(D11:L11)=0,"",IF(COUNTIF(D11:L11,1)&gt;0,"REVIEW","OK"))</f>
        <v>REVIEW</v>
      </c>
      <c r="AJ11" s="76" t="str">
        <f aca="false">IF(COUNT(D11:L11)=0,"",IF(COUNTIF(D11:L11,"&lt;=2")&gt;=2,"AVOID","OK"))</f>
        <v>AVOID</v>
      </c>
      <c r="AK11" s="76" t="str">
        <f aca="false">IF(COUNTA(E11:M11)=0,"",IF(COUNTIF(E11:M11,"L")&gt;=2,"CAP AT BUY","OK"))</f>
        <v>OK</v>
      </c>
      <c r="AL11" s="78" t="s">
        <v>277</v>
      </c>
      <c r="AM11" s="69" t="s">
        <v>279</v>
      </c>
      <c r="AN11" s="69"/>
      <c r="AO11" s="76"/>
      <c r="AP11" s="69" t="str">
        <f aca="false">IF(OR(AN11="",AO11=""),"",IF(AN11&gt;AO11,"OK","LOW CONF"))</f>
        <v/>
      </c>
      <c r="AQ11" s="69"/>
      <c r="AR11" s="76"/>
      <c r="AS11" s="84" t="str">
        <f aca="false">IF(OR(AQ11="",AR11=""),"",IF(AQ11&lt;AR11,"Decreased",IF(AQ11&gt;AR11,"Increased","Flat")))</f>
        <v/>
      </c>
    </row>
    <row r="12" customFormat="false" ht="15" hidden="false" customHeight="true" outlineLevel="0" collapsed="false">
      <c r="A12" s="68" t="s">
        <v>88</v>
      </c>
      <c r="B12" s="69" t="s">
        <v>89</v>
      </c>
      <c r="C12" s="73" t="n">
        <v>46240</v>
      </c>
      <c r="D12" s="69" t="n">
        <v>5</v>
      </c>
      <c r="E12" s="69" t="s">
        <v>265</v>
      </c>
      <c r="F12" s="69" t="n">
        <v>4</v>
      </c>
      <c r="G12" s="69" t="s">
        <v>265</v>
      </c>
      <c r="H12" s="69" t="n">
        <v>4</v>
      </c>
      <c r="I12" s="69" t="s">
        <v>264</v>
      </c>
      <c r="J12" s="69" t="n">
        <v>5</v>
      </c>
      <c r="K12" s="69" t="s">
        <v>265</v>
      </c>
      <c r="L12" s="69" t="n">
        <v>5</v>
      </c>
      <c r="M12" s="69" t="s">
        <v>265</v>
      </c>
      <c r="N12" s="112" t="n">
        <f aca="false">IF(COUNT(D12,F12,H12,J12,L12)=0,"",(D12*0.2+F12*0.15+H12*0.15+J12*0.1+L12*0.1)/0.7)</f>
        <v>4.57142857142857</v>
      </c>
      <c r="O12" s="113" t="n">
        <f aca="false">IF(COUNT(D12,F12,H12,J12,L12)=0,"",D12*0.2+F12*0.15+H12*0.15+J12*0.1+L12*0.1)</f>
        <v>3.2</v>
      </c>
      <c r="P12" s="69" t="n">
        <v>3</v>
      </c>
      <c r="Q12" s="69" t="s">
        <v>264</v>
      </c>
      <c r="R12" s="69" t="n">
        <v>5</v>
      </c>
      <c r="S12" s="69" t="s">
        <v>265</v>
      </c>
      <c r="T12" s="69" t="n">
        <v>1</v>
      </c>
      <c r="U12" s="69" t="s">
        <v>265</v>
      </c>
      <c r="V12" s="69" t="n">
        <v>5</v>
      </c>
      <c r="W12" s="69" t="s">
        <v>265</v>
      </c>
      <c r="X12" s="113" t="n">
        <f aca="false">IF(COUNT(P12,R12,T12,V12)=0,"",P12*0.08+R12*0.06+T12*0.03+V12*0.08)</f>
        <v>0.97</v>
      </c>
      <c r="Y12" s="69" t="n">
        <v>2</v>
      </c>
      <c r="Z12" s="69" t="s">
        <v>264</v>
      </c>
      <c r="AA12" s="69" t="n">
        <v>3</v>
      </c>
      <c r="AB12" s="69" t="s">
        <v>264</v>
      </c>
      <c r="AC12" s="69" t="n">
        <v>2</v>
      </c>
      <c r="AD12" s="69" t="s">
        <v>266</v>
      </c>
      <c r="AE12" s="113" t="n">
        <f aca="false">IF(COUNT(Y12,AA12,AC12)=0,"",Y12*0.02+AA12*0.02+AC12*0.01)</f>
        <v>0.12</v>
      </c>
      <c r="AF12" s="97" t="n">
        <f aca="false">IF(OR(O12="",X12="",AE12=""),"",(O12+X12+AE12)*20)</f>
        <v>85.8</v>
      </c>
      <c r="AG12" s="76" t="str">
        <f aca="false">IF(AF12="","",IF(AF12&gt;=80,"STRONG BUY",IF(AF12&gt;=65,"BUY",IF(AF12&gt;=50,"WATCH LIST",IF(AF12&gt;=35,"AVOID","PASS")))))</f>
        <v>STRONG BUY</v>
      </c>
      <c r="AH12" s="76" t="str">
        <f aca="false">IF(N12="","",IF(N12&lt;3,"FAIL","OK"))</f>
        <v>OK</v>
      </c>
      <c r="AI12" s="76" t="str">
        <f aca="false">IF(COUNT(D12:L12)=0,"",IF(COUNTIF(D12:L12,1)&gt;0,"REVIEW","OK"))</f>
        <v>OK</v>
      </c>
      <c r="AJ12" s="76" t="str">
        <f aca="false">IF(COUNT(D12:L12)=0,"",IF(COUNTIF(D12:L12,"&lt;=2")&gt;=2,"AVOID","OK"))</f>
        <v>OK</v>
      </c>
      <c r="AK12" s="76" t="str">
        <f aca="false">IF(COUNTA(E12:M12)=0,"",IF(COUNTIF(E12:M12,"L")&gt;=2,"CAP AT BUY","OK"))</f>
        <v>OK</v>
      </c>
      <c r="AL12" s="78" t="s">
        <v>267</v>
      </c>
      <c r="AM12" s="69" t="s">
        <v>280</v>
      </c>
      <c r="AN12" s="69"/>
      <c r="AO12" s="76"/>
      <c r="AP12" s="69" t="str">
        <f aca="false">IF(OR(AN12="",AO12=""),"",IF(AN12&gt;AO12,"OK","LOW CONF"))</f>
        <v/>
      </c>
      <c r="AQ12" s="69"/>
      <c r="AR12" s="76"/>
      <c r="AS12" s="84" t="str">
        <f aca="false">IF(OR(AQ12="",AR12=""),"",IF(AQ12&lt;AR12,"Decreased",IF(AQ12&gt;AR12,"Increased","Flat")))</f>
        <v/>
      </c>
    </row>
    <row r="13" customFormat="false" ht="15" hidden="false" customHeight="true" outlineLevel="0" collapsed="false">
      <c r="A13" s="68" t="s">
        <v>93</v>
      </c>
      <c r="B13" s="69" t="s">
        <v>94</v>
      </c>
      <c r="C13" s="73" t="n">
        <v>46240</v>
      </c>
      <c r="D13" s="69" t="n">
        <v>4</v>
      </c>
      <c r="E13" s="69" t="s">
        <v>264</v>
      </c>
      <c r="F13" s="69" t="n">
        <v>5</v>
      </c>
      <c r="G13" s="69" t="s">
        <v>265</v>
      </c>
      <c r="H13" s="69" t="n">
        <v>5</v>
      </c>
      <c r="I13" s="69" t="s">
        <v>265</v>
      </c>
      <c r="J13" s="69" t="n">
        <v>4</v>
      </c>
      <c r="K13" s="69" t="s">
        <v>264</v>
      </c>
      <c r="L13" s="69" t="n">
        <v>5</v>
      </c>
      <c r="M13" s="69" t="s">
        <v>265</v>
      </c>
      <c r="N13" s="112" t="n">
        <f aca="false">IF(COUNT(D13,F13,H13,J13,L13)=0,"",(D13*0.2+F13*0.15+H13*0.15+J13*0.1+L13*0.1)/0.7)</f>
        <v>4.57142857142857</v>
      </c>
      <c r="O13" s="113" t="n">
        <f aca="false">IF(COUNT(D13,F13,H13,J13,L13)=0,"",D13*0.2+F13*0.15+H13*0.15+J13*0.1+L13*0.1)</f>
        <v>3.2</v>
      </c>
      <c r="P13" s="69" t="n">
        <v>4</v>
      </c>
      <c r="Q13" s="69" t="s">
        <v>265</v>
      </c>
      <c r="R13" s="69" t="n">
        <v>5</v>
      </c>
      <c r="S13" s="69" t="s">
        <v>265</v>
      </c>
      <c r="T13" s="69" t="n">
        <v>5</v>
      </c>
      <c r="U13" s="69" t="s">
        <v>264</v>
      </c>
      <c r="V13" s="69" t="n">
        <v>1</v>
      </c>
      <c r="W13" s="69" t="s">
        <v>265</v>
      </c>
      <c r="X13" s="113" t="n">
        <f aca="false">IF(COUNT(P13,R13,T13,V13)=0,"",P13*0.08+R13*0.06+T13*0.03+V13*0.08)</f>
        <v>0.85</v>
      </c>
      <c r="Y13" s="69" t="n">
        <v>4</v>
      </c>
      <c r="Z13" s="69" t="s">
        <v>264</v>
      </c>
      <c r="AA13" s="69" t="n">
        <v>5</v>
      </c>
      <c r="AB13" s="69" t="s">
        <v>265</v>
      </c>
      <c r="AC13" s="69" t="n">
        <v>2</v>
      </c>
      <c r="AD13" s="69" t="s">
        <v>264</v>
      </c>
      <c r="AE13" s="113" t="n">
        <f aca="false">IF(COUNT(Y13,AA13,AC13)=0,"",Y13*0.02+AA13*0.02+AC13*0.01)</f>
        <v>0.2</v>
      </c>
      <c r="AF13" s="97" t="n">
        <f aca="false">IF(OR(O13="",X13="",AE13=""),"",(O13+X13+AE13)*20)</f>
        <v>85</v>
      </c>
      <c r="AG13" s="76" t="str">
        <f aca="false">IF(AF13="","",IF(AF13&gt;=80,"STRONG BUY",IF(AF13&gt;=65,"BUY",IF(AF13&gt;=50,"WATCH LIST",IF(AF13&gt;=35,"AVOID","PASS")))))</f>
        <v>STRONG BUY</v>
      </c>
      <c r="AH13" s="76" t="str">
        <f aca="false">IF(N13="","",IF(N13&lt;3,"FAIL","OK"))</f>
        <v>OK</v>
      </c>
      <c r="AI13" s="76" t="str">
        <f aca="false">IF(COUNT(D13:L13)=0,"",IF(COUNTIF(D13:L13,1)&gt;0,"REVIEW","OK"))</f>
        <v>OK</v>
      </c>
      <c r="AJ13" s="76" t="str">
        <f aca="false">IF(COUNT(D13:L13)=0,"",IF(COUNTIF(D13:L13,"&lt;=2")&gt;=2,"AVOID","OK"))</f>
        <v>OK</v>
      </c>
      <c r="AK13" s="76" t="str">
        <f aca="false">IF(COUNTA(E13:M13)=0,"",IF(COUNTIF(E13:M13,"L")&gt;=2,"CAP AT BUY","OK"))</f>
        <v>OK</v>
      </c>
      <c r="AL13" s="78" t="s">
        <v>267</v>
      </c>
      <c r="AM13" s="69" t="s">
        <v>281</v>
      </c>
      <c r="AN13" s="69"/>
      <c r="AO13" s="76"/>
      <c r="AP13" s="69" t="str">
        <f aca="false">IF(OR(AN13="",AO13=""),"",IF(AN13&gt;AO13,"OK","LOW CONF"))</f>
        <v/>
      </c>
      <c r="AQ13" s="69"/>
      <c r="AR13" s="76"/>
      <c r="AS13" s="84" t="str">
        <f aca="false">IF(OR(AQ13="",AR13=""),"",IF(AQ13&lt;AR13,"Decreased",IF(AQ13&gt;AR13,"Increased","Flat")))</f>
        <v/>
      </c>
    </row>
    <row r="14" customFormat="false" ht="15" hidden="false" customHeight="true" outlineLevel="0" collapsed="false">
      <c r="A14" s="68" t="s">
        <v>95</v>
      </c>
      <c r="B14" s="69" t="s">
        <v>96</v>
      </c>
      <c r="C14" s="73" t="n">
        <v>46240</v>
      </c>
      <c r="D14" s="69" t="n">
        <v>3</v>
      </c>
      <c r="E14" s="69" t="s">
        <v>264</v>
      </c>
      <c r="F14" s="69" t="n">
        <v>3</v>
      </c>
      <c r="G14" s="69" t="s">
        <v>264</v>
      </c>
      <c r="H14" s="69" t="n">
        <v>5</v>
      </c>
      <c r="I14" s="69" t="s">
        <v>265</v>
      </c>
      <c r="J14" s="69" t="n">
        <v>4</v>
      </c>
      <c r="K14" s="69" t="s">
        <v>264</v>
      </c>
      <c r="L14" s="69" t="n">
        <v>3</v>
      </c>
      <c r="M14" s="69" t="s">
        <v>264</v>
      </c>
      <c r="N14" s="112" t="n">
        <f aca="false">IF(COUNT(D14,F14,H14,J14,L14)=0,"",(D14*0.2+F14*0.15+H14*0.15+J14*0.1+L14*0.1)/0.7)</f>
        <v>3.57142857142857</v>
      </c>
      <c r="O14" s="113" t="n">
        <f aca="false">IF(COUNT(D14,F14,H14,J14,L14)=0,"",D14*0.2+F14*0.15+H14*0.15+J14*0.1+L14*0.1)</f>
        <v>2.5</v>
      </c>
      <c r="P14" s="69" t="n">
        <v>4</v>
      </c>
      <c r="Q14" s="69" t="s">
        <v>264</v>
      </c>
      <c r="R14" s="69" t="n">
        <v>5</v>
      </c>
      <c r="S14" s="69" t="s">
        <v>265</v>
      </c>
      <c r="T14" s="69" t="n">
        <v>5</v>
      </c>
      <c r="U14" s="69" t="s">
        <v>265</v>
      </c>
      <c r="V14" s="69" t="n">
        <v>2</v>
      </c>
      <c r="W14" s="69" t="s">
        <v>264</v>
      </c>
      <c r="X14" s="113" t="n">
        <f aca="false">IF(COUNT(P14,R14,T14,V14)=0,"",P14*0.08+R14*0.06+T14*0.03+V14*0.08)</f>
        <v>0.93</v>
      </c>
      <c r="Y14" s="69" t="n">
        <v>5</v>
      </c>
      <c r="Z14" s="69" t="s">
        <v>264</v>
      </c>
      <c r="AA14" s="69" t="n">
        <v>5</v>
      </c>
      <c r="AB14" s="69" t="s">
        <v>265</v>
      </c>
      <c r="AC14" s="69" t="n">
        <v>3</v>
      </c>
      <c r="AD14" s="69" t="s">
        <v>266</v>
      </c>
      <c r="AE14" s="113" t="n">
        <f aca="false">IF(COUNT(Y14,AA14,AC14)=0,"",Y14*0.02+AA14*0.02+AC14*0.01)</f>
        <v>0.23</v>
      </c>
      <c r="AF14" s="97" t="n">
        <f aca="false">IF(OR(O14="",X14="",AE14=""),"",(O14+X14+AE14)*20)</f>
        <v>73.2</v>
      </c>
      <c r="AG14" s="76" t="str">
        <f aca="false">IF(AF14="","",IF(AF14&gt;=80,"STRONG BUY",IF(AF14&gt;=65,"BUY",IF(AF14&gt;=50,"WATCH LIST",IF(AF14&gt;=35,"AVOID","PASS")))))</f>
        <v>BUY</v>
      </c>
      <c r="AH14" s="76" t="str">
        <f aca="false">IF(N14="","",IF(N14&lt;3,"FAIL","OK"))</f>
        <v>OK</v>
      </c>
      <c r="AI14" s="76" t="str">
        <f aca="false">IF(COUNT(D14:L14)=0,"",IF(COUNTIF(D14:L14,1)&gt;0,"REVIEW","OK"))</f>
        <v>OK</v>
      </c>
      <c r="AJ14" s="76" t="str">
        <f aca="false">IF(COUNT(D14:L14)=0,"",IF(COUNTIF(D14:L14,"&lt;=2")&gt;=2,"AVOID","OK"))</f>
        <v>OK</v>
      </c>
      <c r="AK14" s="76" t="str">
        <f aca="false">IF(COUNTA(E14:M14)=0,"",IF(COUNTIF(E14:M14,"L")&gt;=2,"CAP AT BUY","OK"))</f>
        <v>OK</v>
      </c>
      <c r="AL14" s="78" t="s">
        <v>267</v>
      </c>
      <c r="AM14" s="69" t="s">
        <v>282</v>
      </c>
      <c r="AN14" s="69"/>
      <c r="AO14" s="76"/>
      <c r="AP14" s="69" t="str">
        <f aca="false">IF(OR(AN14="",AO14=""),"",IF(AN14&gt;AO14,"OK","LOW CONF"))</f>
        <v/>
      </c>
      <c r="AQ14" s="69"/>
      <c r="AR14" s="76"/>
      <c r="AS14" s="84" t="str">
        <f aca="false">IF(OR(AQ14="",AR14=""),"",IF(AQ14&lt;AR14,"Decreased",IF(AQ14&gt;AR14,"Increased","Flat")))</f>
        <v/>
      </c>
    </row>
    <row r="15" customFormat="false" ht="15" hidden="false" customHeight="true" outlineLevel="0" collapsed="false">
      <c r="A15" s="68" t="s">
        <v>97</v>
      </c>
      <c r="B15" s="69" t="s">
        <v>98</v>
      </c>
      <c r="C15" s="73" t="n">
        <v>46240</v>
      </c>
      <c r="D15" s="69" t="n">
        <v>3</v>
      </c>
      <c r="E15" s="69" t="s">
        <v>264</v>
      </c>
      <c r="F15" s="69" t="n">
        <v>4</v>
      </c>
      <c r="G15" s="69" t="s">
        <v>264</v>
      </c>
      <c r="H15" s="69" t="n">
        <v>4</v>
      </c>
      <c r="I15" s="69" t="s">
        <v>264</v>
      </c>
      <c r="J15" s="69" t="n">
        <v>5</v>
      </c>
      <c r="K15" s="69" t="s">
        <v>265</v>
      </c>
      <c r="L15" s="69" t="n">
        <v>5</v>
      </c>
      <c r="M15" s="69" t="s">
        <v>265</v>
      </c>
      <c r="N15" s="112" t="n">
        <f aca="false">IF(COUNT(D15,F15,H15,J15,L15)=0,"",(D15*0.2+F15*0.15+H15*0.15+J15*0.1+L15*0.1)/0.7)</f>
        <v>4</v>
      </c>
      <c r="O15" s="113" t="n">
        <f aca="false">IF(COUNT(D15,F15,H15,J15,L15)=0,"",D15*0.2+F15*0.15+H15*0.15+J15*0.1+L15*0.1)</f>
        <v>2.8</v>
      </c>
      <c r="P15" s="69" t="n">
        <v>3</v>
      </c>
      <c r="Q15" s="69" t="s">
        <v>264</v>
      </c>
      <c r="R15" s="69" t="n">
        <v>2</v>
      </c>
      <c r="S15" s="69" t="s">
        <v>264</v>
      </c>
      <c r="T15" s="69" t="n">
        <v>4</v>
      </c>
      <c r="U15" s="69" t="s">
        <v>265</v>
      </c>
      <c r="V15" s="69" t="n">
        <v>1</v>
      </c>
      <c r="W15" s="69" t="s">
        <v>265</v>
      </c>
      <c r="X15" s="113" t="n">
        <f aca="false">IF(COUNT(P15,R15,T15,V15)=0,"",P15*0.08+R15*0.06+T15*0.03+V15*0.08)</f>
        <v>0.56</v>
      </c>
      <c r="Y15" s="69" t="n">
        <v>4</v>
      </c>
      <c r="Z15" s="69" t="s">
        <v>264</v>
      </c>
      <c r="AA15" s="69" t="n">
        <v>3</v>
      </c>
      <c r="AB15" s="69" t="s">
        <v>264</v>
      </c>
      <c r="AC15" s="69" t="n">
        <v>2</v>
      </c>
      <c r="AD15" s="69" t="s">
        <v>264</v>
      </c>
      <c r="AE15" s="113" t="n">
        <f aca="false">IF(COUNT(Y15,AA15,AC15)=0,"",Y15*0.02+AA15*0.02+AC15*0.01)</f>
        <v>0.16</v>
      </c>
      <c r="AF15" s="97" t="n">
        <f aca="false">IF(OR(O15="",X15="",AE15=""),"",(O15+X15+AE15)*20)</f>
        <v>70.4</v>
      </c>
      <c r="AG15" s="76" t="str">
        <f aca="false">IF(AF15="","",IF(AF15&gt;=80,"STRONG BUY",IF(AF15&gt;=65,"BUY",IF(AF15&gt;=50,"WATCH LIST",IF(AF15&gt;=35,"AVOID","PASS")))))</f>
        <v>BUY</v>
      </c>
      <c r="AH15" s="76" t="str">
        <f aca="false">IF(N15="","",IF(N15&lt;3,"FAIL","OK"))</f>
        <v>OK</v>
      </c>
      <c r="AI15" s="76" t="str">
        <f aca="false">IF(COUNT(D15:L15)=0,"",IF(COUNTIF(D15:L15,1)&gt;0,"REVIEW","OK"))</f>
        <v>OK</v>
      </c>
      <c r="AJ15" s="76" t="str">
        <f aca="false">IF(COUNT(D15:L15)=0,"",IF(COUNTIF(D15:L15,"&lt;=2")&gt;=2,"AVOID","OK"))</f>
        <v>OK</v>
      </c>
      <c r="AK15" s="76" t="str">
        <f aca="false">IF(COUNTA(E15:M15)=0,"",IF(COUNTIF(E15:M15,"L")&gt;=2,"CAP AT BUY","OK"))</f>
        <v>OK</v>
      </c>
      <c r="AL15" s="78" t="s">
        <v>267</v>
      </c>
      <c r="AM15" s="69" t="s">
        <v>269</v>
      </c>
      <c r="AN15" s="69"/>
      <c r="AO15" s="76"/>
      <c r="AP15" s="69" t="str">
        <f aca="false">IF(OR(AN15="",AO15=""),"",IF(AN15&gt;AO15,"OK","LOW CONF"))</f>
        <v/>
      </c>
      <c r="AQ15" s="69"/>
      <c r="AR15" s="76"/>
      <c r="AS15" s="84" t="str">
        <f aca="false">IF(OR(AQ15="",AR15=""),"",IF(AQ15&lt;AR15,"Decreased",IF(AQ15&gt;AR15,"Increased","Flat")))</f>
        <v/>
      </c>
    </row>
    <row r="16" customFormat="false" ht="15" hidden="false" customHeight="true" outlineLevel="0" collapsed="false">
      <c r="A16" s="68" t="s">
        <v>99</v>
      </c>
      <c r="B16" s="69" t="s">
        <v>100</v>
      </c>
      <c r="C16" s="73" t="n">
        <v>46240</v>
      </c>
      <c r="D16" s="69" t="n">
        <v>2</v>
      </c>
      <c r="E16" s="69" t="s">
        <v>264</v>
      </c>
      <c r="F16" s="69" t="n">
        <v>3</v>
      </c>
      <c r="G16" s="69" t="s">
        <v>264</v>
      </c>
      <c r="H16" s="69" t="n">
        <v>5</v>
      </c>
      <c r="I16" s="69" t="s">
        <v>265</v>
      </c>
      <c r="J16" s="69" t="n">
        <v>3</v>
      </c>
      <c r="K16" s="69" t="s">
        <v>264</v>
      </c>
      <c r="L16" s="69" t="n">
        <v>5</v>
      </c>
      <c r="M16" s="69" t="s">
        <v>265</v>
      </c>
      <c r="N16" s="112" t="n">
        <f aca="false">IF(COUNT(D16,F16,H16,J16,L16)=0,"",(D16*0.2+F16*0.15+H16*0.15+J16*0.1+L16*0.1)/0.7)</f>
        <v>3.42857142857143</v>
      </c>
      <c r="O16" s="113" t="n">
        <f aca="false">IF(COUNT(D16,F16,H16,J16,L16)=0,"",D16*0.2+F16*0.15+H16*0.15+J16*0.1+L16*0.1)</f>
        <v>2.4</v>
      </c>
      <c r="P16" s="69" t="n">
        <v>4</v>
      </c>
      <c r="Q16" s="69" t="s">
        <v>265</v>
      </c>
      <c r="R16" s="69" t="n">
        <v>5</v>
      </c>
      <c r="S16" s="69" t="s">
        <v>265</v>
      </c>
      <c r="T16" s="69" t="n">
        <v>3</v>
      </c>
      <c r="U16" s="69" t="s">
        <v>264</v>
      </c>
      <c r="V16" s="69" t="n">
        <v>2</v>
      </c>
      <c r="W16" s="69" t="s">
        <v>264</v>
      </c>
      <c r="X16" s="113" t="n">
        <f aca="false">IF(COUNT(P16,R16,T16,V16)=0,"",P16*0.08+R16*0.06+T16*0.03+V16*0.08)</f>
        <v>0.87</v>
      </c>
      <c r="Y16" s="69" t="n">
        <v>2</v>
      </c>
      <c r="Z16" s="69" t="s">
        <v>264</v>
      </c>
      <c r="AA16" s="69" t="n">
        <v>5</v>
      </c>
      <c r="AB16" s="69" t="s">
        <v>265</v>
      </c>
      <c r="AC16" s="69" t="n">
        <v>2</v>
      </c>
      <c r="AD16" s="69" t="s">
        <v>266</v>
      </c>
      <c r="AE16" s="113" t="n">
        <f aca="false">IF(COUNT(Y16,AA16,AC16)=0,"",Y16*0.02+AA16*0.02+AC16*0.01)</f>
        <v>0.16</v>
      </c>
      <c r="AF16" s="97" t="n">
        <f aca="false">IF(OR(O16="",X16="",AE16=""),"",(O16+X16+AE16)*20)</f>
        <v>68.6</v>
      </c>
      <c r="AG16" s="76" t="str">
        <f aca="false">IF(AF16="","",IF(AF16&gt;=80,"STRONG BUY",IF(AF16&gt;=65,"BUY",IF(AF16&gt;=50,"WATCH LIST",IF(AF16&gt;=35,"AVOID","PASS")))))</f>
        <v>BUY</v>
      </c>
      <c r="AH16" s="76" t="str">
        <f aca="false">IF(N16="","",IF(N16&lt;3,"FAIL","OK"))</f>
        <v>OK</v>
      </c>
      <c r="AI16" s="76" t="str">
        <f aca="false">IF(COUNT(D16:L16)=0,"",IF(COUNTIF(D16:L16,1)&gt;0,"REVIEW","OK"))</f>
        <v>OK</v>
      </c>
      <c r="AJ16" s="76" t="str">
        <f aca="false">IF(COUNT(D16:L16)=0,"",IF(COUNTIF(D16:L16,"&lt;=2")&gt;=2,"AVOID","OK"))</f>
        <v>OK</v>
      </c>
      <c r="AK16" s="76" t="str">
        <f aca="false">IF(COUNTA(E16:M16)=0,"",IF(COUNTIF(E16:M16,"L")&gt;=2,"CAP AT BUY","OK"))</f>
        <v>OK</v>
      </c>
      <c r="AL16" s="78" t="s">
        <v>267</v>
      </c>
      <c r="AM16" s="69" t="s">
        <v>282</v>
      </c>
      <c r="AN16" s="69"/>
      <c r="AO16" s="76"/>
      <c r="AP16" s="69" t="str">
        <f aca="false">IF(OR(AN16="",AO16=""),"",IF(AN16&gt;AO16,"OK","LOW CONF"))</f>
        <v/>
      </c>
      <c r="AQ16" s="69"/>
      <c r="AR16" s="76"/>
      <c r="AS16" s="84" t="str">
        <f aca="false">IF(OR(AQ16="",AR16=""),"",IF(AQ16&lt;AR16,"Decreased",IF(AQ16&gt;AR16,"Increased","Flat")))</f>
        <v/>
      </c>
    </row>
    <row r="17" customFormat="false" ht="15" hidden="false" customHeight="true" outlineLevel="0" collapsed="false">
      <c r="A17" s="68" t="s">
        <v>107</v>
      </c>
      <c r="B17" s="69" t="s">
        <v>283</v>
      </c>
      <c r="C17" s="73" t="n">
        <v>46240</v>
      </c>
      <c r="D17" s="69" t="n">
        <v>3</v>
      </c>
      <c r="E17" s="69" t="s">
        <v>264</v>
      </c>
      <c r="F17" s="69" t="n">
        <v>5</v>
      </c>
      <c r="G17" s="69" t="s">
        <v>265</v>
      </c>
      <c r="H17" s="69" t="n">
        <v>5</v>
      </c>
      <c r="I17" s="69" t="s">
        <v>265</v>
      </c>
      <c r="J17" s="69" t="n">
        <v>4</v>
      </c>
      <c r="K17" s="69" t="s">
        <v>264</v>
      </c>
      <c r="L17" s="69" t="n">
        <v>3</v>
      </c>
      <c r="M17" s="69" t="s">
        <v>264</v>
      </c>
      <c r="N17" s="112" t="n">
        <f aca="false">IF(COUNT(D17,F17,H17,J17,L17)=0,"",(D17*0.2+F17*0.15+H17*0.15+J17*0.1+L17*0.1)/0.7)</f>
        <v>4</v>
      </c>
      <c r="O17" s="113" t="n">
        <f aca="false">IF(COUNT(D17,F17,H17,J17,L17)=0,"",D17*0.2+F17*0.15+H17*0.15+J17*0.1+L17*0.1)</f>
        <v>2.8</v>
      </c>
      <c r="P17" s="69" t="n">
        <v>4</v>
      </c>
      <c r="Q17" s="69" t="s">
        <v>265</v>
      </c>
      <c r="R17" s="69" t="n">
        <v>5</v>
      </c>
      <c r="S17" s="69" t="s">
        <v>265</v>
      </c>
      <c r="T17" s="69" t="n">
        <v>4</v>
      </c>
      <c r="U17" s="69" t="s">
        <v>264</v>
      </c>
      <c r="V17" s="69" t="n">
        <v>4</v>
      </c>
      <c r="W17" s="69" t="s">
        <v>264</v>
      </c>
      <c r="X17" s="113" t="n">
        <f aca="false">IF(COUNT(P17,R17,T17,V17)=0,"",P17*0.08+R17*0.06+T17*0.03+V17*0.08)</f>
        <v>1.06</v>
      </c>
      <c r="Y17" s="69" t="n">
        <v>3</v>
      </c>
      <c r="Z17" s="69" t="s">
        <v>264</v>
      </c>
      <c r="AA17" s="69" t="n">
        <v>5</v>
      </c>
      <c r="AB17" s="69" t="s">
        <v>265</v>
      </c>
      <c r="AC17" s="69" t="n">
        <v>3</v>
      </c>
      <c r="AD17" s="69" t="s">
        <v>266</v>
      </c>
      <c r="AE17" s="113" t="n">
        <f aca="false">IF(COUNT(Y17,AA17,AC17)=0,"",Y17*0.02+AA17*0.02+AC17*0.01)</f>
        <v>0.19</v>
      </c>
      <c r="AF17" s="97" t="n">
        <f aca="false">IF(OR(O17="",X17="",AE17=""),"",(O17+X17+AE17)*20)</f>
        <v>81</v>
      </c>
      <c r="AG17" s="76" t="str">
        <f aca="false">IF(AF17="","",IF(AF17&gt;=80,"STRONG BUY",IF(AF17&gt;=65,"BUY",IF(AF17&gt;=50,"WATCH LIST",IF(AF17&gt;=35,"AVOID","PASS")))))</f>
        <v>STRONG BUY</v>
      </c>
      <c r="AH17" s="76" t="str">
        <f aca="false">IF(N17="","",IF(N17&lt;3,"FAIL","OK"))</f>
        <v>OK</v>
      </c>
      <c r="AI17" s="76" t="str">
        <f aca="false">IF(COUNT(D17:L17)=0,"",IF(COUNTIF(D17:L17,1)&gt;0,"REVIEW","OK"))</f>
        <v>OK</v>
      </c>
      <c r="AJ17" s="76" t="str">
        <f aca="false">IF(COUNT(D17:L17)=0,"",IF(COUNTIF(D17:L17,"&lt;=2")&gt;=2,"AVOID","OK"))</f>
        <v>OK</v>
      </c>
      <c r="AK17" s="76" t="str">
        <f aca="false">IF(COUNTA(E17:M17)=0,"",IF(COUNTIF(E17:M17,"L")&gt;=2,"CAP AT BUY","OK"))</f>
        <v>OK</v>
      </c>
      <c r="AL17" s="78" t="s">
        <v>267</v>
      </c>
      <c r="AM17" s="69" t="s">
        <v>268</v>
      </c>
      <c r="AN17" s="69"/>
      <c r="AO17" s="76"/>
      <c r="AP17" s="69" t="str">
        <f aca="false">IF(OR(AN17="",AO17=""),"",IF(AN17&gt;AO17,"OK","LOW CONF"))</f>
        <v/>
      </c>
      <c r="AQ17" s="69"/>
      <c r="AR17" s="76"/>
      <c r="AS17" s="84" t="str">
        <f aca="false">IF(OR(AQ17="",AR17=""),"",IF(AQ17&lt;AR17,"Decreased",IF(AQ17&gt;AR17,"Increased","Flat")))</f>
        <v/>
      </c>
    </row>
    <row r="18" customFormat="false" ht="15" hidden="false" customHeight="true" outlineLevel="0" collapsed="false">
      <c r="A18" s="68" t="s">
        <v>109</v>
      </c>
      <c r="B18" s="69" t="s">
        <v>110</v>
      </c>
      <c r="C18" s="73" t="n">
        <v>46240</v>
      </c>
      <c r="D18" s="69" t="n">
        <v>4</v>
      </c>
      <c r="E18" s="69" t="s">
        <v>265</v>
      </c>
      <c r="F18" s="69" t="n">
        <v>5</v>
      </c>
      <c r="G18" s="69" t="s">
        <v>265</v>
      </c>
      <c r="H18" s="69" t="n">
        <v>4</v>
      </c>
      <c r="I18" s="69" t="s">
        <v>264</v>
      </c>
      <c r="J18" s="69" t="n">
        <v>4</v>
      </c>
      <c r="K18" s="69" t="s">
        <v>264</v>
      </c>
      <c r="L18" s="69" t="n">
        <v>5</v>
      </c>
      <c r="M18" s="69" t="s">
        <v>265</v>
      </c>
      <c r="N18" s="112" t="n">
        <f aca="false">IF(COUNT(D18,F18,H18,J18,L18)=0,"",(D18*0.2+F18*0.15+H18*0.15+J18*0.1+L18*0.1)/0.7)</f>
        <v>4.35714285714286</v>
      </c>
      <c r="O18" s="113" t="n">
        <f aca="false">IF(COUNT(D18,F18,H18,J18,L18)=0,"",D18*0.2+F18*0.15+H18*0.15+J18*0.1+L18*0.1)</f>
        <v>3.05</v>
      </c>
      <c r="P18" s="69" t="n">
        <v>4</v>
      </c>
      <c r="Q18" s="69" t="s">
        <v>264</v>
      </c>
      <c r="R18" s="69" t="n">
        <v>5</v>
      </c>
      <c r="S18" s="69" t="s">
        <v>265</v>
      </c>
      <c r="T18" s="69" t="n">
        <v>4</v>
      </c>
      <c r="U18" s="69" t="s">
        <v>264</v>
      </c>
      <c r="V18" s="69" t="n">
        <v>2</v>
      </c>
      <c r="W18" s="69" t="s">
        <v>264</v>
      </c>
      <c r="X18" s="113" t="n">
        <f aca="false">IF(COUNT(P18,R18,T18,V18)=0,"",P18*0.08+R18*0.06+T18*0.03+V18*0.08)</f>
        <v>0.9</v>
      </c>
      <c r="Y18" s="69" t="n">
        <v>4</v>
      </c>
      <c r="Z18" s="69" t="s">
        <v>264</v>
      </c>
      <c r="AA18" s="69" t="n">
        <v>4</v>
      </c>
      <c r="AB18" s="69" t="s">
        <v>264</v>
      </c>
      <c r="AC18" s="69" t="n">
        <v>3</v>
      </c>
      <c r="AD18" s="69" t="s">
        <v>266</v>
      </c>
      <c r="AE18" s="113" t="n">
        <f aca="false">IF(COUNT(Y18,AA18,AC18)=0,"",Y18*0.02+AA18*0.02+AC18*0.01)</f>
        <v>0.19</v>
      </c>
      <c r="AF18" s="97" t="n">
        <f aca="false">IF(OR(O18="",X18="",AE18=""),"",(O18+X18+AE18)*20)</f>
        <v>82.8</v>
      </c>
      <c r="AG18" s="76" t="str">
        <f aca="false">IF(AF18="","",IF(AF18&gt;=80,"STRONG BUY",IF(AF18&gt;=65,"BUY",IF(AF18&gt;=50,"WATCH LIST",IF(AF18&gt;=35,"AVOID","PASS")))))</f>
        <v>STRONG BUY</v>
      </c>
      <c r="AH18" s="76" t="str">
        <f aca="false">IF(N18="","",IF(N18&lt;3,"FAIL","OK"))</f>
        <v>OK</v>
      </c>
      <c r="AI18" s="76" t="str">
        <f aca="false">IF(COUNT(D18:L18)=0,"",IF(COUNTIF(D18:L18,1)&gt;0,"REVIEW","OK"))</f>
        <v>OK</v>
      </c>
      <c r="AJ18" s="76" t="str">
        <f aca="false">IF(COUNT(D18:L18)=0,"",IF(COUNTIF(D18:L18,"&lt;=2")&gt;=2,"AVOID","OK"))</f>
        <v>OK</v>
      </c>
      <c r="AK18" s="76" t="str">
        <f aca="false">IF(COUNTA(E18:M18)=0,"",IF(COUNTIF(E18:M18,"L")&gt;=2,"CAP AT BUY","OK"))</f>
        <v>OK</v>
      </c>
      <c r="AL18" s="78" t="s">
        <v>284</v>
      </c>
      <c r="AM18" s="69" t="s">
        <v>285</v>
      </c>
      <c r="AN18" s="69"/>
      <c r="AO18" s="76"/>
      <c r="AP18" s="69" t="str">
        <f aca="false">IF(OR(AN18="",AO18=""),"",IF(AN18&gt;AO18,"OK","LOW CONF"))</f>
        <v/>
      </c>
      <c r="AQ18" s="69"/>
      <c r="AR18" s="76"/>
      <c r="AS18" s="84" t="str">
        <f aca="false">IF(OR(AQ18="",AR18=""),"",IF(AQ18&lt;AR18,"Decreased",IF(AQ18&gt;AR18,"Increased","Flat")))</f>
        <v/>
      </c>
    </row>
    <row r="19" customFormat="false" ht="15" hidden="false" customHeight="true" outlineLevel="0" collapsed="false">
      <c r="A19" s="68" t="s">
        <v>190</v>
      </c>
      <c r="B19" s="69" t="s">
        <v>286</v>
      </c>
      <c r="C19" s="73" t="n">
        <v>46245</v>
      </c>
      <c r="D19" s="69" t="n">
        <v>3</v>
      </c>
      <c r="E19" s="69" t="s">
        <v>264</v>
      </c>
      <c r="F19" s="69" t="n">
        <v>5</v>
      </c>
      <c r="G19" s="69" t="s">
        <v>265</v>
      </c>
      <c r="H19" s="69" t="n">
        <v>5</v>
      </c>
      <c r="I19" s="69" t="s">
        <v>265</v>
      </c>
      <c r="J19" s="69" t="n">
        <v>4</v>
      </c>
      <c r="K19" s="69" t="s">
        <v>264</v>
      </c>
      <c r="L19" s="69" t="n">
        <v>4</v>
      </c>
      <c r="M19" s="69" t="s">
        <v>265</v>
      </c>
      <c r="N19" s="112" t="n">
        <f aca="false">IF(COUNT(D19,F19,H19,J19,L19)=0,"",(D19*0.2+F19*0.15+H19*0.15+J19*0.1+L19*0.1)/0.7)</f>
        <v>4.14285714285714</v>
      </c>
      <c r="O19" s="113" t="n">
        <f aca="false">IF(COUNT(D19,F19,H19,J19,L19)=0,"",D19*0.2+F19*0.15+H19*0.15+J19*0.1+L19*0.1)</f>
        <v>2.9</v>
      </c>
      <c r="P19" s="69" t="n">
        <v>3</v>
      </c>
      <c r="Q19" s="69" t="s">
        <v>266</v>
      </c>
      <c r="R19" s="69" t="n">
        <v>5</v>
      </c>
      <c r="S19" s="69" t="s">
        <v>265</v>
      </c>
      <c r="T19" s="69" t="n">
        <v>5</v>
      </c>
      <c r="U19" s="69" t="s">
        <v>265</v>
      </c>
      <c r="V19" s="69" t="n">
        <v>1</v>
      </c>
      <c r="W19" s="69" t="s">
        <v>265</v>
      </c>
      <c r="X19" s="113" t="n">
        <f aca="false">IF(COUNT(P19,R19,T19,V19)=0,"",P19*0.08+R19*0.06+T19*0.03+V19*0.08)</f>
        <v>0.77</v>
      </c>
      <c r="Y19" s="69" t="n">
        <v>4</v>
      </c>
      <c r="Z19" s="69" t="s">
        <v>264</v>
      </c>
      <c r="AA19" s="69" t="n">
        <v>4</v>
      </c>
      <c r="AB19" s="69" t="s">
        <v>264</v>
      </c>
      <c r="AC19" s="69" t="n">
        <v>4</v>
      </c>
      <c r="AD19" s="69" t="s">
        <v>264</v>
      </c>
      <c r="AE19" s="113" t="n">
        <f aca="false">IF(COUNT(Y19,AA19,AC19)=0,"",Y19*0.02+AA19*0.02+AC19*0.01)</f>
        <v>0.2</v>
      </c>
      <c r="AF19" s="97" t="n">
        <f aca="false">IF(OR(O19="",X19="",AE19=""),"",(O19+X19+AE19)*20)</f>
        <v>77.4</v>
      </c>
      <c r="AG19" s="76" t="str">
        <f aca="false">IF(AF19="","",IF(AF19&gt;=80,"STRONG BUY",IF(AF19&gt;=65,"BUY",IF(AF19&gt;=50,"WATCH LIST",IF(AF19&gt;=35,"AVOID","PASS")))))</f>
        <v>BUY</v>
      </c>
      <c r="AH19" s="76" t="str">
        <f aca="false">IF(N19="","",IF(N19&lt;3,"FAIL","OK"))</f>
        <v>OK</v>
      </c>
      <c r="AI19" s="76" t="str">
        <f aca="false">IF(COUNT(D19:L19)=0,"",IF(COUNTIF(D19:L19,1)&gt;0,"REVIEW","OK"))</f>
        <v>OK</v>
      </c>
      <c r="AJ19" s="76" t="str">
        <f aca="false">IF(COUNT(D19:L19)=0,"",IF(COUNTIF(D19:L19,"&lt;=2")&gt;=2,"AVOID","OK"))</f>
        <v>OK</v>
      </c>
      <c r="AK19" s="76" t="str">
        <f aca="false">IF(COUNTA(E19:M19)=0,"",IF(COUNTIF(E19:M19,"L")&gt;=2,"CAP AT BUY","OK"))</f>
        <v>OK</v>
      </c>
      <c r="AL19" s="78" t="s">
        <v>275</v>
      </c>
      <c r="AM19" s="69" t="s">
        <v>287</v>
      </c>
      <c r="AN19" s="69"/>
      <c r="AO19" s="76"/>
      <c r="AP19" s="69" t="str">
        <f aca="false">IF(OR(AN19="",AO19=""),"",IF(AN19&gt;AO19,"OK","LOW CONF"))</f>
        <v/>
      </c>
      <c r="AQ19" s="69"/>
      <c r="AR19" s="76"/>
      <c r="AS19" s="84" t="str">
        <f aca="false">IF(OR(AQ19="",AR19=""),"",IF(AQ19&lt;AR19,"Decreased",IF(AQ19&gt;AR19,"Increased","Flat")))</f>
        <v/>
      </c>
    </row>
    <row r="20" customFormat="false" ht="15" hidden="false" customHeight="true" outlineLevel="0" collapsed="false">
      <c r="A20" s="68" t="s">
        <v>211</v>
      </c>
      <c r="B20" s="69" t="s">
        <v>288</v>
      </c>
      <c r="C20" s="73" t="n">
        <v>46245</v>
      </c>
      <c r="D20" s="69" t="n">
        <v>4</v>
      </c>
      <c r="E20" s="69" t="s">
        <v>265</v>
      </c>
      <c r="F20" s="69" t="n">
        <v>5</v>
      </c>
      <c r="G20" s="69" t="s">
        <v>265</v>
      </c>
      <c r="H20" s="69" t="n">
        <v>5</v>
      </c>
      <c r="I20" s="69" t="s">
        <v>265</v>
      </c>
      <c r="J20" s="69" t="n">
        <v>4</v>
      </c>
      <c r="K20" s="69" t="s">
        <v>264</v>
      </c>
      <c r="L20" s="69" t="n">
        <v>5</v>
      </c>
      <c r="M20" s="69" t="s">
        <v>265</v>
      </c>
      <c r="N20" s="112" t="n">
        <f aca="false">IF(COUNT(D20,F20,H20,J20,L20)=0,"",(D20*0.2+F20*0.15+H20*0.15+J20*0.1+L20*0.1)/0.7)</f>
        <v>4.57142857142857</v>
      </c>
      <c r="O20" s="113" t="n">
        <f aca="false">IF(COUNT(D20,F20,H20,J20,L20)=0,"",D20*0.2+F20*0.15+H20*0.15+J20*0.1+L20*0.1)</f>
        <v>3.2</v>
      </c>
      <c r="P20" s="69" t="n">
        <v>4</v>
      </c>
      <c r="Q20" s="69" t="s">
        <v>264</v>
      </c>
      <c r="R20" s="69" t="n">
        <v>5</v>
      </c>
      <c r="S20" s="69" t="s">
        <v>265</v>
      </c>
      <c r="T20" s="69" t="n">
        <v>3</v>
      </c>
      <c r="U20" s="69" t="s">
        <v>264</v>
      </c>
      <c r="V20" s="69" t="n">
        <v>3</v>
      </c>
      <c r="W20" s="69" t="s">
        <v>264</v>
      </c>
      <c r="X20" s="113" t="n">
        <f aca="false">IF(COUNT(P20,R20,T20,V20)=0,"",P20*0.08+R20*0.06+T20*0.03+V20*0.08)</f>
        <v>0.95</v>
      </c>
      <c r="Y20" s="69" t="n">
        <v>3</v>
      </c>
      <c r="Z20" s="69" t="s">
        <v>264</v>
      </c>
      <c r="AA20" s="69" t="n">
        <v>4</v>
      </c>
      <c r="AB20" s="69" t="s">
        <v>264</v>
      </c>
      <c r="AC20" s="69" t="n">
        <v>3</v>
      </c>
      <c r="AD20" s="69" t="s">
        <v>266</v>
      </c>
      <c r="AE20" s="113" t="n">
        <f aca="false">IF(COUNT(Y20,AA20,AC20)=0,"",Y20*0.02+AA20*0.02+AC20*0.01)</f>
        <v>0.17</v>
      </c>
      <c r="AF20" s="97" t="n">
        <f aca="false">IF(OR(O20="",X20="",AE20=""),"",(O20+X20+AE20)*20)</f>
        <v>86.4</v>
      </c>
      <c r="AG20" s="76" t="str">
        <f aca="false">IF(AF20="","",IF(AF20&gt;=80,"STRONG BUY",IF(AF20&gt;=65,"BUY",IF(AF20&gt;=50,"WATCH LIST",IF(AF20&gt;=35,"AVOID","PASS")))))</f>
        <v>STRONG BUY</v>
      </c>
      <c r="AH20" s="76" t="str">
        <f aca="false">IF(N20="","",IF(N20&lt;3,"FAIL","OK"))</f>
        <v>OK</v>
      </c>
      <c r="AI20" s="76" t="str">
        <f aca="false">IF(COUNT(D20:L20)=0,"",IF(COUNTIF(D20:L20,1)&gt;0,"REVIEW","OK"))</f>
        <v>OK</v>
      </c>
      <c r="AJ20" s="76" t="str">
        <f aca="false">IF(COUNT(D20:L20)=0,"",IF(COUNTIF(D20:L20,"&lt;=2")&gt;=2,"AVOID","OK"))</f>
        <v>OK</v>
      </c>
      <c r="AK20" s="76" t="str">
        <f aca="false">IF(COUNTA(E20:M20)=0,"",IF(COUNTIF(E20:M20,"L")&gt;=2,"CAP AT BUY","OK"))</f>
        <v>OK</v>
      </c>
      <c r="AL20" s="78" t="s">
        <v>289</v>
      </c>
      <c r="AM20" s="69" t="s">
        <v>290</v>
      </c>
      <c r="AN20" s="69"/>
      <c r="AO20" s="76"/>
      <c r="AP20" s="69" t="str">
        <f aca="false">IF(OR(AN20="",AO20=""),"",IF(AN20&gt;AO20,"OK","LOW CONF"))</f>
        <v/>
      </c>
      <c r="AQ20" s="69"/>
      <c r="AR20" s="76"/>
      <c r="AS20" s="84" t="str">
        <f aca="false">IF(OR(AQ20="",AR20=""),"",IF(AQ20&lt;AR20,"Decreased",IF(AQ20&gt;AR20,"Increased","Flat")))</f>
        <v/>
      </c>
    </row>
    <row r="21" customFormat="false" ht="15" hidden="true" customHeight="true" outlineLevel="1" collapsed="false">
      <c r="A21" s="68" t="s">
        <v>204</v>
      </c>
      <c r="B21" s="69" t="s">
        <v>291</v>
      </c>
      <c r="C21" s="73" t="n">
        <v>46245</v>
      </c>
      <c r="D21" s="69" t="n">
        <v>1</v>
      </c>
      <c r="E21" s="69" t="s">
        <v>265</v>
      </c>
      <c r="F21" s="69" t="n">
        <v>3</v>
      </c>
      <c r="G21" s="69" t="s">
        <v>264</v>
      </c>
      <c r="H21" s="69" t="n">
        <v>4</v>
      </c>
      <c r="I21" s="69" t="s">
        <v>264</v>
      </c>
      <c r="J21" s="69" t="n">
        <v>4</v>
      </c>
      <c r="K21" s="69" t="s">
        <v>264</v>
      </c>
      <c r="L21" s="69" t="n">
        <v>1</v>
      </c>
      <c r="M21" s="69" t="s">
        <v>265</v>
      </c>
      <c r="N21" s="112" t="n">
        <f aca="false">IF(COUNT(D21,F21,H21,J21,L21)=0,"",(D21*0.2+F21*0.15+H21*0.15+J21*0.1+L21*0.1)/0.7)</f>
        <v>2.5</v>
      </c>
      <c r="O21" s="113" t="n">
        <f aca="false">IF(COUNT(D21,F21,H21,J21,L21)=0,"",D21*0.2+F21*0.15+H21*0.15+J21*0.1+L21*0.1)</f>
        <v>1.75</v>
      </c>
      <c r="P21" s="69"/>
      <c r="Q21" s="69"/>
      <c r="R21" s="69"/>
      <c r="S21" s="69"/>
      <c r="T21" s="69"/>
      <c r="U21" s="69"/>
      <c r="V21" s="69"/>
      <c r="W21" s="69"/>
      <c r="X21" s="113" t="str">
        <f aca="false">IF(COUNT(P21,R21,T21,V21)=0,"",P21*0.08+R21*0.06+T21*0.03+V21*0.08)</f>
        <v/>
      </c>
      <c r="Y21" s="69"/>
      <c r="Z21" s="69"/>
      <c r="AA21" s="69"/>
      <c r="AB21" s="69"/>
      <c r="AC21" s="69"/>
      <c r="AD21" s="69"/>
      <c r="AE21" s="113" t="str">
        <f aca="false">IF(COUNT(Y21,AA21,AC21)=0,"",Y21*0.02+AA21*0.02+AC21*0.01)</f>
        <v/>
      </c>
      <c r="AF21" s="97" t="str">
        <f aca="false">IF(OR(O21="",X21="",AE21=""),"",(O21+X21+AE21)*20)</f>
        <v/>
      </c>
      <c r="AG21" s="76" t="str">
        <f aca="false">IF(AF21="","",IF(AF21&gt;=80,"STRONG BUY",IF(AF21&gt;=65,"BUY",IF(AF21&gt;=50,"WATCH LIST",IF(AF21&gt;=35,"AVOID","PASS")))))</f>
        <v/>
      </c>
      <c r="AH21" s="76" t="str">
        <f aca="false">IF(N21="","",IF(N21&lt;3,"FAIL","OK"))</f>
        <v>FAIL</v>
      </c>
      <c r="AI21" s="76" t="str">
        <f aca="false">IF(COUNT(D21:L21)=0,"",IF(COUNTIF(D21:L21,1)&gt;0,"REVIEW","OK"))</f>
        <v>REVIEW</v>
      </c>
      <c r="AJ21" s="76" t="str">
        <f aca="false">IF(COUNT(D21:L21)=0,"",IF(COUNTIF(D21:L21,"&lt;=2")&gt;=2,"AVOID","OK"))</f>
        <v>AVOID</v>
      </c>
      <c r="AK21" s="76" t="str">
        <f aca="false">IF(COUNTA(E21:M21)=0,"",IF(COUNTIF(E21:M21,"L")&gt;=2,"CAP AT BUY","OK"))</f>
        <v>OK</v>
      </c>
      <c r="AL21" s="78" t="s">
        <v>292</v>
      </c>
      <c r="AM21" s="69" t="s">
        <v>293</v>
      </c>
      <c r="AN21" s="69"/>
      <c r="AO21" s="76"/>
      <c r="AP21" s="69" t="str">
        <f aca="false">IF(OR(AN21="",AO21=""),"",IF(AN21&gt;AO21,"OK","LOW CONF"))</f>
        <v/>
      </c>
      <c r="AQ21" s="69"/>
      <c r="AR21" s="76"/>
      <c r="AS21" s="84" t="str">
        <f aca="false">IF(OR(AQ21="",AR21=""),"",IF(AQ21&lt;AR21,"Decreased",IF(AQ21&gt;AR21,"Increased","Flat")))</f>
        <v/>
      </c>
    </row>
    <row r="22" customFormat="false" ht="15" hidden="true" customHeight="true" outlineLevel="1" collapsed="false">
      <c r="A22" s="68" t="s">
        <v>191</v>
      </c>
      <c r="B22" s="69" t="s">
        <v>294</v>
      </c>
      <c r="C22" s="73" t="n">
        <v>46245</v>
      </c>
      <c r="D22" s="69" t="n">
        <v>1</v>
      </c>
      <c r="E22" s="69" t="s">
        <v>265</v>
      </c>
      <c r="F22" s="69" t="n">
        <v>1</v>
      </c>
      <c r="G22" s="69" t="s">
        <v>265</v>
      </c>
      <c r="H22" s="69" t="n">
        <v>2</v>
      </c>
      <c r="I22" s="69" t="s">
        <v>264</v>
      </c>
      <c r="J22" s="69" t="n">
        <v>1</v>
      </c>
      <c r="K22" s="69" t="s">
        <v>265</v>
      </c>
      <c r="L22" s="69" t="n">
        <v>1</v>
      </c>
      <c r="M22" s="69" t="s">
        <v>265</v>
      </c>
      <c r="N22" s="112" t="n">
        <f aca="false">IF(COUNT(D22,F22,H22,J22,L22)=0,"",(D22*0.2+F22*0.15+H22*0.15+J22*0.1+L22*0.1)/0.7)</f>
        <v>1.21428571428571</v>
      </c>
      <c r="O22" s="113" t="n">
        <f aca="false">IF(COUNT(D22,F22,H22,J22,L22)=0,"",D22*0.2+F22*0.15+H22*0.15+J22*0.1+L22*0.1)</f>
        <v>0.85</v>
      </c>
      <c r="P22" s="69"/>
      <c r="Q22" s="69"/>
      <c r="R22" s="69"/>
      <c r="S22" s="69"/>
      <c r="T22" s="69"/>
      <c r="U22" s="69"/>
      <c r="V22" s="69"/>
      <c r="W22" s="69"/>
      <c r="X22" s="113" t="str">
        <f aca="false">IF(COUNT(P22,R22,T22,V22)=0,"",P22*0.08+R22*0.06+T22*0.03+V22*0.08)</f>
        <v/>
      </c>
      <c r="Y22" s="69"/>
      <c r="Z22" s="69"/>
      <c r="AA22" s="69"/>
      <c r="AB22" s="69"/>
      <c r="AC22" s="69"/>
      <c r="AD22" s="69"/>
      <c r="AE22" s="113" t="str">
        <f aca="false">IF(COUNT(Y22,AA22,AC22)=0,"",Y22*0.02+AA22*0.02+AC22*0.01)</f>
        <v/>
      </c>
      <c r="AF22" s="97" t="str">
        <f aca="false">IF(OR(O22="",X22="",AE22=""),"",(O22+X22+AE22)*20)</f>
        <v/>
      </c>
      <c r="AG22" s="76" t="str">
        <f aca="false">IF(AF22="","",IF(AF22&gt;=80,"STRONG BUY",IF(AF22&gt;=65,"BUY",IF(AF22&gt;=50,"WATCH LIST",IF(AF22&gt;=35,"AVOID","PASS")))))</f>
        <v/>
      </c>
      <c r="AH22" s="76" t="str">
        <f aca="false">IF(N22="","",IF(N22&lt;3,"FAIL","OK"))</f>
        <v>FAIL</v>
      </c>
      <c r="AI22" s="76" t="str">
        <f aca="false">IF(COUNT(D22:L22)=0,"",IF(COUNTIF(D22:L22,1)&gt;0,"REVIEW","OK"))</f>
        <v>REVIEW</v>
      </c>
      <c r="AJ22" s="76" t="str">
        <f aca="false">IF(COUNT(D22:L22)=0,"",IF(COUNTIF(D22:L22,"&lt;=2")&gt;=2,"AVOID","OK"))</f>
        <v>AVOID</v>
      </c>
      <c r="AK22" s="76" t="str">
        <f aca="false">IF(COUNTA(E22:M22)=0,"",IF(COUNTIF(E22:M22,"L")&gt;=2,"CAP AT BUY","OK"))</f>
        <v>OK</v>
      </c>
      <c r="AL22" s="78" t="s">
        <v>295</v>
      </c>
      <c r="AM22" s="69" t="s">
        <v>296</v>
      </c>
      <c r="AN22" s="69"/>
      <c r="AO22" s="76"/>
      <c r="AP22" s="69" t="str">
        <f aca="false">IF(OR(AN22="",AO22=""),"",IF(AN22&gt;AO22,"OK","LOW CONF"))</f>
        <v/>
      </c>
      <c r="AQ22" s="69"/>
      <c r="AR22" s="76"/>
      <c r="AS22" s="84" t="str">
        <f aca="false">IF(OR(AQ22="",AR22=""),"",IF(AQ22&lt;AR22,"Decreased",IF(AQ22&gt;AR22,"Increased","Flat")))</f>
        <v/>
      </c>
    </row>
    <row r="23" customFormat="false" ht="15" hidden="false" customHeight="true" outlineLevel="0" collapsed="false">
      <c r="A23" s="68" t="s">
        <v>196</v>
      </c>
      <c r="B23" s="69" t="s">
        <v>297</v>
      </c>
      <c r="C23" s="73" t="n">
        <v>46245</v>
      </c>
      <c r="D23" s="69" t="n">
        <v>4</v>
      </c>
      <c r="E23" s="69" t="s">
        <v>264</v>
      </c>
      <c r="F23" s="69" t="n">
        <v>4</v>
      </c>
      <c r="G23" s="69" t="s">
        <v>264</v>
      </c>
      <c r="H23" s="69" t="n">
        <v>4</v>
      </c>
      <c r="I23" s="69" t="s">
        <v>264</v>
      </c>
      <c r="J23" s="69" t="n">
        <v>4</v>
      </c>
      <c r="K23" s="69" t="s">
        <v>264</v>
      </c>
      <c r="L23" s="69" t="n">
        <v>4</v>
      </c>
      <c r="M23" s="69" t="s">
        <v>264</v>
      </c>
      <c r="N23" s="112" t="n">
        <f aca="false">IF(COUNT(D23,F23,H23,J23,L23)=0,"",(D23*0.2+F23*0.15+H23*0.15+J23*0.1+L23*0.1)/0.7)</f>
        <v>4</v>
      </c>
      <c r="O23" s="113" t="n">
        <f aca="false">IF(COUNT(D23,F23,H23,J23,L23)=0,"",D23*0.2+F23*0.15+H23*0.15+J23*0.1+L23*0.1)</f>
        <v>2.8</v>
      </c>
      <c r="P23" s="69"/>
      <c r="Q23" s="69"/>
      <c r="R23" s="69"/>
      <c r="S23" s="69"/>
      <c r="T23" s="69"/>
      <c r="U23" s="69"/>
      <c r="V23" s="69"/>
      <c r="W23" s="69"/>
      <c r="X23" s="113" t="str">
        <f aca="false">IF(COUNT(P23,R23,T23,V23)=0,"",P23*0.08+R23*0.06+T23*0.03+V23*0.08)</f>
        <v/>
      </c>
      <c r="Y23" s="69"/>
      <c r="Z23" s="69"/>
      <c r="AA23" s="69"/>
      <c r="AB23" s="69"/>
      <c r="AC23" s="69"/>
      <c r="AD23" s="69"/>
      <c r="AE23" s="113" t="str">
        <f aca="false">IF(COUNT(Y23,AA23,AC23)=0,"",Y23*0.02+AA23*0.02+AC23*0.01)</f>
        <v/>
      </c>
      <c r="AF23" s="97" t="str">
        <f aca="false">IF(OR(O23="",X23="",AE23=""),"",(O23+X23+AE23)*20)</f>
        <v/>
      </c>
      <c r="AG23" s="76" t="str">
        <f aca="false">IF(AF23="","",IF(AF23&gt;=80,"STRONG BUY",IF(AF23&gt;=65,"BUY",IF(AF23&gt;=50,"WATCH LIST",IF(AF23&gt;=35,"AVOID","PASS")))))</f>
        <v/>
      </c>
      <c r="AH23" s="76" t="str">
        <f aca="false">IF(N23="","",IF(N23&lt;3,"FAIL","OK"))</f>
        <v>OK</v>
      </c>
      <c r="AI23" s="76" t="str">
        <f aca="false">IF(COUNT(D23:L23)=0,"",IF(COUNTIF(D23:L23,1)&gt;0,"REVIEW","OK"))</f>
        <v>OK</v>
      </c>
      <c r="AJ23" s="76" t="str">
        <f aca="false">IF(COUNT(D23:L23)=0,"",IF(COUNTIF(D23:L23,"&lt;=2")&gt;=2,"AVOID","OK"))</f>
        <v>OK</v>
      </c>
      <c r="AK23" s="76" t="str">
        <f aca="false">IF(COUNTA(E23:M23)=0,"",IF(COUNTIF(E23:M23,"L")&gt;=2,"CAP AT BUY","OK"))</f>
        <v>OK</v>
      </c>
      <c r="AL23" s="78" t="s">
        <v>295</v>
      </c>
      <c r="AM23" s="69" t="s">
        <v>298</v>
      </c>
      <c r="AN23" s="69"/>
      <c r="AO23" s="76"/>
      <c r="AP23" s="69" t="str">
        <f aca="false">IF(OR(AN23="",AO23=""),"",IF(AN23&gt;AO23,"OK","LOW CONF"))</f>
        <v/>
      </c>
      <c r="AQ23" s="69"/>
      <c r="AR23" s="76"/>
      <c r="AS23" s="84" t="str">
        <f aca="false">IF(OR(AQ23="",AR23=""),"",IF(AQ23&lt;AR23,"Decreased",IF(AQ23&gt;AR23,"Increased","Flat")))</f>
        <v/>
      </c>
    </row>
    <row r="24" customFormat="false" ht="15" hidden="true" customHeight="true" outlineLevel="1" collapsed="false">
      <c r="A24" s="68" t="s">
        <v>202</v>
      </c>
      <c r="B24" s="69" t="s">
        <v>299</v>
      </c>
      <c r="C24" s="73" t="n">
        <v>46245</v>
      </c>
      <c r="D24" s="69" t="n">
        <v>2</v>
      </c>
      <c r="E24" s="69" t="s">
        <v>266</v>
      </c>
      <c r="F24" s="69" t="n">
        <v>2</v>
      </c>
      <c r="G24" s="69" t="s">
        <v>264</v>
      </c>
      <c r="H24" s="69" t="n">
        <v>3</v>
      </c>
      <c r="I24" s="69" t="s">
        <v>264</v>
      </c>
      <c r="J24" s="69" t="n">
        <v>2</v>
      </c>
      <c r="K24" s="69" t="s">
        <v>264</v>
      </c>
      <c r="L24" s="69" t="n">
        <v>1</v>
      </c>
      <c r="M24" s="69" t="s">
        <v>265</v>
      </c>
      <c r="N24" s="112" t="n">
        <f aca="false">IF(COUNT(D24,F24,H24,J24,L24)=0,"",(D24*0.2+F24*0.15+H24*0.15+J24*0.1+L24*0.1)/0.7)</f>
        <v>2.07142857142857</v>
      </c>
      <c r="O24" s="113" t="n">
        <f aca="false">IF(COUNT(D24,F24,H24,J24,L24)=0,"",D24*0.2+F24*0.15+H24*0.15+J24*0.1+L24*0.1)</f>
        <v>1.45</v>
      </c>
      <c r="P24" s="69"/>
      <c r="Q24" s="69"/>
      <c r="R24" s="69"/>
      <c r="S24" s="69"/>
      <c r="T24" s="69"/>
      <c r="U24" s="69"/>
      <c r="V24" s="69"/>
      <c r="W24" s="69"/>
      <c r="X24" s="113" t="str">
        <f aca="false">IF(COUNT(P24,R24,T24,V24)=0,"",P24*0.08+R24*0.06+T24*0.03+V24*0.08)</f>
        <v/>
      </c>
      <c r="Y24" s="69"/>
      <c r="Z24" s="69"/>
      <c r="AA24" s="69"/>
      <c r="AB24" s="69"/>
      <c r="AC24" s="69"/>
      <c r="AD24" s="69"/>
      <c r="AE24" s="113" t="str">
        <f aca="false">IF(COUNT(Y24,AA24,AC24)=0,"",Y24*0.02+AA24*0.02+AC24*0.01)</f>
        <v/>
      </c>
      <c r="AF24" s="97" t="str">
        <f aca="false">IF(OR(O24="",X24="",AE24=""),"",(O24+X24+AE24)*20)</f>
        <v/>
      </c>
      <c r="AG24" s="76" t="str">
        <f aca="false">IF(AF24="","",IF(AF24&gt;=80,"STRONG BUY",IF(AF24&gt;=65,"BUY",IF(AF24&gt;=50,"WATCH LIST",IF(AF24&gt;=35,"AVOID","PASS")))))</f>
        <v/>
      </c>
      <c r="AH24" s="76" t="str">
        <f aca="false">IF(N24="","",IF(N24&lt;3,"FAIL","OK"))</f>
        <v>FAIL</v>
      </c>
      <c r="AI24" s="76" t="str">
        <f aca="false">IF(COUNT(D24:L24)=0,"",IF(COUNTIF(D24:L24,1)&gt;0,"REVIEW","OK"))</f>
        <v>REVIEW</v>
      </c>
      <c r="AJ24" s="76" t="str">
        <f aca="false">IF(COUNT(D24:L24)=0,"",IF(COUNTIF(D24:L24,"&lt;=2")&gt;=2,"AVOID","OK"))</f>
        <v>AVOID</v>
      </c>
      <c r="AK24" s="76" t="str">
        <f aca="false">IF(COUNTA(E24:M24)=0,"",IF(COUNTIF(E24:M24,"L")&gt;=2,"CAP AT BUY","OK"))</f>
        <v>OK</v>
      </c>
      <c r="AL24" s="78" t="s">
        <v>295</v>
      </c>
      <c r="AM24" s="69" t="s">
        <v>300</v>
      </c>
      <c r="AN24" s="69"/>
      <c r="AO24" s="76"/>
      <c r="AP24" s="69" t="str">
        <f aca="false">IF(OR(AN24="",AO24=""),"",IF(AN24&gt;AO24,"OK","LOW CONF"))</f>
        <v/>
      </c>
      <c r="AQ24" s="69"/>
      <c r="AR24" s="76"/>
      <c r="AS24" s="84" t="str">
        <f aca="false">IF(OR(AQ24="",AR24=""),"",IF(AQ24&lt;AR24,"Decreased",IF(AQ24&gt;AR24,"Increased","Flat")))</f>
        <v/>
      </c>
    </row>
    <row r="25" customFormat="false" ht="15" hidden="true" customHeight="true" outlineLevel="1" collapsed="false">
      <c r="A25" s="68" t="s">
        <v>207</v>
      </c>
      <c r="B25" s="69" t="s">
        <v>301</v>
      </c>
      <c r="C25" s="73" t="n">
        <v>46245</v>
      </c>
      <c r="D25" s="69" t="n">
        <v>3</v>
      </c>
      <c r="E25" s="69" t="s">
        <v>264</v>
      </c>
      <c r="F25" s="69" t="n">
        <v>2</v>
      </c>
      <c r="G25" s="69" t="s">
        <v>265</v>
      </c>
      <c r="H25" s="69" t="n">
        <v>3</v>
      </c>
      <c r="I25" s="69" t="s">
        <v>264</v>
      </c>
      <c r="J25" s="69" t="n">
        <v>3</v>
      </c>
      <c r="K25" s="69" t="s">
        <v>264</v>
      </c>
      <c r="L25" s="69" t="n">
        <v>2</v>
      </c>
      <c r="M25" s="69" t="s">
        <v>265</v>
      </c>
      <c r="N25" s="112" t="n">
        <f aca="false">IF(COUNT(D25,F25,H25,J25,L25)=0,"",(D25*0.2+F25*0.15+H25*0.15+J25*0.1+L25*0.1)/0.7)</f>
        <v>2.64285714285714</v>
      </c>
      <c r="O25" s="113" t="n">
        <f aca="false">IF(COUNT(D25,F25,H25,J25,L25)=0,"",D25*0.2+F25*0.15+H25*0.15+J25*0.1+L25*0.1)</f>
        <v>1.85</v>
      </c>
      <c r="P25" s="69"/>
      <c r="Q25" s="69"/>
      <c r="R25" s="69"/>
      <c r="S25" s="69"/>
      <c r="T25" s="69"/>
      <c r="U25" s="69"/>
      <c r="V25" s="69"/>
      <c r="W25" s="69"/>
      <c r="X25" s="113" t="str">
        <f aca="false">IF(COUNT(P25,R25,T25,V25)=0,"",P25*0.08+R25*0.06+T25*0.03+V25*0.08)</f>
        <v/>
      </c>
      <c r="Y25" s="69"/>
      <c r="Z25" s="69"/>
      <c r="AA25" s="69"/>
      <c r="AB25" s="69"/>
      <c r="AC25" s="69"/>
      <c r="AD25" s="69"/>
      <c r="AE25" s="113" t="str">
        <f aca="false">IF(COUNT(Y25,AA25,AC25)=0,"",Y25*0.02+AA25*0.02+AC25*0.01)</f>
        <v/>
      </c>
      <c r="AF25" s="97" t="str">
        <f aca="false">IF(OR(O25="",X25="",AE25=""),"",(O25+X25+AE25)*20)</f>
        <v/>
      </c>
      <c r="AG25" s="76" t="str">
        <f aca="false">IF(AF25="","",IF(AF25&gt;=80,"STRONG BUY",IF(AF25&gt;=65,"BUY",IF(AF25&gt;=50,"WATCH LIST",IF(AF25&gt;=35,"AVOID","PASS")))))</f>
        <v/>
      </c>
      <c r="AH25" s="76" t="str">
        <f aca="false">IF(N25="","",IF(N25&lt;3,"FAIL","OK"))</f>
        <v>FAIL</v>
      </c>
      <c r="AI25" s="76" t="str">
        <f aca="false">IF(COUNT(D25:L25)=0,"",IF(COUNTIF(D25:L25,1)&gt;0,"REVIEW","OK"))</f>
        <v>OK</v>
      </c>
      <c r="AJ25" s="76" t="str">
        <f aca="false">IF(COUNT(D25:L25)=0,"",IF(COUNTIF(D25:L25,"&lt;=2")&gt;=2,"AVOID","OK"))</f>
        <v>AVOID</v>
      </c>
      <c r="AK25" s="76" t="str">
        <f aca="false">IF(COUNTA(E25:M25)=0,"",IF(COUNTIF(E25:M25,"L")&gt;=2,"CAP AT BUY","OK"))</f>
        <v>OK</v>
      </c>
      <c r="AL25" s="78" t="s">
        <v>295</v>
      </c>
      <c r="AM25" s="69" t="s">
        <v>300</v>
      </c>
      <c r="AN25" s="69"/>
      <c r="AO25" s="76"/>
      <c r="AP25" s="69" t="str">
        <f aca="false">IF(OR(AN25="",AO25=""),"",IF(AN25&gt;AO25,"OK","LOW CONF"))</f>
        <v/>
      </c>
      <c r="AQ25" s="69"/>
      <c r="AR25" s="76"/>
      <c r="AS25" s="84" t="str">
        <f aca="false">IF(OR(AQ25="",AR25=""),"",IF(AQ25&lt;AR25,"Decreased",IF(AQ25&gt;AR25,"Increased","Flat")))</f>
        <v/>
      </c>
    </row>
    <row r="26" customFormat="false" ht="15" hidden="true" customHeight="true" outlineLevel="1" collapsed="false">
      <c r="A26" s="68" t="s">
        <v>186</v>
      </c>
      <c r="B26" s="69" t="s">
        <v>302</v>
      </c>
      <c r="C26" s="73" t="n">
        <v>46245</v>
      </c>
      <c r="D26" s="69" t="n">
        <v>2</v>
      </c>
      <c r="E26" s="69" t="s">
        <v>264</v>
      </c>
      <c r="F26" s="69" t="n">
        <v>1</v>
      </c>
      <c r="G26" s="69" t="s">
        <v>265</v>
      </c>
      <c r="H26" s="69" t="n">
        <v>2</v>
      </c>
      <c r="I26" s="69" t="s">
        <v>264</v>
      </c>
      <c r="J26" s="69" t="n">
        <v>2</v>
      </c>
      <c r="K26" s="69" t="s">
        <v>264</v>
      </c>
      <c r="L26" s="69" t="n">
        <v>2</v>
      </c>
      <c r="M26" s="69" t="s">
        <v>264</v>
      </c>
      <c r="N26" s="112" t="n">
        <f aca="false">IF(COUNT(D26,F26,H26,J26,L26)=0,"",(D26*0.2+F26*0.15+H26*0.15+J26*0.1+L26*0.1)/0.7)</f>
        <v>1.78571428571429</v>
      </c>
      <c r="O26" s="113" t="n">
        <f aca="false">IF(COUNT(D26,F26,H26,J26,L26)=0,"",D26*0.2+F26*0.15+H26*0.15+J26*0.1+L26*0.1)</f>
        <v>1.25</v>
      </c>
      <c r="P26" s="69"/>
      <c r="Q26" s="69"/>
      <c r="R26" s="69"/>
      <c r="S26" s="69"/>
      <c r="T26" s="69"/>
      <c r="U26" s="69"/>
      <c r="V26" s="69"/>
      <c r="W26" s="69"/>
      <c r="X26" s="113" t="str">
        <f aca="false">IF(COUNT(P26,R26,T26,V26)=0,"",P26*0.08+R26*0.06+T26*0.03+V26*0.08)</f>
        <v/>
      </c>
      <c r="Y26" s="69"/>
      <c r="Z26" s="69"/>
      <c r="AA26" s="69"/>
      <c r="AB26" s="69"/>
      <c r="AC26" s="69"/>
      <c r="AD26" s="69"/>
      <c r="AE26" s="113" t="str">
        <f aca="false">IF(COUNT(Y26,AA26,AC26)=0,"",Y26*0.02+AA26*0.02+AC26*0.01)</f>
        <v/>
      </c>
      <c r="AF26" s="97" t="str">
        <f aca="false">IF(OR(O26="",X26="",AE26=""),"",(O26+X26+AE26)*20)</f>
        <v/>
      </c>
      <c r="AG26" s="76" t="str">
        <f aca="false">IF(AF26="","",IF(AF26&gt;=80,"STRONG BUY",IF(AF26&gt;=65,"BUY",IF(AF26&gt;=50,"WATCH LIST",IF(AF26&gt;=35,"AVOID","PASS")))))</f>
        <v/>
      </c>
      <c r="AH26" s="76" t="str">
        <f aca="false">IF(N26="","",IF(N26&lt;3,"FAIL","OK"))</f>
        <v>FAIL</v>
      </c>
      <c r="AI26" s="76" t="str">
        <f aca="false">IF(COUNT(D26:L26)=0,"",IF(COUNTIF(D26:L26,1)&gt;0,"REVIEW","OK"))</f>
        <v>REVIEW</v>
      </c>
      <c r="AJ26" s="76" t="str">
        <f aca="false">IF(COUNT(D26:L26)=0,"",IF(COUNTIF(D26:L26,"&lt;=2")&gt;=2,"AVOID","OK"))</f>
        <v>AVOID</v>
      </c>
      <c r="AK26" s="76" t="str">
        <f aca="false">IF(COUNTA(E26:M26)=0,"",IF(COUNTIF(E26:M26,"L")&gt;=2,"CAP AT BUY","OK"))</f>
        <v>OK</v>
      </c>
      <c r="AL26" s="78" t="s">
        <v>303</v>
      </c>
      <c r="AM26" s="69" t="s">
        <v>304</v>
      </c>
      <c r="AN26" s="69"/>
      <c r="AO26" s="76"/>
      <c r="AP26" s="69" t="str">
        <f aca="false">IF(OR(AN26="",AO26=""),"",IF(AN26&gt;AO26,"OK","LOW CONF"))</f>
        <v/>
      </c>
      <c r="AQ26" s="69"/>
      <c r="AR26" s="76"/>
      <c r="AS26" s="84" t="str">
        <f aca="false">IF(OR(AQ26="",AR26=""),"",IF(AQ26&lt;AR26,"Decreased",IF(AQ26&gt;AR26,"Increased","Flat")))</f>
        <v/>
      </c>
    </row>
    <row r="27" customFormat="false" ht="15" hidden="true" customHeight="true" outlineLevel="1" collapsed="false">
      <c r="A27" s="68" t="s">
        <v>187</v>
      </c>
      <c r="B27" s="69" t="s">
        <v>305</v>
      </c>
      <c r="C27" s="73" t="n">
        <v>46245</v>
      </c>
      <c r="D27" s="69" t="n">
        <v>2</v>
      </c>
      <c r="E27" s="69" t="s">
        <v>265</v>
      </c>
      <c r="F27" s="69" t="n">
        <v>2</v>
      </c>
      <c r="G27" s="69" t="s">
        <v>264</v>
      </c>
      <c r="H27" s="69" t="n">
        <v>2</v>
      </c>
      <c r="I27" s="69" t="s">
        <v>264</v>
      </c>
      <c r="J27" s="69" t="n">
        <v>2</v>
      </c>
      <c r="K27" s="69" t="s">
        <v>264</v>
      </c>
      <c r="L27" s="69" t="n">
        <v>1</v>
      </c>
      <c r="M27" s="69" t="s">
        <v>265</v>
      </c>
      <c r="N27" s="112" t="n">
        <f aca="false">IF(COUNT(D27,F27,H27,J27,L27)=0,"",(D27*0.2+F27*0.15+H27*0.15+J27*0.1+L27*0.1)/0.7)</f>
        <v>1.85714285714286</v>
      </c>
      <c r="O27" s="113" t="n">
        <f aca="false">IF(COUNT(D27,F27,H27,J27,L27)=0,"",D27*0.2+F27*0.15+H27*0.15+J27*0.1+L27*0.1)</f>
        <v>1.3</v>
      </c>
      <c r="P27" s="69"/>
      <c r="Q27" s="69"/>
      <c r="R27" s="69"/>
      <c r="S27" s="69"/>
      <c r="T27" s="69"/>
      <c r="U27" s="69"/>
      <c r="V27" s="69"/>
      <c r="W27" s="69"/>
      <c r="X27" s="113" t="str">
        <f aca="false">IF(COUNT(P27,R27,T27,V27)=0,"",P27*0.08+R27*0.06+T27*0.03+V27*0.08)</f>
        <v/>
      </c>
      <c r="Y27" s="69"/>
      <c r="Z27" s="69"/>
      <c r="AA27" s="69"/>
      <c r="AB27" s="69"/>
      <c r="AC27" s="69"/>
      <c r="AD27" s="69"/>
      <c r="AE27" s="113" t="str">
        <f aca="false">IF(COUNT(Y27,AA27,AC27)=0,"",Y27*0.02+AA27*0.02+AC27*0.01)</f>
        <v/>
      </c>
      <c r="AF27" s="97" t="str">
        <f aca="false">IF(OR(O27="",X27="",AE27=""),"",(O27+X27+AE27)*20)</f>
        <v/>
      </c>
      <c r="AG27" s="76" t="str">
        <f aca="false">IF(AF27="","",IF(AF27&gt;=80,"STRONG BUY",IF(AF27&gt;=65,"BUY",IF(AF27&gt;=50,"WATCH LIST",IF(AF27&gt;=35,"AVOID","PASS")))))</f>
        <v/>
      </c>
      <c r="AH27" s="76" t="str">
        <f aca="false">IF(N27="","",IF(N27&lt;3,"FAIL","OK"))</f>
        <v>FAIL</v>
      </c>
      <c r="AI27" s="76" t="str">
        <f aca="false">IF(COUNT(D27:L27)=0,"",IF(COUNTIF(D27:L27,1)&gt;0,"REVIEW","OK"))</f>
        <v>REVIEW</v>
      </c>
      <c r="AJ27" s="76" t="str">
        <f aca="false">IF(COUNT(D27:L27)=0,"",IF(COUNTIF(D27:L27,"&lt;=2")&gt;=2,"AVOID","OK"))</f>
        <v>AVOID</v>
      </c>
      <c r="AK27" s="76" t="str">
        <f aca="false">IF(COUNTA(E27:M27)=0,"",IF(COUNTIF(E27:M27,"L")&gt;=2,"CAP AT BUY","OK"))</f>
        <v>OK</v>
      </c>
      <c r="AL27" s="78" t="s">
        <v>303</v>
      </c>
      <c r="AM27" s="69" t="s">
        <v>306</v>
      </c>
      <c r="AN27" s="69"/>
      <c r="AO27" s="76"/>
      <c r="AP27" s="69" t="str">
        <f aca="false">IF(OR(AN27="",AO27=""),"",IF(AN27&gt;AO27,"OK","LOW CONF"))</f>
        <v/>
      </c>
      <c r="AQ27" s="69"/>
      <c r="AR27" s="76"/>
      <c r="AS27" s="84" t="str">
        <f aca="false">IF(OR(AQ27="",AR27=""),"",IF(AQ27&lt;AR27,"Decreased",IF(AQ27&gt;AR27,"Increased","Flat")))</f>
        <v/>
      </c>
    </row>
    <row r="28" customFormat="false" ht="15" hidden="false" customHeight="true" outlineLevel="0" collapsed="false">
      <c r="A28" s="68" t="s">
        <v>203</v>
      </c>
      <c r="B28" s="69" t="s">
        <v>307</v>
      </c>
      <c r="C28" s="70" t="n">
        <v>46245</v>
      </c>
      <c r="D28" s="69" t="n">
        <v>4</v>
      </c>
      <c r="E28" s="69" t="s">
        <v>265</v>
      </c>
      <c r="F28" s="69" t="n">
        <v>4</v>
      </c>
      <c r="G28" s="69" t="s">
        <v>265</v>
      </c>
      <c r="H28" s="69" t="n">
        <v>5</v>
      </c>
      <c r="I28" s="69" t="s">
        <v>265</v>
      </c>
      <c r="J28" s="69" t="n">
        <v>5</v>
      </c>
      <c r="K28" s="69" t="s">
        <v>265</v>
      </c>
      <c r="L28" s="69" t="n">
        <v>5</v>
      </c>
      <c r="M28" s="69" t="s">
        <v>265</v>
      </c>
      <c r="N28" s="112" t="n">
        <f aca="false">IF(COUNT(D28,F28,H28,J28,L28)=0,"",(D28*0.2+F28*0.15+H28*0.15+J28*0.1+L28*0.1)/0.7)</f>
        <v>4.5</v>
      </c>
      <c r="O28" s="76" t="n">
        <f aca="false">IF(COUNT(D28,F28,H28,J28,L28)=0,"",D28*0.2+F28*0.15+H28*0.15+J28*0.1+L28*0.1)</f>
        <v>3.15</v>
      </c>
      <c r="P28" s="69"/>
      <c r="Q28" s="69"/>
      <c r="R28" s="69"/>
      <c r="S28" s="69"/>
      <c r="T28" s="69"/>
      <c r="U28" s="69"/>
      <c r="V28" s="69"/>
      <c r="W28" s="69"/>
      <c r="X28" s="98" t="str">
        <f aca="false">IF(COUNT(P28,R28,T28,V28)=0,"",P28*0.08+R28*0.06+T28*0.03+V28*0.08)</f>
        <v/>
      </c>
      <c r="Y28" s="69"/>
      <c r="Z28" s="69"/>
      <c r="AA28" s="69"/>
      <c r="AB28" s="69"/>
      <c r="AC28" s="69"/>
      <c r="AD28" s="69"/>
      <c r="AE28" s="98" t="str">
        <f aca="false">IF(COUNT(Y28,AA28,AC28)=0,"",Y28*0.02+AA28*0.02+AC28*0.01)</f>
        <v/>
      </c>
      <c r="AF28" s="76" t="str">
        <f aca="false">IF(OR(O28="",X28="",AE28=""),"",(O28+X28+AE28)*20)</f>
        <v/>
      </c>
      <c r="AG28" s="76" t="str">
        <f aca="false">IF(AF28="","",IF(AF28&gt;=80,"STRONG BUY",IF(AF28&gt;=65,"BUY",IF(AF28&gt;=50,"WATCH LIST",IF(AF28&gt;=35,"AVOID","PASS")))))</f>
        <v/>
      </c>
      <c r="AH28" s="76" t="str">
        <f aca="false">IF(N28="","",IF(N28&lt;3,"FAIL","OK"))</f>
        <v>OK</v>
      </c>
      <c r="AI28" s="76" t="str">
        <f aca="false">IF(COUNT(D28:L28)=0,"",IF(COUNTIF(D28:L28,1)&gt;0,"REVIEW","OK"))</f>
        <v>OK</v>
      </c>
      <c r="AJ28" s="76" t="str">
        <f aca="false">IF(COUNT(D28:L28)=0,"",IF(COUNTIF(D28:L28,"&lt;=2")&gt;=2,"AVOID","OK"))</f>
        <v>OK</v>
      </c>
      <c r="AK28" s="76" t="str">
        <f aca="false">IF(COUNTA(E28:M28)=0,"",IF(COUNTIF(E28:M28,"L")&gt;=2,"CAP AT BUY","OK"))</f>
        <v>OK</v>
      </c>
      <c r="AL28" s="114" t="s">
        <v>303</v>
      </c>
      <c r="AM28" s="69" t="s">
        <v>308</v>
      </c>
      <c r="AN28" s="69"/>
      <c r="AO28" s="76"/>
      <c r="AP28" s="69" t="str">
        <f aca="false">IF(OR(AN28="",AO28=""),"",IF(AN28&gt;AO28,"OK","LOW CONF"))</f>
        <v/>
      </c>
      <c r="AQ28" s="69"/>
      <c r="AR28" s="76"/>
      <c r="AS28" s="115" t="str">
        <f aca="false">IF(OR(AQ28="",AR28=""),"",IF(AQ28&lt;AR28,"Decreased",IF(AQ28&gt;AR28,"Increased","Flat")))</f>
        <v/>
      </c>
    </row>
    <row r="29" customFormat="false" ht="15" hidden="true" customHeight="true" outlineLevel="1" collapsed="false">
      <c r="A29" s="68" t="s">
        <v>192</v>
      </c>
      <c r="B29" s="69" t="s">
        <v>309</v>
      </c>
      <c r="C29" s="70" t="n">
        <v>46245</v>
      </c>
      <c r="D29" s="69" t="n">
        <v>2</v>
      </c>
      <c r="E29" s="69" t="s">
        <v>264</v>
      </c>
      <c r="F29" s="69" t="n">
        <v>2</v>
      </c>
      <c r="G29" s="69" t="s">
        <v>264</v>
      </c>
      <c r="H29" s="69" t="n">
        <v>3</v>
      </c>
      <c r="I29" s="69" t="s">
        <v>264</v>
      </c>
      <c r="J29" s="69" t="n">
        <v>3</v>
      </c>
      <c r="K29" s="69" t="s">
        <v>264</v>
      </c>
      <c r="L29" s="69" t="n">
        <v>2</v>
      </c>
      <c r="M29" s="69" t="s">
        <v>265</v>
      </c>
      <c r="N29" s="112" t="n">
        <f aca="false">IF(COUNT(D29,F29,H29,J29,L29)=0,"",(D29*0.2+F29*0.15+H29*0.15+J29*0.1+L29*0.1)/0.7)</f>
        <v>2.35714285714286</v>
      </c>
      <c r="O29" s="76" t="n">
        <f aca="false">IF(COUNT(D29,F29,H29,J29,L29)=0,"",D29*0.2+F29*0.15+H29*0.15+J29*0.1+L29*0.1)</f>
        <v>1.65</v>
      </c>
      <c r="P29" s="69"/>
      <c r="Q29" s="69"/>
      <c r="R29" s="69"/>
      <c r="S29" s="69"/>
      <c r="T29" s="69"/>
      <c r="U29" s="69"/>
      <c r="V29" s="69"/>
      <c r="W29" s="69"/>
      <c r="X29" s="98" t="str">
        <f aca="false">IF(COUNT(P29,R29,T29,V29)=0,"",P29*0.08+R29*0.06+T29*0.03+V29*0.08)</f>
        <v/>
      </c>
      <c r="Y29" s="69"/>
      <c r="Z29" s="69"/>
      <c r="AA29" s="69"/>
      <c r="AB29" s="69"/>
      <c r="AC29" s="69"/>
      <c r="AD29" s="69"/>
      <c r="AE29" s="98" t="str">
        <f aca="false">IF(COUNT(Y29,AA29,AC29)=0,"",Y29*0.02+AA29*0.02+AC29*0.01)</f>
        <v/>
      </c>
      <c r="AF29" s="76" t="str">
        <f aca="false">IF(OR(O29="",X29="",AE29=""),"",(O29+X29+AE29)*20)</f>
        <v/>
      </c>
      <c r="AG29" s="76" t="str">
        <f aca="false">IF(AF29="","",IF(AF29&gt;=80,"STRONG BUY",IF(AF29&gt;=65,"BUY",IF(AF29&gt;=50,"WATCH LIST",IF(AF29&gt;=35,"AVOID","PASS")))))</f>
        <v/>
      </c>
      <c r="AH29" s="76" t="str">
        <f aca="false">IF(N29="","",IF(N29&lt;3,"FAIL","OK"))</f>
        <v>FAIL</v>
      </c>
      <c r="AI29" s="76" t="str">
        <f aca="false">IF(COUNT(D29:L29)=0,"",IF(COUNTIF(D29:L29,1)&gt;0,"REVIEW","OK"))</f>
        <v>OK</v>
      </c>
      <c r="AJ29" s="76" t="str">
        <f aca="false">IF(COUNT(D29:L29)=0,"",IF(COUNTIF(D29:L29,"&lt;=2")&gt;=2,"AVOID","OK"))</f>
        <v>AVOID</v>
      </c>
      <c r="AK29" s="76" t="str">
        <f aca="false">IF(COUNTA(E29:M29)=0,"",IF(COUNTIF(E29:M29,"L")&gt;=2,"CAP AT BUY","OK"))</f>
        <v>OK</v>
      </c>
      <c r="AL29" s="114" t="s">
        <v>275</v>
      </c>
      <c r="AM29" s="69" t="s">
        <v>310</v>
      </c>
      <c r="AN29" s="69"/>
      <c r="AO29" s="76"/>
      <c r="AP29" s="69" t="str">
        <f aca="false">IF(OR(AN29="",AO29=""),"",IF(AN29&gt;AO29,"OK","LOW CONF"))</f>
        <v/>
      </c>
      <c r="AQ29" s="69"/>
      <c r="AR29" s="76"/>
      <c r="AS29" s="115" t="str">
        <f aca="false">IF(OR(AQ29="",AR29=""),"",IF(AQ29&lt;AR29,"Decreased",IF(AQ29&gt;AR29,"Increased","Flat")))</f>
        <v/>
      </c>
    </row>
    <row r="30" customFormat="false" ht="15" hidden="true" customHeight="true" outlineLevel="1" collapsed="false">
      <c r="A30" s="68" t="s">
        <v>195</v>
      </c>
      <c r="B30" s="69" t="s">
        <v>311</v>
      </c>
      <c r="C30" s="70" t="n">
        <v>46245</v>
      </c>
      <c r="D30" s="69" t="n">
        <v>2</v>
      </c>
      <c r="E30" s="69" t="s">
        <v>264</v>
      </c>
      <c r="F30" s="69" t="n">
        <v>1</v>
      </c>
      <c r="G30" s="69" t="s">
        <v>265</v>
      </c>
      <c r="H30" s="69" t="n">
        <v>3</v>
      </c>
      <c r="I30" s="69" t="s">
        <v>264</v>
      </c>
      <c r="J30" s="69" t="n">
        <v>2</v>
      </c>
      <c r="K30" s="69" t="s">
        <v>264</v>
      </c>
      <c r="L30" s="69" t="n">
        <v>3</v>
      </c>
      <c r="M30" s="69" t="s">
        <v>264</v>
      </c>
      <c r="N30" s="112" t="n">
        <f aca="false">IF(COUNT(D30,F30,H30,J30,L30)=0,"",(D30*0.2+F30*0.15+H30*0.15+J30*0.1+L30*0.1)/0.7)</f>
        <v>2.14285714285714</v>
      </c>
      <c r="O30" s="76" t="n">
        <f aca="false">IF(COUNT(D30,F30,H30,J30,L30)=0,"",D30*0.2+F30*0.15+H30*0.15+J30*0.1+L30*0.1)</f>
        <v>1.5</v>
      </c>
      <c r="P30" s="69"/>
      <c r="Q30" s="69"/>
      <c r="R30" s="69"/>
      <c r="S30" s="69"/>
      <c r="T30" s="69"/>
      <c r="U30" s="69"/>
      <c r="V30" s="69"/>
      <c r="W30" s="69"/>
      <c r="X30" s="98" t="str">
        <f aca="false">IF(COUNT(P30,R30,T30,V30)=0,"",P30*0.08+R30*0.06+T30*0.03+V30*0.08)</f>
        <v/>
      </c>
      <c r="Y30" s="69"/>
      <c r="Z30" s="69"/>
      <c r="AA30" s="69"/>
      <c r="AB30" s="69"/>
      <c r="AC30" s="69"/>
      <c r="AD30" s="69"/>
      <c r="AE30" s="98" t="str">
        <f aca="false">IF(COUNT(Y30,AA30,AC30)=0,"",Y30*0.02+AA30*0.02+AC30*0.01)</f>
        <v/>
      </c>
      <c r="AF30" s="76" t="str">
        <f aca="false">IF(OR(O30="",X30="",AE30=""),"",(O30+X30+AE30)*20)</f>
        <v/>
      </c>
      <c r="AG30" s="76" t="str">
        <f aca="false">IF(AF30="","",IF(AF30&gt;=80,"STRONG BUY",IF(AF30&gt;=65,"BUY",IF(AF30&gt;=50,"WATCH LIST",IF(AF30&gt;=35,"AVOID","PASS")))))</f>
        <v/>
      </c>
      <c r="AH30" s="76" t="str">
        <f aca="false">IF(N30="","",IF(N30&lt;3,"FAIL","OK"))</f>
        <v>FAIL</v>
      </c>
      <c r="AI30" s="76" t="str">
        <f aca="false">IF(COUNT(D30:L30)=0,"",IF(COUNTIF(D30:L30,1)&gt;0,"REVIEW","OK"))</f>
        <v>REVIEW</v>
      </c>
      <c r="AJ30" s="76" t="str">
        <f aca="false">IF(COUNT(D30:L30)=0,"",IF(COUNTIF(D30:L30,"&lt;=2")&gt;=2,"AVOID","OK"))</f>
        <v>AVOID</v>
      </c>
      <c r="AK30" s="76" t="str">
        <f aca="false">IF(COUNTA(E30:M30)=0,"",IF(COUNTIF(E30:M30,"L")&gt;=2,"CAP AT BUY","OK"))</f>
        <v>OK</v>
      </c>
      <c r="AL30" s="114" t="s">
        <v>275</v>
      </c>
      <c r="AM30" s="69" t="s">
        <v>312</v>
      </c>
      <c r="AN30" s="69"/>
      <c r="AO30" s="76"/>
      <c r="AP30" s="69" t="str">
        <f aca="false">IF(OR(AN30="",AO30=""),"",IF(AN30&gt;AO30,"OK","LOW CONF"))</f>
        <v/>
      </c>
      <c r="AQ30" s="69"/>
      <c r="AR30" s="76"/>
      <c r="AS30" s="115" t="str">
        <f aca="false">IF(OR(AQ30="",AR30=""),"",IF(AQ30&lt;AR30,"Decreased",IF(AQ30&gt;AR30,"Increased","Flat")))</f>
        <v/>
      </c>
    </row>
    <row r="31" customFormat="false" ht="15" hidden="true" customHeight="true" outlineLevel="1" collapsed="false">
      <c r="A31" s="68" t="s">
        <v>201</v>
      </c>
      <c r="B31" s="69" t="s">
        <v>313</v>
      </c>
      <c r="C31" s="70" t="n">
        <v>46245</v>
      </c>
      <c r="D31" s="69" t="n">
        <v>1</v>
      </c>
      <c r="E31" s="69" t="s">
        <v>265</v>
      </c>
      <c r="F31" s="69" t="n">
        <v>2</v>
      </c>
      <c r="G31" s="69" t="s">
        <v>264</v>
      </c>
      <c r="H31" s="69" t="n">
        <v>3</v>
      </c>
      <c r="I31" s="69" t="s">
        <v>264</v>
      </c>
      <c r="J31" s="69" t="n">
        <v>3</v>
      </c>
      <c r="K31" s="69" t="s">
        <v>264</v>
      </c>
      <c r="L31" s="69" t="n">
        <v>1</v>
      </c>
      <c r="M31" s="69" t="s">
        <v>265</v>
      </c>
      <c r="N31" s="112" t="n">
        <f aca="false">IF(COUNT(D31,F31,H31,J31,L31)=0,"",(D31*0.2+F31*0.15+H31*0.15+J31*0.1+L31*0.1)/0.7)</f>
        <v>1.92857142857143</v>
      </c>
      <c r="O31" s="76" t="n">
        <f aca="false">IF(COUNT(D31,F31,H31,J31,L31)=0,"",D31*0.2+F31*0.15+H31*0.15+J31*0.1+L31*0.1)</f>
        <v>1.35</v>
      </c>
      <c r="P31" s="69"/>
      <c r="Q31" s="69"/>
      <c r="R31" s="69"/>
      <c r="S31" s="69"/>
      <c r="T31" s="69"/>
      <c r="U31" s="69"/>
      <c r="V31" s="69"/>
      <c r="W31" s="69"/>
      <c r="X31" s="98" t="str">
        <f aca="false">IF(COUNT(P31,R31,T31,V31)=0,"",P31*0.08+R31*0.06+T31*0.03+V31*0.08)</f>
        <v/>
      </c>
      <c r="Y31" s="69"/>
      <c r="Z31" s="69"/>
      <c r="AA31" s="69"/>
      <c r="AB31" s="69"/>
      <c r="AC31" s="69"/>
      <c r="AD31" s="69"/>
      <c r="AE31" s="98" t="str">
        <f aca="false">IF(COUNT(Y31,AA31,AC31)=0,"",Y31*0.02+AA31*0.02+AC31*0.01)</f>
        <v/>
      </c>
      <c r="AF31" s="76" t="str">
        <f aca="false">IF(OR(O31="",X31="",AE31=""),"",(O31+X31+AE31)*20)</f>
        <v/>
      </c>
      <c r="AG31" s="76" t="str">
        <f aca="false">IF(AF31="","",IF(AF31&gt;=80,"STRONG BUY",IF(AF31&gt;=65,"BUY",IF(AF31&gt;=50,"WATCH LIST",IF(AF31&gt;=35,"AVOID","PASS")))))</f>
        <v/>
      </c>
      <c r="AH31" s="76" t="str">
        <f aca="false">IF(N31="","",IF(N31&lt;3,"FAIL","OK"))</f>
        <v>FAIL</v>
      </c>
      <c r="AI31" s="76" t="str">
        <f aca="false">IF(COUNT(D31:L31)=0,"",IF(COUNTIF(D31:L31,1)&gt;0,"REVIEW","OK"))</f>
        <v>REVIEW</v>
      </c>
      <c r="AJ31" s="76" t="str">
        <f aca="false">IF(COUNT(D31:L31)=0,"",IF(COUNTIF(D31:L31,"&lt;=2")&gt;=2,"AVOID","OK"))</f>
        <v>AVOID</v>
      </c>
      <c r="AK31" s="76" t="str">
        <f aca="false">IF(COUNTA(E31:M31)=0,"",IF(COUNTIF(E31:M31,"L")&gt;=2,"CAP AT BUY","OK"))</f>
        <v>OK</v>
      </c>
      <c r="AL31" s="114" t="s">
        <v>275</v>
      </c>
      <c r="AM31" s="69" t="s">
        <v>314</v>
      </c>
      <c r="AN31" s="69"/>
      <c r="AO31" s="76"/>
      <c r="AP31" s="69" t="str">
        <f aca="false">IF(OR(AN31="",AO31=""),"",IF(AN31&gt;AO31,"OK","LOW CONF"))</f>
        <v/>
      </c>
      <c r="AQ31" s="69"/>
      <c r="AR31" s="76"/>
      <c r="AS31" s="115" t="str">
        <f aca="false">IF(OR(AQ31="",AR31=""),"",IF(AQ31&lt;AR31,"Decreased",IF(AQ31&gt;AR31,"Increased","Flat")))</f>
        <v/>
      </c>
    </row>
    <row r="32" customFormat="false" ht="15" hidden="false" customHeight="true" outlineLevel="0" collapsed="false">
      <c r="A32" s="68" t="s">
        <v>208</v>
      </c>
      <c r="B32" s="69" t="s">
        <v>315</v>
      </c>
      <c r="C32" s="70" t="n">
        <v>46245</v>
      </c>
      <c r="D32" s="69" t="n">
        <v>4</v>
      </c>
      <c r="E32" s="69" t="s">
        <v>264</v>
      </c>
      <c r="F32" s="69" t="n">
        <v>4</v>
      </c>
      <c r="G32" s="69" t="s">
        <v>265</v>
      </c>
      <c r="H32" s="69" t="n">
        <v>5</v>
      </c>
      <c r="I32" s="69" t="s">
        <v>265</v>
      </c>
      <c r="J32" s="69" t="n">
        <v>4</v>
      </c>
      <c r="K32" s="69" t="s">
        <v>264</v>
      </c>
      <c r="L32" s="69" t="n">
        <v>4</v>
      </c>
      <c r="M32" s="69" t="s">
        <v>265</v>
      </c>
      <c r="N32" s="112" t="n">
        <f aca="false">IF(COUNT(D32,F32,H32,J32,L32)=0,"",(D32*0.2+F32*0.15+H32*0.15+J32*0.1+L32*0.1)/0.7)</f>
        <v>4.21428571428571</v>
      </c>
      <c r="O32" s="76" t="n">
        <f aca="false">IF(COUNT(D32,F32,H32,J32,L32)=0,"",D32*0.2+F32*0.15+H32*0.15+J32*0.1+L32*0.1)</f>
        <v>2.95</v>
      </c>
      <c r="P32" s="69"/>
      <c r="Q32" s="69"/>
      <c r="R32" s="69"/>
      <c r="S32" s="69"/>
      <c r="T32" s="69"/>
      <c r="U32" s="69"/>
      <c r="V32" s="69"/>
      <c r="W32" s="69"/>
      <c r="X32" s="98" t="str">
        <f aca="false">IF(COUNT(P32,R32,T32,V32)=0,"",P32*0.08+R32*0.06+T32*0.03+V32*0.08)</f>
        <v/>
      </c>
      <c r="Y32" s="69"/>
      <c r="Z32" s="69"/>
      <c r="AA32" s="69"/>
      <c r="AB32" s="69"/>
      <c r="AC32" s="69"/>
      <c r="AD32" s="69"/>
      <c r="AE32" s="98" t="str">
        <f aca="false">IF(COUNT(Y32,AA32,AC32)=0,"",Y32*0.02+AA32*0.02+AC32*0.01)</f>
        <v/>
      </c>
      <c r="AF32" s="76" t="str">
        <f aca="false">IF(OR(O32="",X32="",AE32=""),"",(O32+X32+AE32)*20)</f>
        <v/>
      </c>
      <c r="AG32" s="76" t="str">
        <f aca="false">IF(AF32="","",IF(AF32&gt;=80,"STRONG BUY",IF(AF32&gt;=65,"BUY",IF(AF32&gt;=50,"WATCH LIST",IF(AF32&gt;=35,"AVOID","PASS")))))</f>
        <v/>
      </c>
      <c r="AH32" s="76" t="str">
        <f aca="false">IF(N32="","",IF(N32&lt;3,"FAIL","OK"))</f>
        <v>OK</v>
      </c>
      <c r="AI32" s="76" t="str">
        <f aca="false">IF(COUNT(D32:L32)=0,"",IF(COUNTIF(D32:L32,1)&gt;0,"REVIEW","OK"))</f>
        <v>OK</v>
      </c>
      <c r="AJ32" s="76" t="str">
        <f aca="false">IF(COUNT(D32:L32)=0,"",IF(COUNTIF(D32:L32,"&lt;=2")&gt;=2,"AVOID","OK"))</f>
        <v>OK</v>
      </c>
      <c r="AK32" s="76" t="str">
        <f aca="false">IF(COUNTA(E32:M32)=0,"",IF(COUNTIF(E32:M32,"L")&gt;=2,"CAP AT BUY","OK"))</f>
        <v>OK</v>
      </c>
      <c r="AL32" s="114" t="s">
        <v>275</v>
      </c>
      <c r="AM32" s="69" t="s">
        <v>312</v>
      </c>
      <c r="AN32" s="69"/>
      <c r="AO32" s="76"/>
      <c r="AP32" s="69" t="str">
        <f aca="false">IF(OR(AN32="",AO32=""),"",IF(AN32&gt;AO32,"OK","LOW CONF"))</f>
        <v/>
      </c>
      <c r="AQ32" s="69"/>
      <c r="AR32" s="76"/>
      <c r="AS32" s="115" t="str">
        <f aca="false">IF(OR(AQ32="",AR32=""),"",IF(AQ32&lt;AR32,"Decreased",IF(AQ32&gt;AR32,"Increased","Flat")))</f>
        <v/>
      </c>
    </row>
    <row r="33" customFormat="false" ht="15" hidden="false" customHeight="true" outlineLevel="0" collapsed="false">
      <c r="A33" s="68" t="s">
        <v>188</v>
      </c>
      <c r="B33" s="69" t="s">
        <v>316</v>
      </c>
      <c r="C33" s="70" t="n">
        <v>46245</v>
      </c>
      <c r="D33" s="69" t="n">
        <v>4</v>
      </c>
      <c r="E33" s="69" t="s">
        <v>265</v>
      </c>
      <c r="F33" s="69" t="n">
        <v>4</v>
      </c>
      <c r="G33" s="69" t="s">
        <v>265</v>
      </c>
      <c r="H33" s="69" t="n">
        <v>4</v>
      </c>
      <c r="I33" s="69" t="s">
        <v>265</v>
      </c>
      <c r="J33" s="69" t="n">
        <v>3</v>
      </c>
      <c r="K33" s="69" t="s">
        <v>264</v>
      </c>
      <c r="L33" s="69" t="n">
        <v>3</v>
      </c>
      <c r="M33" s="69" t="s">
        <v>265</v>
      </c>
      <c r="N33" s="112" t="n">
        <f aca="false">IF(COUNT(D33,F33,H33,J33,L33)=0,"",(D33*0.2+F33*0.15+H33*0.15+J33*0.1+L33*0.1)/0.7)</f>
        <v>3.71428571428571</v>
      </c>
      <c r="O33" s="76" t="n">
        <f aca="false">IF(COUNT(D33,F33,H33,J33,L33)=0,"",D33*0.2+F33*0.15+H33*0.15+J33*0.1+L33*0.1)</f>
        <v>2.6</v>
      </c>
      <c r="P33" s="69"/>
      <c r="Q33" s="69"/>
      <c r="R33" s="69"/>
      <c r="S33" s="69"/>
      <c r="T33" s="69"/>
      <c r="U33" s="69"/>
      <c r="V33" s="69"/>
      <c r="W33" s="69"/>
      <c r="X33" s="98" t="str">
        <f aca="false">IF(COUNT(P33,R33,T33,V33)=0,"",P33*0.08+R33*0.06+T33*0.03+V33*0.08)</f>
        <v/>
      </c>
      <c r="Y33" s="69"/>
      <c r="Z33" s="69"/>
      <c r="AA33" s="69"/>
      <c r="AB33" s="69"/>
      <c r="AC33" s="69"/>
      <c r="AD33" s="69"/>
      <c r="AE33" s="98" t="str">
        <f aca="false">IF(COUNT(Y33,AA33,AC33)=0,"",Y33*0.02+AA33*0.02+AC33*0.01)</f>
        <v/>
      </c>
      <c r="AF33" s="76" t="str">
        <f aca="false">IF(OR(O33="",X33="",AE33=""),"",(O33+X33+AE33)*20)</f>
        <v/>
      </c>
      <c r="AG33" s="76" t="str">
        <f aca="false">IF(AF33="","",IF(AF33&gt;=80,"STRONG BUY",IF(AF33&gt;=65,"BUY",IF(AF33&gt;=50,"WATCH LIST",IF(AF33&gt;=35,"AVOID","PASS")))))</f>
        <v/>
      </c>
      <c r="AH33" s="76" t="str">
        <f aca="false">IF(N33="","",IF(N33&lt;3,"FAIL","OK"))</f>
        <v>OK</v>
      </c>
      <c r="AI33" s="76" t="str">
        <f aca="false">IF(COUNT(D33:L33)=0,"",IF(COUNTIF(D33:L33,1)&gt;0,"REVIEW","OK"))</f>
        <v>OK</v>
      </c>
      <c r="AJ33" s="76" t="str">
        <f aca="false">IF(COUNT(D33:L33)=0,"",IF(COUNTIF(D33:L33,"&lt;=2")&gt;=2,"AVOID","OK"))</f>
        <v>OK</v>
      </c>
      <c r="AK33" s="76" t="str">
        <f aca="false">IF(COUNTA(E33:M33)=0,"",IF(COUNTIF(E33:M33,"L")&gt;=2,"CAP AT BUY","OK"))</f>
        <v>OK</v>
      </c>
      <c r="AL33" s="114" t="s">
        <v>277</v>
      </c>
      <c r="AM33" s="69" t="s">
        <v>317</v>
      </c>
      <c r="AN33" s="69"/>
      <c r="AO33" s="76"/>
      <c r="AP33" s="69" t="str">
        <f aca="false">IF(OR(AN33="",AO33=""),"",IF(AN33&gt;AO33,"OK","LOW CONF"))</f>
        <v/>
      </c>
      <c r="AQ33" s="69"/>
      <c r="AR33" s="76"/>
      <c r="AS33" s="115" t="str">
        <f aca="false">IF(OR(AQ33="",AR33=""),"",IF(AQ33&lt;AR33,"Decreased",IF(AQ33&gt;AR33,"Increased","Flat")))</f>
        <v/>
      </c>
    </row>
    <row r="34" customFormat="false" ht="15" hidden="false" customHeight="true" outlineLevel="0" collapsed="false">
      <c r="A34" s="68" t="s">
        <v>194</v>
      </c>
      <c r="B34" s="69" t="s">
        <v>318</v>
      </c>
      <c r="C34" s="70" t="n">
        <v>46245</v>
      </c>
      <c r="D34" s="69" t="n">
        <v>5</v>
      </c>
      <c r="E34" s="69" t="s">
        <v>265</v>
      </c>
      <c r="F34" s="69" t="n">
        <v>5</v>
      </c>
      <c r="G34" s="69" t="s">
        <v>265</v>
      </c>
      <c r="H34" s="69" t="n">
        <v>5</v>
      </c>
      <c r="I34" s="69" t="s">
        <v>265</v>
      </c>
      <c r="J34" s="69" t="n">
        <v>4</v>
      </c>
      <c r="K34" s="69" t="s">
        <v>265</v>
      </c>
      <c r="L34" s="69" t="n">
        <v>5</v>
      </c>
      <c r="M34" s="69" t="s">
        <v>265</v>
      </c>
      <c r="N34" s="112" t="n">
        <f aca="false">IF(COUNT(D34,F34,H34,J34,L34)=0,"",(D34*0.2+F34*0.15+H34*0.15+J34*0.1+L34*0.1)/0.7)</f>
        <v>4.85714285714286</v>
      </c>
      <c r="O34" s="76" t="n">
        <f aca="false">IF(COUNT(D34,F34,H34,J34,L34)=0,"",D34*0.2+F34*0.15+H34*0.15+J34*0.1+L34*0.1)</f>
        <v>3.4</v>
      </c>
      <c r="P34" s="69"/>
      <c r="Q34" s="69"/>
      <c r="R34" s="69"/>
      <c r="S34" s="69"/>
      <c r="T34" s="69"/>
      <c r="U34" s="69"/>
      <c r="V34" s="69"/>
      <c r="W34" s="69"/>
      <c r="X34" s="98" t="str">
        <f aca="false">IF(COUNT(P34,R34,T34,V34)=0,"",P34*0.08+R34*0.06+T34*0.03+V34*0.08)</f>
        <v/>
      </c>
      <c r="Y34" s="69"/>
      <c r="Z34" s="69"/>
      <c r="AA34" s="69"/>
      <c r="AB34" s="69"/>
      <c r="AC34" s="69"/>
      <c r="AD34" s="69"/>
      <c r="AE34" s="98" t="str">
        <f aca="false">IF(COUNT(Y34,AA34,AC34)=0,"",Y34*0.02+AA34*0.02+AC34*0.01)</f>
        <v/>
      </c>
      <c r="AF34" s="76" t="str">
        <f aca="false">IF(OR(O34="",X34="",AE34=""),"",(O34+X34+AE34)*20)</f>
        <v/>
      </c>
      <c r="AG34" s="76" t="str">
        <f aca="false">IF(AF34="","",IF(AF34&gt;=80,"STRONG BUY",IF(AF34&gt;=65,"BUY",IF(AF34&gt;=50,"WATCH LIST",IF(AF34&gt;=35,"AVOID","PASS")))))</f>
        <v/>
      </c>
      <c r="AH34" s="76" t="str">
        <f aca="false">IF(N34="","",IF(N34&lt;3,"FAIL","OK"))</f>
        <v>OK</v>
      </c>
      <c r="AI34" s="76" t="str">
        <f aca="false">IF(COUNT(D34:L34)=0,"",IF(COUNTIF(D34:L34,1)&gt;0,"REVIEW","OK"))</f>
        <v>OK</v>
      </c>
      <c r="AJ34" s="76" t="str">
        <f aca="false">IF(COUNT(D34:L34)=0,"",IF(COUNTIF(D34:L34,"&lt;=2")&gt;=2,"AVOID","OK"))</f>
        <v>OK</v>
      </c>
      <c r="AK34" s="76" t="str">
        <f aca="false">IF(COUNTA(E34:M34)=0,"",IF(COUNTIF(E34:M34,"L")&gt;=2,"CAP AT BUY","OK"))</f>
        <v>OK</v>
      </c>
      <c r="AL34" s="114" t="s">
        <v>277</v>
      </c>
      <c r="AM34" s="69" t="s">
        <v>317</v>
      </c>
      <c r="AN34" s="69"/>
      <c r="AO34" s="76"/>
      <c r="AP34" s="69" t="str">
        <f aca="false">IF(OR(AN34="",AO34=""),"",IF(AN34&gt;AO34,"OK","LOW CONF"))</f>
        <v/>
      </c>
      <c r="AQ34" s="69"/>
      <c r="AR34" s="76"/>
      <c r="AS34" s="115" t="str">
        <f aca="false">IF(OR(AQ34="",AR34=""),"",IF(AQ34&lt;AR34,"Decreased",IF(AQ34&gt;AR34,"Increased","Flat")))</f>
        <v/>
      </c>
    </row>
    <row r="35" customFormat="false" ht="15" hidden="true" customHeight="true" outlineLevel="1" collapsed="false">
      <c r="A35" s="68" t="s">
        <v>210</v>
      </c>
      <c r="B35" s="69" t="s">
        <v>319</v>
      </c>
      <c r="C35" s="70" t="n">
        <v>46245</v>
      </c>
      <c r="D35" s="69" t="n">
        <v>1</v>
      </c>
      <c r="E35" s="69" t="s">
        <v>265</v>
      </c>
      <c r="F35" s="69" t="n">
        <v>1</v>
      </c>
      <c r="G35" s="69" t="s">
        <v>265</v>
      </c>
      <c r="H35" s="69" t="n">
        <v>2</v>
      </c>
      <c r="I35" s="69" t="s">
        <v>264</v>
      </c>
      <c r="J35" s="69" t="n">
        <v>2</v>
      </c>
      <c r="K35" s="69" t="s">
        <v>264</v>
      </c>
      <c r="L35" s="69" t="n">
        <v>1</v>
      </c>
      <c r="M35" s="69" t="s">
        <v>265</v>
      </c>
      <c r="N35" s="112" t="n">
        <f aca="false">IF(COUNT(D35,F35,H35,J35,L35)=0,"",(D35*0.2+F35*0.15+H35*0.15+J35*0.1+L35*0.1)/0.7)</f>
        <v>1.35714285714286</v>
      </c>
      <c r="O35" s="76" t="n">
        <f aca="false">IF(COUNT(D35,F35,H35,J35,L35)=0,"",D35*0.2+F35*0.15+H35*0.15+J35*0.1+L35*0.1)</f>
        <v>0.95</v>
      </c>
      <c r="P35" s="69"/>
      <c r="Q35" s="69"/>
      <c r="R35" s="69"/>
      <c r="S35" s="69"/>
      <c r="T35" s="69"/>
      <c r="U35" s="69"/>
      <c r="V35" s="69"/>
      <c r="W35" s="69"/>
      <c r="X35" s="98" t="str">
        <f aca="false">IF(COUNT(P35,R35,T35,V35)=0,"",P35*0.08+R35*0.06+T35*0.03+V35*0.08)</f>
        <v/>
      </c>
      <c r="Y35" s="69"/>
      <c r="Z35" s="69"/>
      <c r="AA35" s="69"/>
      <c r="AB35" s="69"/>
      <c r="AC35" s="69"/>
      <c r="AD35" s="69"/>
      <c r="AE35" s="98" t="str">
        <f aca="false">IF(COUNT(Y35,AA35,AC35)=0,"",Y35*0.02+AA35*0.02+AC35*0.01)</f>
        <v/>
      </c>
      <c r="AF35" s="76" t="str">
        <f aca="false">IF(OR(O35="",X35="",AE35=""),"",(O35+X35+AE35)*20)</f>
        <v/>
      </c>
      <c r="AG35" s="76" t="str">
        <f aca="false">IF(AF35="","",IF(AF35&gt;=80,"STRONG BUY",IF(AF35&gt;=65,"BUY",IF(AF35&gt;=50,"WATCH LIST",IF(AF35&gt;=35,"AVOID","PASS")))))</f>
        <v/>
      </c>
      <c r="AH35" s="76" t="str">
        <f aca="false">IF(N35="","",IF(N35&lt;3,"FAIL","OK"))</f>
        <v>FAIL</v>
      </c>
      <c r="AI35" s="76" t="str">
        <f aca="false">IF(COUNT(D35:L35)=0,"",IF(COUNTIF(D35:L35,1)&gt;0,"REVIEW","OK"))</f>
        <v>REVIEW</v>
      </c>
      <c r="AJ35" s="76" t="str">
        <f aca="false">IF(COUNT(D35:L35)=0,"",IF(COUNTIF(D35:L35,"&lt;=2")&gt;=2,"AVOID","OK"))</f>
        <v>AVOID</v>
      </c>
      <c r="AK35" s="76" t="str">
        <f aca="false">IF(COUNTA(E35:M35)=0,"",IF(COUNTIF(E35:M35,"L")&gt;=2,"CAP AT BUY","OK"))</f>
        <v>OK</v>
      </c>
      <c r="AL35" s="114" t="s">
        <v>277</v>
      </c>
      <c r="AM35" s="69" t="s">
        <v>317</v>
      </c>
      <c r="AN35" s="69"/>
      <c r="AO35" s="76"/>
      <c r="AP35" s="69" t="str">
        <f aca="false">IF(OR(AN35="",AO35=""),"",IF(AN35&gt;AO35,"OK","LOW CONF"))</f>
        <v/>
      </c>
      <c r="AQ35" s="69"/>
      <c r="AR35" s="76"/>
      <c r="AS35" s="115" t="str">
        <f aca="false">IF(OR(AQ35="",AR35=""),"",IF(AQ35&lt;AR35,"Decreased",IF(AQ35&gt;AR35,"Increased","Flat")))</f>
        <v/>
      </c>
    </row>
    <row r="36" customFormat="false" ht="15" hidden="false" customHeight="true" outlineLevel="0" collapsed="false">
      <c r="A36" s="68" t="s">
        <v>213</v>
      </c>
      <c r="B36" s="69" t="s">
        <v>320</v>
      </c>
      <c r="C36" s="70" t="n">
        <v>46245</v>
      </c>
      <c r="D36" s="69" t="n">
        <v>5</v>
      </c>
      <c r="E36" s="69" t="s">
        <v>265</v>
      </c>
      <c r="F36" s="69" t="n">
        <v>4</v>
      </c>
      <c r="G36" s="69" t="s">
        <v>265</v>
      </c>
      <c r="H36" s="69" t="n">
        <v>4</v>
      </c>
      <c r="I36" s="69" t="s">
        <v>264</v>
      </c>
      <c r="J36" s="69" t="n">
        <v>4</v>
      </c>
      <c r="K36" s="69" t="s">
        <v>265</v>
      </c>
      <c r="L36" s="69" t="n">
        <v>4</v>
      </c>
      <c r="M36" s="69" t="s">
        <v>265</v>
      </c>
      <c r="N36" s="112" t="n">
        <f aca="false">IF(COUNT(D36,F36,H36,J36,L36)=0,"",(D36*0.2+F36*0.15+H36*0.15+J36*0.1+L36*0.1)/0.7)</f>
        <v>4.28571428571429</v>
      </c>
      <c r="O36" s="76" t="n">
        <f aca="false">IF(COUNT(D36,F36,H36,J36,L36)=0,"",D36*0.2+F36*0.15+H36*0.15+J36*0.1+L36*0.1)</f>
        <v>3</v>
      </c>
      <c r="P36" s="69"/>
      <c r="Q36" s="69"/>
      <c r="R36" s="69"/>
      <c r="S36" s="69"/>
      <c r="T36" s="69"/>
      <c r="U36" s="69"/>
      <c r="V36" s="69"/>
      <c r="W36" s="69"/>
      <c r="X36" s="98" t="str">
        <f aca="false">IF(COUNT(P36,R36,T36,V36)=0,"",P36*0.08+R36*0.06+T36*0.03+V36*0.08)</f>
        <v/>
      </c>
      <c r="Y36" s="69"/>
      <c r="Z36" s="69"/>
      <c r="AA36" s="69"/>
      <c r="AB36" s="69"/>
      <c r="AC36" s="69"/>
      <c r="AD36" s="69"/>
      <c r="AE36" s="98" t="str">
        <f aca="false">IF(COUNT(Y36,AA36,AC36)=0,"",Y36*0.02+AA36*0.02+AC36*0.01)</f>
        <v/>
      </c>
      <c r="AF36" s="76" t="str">
        <f aca="false">IF(OR(O36="",X36="",AE36=""),"",(O36+X36+AE36)*20)</f>
        <v/>
      </c>
      <c r="AG36" s="76" t="str">
        <f aca="false">IF(AF36="","",IF(AF36&gt;=80,"STRONG BUY",IF(AF36&gt;=65,"BUY",IF(AF36&gt;=50,"WATCH LIST",IF(AF36&gt;=35,"AVOID","PASS")))))</f>
        <v/>
      </c>
      <c r="AH36" s="76" t="str">
        <f aca="false">IF(N36="","",IF(N36&lt;3,"FAIL","OK"))</f>
        <v>OK</v>
      </c>
      <c r="AI36" s="76" t="str">
        <f aca="false">IF(COUNT(D36:L36)=0,"",IF(COUNTIF(D36:L36,1)&gt;0,"REVIEW","OK"))</f>
        <v>OK</v>
      </c>
      <c r="AJ36" s="76" t="str">
        <f aca="false">IF(COUNT(D36:L36)=0,"",IF(COUNTIF(D36:L36,"&lt;=2")&gt;=2,"AVOID","OK"))</f>
        <v>OK</v>
      </c>
      <c r="AK36" s="76" t="str">
        <f aca="false">IF(COUNTA(E36:M36)=0,"",IF(COUNTIF(E36:M36,"L")&gt;=2,"CAP AT BUY","OK"))</f>
        <v>OK</v>
      </c>
      <c r="AL36" s="114" t="s">
        <v>277</v>
      </c>
      <c r="AM36" s="69" t="s">
        <v>317</v>
      </c>
      <c r="AN36" s="69"/>
      <c r="AO36" s="76"/>
      <c r="AP36" s="69" t="str">
        <f aca="false">IF(OR(AN36="",AO36=""),"",IF(AN36&gt;AO36,"OK","LOW CONF"))</f>
        <v/>
      </c>
      <c r="AQ36" s="69"/>
      <c r="AR36" s="76"/>
      <c r="AS36" s="115" t="str">
        <f aca="false">IF(OR(AQ36="",AR36=""),"",IF(AQ36&lt;AR36,"Decreased",IF(AQ36&gt;AR36,"Increased","Flat")))</f>
        <v/>
      </c>
    </row>
    <row r="37" customFormat="false" ht="15" hidden="true" customHeight="true" outlineLevel="1" collapsed="false">
      <c r="A37" s="68" t="s">
        <v>206</v>
      </c>
      <c r="B37" s="69" t="s">
        <v>321</v>
      </c>
      <c r="C37" s="70" t="n">
        <v>46246</v>
      </c>
      <c r="D37" s="69" t="n">
        <v>1</v>
      </c>
      <c r="E37" s="69" t="s">
        <v>265</v>
      </c>
      <c r="F37" s="69" t="n">
        <v>1</v>
      </c>
      <c r="G37" s="69" t="s">
        <v>265</v>
      </c>
      <c r="H37" s="69" t="n">
        <v>3</v>
      </c>
      <c r="I37" s="69" t="s">
        <v>264</v>
      </c>
      <c r="J37" s="69" t="n">
        <v>2</v>
      </c>
      <c r="K37" s="69" t="s">
        <v>264</v>
      </c>
      <c r="L37" s="69" t="n">
        <v>1</v>
      </c>
      <c r="M37" s="69" t="s">
        <v>265</v>
      </c>
      <c r="N37" s="112" t="n">
        <f aca="false">IF(COUNT(D37,F37,H37,J37,L37)=0,"",(D37*0.2+F37*0.15+H37*0.15+J37*0.1+L37*0.1)/0.7)</f>
        <v>1.57142857142857</v>
      </c>
      <c r="O37" s="76" t="n">
        <f aca="false">IF(COUNT(D37,F37,H37,J37,L37)=0,"",D37*0.2+F37*0.15+H37*0.15+J37*0.1+L37*0.1)</f>
        <v>1.1</v>
      </c>
      <c r="P37" s="69"/>
      <c r="Q37" s="69"/>
      <c r="R37" s="69"/>
      <c r="S37" s="69"/>
      <c r="T37" s="69"/>
      <c r="U37" s="69"/>
      <c r="V37" s="69"/>
      <c r="W37" s="69"/>
      <c r="X37" s="98" t="str">
        <f aca="false">IF(COUNT(P37,R37,T37,V37)=0,"",P37*0.08+R37*0.06+T37*0.03+V37*0.08)</f>
        <v/>
      </c>
      <c r="Y37" s="69"/>
      <c r="Z37" s="69"/>
      <c r="AA37" s="69"/>
      <c r="AB37" s="69"/>
      <c r="AC37" s="69"/>
      <c r="AD37" s="69"/>
      <c r="AE37" s="98" t="str">
        <f aca="false">IF(COUNT(Y37,AA37,AC37)=0,"",Y37*0.02+AA37*0.02+AC37*0.01)</f>
        <v/>
      </c>
      <c r="AF37" s="76" t="str">
        <f aca="false">IF(OR(O37="",X37="",AE37=""),"",(O37+X37+AE37)*20)</f>
        <v/>
      </c>
      <c r="AG37" s="76" t="str">
        <f aca="false">IF(AF37="","",IF(AF37&gt;=80,"STRONG BUY",IF(AF37&gt;=65,"BUY",IF(AF37&gt;=50,"WATCH LIST",IF(AF37&gt;=35,"AVOID","PASS")))))</f>
        <v/>
      </c>
      <c r="AH37" s="76" t="str">
        <f aca="false">IF(N37="","",IF(N37&lt;3,"FAIL","OK"))</f>
        <v>FAIL</v>
      </c>
      <c r="AI37" s="76" t="str">
        <f aca="false">IF(COUNT(D37:L37)=0,"",IF(COUNTIF(D37:L37,1)&gt;0,"REVIEW","OK"))</f>
        <v>REVIEW</v>
      </c>
      <c r="AJ37" s="76" t="str">
        <f aca="false">IF(COUNT(D37:L37)=0,"",IF(COUNTIF(D37:L37,"&lt;=2")&gt;=2,"AVOID","OK"))</f>
        <v>AVOID</v>
      </c>
      <c r="AK37" s="76" t="str">
        <f aca="false">IF(COUNTA(E37:M37)=0,"",IF(COUNTIF(E37:M37,"L")&gt;=2,"CAP AT BUY","OK"))</f>
        <v>OK</v>
      </c>
      <c r="AL37" s="114" t="s">
        <v>277</v>
      </c>
      <c r="AM37" s="69" t="s">
        <v>278</v>
      </c>
      <c r="AN37" s="69"/>
      <c r="AO37" s="76"/>
      <c r="AP37" s="69" t="str">
        <f aca="false">IF(OR(AN37="",AO37=""),"",IF(AN37&gt;AO37,"OK","LOW CONF"))</f>
        <v/>
      </c>
      <c r="AQ37" s="69"/>
      <c r="AR37" s="76"/>
      <c r="AS37" s="115" t="str">
        <f aca="false">IF(OR(AQ37="",AR37=""),"",IF(AQ37&lt;AR37,"Decreased",IF(AQ37&gt;AR37,"Increased","Flat")))</f>
        <v/>
      </c>
    </row>
    <row r="38" customFormat="false" ht="15" hidden="true" customHeight="true" outlineLevel="1" collapsed="false">
      <c r="A38" s="68" t="s">
        <v>212</v>
      </c>
      <c r="B38" s="69" t="s">
        <v>322</v>
      </c>
      <c r="C38" s="70" t="n">
        <v>46246</v>
      </c>
      <c r="D38" s="69" t="n">
        <v>3</v>
      </c>
      <c r="E38" s="69" t="s">
        <v>264</v>
      </c>
      <c r="F38" s="69" t="n">
        <v>3</v>
      </c>
      <c r="G38" s="69" t="s">
        <v>264</v>
      </c>
      <c r="H38" s="69" t="n">
        <v>3</v>
      </c>
      <c r="I38" s="69" t="s">
        <v>264</v>
      </c>
      <c r="J38" s="69" t="n">
        <v>2</v>
      </c>
      <c r="K38" s="69" t="s">
        <v>264</v>
      </c>
      <c r="L38" s="69" t="n">
        <v>3</v>
      </c>
      <c r="M38" s="69" t="s">
        <v>264</v>
      </c>
      <c r="N38" s="112" t="n">
        <f aca="false">IF(COUNT(D38,F38,H38,J38,L38)=0,"",(D38*0.2+F38*0.15+H38*0.15+J38*0.1+L38*0.1)/0.7)</f>
        <v>2.85714285714286</v>
      </c>
      <c r="O38" s="76" t="n">
        <f aca="false">IF(COUNT(D38,F38,H38,J38,L38)=0,"",D38*0.2+F38*0.15+H38*0.15+J38*0.1+L38*0.1)</f>
        <v>2</v>
      </c>
      <c r="P38" s="69"/>
      <c r="Q38" s="69"/>
      <c r="R38" s="69"/>
      <c r="S38" s="69"/>
      <c r="T38" s="69"/>
      <c r="U38" s="69"/>
      <c r="V38" s="69"/>
      <c r="W38" s="69"/>
      <c r="X38" s="98" t="str">
        <f aca="false">IF(COUNT(P38,R38,T38,V38)=0,"",P38*0.08+R38*0.06+T38*0.03+V38*0.08)</f>
        <v/>
      </c>
      <c r="Y38" s="69"/>
      <c r="Z38" s="69"/>
      <c r="AA38" s="69"/>
      <c r="AB38" s="69"/>
      <c r="AC38" s="69"/>
      <c r="AD38" s="69"/>
      <c r="AE38" s="98" t="str">
        <f aca="false">IF(COUNT(Y38,AA38,AC38)=0,"",Y38*0.02+AA38*0.02+AC38*0.01)</f>
        <v/>
      </c>
      <c r="AF38" s="76" t="str">
        <f aca="false">IF(OR(O38="",X38="",AE38=""),"",(O38+X38+AE38)*20)</f>
        <v/>
      </c>
      <c r="AG38" s="76" t="str">
        <f aca="false">IF(AF38="","",IF(AF38&gt;=80,"STRONG BUY",IF(AF38&gt;=65,"BUY",IF(AF38&gt;=50,"WATCH LIST",IF(AF38&gt;=35,"AVOID","PASS")))))</f>
        <v/>
      </c>
      <c r="AH38" s="76" t="str">
        <f aca="false">IF(N38="","",IF(N38&lt;3,"FAIL","OK"))</f>
        <v>FAIL</v>
      </c>
      <c r="AI38" s="76" t="str">
        <f aca="false">IF(COUNT(D38:L38)=0,"",IF(COUNTIF(D38:L38,1)&gt;0,"REVIEW","OK"))</f>
        <v>OK</v>
      </c>
      <c r="AJ38" s="76" t="str">
        <f aca="false">IF(COUNT(D38:L38)=0,"",IF(COUNTIF(D38:L38,"&lt;=2")&gt;=2,"AVOID","OK"))</f>
        <v>OK</v>
      </c>
      <c r="AK38" s="76" t="str">
        <f aca="false">IF(COUNTA(E38:M38)=0,"",IF(COUNTIF(E38:M38,"L")&gt;=2,"CAP AT BUY","OK"))</f>
        <v>OK</v>
      </c>
      <c r="AL38" s="114" t="s">
        <v>277</v>
      </c>
      <c r="AM38" s="69" t="s">
        <v>323</v>
      </c>
      <c r="AN38" s="69"/>
      <c r="AO38" s="76"/>
      <c r="AP38" s="69" t="str">
        <f aca="false">IF(OR(AN38="",AO38=""),"",IF(AN38&gt;AO38,"OK","LOW CONF"))</f>
        <v/>
      </c>
      <c r="AQ38" s="69"/>
      <c r="AR38" s="76"/>
      <c r="AS38" s="115" t="str">
        <f aca="false">IF(OR(AQ38="",AR38=""),"",IF(AQ38&lt;AR38,"Decreased",IF(AQ38&gt;AR38,"Increased","Flat")))</f>
        <v/>
      </c>
    </row>
    <row r="39" customFormat="false" ht="15" hidden="true" customHeight="true" outlineLevel="1" collapsed="false">
      <c r="A39" s="68" t="s">
        <v>200</v>
      </c>
      <c r="B39" s="69" t="s">
        <v>324</v>
      </c>
      <c r="C39" s="70" t="n">
        <v>46246</v>
      </c>
      <c r="D39" s="69" t="n">
        <v>2</v>
      </c>
      <c r="E39" s="69" t="s">
        <v>266</v>
      </c>
      <c r="F39" s="69" t="n">
        <v>4</v>
      </c>
      <c r="G39" s="69" t="s">
        <v>265</v>
      </c>
      <c r="H39" s="69" t="n">
        <v>3</v>
      </c>
      <c r="I39" s="69" t="s">
        <v>264</v>
      </c>
      <c r="J39" s="69" t="n">
        <v>2</v>
      </c>
      <c r="K39" s="69" t="s">
        <v>264</v>
      </c>
      <c r="L39" s="69" t="n">
        <v>1</v>
      </c>
      <c r="M39" s="69" t="s">
        <v>265</v>
      </c>
      <c r="N39" s="112" t="n">
        <f aca="false">IF(COUNT(D39,F39,H39,J39,L39)=0,"",(D39*0.2+F39*0.15+H39*0.15+J39*0.1+L39*0.1)/0.7)</f>
        <v>2.5</v>
      </c>
      <c r="O39" s="76" t="n">
        <f aca="false">IF(COUNT(D39,F39,H39,J39,L39)=0,"",D39*0.2+F39*0.15+H39*0.15+J39*0.1+L39*0.1)</f>
        <v>1.75</v>
      </c>
      <c r="P39" s="69"/>
      <c r="Q39" s="69"/>
      <c r="R39" s="69"/>
      <c r="S39" s="69"/>
      <c r="T39" s="69"/>
      <c r="U39" s="69"/>
      <c r="V39" s="69"/>
      <c r="W39" s="69"/>
      <c r="X39" s="98" t="str">
        <f aca="false">IF(COUNT(P39,R39,T39,V39)=0,"",P39*0.08+R39*0.06+T39*0.03+V39*0.08)</f>
        <v/>
      </c>
      <c r="Y39" s="69"/>
      <c r="Z39" s="69"/>
      <c r="AA39" s="69"/>
      <c r="AB39" s="69"/>
      <c r="AC39" s="69"/>
      <c r="AD39" s="69"/>
      <c r="AE39" s="98" t="str">
        <f aca="false">IF(COUNT(Y39,AA39,AC39)=0,"",Y39*0.02+AA39*0.02+AC39*0.01)</f>
        <v/>
      </c>
      <c r="AF39" s="76" t="str">
        <f aca="false">IF(OR(O39="",X39="",AE39=""),"",(O39+X39+AE39)*20)</f>
        <v/>
      </c>
      <c r="AG39" s="76" t="str">
        <f aca="false">IF(AF39="","",IF(AF39&gt;=80,"STRONG BUY",IF(AF39&gt;=65,"BUY",IF(AF39&gt;=50,"WATCH LIST",IF(AF39&gt;=35,"AVOID","PASS")))))</f>
        <v/>
      </c>
      <c r="AH39" s="76" t="str">
        <f aca="false">IF(N39="","",IF(N39&lt;3,"FAIL","OK"))</f>
        <v>FAIL</v>
      </c>
      <c r="AI39" s="76" t="str">
        <f aca="false">IF(COUNT(D39:L39)=0,"",IF(COUNTIF(D39:L39,1)&gt;0,"REVIEW","OK"))</f>
        <v>REVIEW</v>
      </c>
      <c r="AJ39" s="76" t="str">
        <f aca="false">IF(COUNT(D39:L39)=0,"",IF(COUNTIF(D39:L39,"&lt;=2")&gt;=2,"AVOID","OK"))</f>
        <v>AVOID</v>
      </c>
      <c r="AK39" s="76" t="str">
        <f aca="false">IF(COUNTA(E39:M39)=0,"",IF(COUNTIF(E39:M39,"L")&gt;=2,"CAP AT BUY","OK"))</f>
        <v>OK</v>
      </c>
      <c r="AL39" s="114" t="s">
        <v>277</v>
      </c>
      <c r="AM39" s="69" t="s">
        <v>323</v>
      </c>
      <c r="AN39" s="69"/>
      <c r="AO39" s="76"/>
      <c r="AP39" s="69" t="str">
        <f aca="false">IF(OR(AN39="",AO39=""),"",IF(AN39&gt;AO39,"OK","LOW CONF"))</f>
        <v/>
      </c>
      <c r="AQ39" s="69"/>
      <c r="AR39" s="76"/>
      <c r="AS39" s="115" t="str">
        <f aca="false">IF(OR(AQ39="",AR39=""),"",IF(AQ39&lt;AR39,"Decreased",IF(AQ39&gt;AR39,"Increased","Flat")))</f>
        <v/>
      </c>
    </row>
    <row r="40" customFormat="false" ht="15" hidden="true" customHeight="true" outlineLevel="1" collapsed="false">
      <c r="A40" s="68" t="s">
        <v>183</v>
      </c>
      <c r="B40" s="69" t="s">
        <v>325</v>
      </c>
      <c r="C40" s="70" t="n">
        <v>46246</v>
      </c>
      <c r="D40" s="69" t="n">
        <v>1</v>
      </c>
      <c r="E40" s="69" t="s">
        <v>265</v>
      </c>
      <c r="F40" s="69" t="n">
        <v>1</v>
      </c>
      <c r="G40" s="69" t="s">
        <v>265</v>
      </c>
      <c r="H40" s="69" t="n">
        <v>2</v>
      </c>
      <c r="I40" s="69" t="s">
        <v>264</v>
      </c>
      <c r="J40" s="69" t="n">
        <v>2</v>
      </c>
      <c r="K40" s="69" t="s">
        <v>264</v>
      </c>
      <c r="L40" s="69" t="n">
        <v>1</v>
      </c>
      <c r="M40" s="69" t="s">
        <v>265</v>
      </c>
      <c r="N40" s="112" t="n">
        <f aca="false">IF(COUNT(D40,F40,H40,J40,L40)=0,"",(D40*0.2+F40*0.15+H40*0.15+J40*0.1+L40*0.1)/0.7)</f>
        <v>1.35714285714286</v>
      </c>
      <c r="O40" s="76" t="n">
        <f aca="false">IF(COUNT(D40,F40,H40,J40,L40)=0,"",D40*0.2+F40*0.15+H40*0.15+J40*0.1+L40*0.1)</f>
        <v>0.95</v>
      </c>
      <c r="P40" s="69"/>
      <c r="Q40" s="69"/>
      <c r="R40" s="69"/>
      <c r="S40" s="69"/>
      <c r="T40" s="69"/>
      <c r="U40" s="69"/>
      <c r="V40" s="69"/>
      <c r="W40" s="69"/>
      <c r="X40" s="98" t="str">
        <f aca="false">IF(COUNT(P40,R40,T40,V40)=0,"",P40*0.08+R40*0.06+T40*0.03+V40*0.08)</f>
        <v/>
      </c>
      <c r="Y40" s="69"/>
      <c r="Z40" s="69"/>
      <c r="AA40" s="69"/>
      <c r="AB40" s="69"/>
      <c r="AC40" s="69"/>
      <c r="AD40" s="69"/>
      <c r="AE40" s="98" t="str">
        <f aca="false">IF(COUNT(Y40,AA40,AC40)=0,"",Y40*0.02+AA40*0.02+AC40*0.01)</f>
        <v/>
      </c>
      <c r="AF40" s="76" t="str">
        <f aca="false">IF(OR(O40="",X40="",AE40=""),"",(O40+X40+AE40)*20)</f>
        <v/>
      </c>
      <c r="AG40" s="76" t="str">
        <f aca="false">IF(AF40="","",IF(AF40&gt;=80,"STRONG BUY",IF(AF40&gt;=65,"BUY",IF(AF40&gt;=50,"WATCH LIST",IF(AF40&gt;=35,"AVOID","PASS")))))</f>
        <v/>
      </c>
      <c r="AH40" s="76" t="str">
        <f aca="false">IF(N40="","",IF(N40&lt;3,"FAIL","OK"))</f>
        <v>FAIL</v>
      </c>
      <c r="AI40" s="76" t="str">
        <f aca="false">IF(COUNT(D40:L40)=0,"",IF(COUNTIF(D40:L40,1)&gt;0,"REVIEW","OK"))</f>
        <v>REVIEW</v>
      </c>
      <c r="AJ40" s="76" t="str">
        <f aca="false">IF(COUNT(D40:L40)=0,"",IF(COUNTIF(D40:L40,"&lt;=2")&gt;=2,"AVOID","OK"))</f>
        <v>AVOID</v>
      </c>
      <c r="AK40" s="76" t="str">
        <f aca="false">IF(COUNTA(E40:M40)=0,"",IF(COUNTIF(E40:M40,"L")&gt;=2,"CAP AT BUY","OK"))</f>
        <v>OK</v>
      </c>
      <c r="AL40" s="114" t="s">
        <v>277</v>
      </c>
      <c r="AM40" s="69" t="s">
        <v>326</v>
      </c>
      <c r="AN40" s="69"/>
      <c r="AO40" s="76"/>
      <c r="AP40" s="69" t="str">
        <f aca="false">IF(OR(AN40="",AO40=""),"",IF(AN40&gt;AO40,"OK","LOW CONF"))</f>
        <v/>
      </c>
      <c r="AQ40" s="69"/>
      <c r="AR40" s="76"/>
      <c r="AS40" s="115" t="str">
        <f aca="false">IF(OR(AQ40="",AR40=""),"",IF(AQ40&lt;AR40,"Decreased",IF(AQ40&gt;AR40,"Increased","Flat")))</f>
        <v/>
      </c>
    </row>
    <row r="41" customFormat="false" ht="15" hidden="true" customHeight="true" outlineLevel="1" collapsed="false">
      <c r="A41" s="68" t="s">
        <v>185</v>
      </c>
      <c r="B41" s="69" t="s">
        <v>327</v>
      </c>
      <c r="C41" s="70" t="n">
        <v>46246</v>
      </c>
      <c r="D41" s="69" t="n">
        <v>2</v>
      </c>
      <c r="E41" s="69" t="s">
        <v>264</v>
      </c>
      <c r="F41" s="69" t="n">
        <v>3</v>
      </c>
      <c r="G41" s="69" t="s">
        <v>265</v>
      </c>
      <c r="H41" s="69" t="n">
        <v>4</v>
      </c>
      <c r="I41" s="69" t="s">
        <v>264</v>
      </c>
      <c r="J41" s="69" t="n">
        <v>3</v>
      </c>
      <c r="K41" s="69" t="s">
        <v>264</v>
      </c>
      <c r="L41" s="69" t="n">
        <v>2</v>
      </c>
      <c r="M41" s="69" t="s">
        <v>265</v>
      </c>
      <c r="N41" s="112" t="n">
        <f aca="false">IF(COUNT(D41,F41,H41,J41,L41)=0,"",(D41*0.2+F41*0.15+H41*0.15+J41*0.1+L41*0.1)/0.7)</f>
        <v>2.78571428571429</v>
      </c>
      <c r="O41" s="76" t="n">
        <f aca="false">IF(COUNT(D41,F41,H41,J41,L41)=0,"",D41*0.2+F41*0.15+H41*0.15+J41*0.1+L41*0.1)</f>
        <v>1.95</v>
      </c>
      <c r="P41" s="69"/>
      <c r="Q41" s="69"/>
      <c r="R41" s="69"/>
      <c r="S41" s="69"/>
      <c r="T41" s="69"/>
      <c r="U41" s="69"/>
      <c r="V41" s="69"/>
      <c r="W41" s="69"/>
      <c r="X41" s="98" t="str">
        <f aca="false">IF(COUNT(P41,R41,T41,V41)=0,"",P41*0.08+R41*0.06+T41*0.03+V41*0.08)</f>
        <v/>
      </c>
      <c r="Y41" s="69"/>
      <c r="Z41" s="69"/>
      <c r="AA41" s="69"/>
      <c r="AB41" s="69"/>
      <c r="AC41" s="69"/>
      <c r="AD41" s="69"/>
      <c r="AE41" s="98" t="str">
        <f aca="false">IF(COUNT(Y41,AA41,AC41)=0,"",Y41*0.02+AA41*0.02+AC41*0.01)</f>
        <v/>
      </c>
      <c r="AF41" s="76" t="str">
        <f aca="false">IF(OR(O41="",X41="",AE41=""),"",(O41+X41+AE41)*20)</f>
        <v/>
      </c>
      <c r="AG41" s="76" t="str">
        <f aca="false">IF(AF41="","",IF(AF41&gt;=80,"STRONG BUY",IF(AF41&gt;=65,"BUY",IF(AF41&gt;=50,"WATCH LIST",IF(AF41&gt;=35,"AVOID","PASS")))))</f>
        <v/>
      </c>
      <c r="AH41" s="76" t="str">
        <f aca="false">IF(N41="","",IF(N41&lt;3,"FAIL","OK"))</f>
        <v>FAIL</v>
      </c>
      <c r="AI41" s="76" t="str">
        <f aca="false">IF(COUNT(D41:L41)=0,"",IF(COUNTIF(D41:L41,1)&gt;0,"REVIEW","OK"))</f>
        <v>OK</v>
      </c>
      <c r="AJ41" s="76" t="str">
        <f aca="false">IF(COUNT(D41:L41)=0,"",IF(COUNTIF(D41:L41,"&lt;=2")&gt;=2,"AVOID","OK"))</f>
        <v>AVOID</v>
      </c>
      <c r="AK41" s="76" t="str">
        <f aca="false">IF(COUNTA(E41:M41)=0,"",IF(COUNTIF(E41:M41,"L")&gt;=2,"CAP AT BUY","OK"))</f>
        <v>OK</v>
      </c>
      <c r="AL41" s="114" t="s">
        <v>277</v>
      </c>
      <c r="AM41" s="69" t="s">
        <v>328</v>
      </c>
      <c r="AN41" s="69"/>
      <c r="AO41" s="76"/>
      <c r="AP41" s="69" t="str">
        <f aca="false">IF(OR(AN41="",AO41=""),"",IF(AN41&gt;AO41,"OK","LOW CONF"))</f>
        <v/>
      </c>
      <c r="AQ41" s="69"/>
      <c r="AR41" s="76"/>
      <c r="AS41" s="115" t="str">
        <f aca="false">IF(OR(AQ41="",AR41=""),"",IF(AQ41&lt;AR41,"Decreased",IF(AQ41&gt;AR41,"Increased","Flat")))</f>
        <v/>
      </c>
    </row>
    <row r="42" customFormat="false" ht="15" hidden="false" customHeight="true" outlineLevel="0" collapsed="false">
      <c r="A42" s="68" t="s">
        <v>198</v>
      </c>
      <c r="B42" s="69" t="s">
        <v>329</v>
      </c>
      <c r="C42" s="70" t="n">
        <v>46246</v>
      </c>
      <c r="D42" s="69" t="n">
        <v>4</v>
      </c>
      <c r="E42" s="69" t="s">
        <v>265</v>
      </c>
      <c r="F42" s="69" t="n">
        <v>3</v>
      </c>
      <c r="G42" s="69" t="s">
        <v>265</v>
      </c>
      <c r="H42" s="69" t="n">
        <v>3</v>
      </c>
      <c r="I42" s="69" t="s">
        <v>264</v>
      </c>
      <c r="J42" s="69" t="n">
        <v>3</v>
      </c>
      <c r="K42" s="69" t="s">
        <v>264</v>
      </c>
      <c r="L42" s="69" t="n">
        <v>4</v>
      </c>
      <c r="M42" s="69" t="s">
        <v>265</v>
      </c>
      <c r="N42" s="112" t="n">
        <f aca="false">IF(COUNT(D42,F42,H42,J42,L42)=0,"",(D42*0.2+F42*0.15+H42*0.15+J42*0.1+L42*0.1)/0.7)</f>
        <v>3.42857142857143</v>
      </c>
      <c r="O42" s="76" t="n">
        <f aca="false">IF(COUNT(D42,F42,H42,J42,L42)=0,"",D42*0.2+F42*0.15+H42*0.15+J42*0.1+L42*0.1)</f>
        <v>2.4</v>
      </c>
      <c r="P42" s="69"/>
      <c r="Q42" s="69"/>
      <c r="R42" s="69"/>
      <c r="S42" s="69"/>
      <c r="T42" s="69"/>
      <c r="U42" s="69"/>
      <c r="V42" s="69"/>
      <c r="W42" s="69"/>
      <c r="X42" s="98" t="str">
        <f aca="false">IF(COUNT(P42,R42,T42,V42)=0,"",P42*0.08+R42*0.06+T42*0.03+V42*0.08)</f>
        <v/>
      </c>
      <c r="Y42" s="69"/>
      <c r="Z42" s="69"/>
      <c r="AA42" s="69"/>
      <c r="AB42" s="69"/>
      <c r="AC42" s="69"/>
      <c r="AD42" s="69"/>
      <c r="AE42" s="98" t="str">
        <f aca="false">IF(COUNT(Y42,AA42,AC42)=0,"",Y42*0.02+AA42*0.02+AC42*0.01)</f>
        <v/>
      </c>
      <c r="AF42" s="76" t="str">
        <f aca="false">IF(OR(O42="",X42="",AE42=""),"",(O42+X42+AE42)*20)</f>
        <v/>
      </c>
      <c r="AG42" s="76" t="str">
        <f aca="false">IF(AF42="","",IF(AF42&gt;=80,"STRONG BUY",IF(AF42&gt;=65,"BUY",IF(AF42&gt;=50,"WATCH LIST",IF(AF42&gt;=35,"AVOID","PASS")))))</f>
        <v/>
      </c>
      <c r="AH42" s="76" t="str">
        <f aca="false">IF(N42="","",IF(N42&lt;3,"FAIL","OK"))</f>
        <v>OK</v>
      </c>
      <c r="AI42" s="76" t="str">
        <f aca="false">IF(COUNT(D42:L42)=0,"",IF(COUNTIF(D42:L42,1)&gt;0,"REVIEW","OK"))</f>
        <v>OK</v>
      </c>
      <c r="AJ42" s="76" t="str">
        <f aca="false">IF(COUNT(D42:L42)=0,"",IF(COUNTIF(D42:L42,"&lt;=2")&gt;=2,"AVOID","OK"))</f>
        <v>OK</v>
      </c>
      <c r="AK42" s="76" t="str">
        <f aca="false">IF(COUNTA(E42:M42)=0,"",IF(COUNTIF(E42:M42,"L")&gt;=2,"CAP AT BUY","OK"))</f>
        <v>OK</v>
      </c>
      <c r="AL42" s="114" t="s">
        <v>277</v>
      </c>
      <c r="AM42" s="69" t="s">
        <v>328</v>
      </c>
      <c r="AN42" s="69"/>
      <c r="AO42" s="76"/>
      <c r="AP42" s="69" t="str">
        <f aca="false">IF(OR(AN42="",AO42=""),"",IF(AN42&gt;AO42,"OK","LOW CONF"))</f>
        <v/>
      </c>
      <c r="AQ42" s="69"/>
      <c r="AR42" s="76"/>
      <c r="AS42" s="115" t="str">
        <f aca="false">IF(OR(AQ42="",AR42=""),"",IF(AQ42&lt;AR42,"Decreased",IF(AQ42&gt;AR42,"Increased","Flat")))</f>
        <v/>
      </c>
    </row>
    <row r="43" customFormat="false" ht="15" hidden="false" customHeight="true" outlineLevel="0" collapsed="false">
      <c r="A43" s="68" t="s">
        <v>199</v>
      </c>
      <c r="B43" s="69" t="s">
        <v>330</v>
      </c>
      <c r="C43" s="70" t="n">
        <v>46247</v>
      </c>
      <c r="D43" s="69" t="n">
        <v>3</v>
      </c>
      <c r="E43" s="69" t="s">
        <v>264</v>
      </c>
      <c r="F43" s="69" t="n">
        <v>5</v>
      </c>
      <c r="G43" s="69" t="s">
        <v>264</v>
      </c>
      <c r="H43" s="69" t="n">
        <v>5</v>
      </c>
      <c r="I43" s="69" t="s">
        <v>264</v>
      </c>
      <c r="J43" s="69" t="n">
        <v>4</v>
      </c>
      <c r="K43" s="69" t="s">
        <v>264</v>
      </c>
      <c r="L43" s="69" t="n">
        <v>2</v>
      </c>
      <c r="M43" s="69" t="s">
        <v>264</v>
      </c>
      <c r="N43" s="112" t="n">
        <f aca="false">IF(COUNT(D43,F43,H43,J43,L43)=0,"",(D43*0.2+F43*0.15+H43*0.15+J43*0.1+L43*0.1)/0.7)</f>
        <v>3.85714285714286</v>
      </c>
      <c r="O43" s="76" t="n">
        <f aca="false">IF(COUNT(D43,F43,H43,J43,L43)=0,"",D43*0.2+F43*0.15+H43*0.15+J43*0.1+L43*0.1)</f>
        <v>2.7</v>
      </c>
      <c r="P43" s="69"/>
      <c r="Q43" s="69"/>
      <c r="R43" s="69"/>
      <c r="S43" s="69"/>
      <c r="T43" s="69"/>
      <c r="U43" s="69"/>
      <c r="V43" s="69"/>
      <c r="W43" s="69"/>
      <c r="X43" s="98" t="str">
        <f aca="false">IF(COUNT(P43,R43,T43,V43)=0,"",P43*0.08+R43*0.06+T43*0.03+V43*0.08)</f>
        <v/>
      </c>
      <c r="Y43" s="69"/>
      <c r="Z43" s="69"/>
      <c r="AA43" s="69" t="n">
        <v>4</v>
      </c>
      <c r="AB43" s="69" t="s">
        <v>264</v>
      </c>
      <c r="AC43" s="69"/>
      <c r="AD43" s="69"/>
      <c r="AE43" s="98" t="n">
        <f aca="false">IF(COUNT(Y43,AA43,AC43)=0,"",Y43*0.02+AA43*0.02+AC43*0.01)</f>
        <v>0.08</v>
      </c>
      <c r="AF43" s="76" t="str">
        <f aca="false">IF(OR(O43="",X43="",AE43=""),"",(O43+X43+AE43)*20)</f>
        <v/>
      </c>
      <c r="AG43" s="76" t="str">
        <f aca="false">IF(AF43="","",IF(AF43&gt;=80,"STRONG BUY",IF(AF43&gt;=65,"BUY",IF(AF43&gt;=50,"WATCH LIST",IF(AF43&gt;=35,"AVOID","PASS")))))</f>
        <v/>
      </c>
      <c r="AH43" s="76" t="str">
        <f aca="false">IF(N43="","",IF(N43&lt;3,"FAIL","OK"))</f>
        <v>OK</v>
      </c>
      <c r="AI43" s="76" t="str">
        <f aca="false">IF(COUNT(D43:L43)=0,"",IF(COUNTIF(D43:L43,1)&gt;0,"REVIEW","OK"))</f>
        <v>OK</v>
      </c>
      <c r="AJ43" s="76" t="str">
        <f aca="false">IF(COUNT(D43:L43)=0,"",IF(COUNTIF(D43:L43,"&lt;=2")&gt;=2,"AVOID","OK"))</f>
        <v>OK</v>
      </c>
      <c r="AK43" s="76" t="str">
        <f aca="false">IF(COUNTA(E43:M43)=0,"",IF(COUNTIF(E43:M43,"L")&gt;=2,"CAP AT BUY","OK"))</f>
        <v>OK</v>
      </c>
      <c r="AL43" s="114" t="s">
        <v>284</v>
      </c>
      <c r="AM43" s="69" t="s">
        <v>331</v>
      </c>
      <c r="AN43" s="69"/>
      <c r="AO43" s="76"/>
      <c r="AP43" s="69" t="str">
        <f aca="false">IF(OR(AN43="",AO43=""),"",IF(AN43&gt;AO43,"OK","LOW CONF"))</f>
        <v/>
      </c>
      <c r="AQ43" s="69"/>
      <c r="AR43" s="76"/>
      <c r="AS43" s="115" t="str">
        <f aca="false">IF(OR(AQ43="",AR43=""),"",IF(AQ43&lt;AR43,"Decreased",IF(AQ43&gt;AR43,"Increased","Flat")))</f>
        <v/>
      </c>
    </row>
    <row r="44" customFormat="false" ht="15" hidden="false" customHeight="true" outlineLevel="0" collapsed="false">
      <c r="A44" s="68" t="s">
        <v>209</v>
      </c>
      <c r="B44" s="69" t="s">
        <v>332</v>
      </c>
      <c r="C44" s="70" t="n">
        <v>46247</v>
      </c>
      <c r="D44" s="69" t="n">
        <v>4</v>
      </c>
      <c r="E44" s="69" t="s">
        <v>264</v>
      </c>
      <c r="F44" s="69" t="n">
        <v>3</v>
      </c>
      <c r="G44" s="69" t="s">
        <v>264</v>
      </c>
      <c r="H44" s="69" t="n">
        <v>3</v>
      </c>
      <c r="I44" s="69" t="s">
        <v>264</v>
      </c>
      <c r="J44" s="69" t="n">
        <v>2</v>
      </c>
      <c r="K44" s="69" t="s">
        <v>264</v>
      </c>
      <c r="L44" s="69" t="n">
        <v>4</v>
      </c>
      <c r="M44" s="69" t="s">
        <v>264</v>
      </c>
      <c r="N44" s="112" t="n">
        <f aca="false">IF(COUNT(D44,F44,H44,J44,L44)=0,"",(D44*0.2+F44*0.15+H44*0.15+J44*0.1+L44*0.1)/0.7)</f>
        <v>3.28571428571429</v>
      </c>
      <c r="O44" s="76" t="n">
        <f aca="false">IF(COUNT(D44,F44,H44,J44,L44)=0,"",D44*0.2+F44*0.15+H44*0.15+J44*0.1+L44*0.1)</f>
        <v>2.3</v>
      </c>
      <c r="P44" s="69"/>
      <c r="Q44" s="69"/>
      <c r="R44" s="69"/>
      <c r="S44" s="69"/>
      <c r="T44" s="69"/>
      <c r="U44" s="69"/>
      <c r="V44" s="69"/>
      <c r="W44" s="69"/>
      <c r="X44" s="98" t="str">
        <f aca="false">IF(COUNT(P44,R44,T44,V44)=0,"",P44*0.08+R44*0.06+T44*0.03+V44*0.08)</f>
        <v/>
      </c>
      <c r="Y44" s="69"/>
      <c r="Z44" s="69"/>
      <c r="AA44" s="69" t="n">
        <v>4</v>
      </c>
      <c r="AB44" s="69" t="s">
        <v>264</v>
      </c>
      <c r="AC44" s="69"/>
      <c r="AD44" s="69"/>
      <c r="AE44" s="98" t="n">
        <f aca="false">IF(COUNT(Y44,AA44,AC44)=0,"",Y44*0.02+AA44*0.02+AC44*0.01)</f>
        <v>0.08</v>
      </c>
      <c r="AF44" s="76" t="str">
        <f aca="false">IF(OR(O44="",X44="",AE44=""),"",(O44+X44+AE44)*20)</f>
        <v/>
      </c>
      <c r="AG44" s="76" t="str">
        <f aca="false">IF(AF44="","",IF(AF44&gt;=80,"STRONG BUY",IF(AF44&gt;=65,"BUY",IF(AF44&gt;=50,"WATCH LIST",IF(AF44&gt;=35,"AVOID","PASS")))))</f>
        <v/>
      </c>
      <c r="AH44" s="76" t="str">
        <f aca="false">IF(N44="","",IF(N44&lt;3,"FAIL","OK"))</f>
        <v>OK</v>
      </c>
      <c r="AI44" s="76" t="str">
        <f aca="false">IF(COUNT(D44:L44)=0,"",IF(COUNTIF(D44:L44,1)&gt;0,"REVIEW","OK"))</f>
        <v>OK</v>
      </c>
      <c r="AJ44" s="76" t="str">
        <f aca="false">IF(COUNT(D44:L44)=0,"",IF(COUNTIF(D44:L44,"&lt;=2")&gt;=2,"AVOID","OK"))</f>
        <v>OK</v>
      </c>
      <c r="AK44" s="76" t="str">
        <f aca="false">IF(COUNTA(E44:M44)=0,"",IF(COUNTIF(E44:M44,"L")&gt;=2,"CAP AT BUY","OK"))</f>
        <v>OK</v>
      </c>
      <c r="AL44" s="114" t="s">
        <v>284</v>
      </c>
      <c r="AM44" s="69" t="s">
        <v>333</v>
      </c>
      <c r="AN44" s="69"/>
      <c r="AO44" s="76"/>
      <c r="AP44" s="69" t="str">
        <f aca="false">IF(OR(AN44="",AO44=""),"",IF(AN44&gt;AO44,"OK","LOW CONF"))</f>
        <v/>
      </c>
      <c r="AQ44" s="69"/>
      <c r="AR44" s="76"/>
      <c r="AS44" s="115" t="str">
        <f aca="false">IF(OR(AQ44="",AR44=""),"",IF(AQ44&lt;AR44,"Decreased",IF(AQ44&gt;AR44,"Increased","Flat")))</f>
        <v/>
      </c>
    </row>
    <row r="45" customFormat="false" ht="15" hidden="false" customHeight="true" outlineLevel="0" collapsed="false">
      <c r="A45" s="68" t="s">
        <v>197</v>
      </c>
      <c r="B45" s="69" t="s">
        <v>334</v>
      </c>
      <c r="C45" s="70" t="n">
        <v>46247</v>
      </c>
      <c r="D45" s="69" t="n">
        <v>4</v>
      </c>
      <c r="E45" s="69" t="s">
        <v>264</v>
      </c>
      <c r="F45" s="69" t="n">
        <v>3</v>
      </c>
      <c r="G45" s="69" t="s">
        <v>264</v>
      </c>
      <c r="H45" s="69" t="n">
        <v>4</v>
      </c>
      <c r="I45" s="69" t="s">
        <v>264</v>
      </c>
      <c r="J45" s="69" t="n">
        <v>3</v>
      </c>
      <c r="K45" s="69" t="s">
        <v>264</v>
      </c>
      <c r="L45" s="69" t="n">
        <v>3</v>
      </c>
      <c r="M45" s="69" t="s">
        <v>264</v>
      </c>
      <c r="N45" s="112" t="n">
        <f aca="false">IF(COUNT(D45,F45,H45,J45,L45)=0,"",(D45*0.2+F45*0.15+H45*0.15+J45*0.1+L45*0.1)/0.7)</f>
        <v>3.5</v>
      </c>
      <c r="O45" s="76" t="n">
        <f aca="false">IF(COUNT(D45,F45,H45,J45,L45)=0,"",D45*0.2+F45*0.15+H45*0.15+J45*0.1+L45*0.1)</f>
        <v>2.45</v>
      </c>
      <c r="P45" s="69"/>
      <c r="Q45" s="69"/>
      <c r="R45" s="69"/>
      <c r="S45" s="69"/>
      <c r="T45" s="69"/>
      <c r="U45" s="69"/>
      <c r="V45" s="69"/>
      <c r="W45" s="69"/>
      <c r="X45" s="98" t="str">
        <f aca="false">IF(COUNT(P45,R45,T45,V45)=0,"",P45*0.08+R45*0.06+T45*0.03+V45*0.08)</f>
        <v/>
      </c>
      <c r="Y45" s="69"/>
      <c r="Z45" s="69"/>
      <c r="AA45" s="69" t="n">
        <v>4</v>
      </c>
      <c r="AB45" s="69" t="s">
        <v>264</v>
      </c>
      <c r="AC45" s="69"/>
      <c r="AD45" s="69"/>
      <c r="AE45" s="98" t="n">
        <f aca="false">IF(COUNT(Y45,AA45,AC45)=0,"",Y45*0.02+AA45*0.02+AC45*0.01)</f>
        <v>0.08</v>
      </c>
      <c r="AF45" s="76" t="str">
        <f aca="false">IF(OR(O45="",X45="",AE45=""),"",(O45+X45+AE45)*20)</f>
        <v/>
      </c>
      <c r="AG45" s="76" t="str">
        <f aca="false">IF(AF45="","",IF(AF45&gt;=80,"STRONG BUY",IF(AF45&gt;=65,"BUY",IF(AF45&gt;=50,"WATCH LIST",IF(AF45&gt;=35,"AVOID","PASS")))))</f>
        <v/>
      </c>
      <c r="AH45" s="76" t="str">
        <f aca="false">IF(N45="","",IF(N45&lt;3,"FAIL","OK"))</f>
        <v>OK</v>
      </c>
      <c r="AI45" s="76" t="str">
        <f aca="false">IF(COUNT(D45:L45)=0,"",IF(COUNTIF(D45:L45,1)&gt;0,"REVIEW","OK"))</f>
        <v>OK</v>
      </c>
      <c r="AJ45" s="76" t="str">
        <f aca="false">IF(COUNT(D45:L45)=0,"",IF(COUNTIF(D45:L45,"&lt;=2")&gt;=2,"AVOID","OK"))</f>
        <v>OK</v>
      </c>
      <c r="AK45" s="76" t="str">
        <f aca="false">IF(COUNTA(E45:M45)=0,"",IF(COUNTIF(E45:M45,"L")&gt;=2,"CAP AT BUY","OK"))</f>
        <v>OK</v>
      </c>
      <c r="AL45" s="114" t="s">
        <v>284</v>
      </c>
      <c r="AM45" s="69" t="s">
        <v>333</v>
      </c>
      <c r="AN45" s="69"/>
      <c r="AO45" s="76"/>
      <c r="AP45" s="69" t="str">
        <f aca="false">IF(OR(AN45="",AO45=""),"",IF(AN45&gt;AO45,"OK","LOW CONF"))</f>
        <v/>
      </c>
      <c r="AQ45" s="69"/>
      <c r="AR45" s="76"/>
      <c r="AS45" s="115" t="str">
        <f aca="false">IF(OR(AQ45="",AR45=""),"",IF(AQ45&lt;AR45,"Decreased",IF(AQ45&gt;AR45,"Increased","Flat")))</f>
        <v/>
      </c>
    </row>
    <row r="46" customFormat="false" ht="15" hidden="false" customHeight="true" outlineLevel="0" collapsed="false">
      <c r="A46" s="68" t="s">
        <v>193</v>
      </c>
      <c r="B46" s="69" t="s">
        <v>335</v>
      </c>
      <c r="C46" s="70" t="n">
        <v>46258</v>
      </c>
      <c r="D46" s="69" t="n">
        <v>4</v>
      </c>
      <c r="E46" s="69" t="s">
        <v>264</v>
      </c>
      <c r="F46" s="69" t="n">
        <v>2</v>
      </c>
      <c r="G46" s="69" t="s">
        <v>264</v>
      </c>
      <c r="H46" s="69" t="n">
        <v>3</v>
      </c>
      <c r="I46" s="69" t="s">
        <v>264</v>
      </c>
      <c r="J46" s="69" t="n">
        <v>2</v>
      </c>
      <c r="K46" s="69" t="s">
        <v>264</v>
      </c>
      <c r="L46" s="69" t="n">
        <v>3</v>
      </c>
      <c r="M46" s="69" t="s">
        <v>264</v>
      </c>
      <c r="N46" s="112" t="n">
        <f aca="false">IF(COUNT(D46,F46,H46,J46,L46)=0,"",(D46*0.2+F46*0.15+H46*0.15+J46*0.1+L46*0.1)/0.7)</f>
        <v>2.92857142857143</v>
      </c>
      <c r="O46" s="76" t="n">
        <f aca="false">IF(COUNT(D46,F46,H46,J46,L46)=0,"",D46*0.2+F46*0.15+H46*0.15+J46*0.1+L46*0.1)</f>
        <v>2.05</v>
      </c>
      <c r="P46" s="69"/>
      <c r="Q46" s="69"/>
      <c r="R46" s="69"/>
      <c r="S46" s="69"/>
      <c r="T46" s="69"/>
      <c r="U46" s="69"/>
      <c r="V46" s="69"/>
      <c r="W46" s="69"/>
      <c r="X46" s="98" t="str">
        <f aca="false">IF(COUNT(P46,R46,T46,V46)=0,"",P46*0.08+R46*0.06+T46*0.03+V46*0.08)</f>
        <v/>
      </c>
      <c r="Y46" s="69"/>
      <c r="Z46" s="69"/>
      <c r="AA46" s="69"/>
      <c r="AB46" s="69"/>
      <c r="AC46" s="69"/>
      <c r="AD46" s="69"/>
      <c r="AE46" s="98" t="str">
        <f aca="false">IF(COUNT(Y46,AA46,AC46)=0,"",Y46*0.02+AA46*0.02+AC46*0.01)</f>
        <v/>
      </c>
      <c r="AF46" s="76" t="str">
        <f aca="false">IF(OR(O46="",X46="",AE46=""),"",(O46+X46+AE46)*20)</f>
        <v/>
      </c>
      <c r="AG46" s="76" t="str">
        <f aca="false">IF(AF46="","",IF(AF46&gt;=80,"STRONG BUY",IF(AF46&gt;=65,"BUY",IF(AF46&gt;=50,"WATCH LIST",IF(AF46&gt;=35,"AVOID","PASS")))))</f>
        <v/>
      </c>
      <c r="AH46" s="76" t="str">
        <f aca="false">IF(N46="","",IF(N46&lt;3,"FAIL","OK"))</f>
        <v>FAIL</v>
      </c>
      <c r="AI46" s="76" t="str">
        <f aca="false">IF(COUNT(D46:L46)=0,"",IF(COUNTIF(D46:L46,1)&gt;0,"REVIEW","OK"))</f>
        <v>OK</v>
      </c>
      <c r="AJ46" s="76" t="str">
        <f aca="false">IF(COUNT(D46:L46)=0,"",IF(COUNTIF(D46:L46,"&lt;=2")&gt;=2,"AVOID","OK"))</f>
        <v>AVOID</v>
      </c>
      <c r="AK46" s="76" t="str">
        <f aca="false">IF(COUNTA(E46:M46)=0,"",IF(COUNTIF(E46:M46,"L")&gt;=2,"CAP AT BUY","OK"))</f>
        <v>OK</v>
      </c>
      <c r="AL46" s="114" t="s">
        <v>336</v>
      </c>
      <c r="AM46" s="69" t="s">
        <v>337</v>
      </c>
      <c r="AN46" s="69"/>
      <c r="AO46" s="76"/>
      <c r="AP46" s="69" t="str">
        <f aca="false">IF(OR(AN46="",AO46=""),"",IF(AN46&gt;AO46,"OK","LOW CONF"))</f>
        <v/>
      </c>
      <c r="AQ46" s="69"/>
      <c r="AR46" s="76"/>
      <c r="AS46" s="115" t="str">
        <f aca="false">IF(OR(AQ46="",AR46=""),"",IF(AQ46&lt;AR46,"Decreased",IF(AQ46&gt;AR46,"Increased","Flat")))</f>
        <v/>
      </c>
    </row>
    <row r="47" customFormat="false" ht="15" hidden="false" customHeight="true" outlineLevel="0" collapsed="false">
      <c r="A47" s="68" t="s">
        <v>205</v>
      </c>
      <c r="B47" s="69" t="s">
        <v>338</v>
      </c>
      <c r="C47" s="70" t="n">
        <v>46258</v>
      </c>
      <c r="D47" s="69" t="n">
        <v>4</v>
      </c>
      <c r="E47" s="69" t="s">
        <v>264</v>
      </c>
      <c r="F47" s="69" t="n">
        <v>4</v>
      </c>
      <c r="G47" s="69" t="s">
        <v>264</v>
      </c>
      <c r="H47" s="69" t="n">
        <v>5</v>
      </c>
      <c r="I47" s="69" t="s">
        <v>264</v>
      </c>
      <c r="J47" s="69" t="n">
        <v>4</v>
      </c>
      <c r="K47" s="69" t="s">
        <v>264</v>
      </c>
      <c r="L47" s="69" t="n">
        <v>4</v>
      </c>
      <c r="M47" s="69" t="s">
        <v>264</v>
      </c>
      <c r="N47" s="112" t="n">
        <f aca="false">IF(COUNT(D47,F47,H47,J47,L47)=0,"",(D47*0.2+F47*0.15+H47*0.15+J47*0.1+L47*0.1)/0.7)</f>
        <v>4.21428571428571</v>
      </c>
      <c r="O47" s="76" t="n">
        <f aca="false">IF(COUNT(D47,F47,H47,J47,L47)=0,"",D47*0.2+F47*0.15+H47*0.15+J47*0.1+L47*0.1)</f>
        <v>2.95</v>
      </c>
      <c r="P47" s="69"/>
      <c r="Q47" s="69"/>
      <c r="R47" s="69"/>
      <c r="S47" s="69"/>
      <c r="T47" s="69"/>
      <c r="U47" s="69"/>
      <c r="V47" s="69"/>
      <c r="W47" s="69"/>
      <c r="X47" s="98" t="str">
        <f aca="false">IF(COUNT(P47,R47,T47,V47)=0,"",P47*0.08+R47*0.06+T47*0.03+V47*0.08)</f>
        <v/>
      </c>
      <c r="Y47" s="69"/>
      <c r="Z47" s="69"/>
      <c r="AA47" s="69"/>
      <c r="AB47" s="69"/>
      <c r="AC47" s="69"/>
      <c r="AD47" s="69"/>
      <c r="AE47" s="98" t="str">
        <f aca="false">IF(COUNT(Y47,AA47,AC47)=0,"",Y47*0.02+AA47*0.02+AC47*0.01)</f>
        <v/>
      </c>
      <c r="AF47" s="76" t="str">
        <f aca="false">IF(OR(O47="",X47="",AE47=""),"",(O47+X47+AE47)*20)</f>
        <v/>
      </c>
      <c r="AG47" s="76" t="str">
        <f aca="false">IF(AF47="","",IF(AF47&gt;=80,"STRONG BUY",IF(AF47&gt;=65,"BUY",IF(AF47&gt;=50,"WATCH LIST",IF(AF47&gt;=35,"AVOID","PASS")))))</f>
        <v/>
      </c>
      <c r="AH47" s="76" t="str">
        <f aca="false">IF(N47="","",IF(N47&lt;3,"FAIL","OK"))</f>
        <v>OK</v>
      </c>
      <c r="AI47" s="76" t="str">
        <f aca="false">IF(COUNT(D47:L47)=0,"",IF(COUNTIF(D47:L47,1)&gt;0,"REVIEW","OK"))</f>
        <v>OK</v>
      </c>
      <c r="AJ47" s="76" t="str">
        <f aca="false">IF(COUNT(D47:L47)=0,"",IF(COUNTIF(D47:L47,"&lt;=2")&gt;=2,"AVOID","OK"))</f>
        <v>OK</v>
      </c>
      <c r="AK47" s="76" t="str">
        <f aca="false">IF(COUNTA(E47:M47)=0,"",IF(COUNTIF(E47:M47,"L")&gt;=2,"CAP AT BUY","OK"))</f>
        <v>OK</v>
      </c>
      <c r="AL47" s="114" t="s">
        <v>336</v>
      </c>
      <c r="AM47" s="69" t="s">
        <v>337</v>
      </c>
      <c r="AN47" s="69"/>
      <c r="AO47" s="76"/>
      <c r="AP47" s="69" t="str">
        <f aca="false">IF(OR(AN47="",AO47=""),"",IF(AN47&gt;AO47,"OK","LOW CONF"))</f>
        <v/>
      </c>
      <c r="AQ47" s="69"/>
      <c r="AR47" s="76"/>
      <c r="AS47" s="115" t="str">
        <f aca="false">IF(OR(AQ47="",AR47=""),"",IF(AQ47&lt;AR47,"Decreased",IF(AQ47&gt;AR47,"Increased","Flat")))</f>
        <v/>
      </c>
    </row>
    <row r="48" customFormat="false" ht="15" hidden="false" customHeight="true" outlineLevel="0" collapsed="false">
      <c r="A48" s="68"/>
      <c r="B48" s="69"/>
      <c r="C48" s="69"/>
      <c r="D48" s="69"/>
      <c r="E48" s="69"/>
      <c r="F48" s="69"/>
      <c r="G48" s="69"/>
      <c r="H48" s="69"/>
      <c r="I48" s="69"/>
      <c r="J48" s="69"/>
      <c r="K48" s="69"/>
      <c r="L48" s="69"/>
      <c r="M48" s="69"/>
      <c r="N48" s="112" t="str">
        <f aca="false">IF(COUNT(D48,F48,H48,J48,L48)=0,"",(D48*0.2+F48*0.15+H48*0.15+J48*0.1+L48*0.1)/0.7)</f>
        <v/>
      </c>
      <c r="O48" s="76" t="str">
        <f aca="false">IF(COUNT(D48,F48,H48,J48,L48)=0,"",D48*0.2+F48*0.15+H48*0.15+J48*0.1+L48*0.1)</f>
        <v/>
      </c>
      <c r="P48" s="69"/>
      <c r="Q48" s="69"/>
      <c r="R48" s="69"/>
      <c r="S48" s="69"/>
      <c r="T48" s="69"/>
      <c r="U48" s="69"/>
      <c r="V48" s="69"/>
      <c r="W48" s="69"/>
      <c r="X48" s="98" t="str">
        <f aca="false">IF(COUNT(P48,R48,T48,V48)=0,"",P48*0.08+R48*0.06+T48*0.03+V48*0.08)</f>
        <v/>
      </c>
      <c r="Y48" s="69"/>
      <c r="Z48" s="69"/>
      <c r="AA48" s="69"/>
      <c r="AB48" s="69"/>
      <c r="AC48" s="69"/>
      <c r="AD48" s="69"/>
      <c r="AE48" s="98" t="str">
        <f aca="false">IF(COUNT(Y48,AA48,AC48)=0,"",Y48*0.02+AA48*0.02+AC48*0.01)</f>
        <v/>
      </c>
      <c r="AF48" s="76" t="str">
        <f aca="false">IF(OR(O48="",X48="",AE48=""),"",(O48+X48+AE48)*20)</f>
        <v/>
      </c>
      <c r="AG48" s="76" t="str">
        <f aca="false">IF(AF48="","",IF(AF48&gt;=80,"STRONG BUY",IF(AF48&gt;=65,"BUY",IF(AF48&gt;=50,"WATCH LIST",IF(AF48&gt;=35,"AVOID","PASS")))))</f>
        <v/>
      </c>
      <c r="AH48" s="76" t="str">
        <f aca="false">IF(N48="","",IF(N48&lt;3,"FAIL","OK"))</f>
        <v/>
      </c>
      <c r="AI48" s="76" t="str">
        <f aca="false">IF(COUNT(D48:L48)=0,"",IF(COUNTIF(D48:L48,1)&gt;0,"REVIEW","OK"))</f>
        <v/>
      </c>
      <c r="AJ48" s="76" t="str">
        <f aca="false">IF(COUNT(D48:L48)=0,"",IF(COUNTIF(D48:L48,"&lt;=2")&gt;=2,"AVOID","OK"))</f>
        <v/>
      </c>
      <c r="AK48" s="76" t="str">
        <f aca="false">IF(COUNTA(E48:M48)=0,"",IF(COUNTIF(E48:M48,"L")&gt;=2,"CAP AT BUY","OK"))</f>
        <v/>
      </c>
      <c r="AL48" s="114"/>
      <c r="AM48" s="69"/>
      <c r="AN48" s="69"/>
      <c r="AO48" s="76"/>
      <c r="AP48" s="69" t="str">
        <f aca="false">IF(OR(AN48="",AO48=""),"",IF(AN48&gt;AO48,"OK","LOW CONF"))</f>
        <v/>
      </c>
      <c r="AQ48" s="69"/>
      <c r="AR48" s="76"/>
      <c r="AS48" s="115" t="str">
        <f aca="false">IF(OR(AQ48="",AR48=""),"",IF(AQ48&lt;AR48,"Decreased",IF(AQ48&gt;AR48,"Increased","Flat")))</f>
        <v/>
      </c>
    </row>
    <row r="49" customFormat="false" ht="15" hidden="false" customHeight="true" outlineLevel="0" collapsed="false">
      <c r="A49" s="68"/>
      <c r="B49" s="69"/>
      <c r="C49" s="69"/>
      <c r="D49" s="69"/>
      <c r="E49" s="69"/>
      <c r="F49" s="69"/>
      <c r="G49" s="69"/>
      <c r="H49" s="69"/>
      <c r="I49" s="69"/>
      <c r="J49" s="69"/>
      <c r="K49" s="69"/>
      <c r="L49" s="69"/>
      <c r="M49" s="69"/>
      <c r="N49" s="112" t="str">
        <f aca="false">IF(COUNT(D49,F49,H49,J49,L49)=0,"",(D49*0.2+F49*0.15+H49*0.15+J49*0.1+L49*0.1)/0.7)</f>
        <v/>
      </c>
      <c r="O49" s="76" t="str">
        <f aca="false">IF(COUNT(D49,F49,H49,J49,L49)=0,"",D49*0.2+F49*0.15+H49*0.15+J49*0.1+L49*0.1)</f>
        <v/>
      </c>
      <c r="P49" s="69"/>
      <c r="Q49" s="69"/>
      <c r="R49" s="69"/>
      <c r="S49" s="69"/>
      <c r="T49" s="69"/>
      <c r="U49" s="69"/>
      <c r="V49" s="69"/>
      <c r="W49" s="69"/>
      <c r="X49" s="98" t="str">
        <f aca="false">IF(COUNT(P49,R49,T49,V49)=0,"",P49*0.08+R49*0.06+T49*0.03+V49*0.08)</f>
        <v/>
      </c>
      <c r="Y49" s="69"/>
      <c r="Z49" s="69"/>
      <c r="AA49" s="69"/>
      <c r="AB49" s="69"/>
      <c r="AC49" s="69"/>
      <c r="AD49" s="69"/>
      <c r="AE49" s="98" t="str">
        <f aca="false">IF(COUNT(Y49,AA49,AC49)=0,"",Y49*0.02+AA49*0.02+AC49*0.01)</f>
        <v/>
      </c>
      <c r="AF49" s="76" t="str">
        <f aca="false">IF(OR(O49="",X49="",AE49=""),"",(O49+X49+AE49)*20)</f>
        <v/>
      </c>
      <c r="AG49" s="76" t="str">
        <f aca="false">IF(AF49="","",IF(AF49&gt;=80,"STRONG BUY",IF(AF49&gt;=65,"BUY",IF(AF49&gt;=50,"WATCH LIST",IF(AF49&gt;=35,"AVOID","PASS")))))</f>
        <v/>
      </c>
      <c r="AH49" s="76" t="str">
        <f aca="false">IF(N49="","",IF(N49&lt;3,"FAIL","OK"))</f>
        <v/>
      </c>
      <c r="AI49" s="76" t="str">
        <f aca="false">IF(COUNT(D49:L49)=0,"",IF(COUNTIF(D49:L49,1)&gt;0,"REVIEW","OK"))</f>
        <v/>
      </c>
      <c r="AJ49" s="76" t="str">
        <f aca="false">IF(COUNT(D49:L49)=0,"",IF(COUNTIF(D49:L49,"&lt;=2")&gt;=2,"AVOID","OK"))</f>
        <v/>
      </c>
      <c r="AK49" s="76" t="str">
        <f aca="false">IF(COUNTA(E49:M49)=0,"",IF(COUNTIF(E49:M49,"L")&gt;=2,"CAP AT BUY","OK"))</f>
        <v/>
      </c>
      <c r="AL49" s="114"/>
      <c r="AM49" s="69"/>
      <c r="AN49" s="69"/>
      <c r="AO49" s="76"/>
      <c r="AP49" s="69" t="str">
        <f aca="false">IF(OR(AN49="",AO49=""),"",IF(AN49&gt;AO49,"OK","LOW CONF"))</f>
        <v/>
      </c>
      <c r="AQ49" s="69"/>
      <c r="AR49" s="76"/>
      <c r="AS49" s="115" t="str">
        <f aca="false">IF(OR(AQ49="",AR49=""),"",IF(AQ49&lt;AR49,"Decreased",IF(AQ49&gt;AR49,"Increased","Flat")))</f>
        <v/>
      </c>
    </row>
    <row r="50" customFormat="false" ht="15" hidden="false" customHeight="true" outlineLevel="0" collapsed="false">
      <c r="A50" s="68"/>
      <c r="B50" s="69"/>
      <c r="C50" s="69"/>
      <c r="D50" s="69"/>
      <c r="E50" s="69"/>
      <c r="F50" s="69"/>
      <c r="G50" s="69"/>
      <c r="H50" s="69"/>
      <c r="I50" s="69"/>
      <c r="J50" s="69"/>
      <c r="K50" s="69"/>
      <c r="L50" s="69"/>
      <c r="M50" s="69"/>
      <c r="N50" s="112" t="str">
        <f aca="false">IF(COUNT(D50,F50,H50,J50,L50)=0,"",(D50*0.2+F50*0.15+H50*0.15+J50*0.1+L50*0.1)/0.7)</f>
        <v/>
      </c>
      <c r="O50" s="76" t="str">
        <f aca="false">IF(COUNT(D50,F50,H50,J50,L50)=0,"",D50*0.2+F50*0.15+H50*0.15+J50*0.1+L50*0.1)</f>
        <v/>
      </c>
      <c r="P50" s="69"/>
      <c r="Q50" s="69"/>
      <c r="R50" s="69"/>
      <c r="S50" s="69"/>
      <c r="T50" s="69"/>
      <c r="U50" s="69"/>
      <c r="V50" s="69"/>
      <c r="W50" s="69"/>
      <c r="X50" s="98" t="str">
        <f aca="false">IF(COUNT(P50,R50,T50,V50)=0,"",P50*0.08+R50*0.06+T50*0.03+V50*0.08)</f>
        <v/>
      </c>
      <c r="Y50" s="69"/>
      <c r="Z50" s="69"/>
      <c r="AA50" s="69"/>
      <c r="AB50" s="69"/>
      <c r="AC50" s="69"/>
      <c r="AD50" s="69"/>
      <c r="AE50" s="98" t="str">
        <f aca="false">IF(COUNT(Y50,AA50,AC50)=0,"",Y50*0.02+AA50*0.02+AC50*0.01)</f>
        <v/>
      </c>
      <c r="AF50" s="76" t="str">
        <f aca="false">IF(OR(O50="",X50="",AE50=""),"",(O50+X50+AE50)*20)</f>
        <v/>
      </c>
      <c r="AG50" s="76" t="str">
        <f aca="false">IF(AF50="","",IF(AF50&gt;=80,"STRONG BUY",IF(AF50&gt;=65,"BUY",IF(AF50&gt;=50,"WATCH LIST",IF(AF50&gt;=35,"AVOID","PASS")))))</f>
        <v/>
      </c>
      <c r="AH50" s="76" t="str">
        <f aca="false">IF(N50="","",IF(N50&lt;3,"FAIL","OK"))</f>
        <v/>
      </c>
      <c r="AI50" s="76" t="str">
        <f aca="false">IF(COUNT(D50:L50)=0,"",IF(COUNTIF(D50:L50,1)&gt;0,"REVIEW","OK"))</f>
        <v/>
      </c>
      <c r="AJ50" s="76" t="str">
        <f aca="false">IF(COUNT(D50:L50)=0,"",IF(COUNTIF(D50:L50,"&lt;=2")&gt;=2,"AVOID","OK"))</f>
        <v/>
      </c>
      <c r="AK50" s="76" t="str">
        <f aca="false">IF(COUNTA(E50:M50)=0,"",IF(COUNTIF(E50:M50,"L")&gt;=2,"CAP AT BUY","OK"))</f>
        <v/>
      </c>
      <c r="AL50" s="114"/>
      <c r="AM50" s="69"/>
      <c r="AN50" s="69"/>
      <c r="AO50" s="76"/>
      <c r="AP50" s="69" t="str">
        <f aca="false">IF(OR(AN50="",AO50=""),"",IF(AN50&gt;AO50,"OK","LOW CONF"))</f>
        <v/>
      </c>
      <c r="AQ50" s="69"/>
      <c r="AR50" s="76"/>
      <c r="AS50" s="115" t="str">
        <f aca="false">IF(OR(AQ50="",AR50=""),"",IF(AQ50&lt;AR50,"Decreased",IF(AQ50&gt;AR50,"Increased","Flat")))</f>
        <v/>
      </c>
    </row>
    <row r="51" customFormat="false" ht="15" hidden="false" customHeight="true" outlineLevel="0" collapsed="false">
      <c r="A51" s="68"/>
      <c r="B51" s="69"/>
      <c r="C51" s="69"/>
      <c r="D51" s="69"/>
      <c r="E51" s="69"/>
      <c r="F51" s="69"/>
      <c r="G51" s="69"/>
      <c r="H51" s="69"/>
      <c r="I51" s="69"/>
      <c r="J51" s="69"/>
      <c r="K51" s="69"/>
      <c r="L51" s="69"/>
      <c r="M51" s="69"/>
      <c r="N51" s="112" t="str">
        <f aca="false">IF(COUNT(D51,F51,H51,J51,L51)=0,"",(D51*0.2+F51*0.15+H51*0.15+J51*0.1+L51*0.1)/0.7)</f>
        <v/>
      </c>
      <c r="O51" s="76" t="str">
        <f aca="false">IF(COUNT(D51,F51,H51,J51,L51)=0,"",D51*0.2+F51*0.15+H51*0.15+J51*0.1+L51*0.1)</f>
        <v/>
      </c>
      <c r="P51" s="69"/>
      <c r="Q51" s="69"/>
      <c r="R51" s="69"/>
      <c r="S51" s="69"/>
      <c r="T51" s="69"/>
      <c r="U51" s="69"/>
      <c r="V51" s="69"/>
      <c r="W51" s="69"/>
      <c r="X51" s="98" t="str">
        <f aca="false">IF(COUNT(P51,R51,T51,V51)=0,"",P51*0.08+R51*0.06+T51*0.03+V51*0.08)</f>
        <v/>
      </c>
      <c r="Y51" s="69"/>
      <c r="Z51" s="69"/>
      <c r="AA51" s="69"/>
      <c r="AB51" s="69"/>
      <c r="AC51" s="69"/>
      <c r="AD51" s="69"/>
      <c r="AE51" s="98" t="str">
        <f aca="false">IF(COUNT(Y51,AA51,AC51)=0,"",Y51*0.02+AA51*0.02+AC51*0.01)</f>
        <v/>
      </c>
      <c r="AF51" s="76" t="str">
        <f aca="false">IF(OR(O51="",X51="",AE51=""),"",(O51+X51+AE51)*20)</f>
        <v/>
      </c>
      <c r="AG51" s="76" t="str">
        <f aca="false">IF(AF51="","",IF(AF51&gt;=80,"STRONG BUY",IF(AF51&gt;=65,"BUY",IF(AF51&gt;=50,"WATCH LIST",IF(AF51&gt;=35,"AVOID","PASS")))))</f>
        <v/>
      </c>
      <c r="AH51" s="76" t="str">
        <f aca="false">IF(N51="","",IF(N51&lt;3,"FAIL","OK"))</f>
        <v/>
      </c>
      <c r="AI51" s="76" t="str">
        <f aca="false">IF(COUNT(D51:L51)=0,"",IF(COUNTIF(D51:L51,1)&gt;0,"REVIEW","OK"))</f>
        <v/>
      </c>
      <c r="AJ51" s="76" t="str">
        <f aca="false">IF(COUNT(D51:L51)=0,"",IF(COUNTIF(D51:L51,"&lt;=2")&gt;=2,"AVOID","OK"))</f>
        <v/>
      </c>
      <c r="AK51" s="76" t="str">
        <f aca="false">IF(COUNTA(E51:M51)=0,"",IF(COUNTIF(E51:M51,"L")&gt;=2,"CAP AT BUY","OK"))</f>
        <v/>
      </c>
      <c r="AL51" s="114"/>
      <c r="AM51" s="69"/>
      <c r="AN51" s="69"/>
      <c r="AO51" s="76"/>
      <c r="AP51" s="69" t="str">
        <f aca="false">IF(OR(AN51="",AO51=""),"",IF(AN51&gt;AO51,"OK","LOW CONF"))</f>
        <v/>
      </c>
      <c r="AQ51" s="69"/>
      <c r="AR51" s="76"/>
      <c r="AS51" s="115" t="str">
        <f aca="false">IF(OR(AQ51="",AR51=""),"",IF(AQ51&lt;AR51,"Decreased",IF(AQ51&gt;AR51,"Increased","Flat")))</f>
        <v/>
      </c>
    </row>
    <row r="52" customFormat="false" ht="15" hidden="false" customHeight="true" outlineLevel="0" collapsed="false">
      <c r="A52" s="68"/>
      <c r="B52" s="69"/>
      <c r="C52" s="69"/>
      <c r="D52" s="69"/>
      <c r="E52" s="69"/>
      <c r="F52" s="69"/>
      <c r="G52" s="69"/>
      <c r="H52" s="69"/>
      <c r="I52" s="69"/>
      <c r="J52" s="69"/>
      <c r="K52" s="69"/>
      <c r="L52" s="69"/>
      <c r="M52" s="69"/>
      <c r="N52" s="112" t="str">
        <f aca="false">IF(COUNT(D52,F52,H52,J52,L52)=0,"",(D52*0.2+F52*0.15+H52*0.15+J52*0.1+L52*0.1)/0.7)</f>
        <v/>
      </c>
      <c r="O52" s="76" t="str">
        <f aca="false">IF(COUNT(D52,F52,H52,J52,L52)=0,"",D52*0.2+F52*0.15+H52*0.15+J52*0.1+L52*0.1)</f>
        <v/>
      </c>
      <c r="P52" s="69"/>
      <c r="Q52" s="69"/>
      <c r="R52" s="69"/>
      <c r="S52" s="69"/>
      <c r="T52" s="69"/>
      <c r="U52" s="69"/>
      <c r="V52" s="69"/>
      <c r="W52" s="69"/>
      <c r="X52" s="98" t="str">
        <f aca="false">IF(COUNT(P52,R52,T52,V52)=0,"",P52*0.08+R52*0.06+T52*0.03+V52*0.08)</f>
        <v/>
      </c>
      <c r="Y52" s="69"/>
      <c r="Z52" s="69"/>
      <c r="AA52" s="69"/>
      <c r="AB52" s="69"/>
      <c r="AC52" s="69"/>
      <c r="AD52" s="69"/>
      <c r="AE52" s="98" t="str">
        <f aca="false">IF(COUNT(Y52,AA52,AC52)=0,"",Y52*0.02+AA52*0.02+AC52*0.01)</f>
        <v/>
      </c>
      <c r="AF52" s="76" t="str">
        <f aca="false">IF(OR(O52="",X52="",AE52=""),"",(O52+X52+AE52)*20)</f>
        <v/>
      </c>
      <c r="AG52" s="76" t="str">
        <f aca="false">IF(AF52="","",IF(AF52&gt;=80,"STRONG BUY",IF(AF52&gt;=65,"BUY",IF(AF52&gt;=50,"WATCH LIST",IF(AF52&gt;=35,"AVOID","PASS")))))</f>
        <v/>
      </c>
      <c r="AH52" s="76" t="str">
        <f aca="false">IF(N52="","",IF(N52&lt;3,"FAIL","OK"))</f>
        <v/>
      </c>
      <c r="AI52" s="76" t="str">
        <f aca="false">IF(COUNT(D52:L52)=0,"",IF(COUNTIF(D52:L52,1)&gt;0,"REVIEW","OK"))</f>
        <v/>
      </c>
      <c r="AJ52" s="76" t="str">
        <f aca="false">IF(COUNT(D52:L52)=0,"",IF(COUNTIF(D52:L52,"&lt;=2")&gt;=2,"AVOID","OK"))</f>
        <v/>
      </c>
      <c r="AK52" s="76" t="str">
        <f aca="false">IF(COUNTA(E52:M52)=0,"",IF(COUNTIF(E52:M52,"L")&gt;=2,"CAP AT BUY","OK"))</f>
        <v/>
      </c>
      <c r="AL52" s="114"/>
      <c r="AM52" s="69"/>
      <c r="AN52" s="69"/>
      <c r="AO52" s="76"/>
      <c r="AP52" s="69" t="str">
        <f aca="false">IF(OR(AN52="",AO52=""),"",IF(AN52&gt;AO52,"OK","LOW CONF"))</f>
        <v/>
      </c>
      <c r="AQ52" s="69"/>
      <c r="AR52" s="76"/>
      <c r="AS52" s="115" t="str">
        <f aca="false">IF(OR(AQ52="",AR52=""),"",IF(AQ52&lt;AR52,"Decreased",IF(AQ52&gt;AR52,"Increased","Flat")))</f>
        <v/>
      </c>
    </row>
    <row r="53" customFormat="false" ht="15" hidden="false" customHeight="true" outlineLevel="0" collapsed="false">
      <c r="A53" s="68"/>
      <c r="B53" s="69"/>
      <c r="C53" s="69"/>
      <c r="D53" s="69"/>
      <c r="E53" s="69"/>
      <c r="F53" s="69"/>
      <c r="G53" s="69"/>
      <c r="H53" s="69"/>
      <c r="I53" s="69"/>
      <c r="J53" s="69"/>
      <c r="K53" s="69"/>
      <c r="L53" s="69"/>
      <c r="M53" s="69"/>
      <c r="N53" s="112" t="str">
        <f aca="false">IF(COUNT(D53,F53,H53,J53,L53)=0,"",(D53*0.2+F53*0.15+H53*0.15+J53*0.1+L53*0.1)/0.7)</f>
        <v/>
      </c>
      <c r="O53" s="76" t="str">
        <f aca="false">IF(COUNT(D53,F53,H53,J53,L53)=0,"",D53*0.2+F53*0.15+H53*0.15+J53*0.1+L53*0.1)</f>
        <v/>
      </c>
      <c r="P53" s="69"/>
      <c r="Q53" s="69"/>
      <c r="R53" s="69"/>
      <c r="S53" s="69"/>
      <c r="T53" s="69"/>
      <c r="U53" s="69"/>
      <c r="V53" s="69"/>
      <c r="W53" s="69"/>
      <c r="X53" s="98" t="str">
        <f aca="false">IF(COUNT(P53,R53,T53,V53)=0,"",P53*0.08+R53*0.06+T53*0.03+V53*0.08)</f>
        <v/>
      </c>
      <c r="Y53" s="69"/>
      <c r="Z53" s="69"/>
      <c r="AA53" s="69"/>
      <c r="AB53" s="69"/>
      <c r="AC53" s="69"/>
      <c r="AD53" s="69"/>
      <c r="AE53" s="98" t="str">
        <f aca="false">IF(COUNT(Y53,AA53,AC53)=0,"",Y53*0.02+AA53*0.02+AC53*0.01)</f>
        <v/>
      </c>
      <c r="AF53" s="76" t="str">
        <f aca="false">IF(OR(O53="",X53="",AE53=""),"",(O53+X53+AE53)*20)</f>
        <v/>
      </c>
      <c r="AG53" s="76" t="str">
        <f aca="false">IF(AF53="","",IF(AF53&gt;=80,"STRONG BUY",IF(AF53&gt;=65,"BUY",IF(AF53&gt;=50,"WATCH LIST",IF(AF53&gt;=35,"AVOID","PASS")))))</f>
        <v/>
      </c>
      <c r="AH53" s="76" t="str">
        <f aca="false">IF(N53="","",IF(N53&lt;3,"FAIL","OK"))</f>
        <v/>
      </c>
      <c r="AI53" s="76" t="str">
        <f aca="false">IF(COUNT(D53:L53)=0,"",IF(COUNTIF(D53:L53,1)&gt;0,"REVIEW","OK"))</f>
        <v/>
      </c>
      <c r="AJ53" s="76" t="str">
        <f aca="false">IF(COUNT(D53:L53)=0,"",IF(COUNTIF(D53:L53,"&lt;=2")&gt;=2,"AVOID","OK"))</f>
        <v/>
      </c>
      <c r="AK53" s="76" t="str">
        <f aca="false">IF(COUNTA(E53:M53)=0,"",IF(COUNTIF(E53:M53,"L")&gt;=2,"CAP AT BUY","OK"))</f>
        <v/>
      </c>
      <c r="AL53" s="114"/>
      <c r="AM53" s="69"/>
      <c r="AN53" s="69"/>
      <c r="AO53" s="76"/>
      <c r="AP53" s="69" t="str">
        <f aca="false">IF(OR(AN53="",AO53=""),"",IF(AN53&gt;AO53,"OK","LOW CONF"))</f>
        <v/>
      </c>
      <c r="AQ53" s="69"/>
      <c r="AR53" s="76"/>
      <c r="AS53" s="115" t="str">
        <f aca="false">IF(OR(AQ53="",AR53=""),"",IF(AQ53&lt;AR53,"Decreased",IF(AQ53&gt;AR53,"Increased","Flat")))</f>
        <v/>
      </c>
    </row>
    <row r="54" customFormat="false" ht="15" hidden="false" customHeight="true" outlineLevel="0" collapsed="false">
      <c r="A54" s="68"/>
      <c r="B54" s="69"/>
      <c r="C54" s="69"/>
      <c r="D54" s="69"/>
      <c r="E54" s="69"/>
      <c r="F54" s="69"/>
      <c r="G54" s="69"/>
      <c r="H54" s="69"/>
      <c r="I54" s="69"/>
      <c r="J54" s="69"/>
      <c r="K54" s="69"/>
      <c r="L54" s="69"/>
      <c r="M54" s="69"/>
      <c r="N54" s="112" t="str">
        <f aca="false">IF(COUNT(D54,F54,H54,J54,L54)=0,"",(D54*0.2+F54*0.15+H54*0.15+J54*0.1+L54*0.1)/0.7)</f>
        <v/>
      </c>
      <c r="O54" s="76" t="str">
        <f aca="false">IF(COUNT(D54,F54,H54,J54,L54)=0,"",D54*0.2+F54*0.15+H54*0.15+J54*0.1+L54*0.1)</f>
        <v/>
      </c>
      <c r="P54" s="69"/>
      <c r="Q54" s="69"/>
      <c r="R54" s="69"/>
      <c r="S54" s="69"/>
      <c r="T54" s="69"/>
      <c r="U54" s="69"/>
      <c r="V54" s="69"/>
      <c r="W54" s="69"/>
      <c r="X54" s="98" t="str">
        <f aca="false">IF(COUNT(P54,R54,T54,V54)=0,"",P54*0.08+R54*0.06+T54*0.03+V54*0.08)</f>
        <v/>
      </c>
      <c r="Y54" s="69"/>
      <c r="Z54" s="69"/>
      <c r="AA54" s="69"/>
      <c r="AB54" s="69"/>
      <c r="AC54" s="69"/>
      <c r="AD54" s="69"/>
      <c r="AE54" s="98" t="str">
        <f aca="false">IF(COUNT(Y54,AA54,AC54)=0,"",Y54*0.02+AA54*0.02+AC54*0.01)</f>
        <v/>
      </c>
      <c r="AF54" s="76" t="str">
        <f aca="false">IF(OR(O54="",X54="",AE54=""),"",(O54+X54+AE54)*20)</f>
        <v/>
      </c>
      <c r="AG54" s="76" t="str">
        <f aca="false">IF(AF54="","",IF(AF54&gt;=80,"STRONG BUY",IF(AF54&gt;=65,"BUY",IF(AF54&gt;=50,"WATCH LIST",IF(AF54&gt;=35,"AVOID","PASS")))))</f>
        <v/>
      </c>
      <c r="AH54" s="76" t="str">
        <f aca="false">IF(N54="","",IF(N54&lt;3,"FAIL","OK"))</f>
        <v/>
      </c>
      <c r="AI54" s="76" t="str">
        <f aca="false">IF(COUNT(D54:L54)=0,"",IF(COUNTIF(D54:L54,1)&gt;0,"REVIEW","OK"))</f>
        <v/>
      </c>
      <c r="AJ54" s="76" t="str">
        <f aca="false">IF(COUNT(D54:L54)=0,"",IF(COUNTIF(D54:L54,"&lt;=2")&gt;=2,"AVOID","OK"))</f>
        <v/>
      </c>
      <c r="AK54" s="76" t="str">
        <f aca="false">IF(COUNTA(E54:M54)=0,"",IF(COUNTIF(E54:M54,"L")&gt;=2,"CAP AT BUY","OK"))</f>
        <v/>
      </c>
      <c r="AL54" s="114"/>
      <c r="AM54" s="69"/>
      <c r="AN54" s="69"/>
      <c r="AO54" s="76"/>
      <c r="AP54" s="69" t="str">
        <f aca="false">IF(OR(AN54="",AO54=""),"",IF(AN54&gt;AO54,"OK","LOW CONF"))</f>
        <v/>
      </c>
      <c r="AQ54" s="69"/>
      <c r="AR54" s="76"/>
      <c r="AS54" s="115" t="str">
        <f aca="false">IF(OR(AQ54="",AR54=""),"",IF(AQ54&lt;AR54,"Decreased",IF(AQ54&gt;AR54,"Increased","Flat")))</f>
        <v/>
      </c>
    </row>
    <row r="55" customFormat="false" ht="15" hidden="false" customHeight="true" outlineLevel="0" collapsed="false">
      <c r="A55" s="68"/>
      <c r="B55" s="69"/>
      <c r="C55" s="69"/>
      <c r="D55" s="69"/>
      <c r="E55" s="69"/>
      <c r="F55" s="69"/>
      <c r="G55" s="69"/>
      <c r="H55" s="69"/>
      <c r="I55" s="69"/>
      <c r="J55" s="69"/>
      <c r="K55" s="69"/>
      <c r="L55" s="69"/>
      <c r="M55" s="69"/>
      <c r="N55" s="112" t="str">
        <f aca="false">IF(COUNT(D55,F55,H55,J55,L55)=0,"",(D55*0.2+F55*0.15+H55*0.15+J55*0.1+L55*0.1)/0.7)</f>
        <v/>
      </c>
      <c r="O55" s="76" t="str">
        <f aca="false">IF(COUNT(D55,F55,H55,J55,L55)=0,"",D55*0.2+F55*0.15+H55*0.15+J55*0.1+L55*0.1)</f>
        <v/>
      </c>
      <c r="P55" s="69"/>
      <c r="Q55" s="69"/>
      <c r="R55" s="69"/>
      <c r="S55" s="69"/>
      <c r="T55" s="69"/>
      <c r="U55" s="69"/>
      <c r="V55" s="69"/>
      <c r="W55" s="69"/>
      <c r="X55" s="98" t="str">
        <f aca="false">IF(COUNT(P55,R55,T55,V55)=0,"",P55*0.08+R55*0.06+T55*0.03+V55*0.08)</f>
        <v/>
      </c>
      <c r="Y55" s="69"/>
      <c r="Z55" s="69"/>
      <c r="AA55" s="69"/>
      <c r="AB55" s="69"/>
      <c r="AC55" s="69"/>
      <c r="AD55" s="69"/>
      <c r="AE55" s="98" t="str">
        <f aca="false">IF(COUNT(Y55,AA55,AC55)=0,"",Y55*0.02+AA55*0.02+AC55*0.01)</f>
        <v/>
      </c>
      <c r="AF55" s="76" t="str">
        <f aca="false">IF(OR(O55="",X55="",AE55=""),"",(O55+X55+AE55)*20)</f>
        <v/>
      </c>
      <c r="AG55" s="76" t="str">
        <f aca="false">IF(AF55="","",IF(AF55&gt;=80,"STRONG BUY",IF(AF55&gt;=65,"BUY",IF(AF55&gt;=50,"WATCH LIST",IF(AF55&gt;=35,"AVOID","PASS")))))</f>
        <v/>
      </c>
      <c r="AH55" s="76" t="str">
        <f aca="false">IF(N55="","",IF(N55&lt;3,"FAIL","OK"))</f>
        <v/>
      </c>
      <c r="AI55" s="76" t="str">
        <f aca="false">IF(COUNT(D55:L55)=0,"",IF(COUNTIF(D55:L55,1)&gt;0,"REVIEW","OK"))</f>
        <v/>
      </c>
      <c r="AJ55" s="76" t="str">
        <f aca="false">IF(COUNT(D55:L55)=0,"",IF(COUNTIF(D55:L55,"&lt;=2")&gt;=2,"AVOID","OK"))</f>
        <v/>
      </c>
      <c r="AK55" s="76" t="str">
        <f aca="false">IF(COUNTA(E55:M55)=0,"",IF(COUNTIF(E55:M55,"L")&gt;=2,"CAP AT BUY","OK"))</f>
        <v/>
      </c>
      <c r="AL55" s="114"/>
      <c r="AM55" s="69"/>
      <c r="AN55" s="69"/>
      <c r="AO55" s="76"/>
      <c r="AP55" s="69" t="str">
        <f aca="false">IF(OR(AN55="",AO55=""),"",IF(AN55&gt;AO55,"OK","LOW CONF"))</f>
        <v/>
      </c>
      <c r="AQ55" s="69"/>
      <c r="AR55" s="76"/>
      <c r="AS55" s="115" t="str">
        <f aca="false">IF(OR(AQ55="",AR55=""),"",IF(AQ55&lt;AR55,"Decreased",IF(AQ55&gt;AR55,"Increased","Flat")))</f>
        <v/>
      </c>
    </row>
    <row r="56" customFormat="false" ht="15" hidden="false" customHeight="true" outlineLevel="0" collapsed="false">
      <c r="A56" s="68"/>
      <c r="B56" s="69"/>
      <c r="C56" s="69"/>
      <c r="D56" s="69"/>
      <c r="E56" s="69"/>
      <c r="F56" s="69"/>
      <c r="G56" s="69"/>
      <c r="H56" s="69"/>
      <c r="I56" s="69"/>
      <c r="J56" s="69"/>
      <c r="K56" s="69"/>
      <c r="L56" s="69"/>
      <c r="M56" s="69"/>
      <c r="N56" s="112" t="str">
        <f aca="false">IF(COUNT(D56,F56,H56,J56,L56)=0,"",(D56*0.2+F56*0.15+H56*0.15+J56*0.1+L56*0.1)/0.7)</f>
        <v/>
      </c>
      <c r="O56" s="76" t="str">
        <f aca="false">IF(COUNT(D56,F56,H56,J56,L56)=0,"",D56*0.2+F56*0.15+H56*0.15+J56*0.1+L56*0.1)</f>
        <v/>
      </c>
      <c r="P56" s="69"/>
      <c r="Q56" s="69"/>
      <c r="R56" s="69"/>
      <c r="S56" s="69"/>
      <c r="T56" s="69"/>
      <c r="U56" s="69"/>
      <c r="V56" s="69"/>
      <c r="W56" s="69"/>
      <c r="X56" s="98" t="str">
        <f aca="false">IF(COUNT(P56,R56,T56,V56)=0,"",P56*0.08+R56*0.06+T56*0.03+V56*0.08)</f>
        <v/>
      </c>
      <c r="Y56" s="69"/>
      <c r="Z56" s="69"/>
      <c r="AA56" s="69"/>
      <c r="AB56" s="69"/>
      <c r="AC56" s="69"/>
      <c r="AD56" s="69"/>
      <c r="AE56" s="98" t="str">
        <f aca="false">IF(COUNT(Y56,AA56,AC56)=0,"",Y56*0.02+AA56*0.02+AC56*0.01)</f>
        <v/>
      </c>
      <c r="AF56" s="76" t="str">
        <f aca="false">IF(OR(O56="",X56="",AE56=""),"",(O56+X56+AE56)*20)</f>
        <v/>
      </c>
      <c r="AG56" s="76" t="str">
        <f aca="false">IF(AF56="","",IF(AF56&gt;=80,"STRONG BUY",IF(AF56&gt;=65,"BUY",IF(AF56&gt;=50,"WATCH LIST",IF(AF56&gt;=35,"AVOID","PASS")))))</f>
        <v/>
      </c>
      <c r="AH56" s="76" t="str">
        <f aca="false">IF(N56="","",IF(N56&lt;3,"FAIL","OK"))</f>
        <v/>
      </c>
      <c r="AI56" s="76" t="str">
        <f aca="false">IF(COUNT(D56:L56)=0,"",IF(COUNTIF(D56:L56,1)&gt;0,"REVIEW","OK"))</f>
        <v/>
      </c>
      <c r="AJ56" s="76" t="str">
        <f aca="false">IF(COUNT(D56:L56)=0,"",IF(COUNTIF(D56:L56,"&lt;=2")&gt;=2,"AVOID","OK"))</f>
        <v/>
      </c>
      <c r="AK56" s="76" t="str">
        <f aca="false">IF(COUNTA(E56:M56)=0,"",IF(COUNTIF(E56:M56,"L")&gt;=2,"CAP AT BUY","OK"))</f>
        <v/>
      </c>
      <c r="AL56" s="114"/>
      <c r="AM56" s="69"/>
      <c r="AN56" s="69"/>
      <c r="AO56" s="76"/>
      <c r="AP56" s="69" t="str">
        <f aca="false">IF(OR(AN56="",AO56=""),"",IF(AN56&gt;AO56,"OK","LOW CONF"))</f>
        <v/>
      </c>
      <c r="AQ56" s="69"/>
      <c r="AR56" s="76"/>
      <c r="AS56" s="115" t="str">
        <f aca="false">IF(OR(AQ56="",AR56=""),"",IF(AQ56&lt;AR56,"Decreased",IF(AQ56&gt;AR56,"Increased","Flat")))</f>
        <v/>
      </c>
    </row>
    <row r="57" customFormat="false" ht="15" hidden="false" customHeight="true" outlineLevel="0" collapsed="false">
      <c r="A57" s="68"/>
      <c r="B57" s="69"/>
      <c r="C57" s="69"/>
      <c r="D57" s="69"/>
      <c r="E57" s="69"/>
      <c r="F57" s="69"/>
      <c r="G57" s="69"/>
      <c r="H57" s="69"/>
      <c r="I57" s="69"/>
      <c r="J57" s="69"/>
      <c r="K57" s="69"/>
      <c r="L57" s="69"/>
      <c r="M57" s="69"/>
      <c r="N57" s="112" t="str">
        <f aca="false">IF(COUNT(D57,F57,H57,J57,L57)=0,"",(D57*0.2+F57*0.15+H57*0.15+J57*0.1+L57*0.1)/0.7)</f>
        <v/>
      </c>
      <c r="O57" s="76" t="str">
        <f aca="false">IF(COUNT(D57,F57,H57,J57,L57)=0,"",D57*0.2+F57*0.15+H57*0.15+J57*0.1+L57*0.1)</f>
        <v/>
      </c>
      <c r="P57" s="69"/>
      <c r="Q57" s="69"/>
      <c r="R57" s="69"/>
      <c r="S57" s="69"/>
      <c r="T57" s="69"/>
      <c r="U57" s="69"/>
      <c r="V57" s="69"/>
      <c r="W57" s="69"/>
      <c r="X57" s="98" t="str">
        <f aca="false">IF(COUNT(P57,R57,T57,V57)=0,"",P57*0.08+R57*0.06+T57*0.03+V57*0.08)</f>
        <v/>
      </c>
      <c r="Y57" s="69"/>
      <c r="Z57" s="69"/>
      <c r="AA57" s="69"/>
      <c r="AB57" s="69"/>
      <c r="AC57" s="69"/>
      <c r="AD57" s="69"/>
      <c r="AE57" s="98" t="str">
        <f aca="false">IF(COUNT(Y57,AA57,AC57)=0,"",Y57*0.02+AA57*0.02+AC57*0.01)</f>
        <v/>
      </c>
      <c r="AF57" s="76" t="str">
        <f aca="false">IF(OR(O57="",X57="",AE57=""),"",(O57+X57+AE57)*20)</f>
        <v/>
      </c>
      <c r="AG57" s="76" t="str">
        <f aca="false">IF(AF57="","",IF(AF57&gt;=80,"STRONG BUY",IF(AF57&gt;=65,"BUY",IF(AF57&gt;=50,"WATCH LIST",IF(AF57&gt;=35,"AVOID","PASS")))))</f>
        <v/>
      </c>
      <c r="AH57" s="76" t="str">
        <f aca="false">IF(N57="","",IF(N57&lt;3,"FAIL","OK"))</f>
        <v/>
      </c>
      <c r="AI57" s="76" t="str">
        <f aca="false">IF(COUNT(D57:L57)=0,"",IF(COUNTIF(D57:L57,1)&gt;0,"REVIEW","OK"))</f>
        <v/>
      </c>
      <c r="AJ57" s="76" t="str">
        <f aca="false">IF(COUNT(D57:L57)=0,"",IF(COUNTIF(D57:L57,"&lt;=2")&gt;=2,"AVOID","OK"))</f>
        <v/>
      </c>
      <c r="AK57" s="76" t="str">
        <f aca="false">IF(COUNTA(E57:M57)=0,"",IF(COUNTIF(E57:M57,"L")&gt;=2,"CAP AT BUY","OK"))</f>
        <v/>
      </c>
      <c r="AL57" s="114"/>
      <c r="AM57" s="69"/>
      <c r="AN57" s="69"/>
      <c r="AO57" s="76"/>
      <c r="AP57" s="69" t="str">
        <f aca="false">IF(OR(AN57="",AO57=""),"",IF(AN57&gt;AO57,"OK","LOW CONF"))</f>
        <v/>
      </c>
      <c r="AQ57" s="69"/>
      <c r="AR57" s="76"/>
      <c r="AS57" s="115" t="str">
        <f aca="false">IF(OR(AQ57="",AR57=""),"",IF(AQ57&lt;AR57,"Decreased",IF(AQ57&gt;AR57,"Increased","Flat")))</f>
        <v/>
      </c>
    </row>
    <row r="58" customFormat="false" ht="15" hidden="false" customHeight="true" outlineLevel="0" collapsed="false">
      <c r="A58" s="68"/>
      <c r="B58" s="69"/>
      <c r="C58" s="69"/>
      <c r="D58" s="69"/>
      <c r="E58" s="69"/>
      <c r="F58" s="69"/>
      <c r="G58" s="69"/>
      <c r="H58" s="69"/>
      <c r="I58" s="69"/>
      <c r="J58" s="69"/>
      <c r="K58" s="69"/>
      <c r="L58" s="69"/>
      <c r="M58" s="69"/>
      <c r="N58" s="112" t="str">
        <f aca="false">IF(COUNT(D58,F58,H58,J58,L58)=0,"",(D58*0.2+F58*0.15+H58*0.15+J58*0.1+L58*0.1)/0.7)</f>
        <v/>
      </c>
      <c r="O58" s="76" t="str">
        <f aca="false">IF(COUNT(D58,F58,H58,J58,L58)=0,"",D58*0.2+F58*0.15+H58*0.15+J58*0.1+L58*0.1)</f>
        <v/>
      </c>
      <c r="P58" s="69"/>
      <c r="Q58" s="69"/>
      <c r="R58" s="69"/>
      <c r="S58" s="69"/>
      <c r="T58" s="69"/>
      <c r="U58" s="69"/>
      <c r="V58" s="69"/>
      <c r="W58" s="69"/>
      <c r="X58" s="98" t="str">
        <f aca="false">IF(COUNT(P58,R58,T58,V58)=0,"",P58*0.08+R58*0.06+T58*0.03+V58*0.08)</f>
        <v/>
      </c>
      <c r="Y58" s="69"/>
      <c r="Z58" s="69"/>
      <c r="AA58" s="69"/>
      <c r="AB58" s="69"/>
      <c r="AC58" s="69"/>
      <c r="AD58" s="69"/>
      <c r="AE58" s="98" t="str">
        <f aca="false">IF(COUNT(Y58,AA58,AC58)=0,"",Y58*0.02+AA58*0.02+AC58*0.01)</f>
        <v/>
      </c>
      <c r="AF58" s="76" t="str">
        <f aca="false">IF(OR(O58="",X58="",AE58=""),"",(O58+X58+AE58)*20)</f>
        <v/>
      </c>
      <c r="AG58" s="76" t="str">
        <f aca="false">IF(AF58="","",IF(AF58&gt;=80,"STRONG BUY",IF(AF58&gt;=65,"BUY",IF(AF58&gt;=50,"WATCH LIST",IF(AF58&gt;=35,"AVOID","PASS")))))</f>
        <v/>
      </c>
      <c r="AH58" s="76" t="str">
        <f aca="false">IF(N58="","",IF(N58&lt;3,"FAIL","OK"))</f>
        <v/>
      </c>
      <c r="AI58" s="76" t="str">
        <f aca="false">IF(COUNT(D58:L58)=0,"",IF(COUNTIF(D58:L58,1)&gt;0,"REVIEW","OK"))</f>
        <v/>
      </c>
      <c r="AJ58" s="76" t="str">
        <f aca="false">IF(COUNT(D58:L58)=0,"",IF(COUNTIF(D58:L58,"&lt;=2")&gt;=2,"AVOID","OK"))</f>
        <v/>
      </c>
      <c r="AK58" s="76" t="str">
        <f aca="false">IF(COUNTA(E58:M58)=0,"",IF(COUNTIF(E58:M58,"L")&gt;=2,"CAP AT BUY","OK"))</f>
        <v/>
      </c>
      <c r="AL58" s="114"/>
      <c r="AM58" s="69"/>
      <c r="AN58" s="69"/>
      <c r="AO58" s="76"/>
      <c r="AP58" s="69" t="str">
        <f aca="false">IF(OR(AN58="",AO58=""),"",IF(AN58&gt;AO58,"OK","LOW CONF"))</f>
        <v/>
      </c>
      <c r="AQ58" s="69"/>
      <c r="AR58" s="76"/>
      <c r="AS58" s="115" t="str">
        <f aca="false">IF(OR(AQ58="",AR58=""),"",IF(AQ58&lt;AR58,"Decreased",IF(AQ58&gt;AR58,"Increased","Flat")))</f>
        <v/>
      </c>
    </row>
    <row r="59" customFormat="false" ht="15" hidden="false" customHeight="true" outlineLevel="0" collapsed="false">
      <c r="A59" s="68"/>
      <c r="B59" s="69"/>
      <c r="C59" s="69"/>
      <c r="D59" s="69"/>
      <c r="E59" s="69"/>
      <c r="F59" s="69"/>
      <c r="G59" s="69"/>
      <c r="H59" s="69"/>
      <c r="I59" s="69"/>
      <c r="J59" s="69"/>
      <c r="K59" s="69"/>
      <c r="L59" s="69"/>
      <c r="M59" s="69"/>
      <c r="N59" s="112" t="str">
        <f aca="false">IF(COUNT(D59,F59,H59,J59,L59)=0,"",(D59*0.2+F59*0.15+H59*0.15+J59*0.1+L59*0.1)/0.7)</f>
        <v/>
      </c>
      <c r="O59" s="76" t="str">
        <f aca="false">IF(COUNT(D59,F59,H59,J59,L59)=0,"",D59*0.2+F59*0.15+H59*0.15+J59*0.1+L59*0.1)</f>
        <v/>
      </c>
      <c r="P59" s="69"/>
      <c r="Q59" s="69"/>
      <c r="R59" s="69"/>
      <c r="S59" s="69"/>
      <c r="T59" s="69"/>
      <c r="U59" s="69"/>
      <c r="V59" s="69"/>
      <c r="W59" s="69"/>
      <c r="X59" s="98" t="str">
        <f aca="false">IF(COUNT(P59,R59,T59,V59)=0,"",P59*0.08+R59*0.06+T59*0.03+V59*0.08)</f>
        <v/>
      </c>
      <c r="Y59" s="69"/>
      <c r="Z59" s="69"/>
      <c r="AA59" s="69"/>
      <c r="AB59" s="69"/>
      <c r="AC59" s="69"/>
      <c r="AD59" s="69"/>
      <c r="AE59" s="98" t="str">
        <f aca="false">IF(COUNT(Y59,AA59,AC59)=0,"",Y59*0.02+AA59*0.02+AC59*0.01)</f>
        <v/>
      </c>
      <c r="AF59" s="76" t="str">
        <f aca="false">IF(OR(O59="",X59="",AE59=""),"",(O59+X59+AE59)*20)</f>
        <v/>
      </c>
      <c r="AG59" s="76" t="str">
        <f aca="false">IF(AF59="","",IF(AF59&gt;=80,"STRONG BUY",IF(AF59&gt;=65,"BUY",IF(AF59&gt;=50,"WATCH LIST",IF(AF59&gt;=35,"AVOID","PASS")))))</f>
        <v/>
      </c>
      <c r="AH59" s="76" t="str">
        <f aca="false">IF(N59="","",IF(N59&lt;3,"FAIL","OK"))</f>
        <v/>
      </c>
      <c r="AI59" s="76" t="str">
        <f aca="false">IF(COUNT(D59:L59)=0,"",IF(COUNTIF(D59:L59,1)&gt;0,"REVIEW","OK"))</f>
        <v/>
      </c>
      <c r="AJ59" s="76" t="str">
        <f aca="false">IF(COUNT(D59:L59)=0,"",IF(COUNTIF(D59:L59,"&lt;=2")&gt;=2,"AVOID","OK"))</f>
        <v/>
      </c>
      <c r="AK59" s="76" t="str">
        <f aca="false">IF(COUNTA(E59:M59)=0,"",IF(COUNTIF(E59:M59,"L")&gt;=2,"CAP AT BUY","OK"))</f>
        <v/>
      </c>
      <c r="AL59" s="114"/>
      <c r="AM59" s="69"/>
      <c r="AN59" s="69"/>
      <c r="AO59" s="76"/>
      <c r="AP59" s="69" t="str">
        <f aca="false">IF(OR(AN59="",AO59=""),"",IF(AN59&gt;AO59,"OK","LOW CONF"))</f>
        <v/>
      </c>
      <c r="AQ59" s="69"/>
      <c r="AR59" s="76"/>
      <c r="AS59" s="115" t="str">
        <f aca="false">IF(OR(AQ59="",AR59=""),"",IF(AQ59&lt;AR59,"Decreased",IF(AQ59&gt;AR59,"Increased","Flat")))</f>
        <v/>
      </c>
    </row>
    <row r="60" customFormat="false" ht="15" hidden="false" customHeight="true" outlineLevel="0" collapsed="false">
      <c r="A60" s="68"/>
      <c r="B60" s="69"/>
      <c r="C60" s="69"/>
      <c r="D60" s="69"/>
      <c r="E60" s="69"/>
      <c r="F60" s="69"/>
      <c r="G60" s="69"/>
      <c r="H60" s="69"/>
      <c r="I60" s="69"/>
      <c r="J60" s="69"/>
      <c r="K60" s="69"/>
      <c r="L60" s="69"/>
      <c r="M60" s="69"/>
      <c r="N60" s="112" t="str">
        <f aca="false">IF(COUNT(D60,F60,H60,J60,L60)=0,"",(D60*0.2+F60*0.15+H60*0.15+J60*0.1+L60*0.1)/0.7)</f>
        <v/>
      </c>
      <c r="O60" s="76" t="str">
        <f aca="false">IF(COUNT(D60,F60,H60,J60,L60)=0,"",D60*0.2+F60*0.15+H60*0.15+J60*0.1+L60*0.1)</f>
        <v/>
      </c>
      <c r="P60" s="69"/>
      <c r="Q60" s="69"/>
      <c r="R60" s="69"/>
      <c r="S60" s="69"/>
      <c r="T60" s="69"/>
      <c r="U60" s="69"/>
      <c r="V60" s="69"/>
      <c r="W60" s="69"/>
      <c r="X60" s="98" t="str">
        <f aca="false">IF(COUNT(P60,R60,T60,V60)=0,"",P60*0.08+R60*0.06+T60*0.03+V60*0.08)</f>
        <v/>
      </c>
      <c r="Y60" s="69"/>
      <c r="Z60" s="69"/>
      <c r="AA60" s="69"/>
      <c r="AB60" s="69"/>
      <c r="AC60" s="69"/>
      <c r="AD60" s="69"/>
      <c r="AE60" s="98" t="str">
        <f aca="false">IF(COUNT(Y60,AA60,AC60)=0,"",Y60*0.02+AA60*0.02+AC60*0.01)</f>
        <v/>
      </c>
      <c r="AF60" s="76" t="str">
        <f aca="false">IF(OR(O60="",X60="",AE60=""),"",(O60+X60+AE60)*20)</f>
        <v/>
      </c>
      <c r="AG60" s="76" t="str">
        <f aca="false">IF(AF60="","",IF(AF60&gt;=80,"STRONG BUY",IF(AF60&gt;=65,"BUY",IF(AF60&gt;=50,"WATCH LIST",IF(AF60&gt;=35,"AVOID","PASS")))))</f>
        <v/>
      </c>
      <c r="AH60" s="76" t="str">
        <f aca="false">IF(N60="","",IF(N60&lt;3,"FAIL","OK"))</f>
        <v/>
      </c>
      <c r="AI60" s="76" t="str">
        <f aca="false">IF(COUNT(D60:L60)=0,"",IF(COUNTIF(D60:L60,1)&gt;0,"REVIEW","OK"))</f>
        <v/>
      </c>
      <c r="AJ60" s="76" t="str">
        <f aca="false">IF(COUNT(D60:L60)=0,"",IF(COUNTIF(D60:L60,"&lt;=2")&gt;=2,"AVOID","OK"))</f>
        <v/>
      </c>
      <c r="AK60" s="76" t="str">
        <f aca="false">IF(COUNTA(E60:M60)=0,"",IF(COUNTIF(E60:M60,"L")&gt;=2,"CAP AT BUY","OK"))</f>
        <v/>
      </c>
      <c r="AL60" s="114"/>
      <c r="AM60" s="69"/>
      <c r="AN60" s="69"/>
      <c r="AO60" s="76"/>
      <c r="AP60" s="69" t="str">
        <f aca="false">IF(OR(AN60="",AO60=""),"",IF(AN60&gt;AO60,"OK","LOW CONF"))</f>
        <v/>
      </c>
      <c r="AQ60" s="69"/>
      <c r="AR60" s="76"/>
      <c r="AS60" s="115" t="str">
        <f aca="false">IF(OR(AQ60="",AR60=""),"",IF(AQ60&lt;AR60,"Decreased",IF(AQ60&gt;AR60,"Increased","Flat")))</f>
        <v/>
      </c>
    </row>
  </sheetData>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23">
      <formula>"STRONG BUY"</formula>
    </cfRule>
    <cfRule type="cellIs" priority="3" operator="equal" aboveAverage="0" equalAverage="0" bottom="0" percent="0" rank="0" text="" dxfId="24">
      <formula>"BUY"</formula>
    </cfRule>
    <cfRule type="cellIs" priority="4" operator="equal" aboveAverage="0" equalAverage="0" bottom="0" percent="0" rank="0" text="" dxfId="16">
      <formula>"WATCH LIST"</formula>
    </cfRule>
    <cfRule type="cellIs" priority="5" operator="equal" aboveAverage="0" equalAverage="0" bottom="0" percent="0" rank="0" text="" dxfId="17">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2">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2">
      <formula>"OK"</formula>
    </cfRule>
  </conditionalFormatting>
  <conditionalFormatting sqref="AI3:AI60">
    <cfRule type="cellIs" priority="11" operator="equal" aboveAverage="0" equalAverage="0" bottom="0" percent="0" rank="0" text="" dxfId="16">
      <formula>"REVIEW"</formula>
    </cfRule>
  </conditionalFormatting>
  <conditionalFormatting sqref="AK3:AK60">
    <cfRule type="cellIs" priority="12" operator="equal" aboveAverage="0" equalAverage="0" bottom="0" percent="0" rank="0" text="" dxfId="16">
      <formula>"CAP AT BUY"</formula>
    </cfRule>
  </conditionalFormatting>
  <conditionalFormatting sqref="N3:N60">
    <cfRule type="cellIs" priority="13" operator="greaterThanOrEqual" aboveAverage="0" equalAverage="0" bottom="0" percent="0" rank="0" text="" dxfId="12">
      <formula>3</formula>
    </cfRule>
  </conditionalFormatting>
  <conditionalFormatting sqref="AP3:AP60">
    <cfRule type="cellIs" priority="14" operator="equal" aboveAverage="0" equalAverage="0" bottom="0" percent="0" rank="0" text="" dxfId="16">
      <formula>"LOW CONF"</formula>
    </cfRule>
    <cfRule type="cellIs" priority="15" operator="equal" aboveAverage="0" equalAverage="0" bottom="0" percent="0" rank="0" text="" dxfId="12">
      <formula>"OK"</formula>
    </cfRule>
  </conditionalFormatting>
  <conditionalFormatting sqref="AS3:AS60">
    <cfRule type="cellIs" priority="16" operator="equal" aboveAverage="0" equalAverage="0" bottom="0" percent="0" rank="0" text="" dxfId="16">
      <formula>"Increased"</formula>
    </cfRule>
    <cfRule type="cellIs" priority="17" operator="equal" aboveAverage="0" equalAverage="0" bottom="0" percent="0" rank="0" text="" dxfId="12">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H37" activeCellId="0" sqref="H37"/>
    </sheetView>
  </sheetViews>
  <sheetFormatPr defaultColWidth="8.66796875" defaultRowHeight="15" customHeight="false" zeroHeight="false" outlineLevelRow="1"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116" t="s">
        <v>339</v>
      </c>
      <c r="B1" s="116"/>
      <c r="C1" s="116"/>
      <c r="D1" s="116"/>
      <c r="E1" s="116"/>
      <c r="F1" s="116"/>
      <c r="G1" s="116"/>
      <c r="H1" s="116"/>
      <c r="I1" s="116"/>
      <c r="J1" s="116"/>
      <c r="K1" s="116"/>
      <c r="L1" s="116"/>
      <c r="M1" s="116"/>
      <c r="N1" s="116"/>
      <c r="O1" s="116"/>
      <c r="P1" s="116"/>
      <c r="Q1" s="116"/>
      <c r="R1" s="116"/>
    </row>
    <row r="2" customFormat="false" ht="57" hidden="false" customHeight="true" outlineLevel="0" collapsed="false">
      <c r="A2" s="117" t="s">
        <v>74</v>
      </c>
      <c r="B2" s="118" t="s">
        <v>216</v>
      </c>
      <c r="C2" s="118" t="s">
        <v>340</v>
      </c>
      <c r="D2" s="118" t="s">
        <v>341</v>
      </c>
      <c r="E2" s="118" t="s">
        <v>342</v>
      </c>
      <c r="F2" s="118" t="s">
        <v>343</v>
      </c>
      <c r="G2" s="118" t="s">
        <v>344</v>
      </c>
      <c r="H2" s="118" t="s">
        <v>345</v>
      </c>
      <c r="I2" s="118" t="s">
        <v>346</v>
      </c>
      <c r="J2" s="118" t="s">
        <v>347</v>
      </c>
      <c r="K2" s="118" t="s">
        <v>348</v>
      </c>
      <c r="L2" s="118" t="s">
        <v>349</v>
      </c>
      <c r="M2" s="118" t="s">
        <v>350</v>
      </c>
      <c r="N2" s="118" t="s">
        <v>351</v>
      </c>
      <c r="O2" s="118" t="s">
        <v>352</v>
      </c>
      <c r="P2" s="118" t="s">
        <v>353</v>
      </c>
      <c r="Q2" s="118" t="s">
        <v>354</v>
      </c>
      <c r="R2" s="93" t="s">
        <v>355</v>
      </c>
    </row>
    <row r="3" customFormat="false" ht="15" hidden="false" customHeight="true" outlineLevel="0" collapsed="false">
      <c r="A3" s="76" t="str">
        <f aca="false">IF(Scoring!A3="","",Scoring!A3)</f>
        <v>MU</v>
      </c>
      <c r="B3" s="119" t="str">
        <f aca="false">IF(Scoring!B3="","",Scoring!B3)</f>
        <v>Micron Technology</v>
      </c>
      <c r="C3" s="120" t="str">
        <f aca="false">IF(Scoring!AG3="","",IF(OR(Scoring!AG3="STRONG BUY",Scoring!AG3="BUY"),"PASS","FAIL"))</f>
        <v>PASS</v>
      </c>
      <c r="D3" s="120" t="str">
        <f aca="false">IF(Scoring!AH3="","",IF(Scoring!AH3="OK","PASS","FAIL"))</f>
        <v>PASS</v>
      </c>
      <c r="E3" s="120" t="str">
        <f aca="false">IF(Scoring!AI3="","",IF(Scoring!AI3="OK","PASS","FAIL — mandatory review required"))</f>
        <v>PASS</v>
      </c>
      <c r="F3" s="121"/>
      <c r="G3" s="121"/>
      <c r="H3" s="120" t="str">
        <f aca="false">IF(OR(F3="",G3=""),"",IF(AND(F3="Y",G3="Y"),"Standard initial size","50% of normal initial size + 90-day technical review"))</f>
        <v/>
      </c>
      <c r="I3" s="121"/>
      <c r="J3" s="121"/>
      <c r="K3" s="120" t="str">
        <f aca="false">IF(I3="","",IF(I3="N","PASS",IF(J3="Y","PASS — risk documented in thesis","FAIL — undocumented binary risk")))</f>
        <v/>
      </c>
      <c r="L3" s="120" t="str">
        <f aca="false">IF('Implied-Return Calculator'!T4="","",'Implied-Return Calculator'!T4)</f>
        <v/>
      </c>
      <c r="M3" s="120" t="str">
        <f aca="false">IF('Implied-Return Calculator'!U4="","",'Implied-Return Calculator'!U4)</f>
        <v/>
      </c>
      <c r="N3" s="122"/>
      <c r="O3" s="123"/>
      <c r="P3" s="120" t="str">
        <f aca="false">IF(OR(N3="",O3=""),"",IF(N3&lt;=50,"PASS — within ceiling",IF(AND(O3&gt;0.3,L3="PASS"),"PASS — growth+bear case exception met","FAIL — exceeds 50x, exception not met")))</f>
        <v/>
      </c>
      <c r="Q3" s="120" t="str">
        <f aca="false">IF(OR(C3="",D3="",E3="",K3="",L3="",M3="",P3=""),"",IF(AND(C3="PASS",D3="PASS",LEFT(E3,4)="PASS",LEFT(K3,4)="PASS",L3="PASS",M3="OK",LEFT(P3,4)="PASS",'Implied-Return Calculator'!S4="PASS"),"YES","NO — see failing rule(s)"))</f>
        <v/>
      </c>
      <c r="R3" s="120" t="str">
        <f aca="false">IF(Q3="","",IF(Q3="YES","Initiate: "&amp;H3,"DO NOT ENTER — resolve failing Entry Rule(s) above first"))</f>
        <v/>
      </c>
    </row>
    <row r="4" customFormat="false" ht="15" hidden="false" customHeight="true" outlineLevel="0" collapsed="false">
      <c r="A4" s="76" t="str">
        <f aca="false">IF(Scoring!A4="","",Scoring!A4)</f>
        <v>AVGO</v>
      </c>
      <c r="B4" s="119" t="str">
        <f aca="false">IF(Scoring!B4="","",Scoring!B4)</f>
        <v>Broadcom Inc.</v>
      </c>
      <c r="C4" s="120" t="str">
        <f aca="false">IF(Scoring!AG4="","",IF(OR(Scoring!AG4="STRONG BUY",Scoring!AG4="BUY"),"PASS","FAIL"))</f>
        <v>PASS</v>
      </c>
      <c r="D4" s="120" t="str">
        <f aca="false">IF(Scoring!AH4="","",IF(Scoring!AH4="OK","PASS","FAIL"))</f>
        <v>PASS</v>
      </c>
      <c r="E4" s="120" t="str">
        <f aca="false">IF(Scoring!AI4="","",IF(Scoring!AI4="OK","PASS","FAIL — mandatory review required"))</f>
        <v>PASS</v>
      </c>
      <c r="F4" s="121"/>
      <c r="G4" s="121"/>
      <c r="H4" s="120" t="str">
        <f aca="false">IF(OR(F4="",G4=""),"",IF(AND(F4="Y",G4="Y"),"Standard initial size","50% of normal initial size + 90-day technical review"))</f>
        <v/>
      </c>
      <c r="I4" s="121"/>
      <c r="J4" s="121"/>
      <c r="K4" s="120" t="str">
        <f aca="false">IF(I4="","",IF(I4="N","PASS",IF(J4="Y","PASS — risk documented in thesis","FAIL — undocumented binary risk")))</f>
        <v/>
      </c>
      <c r="L4" s="120" t="str">
        <f aca="false">IF('Implied-Return Calculator'!T5="","",'Implied-Return Calculator'!T5)</f>
        <v/>
      </c>
      <c r="M4" s="120" t="str">
        <f aca="false">IF('Implied-Return Calculator'!U5="","",'Implied-Return Calculator'!U5)</f>
        <v/>
      </c>
      <c r="N4" s="122"/>
      <c r="O4" s="123"/>
      <c r="P4" s="120" t="str">
        <f aca="false">IF(OR(N4="",O4=""),"",IF(N4&lt;=50,"PASS — within ceiling",IF(AND(O4&gt;0.3,L4="PASS"),"PASS — growth+bear case exception met","FAIL — exceeds 50x, exception not met")))</f>
        <v/>
      </c>
      <c r="Q4" s="120" t="str">
        <f aca="false">IF(OR(C4="",D4="",E4="",K4="",L4="",M4="",P4=""),"",IF(AND(C4="PASS",D4="PASS",LEFT(E4,4)="PASS",LEFT(K4,4)="PASS",L4="PASS",M4="OK",LEFT(P4,4)="PASS",'Implied-Return Calculator'!S5="PASS"),"YES","NO — see failing rule(s)"))</f>
        <v/>
      </c>
      <c r="R4" s="120" t="str">
        <f aca="false">IF(Q4="","",IF(Q4="YES","Initiate: "&amp;H4,"DO NOT ENTER — resolve failing Entry Rule(s) above first"))</f>
        <v/>
      </c>
    </row>
    <row r="5" customFormat="false" ht="15" hidden="false" customHeight="true" outlineLevel="0" collapsed="false">
      <c r="A5" s="76" t="str">
        <f aca="false">IF(Scoring!A5="","",Scoring!A5)</f>
        <v>PLTR</v>
      </c>
      <c r="B5" s="119" t="str">
        <f aca="false">IF(Scoring!B5="","",Scoring!B5)</f>
        <v>Palantir Technologies</v>
      </c>
      <c r="C5" s="120" t="str">
        <f aca="false">IF(Scoring!AG5="","",IF(OR(Scoring!AG5="STRONG BUY",Scoring!AG5="BUY"),"PASS","FAIL"))</f>
        <v>PASS</v>
      </c>
      <c r="D5" s="120" t="str">
        <f aca="false">IF(Scoring!AH5="","",IF(Scoring!AH5="OK","PASS","FAIL"))</f>
        <v>PASS</v>
      </c>
      <c r="E5" s="120" t="str">
        <f aca="false">IF(Scoring!AI5="","",IF(Scoring!AI5="OK","PASS","FAIL — mandatory review required"))</f>
        <v>PASS</v>
      </c>
      <c r="F5" s="121"/>
      <c r="G5" s="121"/>
      <c r="H5" s="120" t="str">
        <f aca="false">IF(OR(F5="",G5=""),"",IF(AND(F5="Y",G5="Y"),"Standard initial size","50% of normal initial size + 90-day technical review"))</f>
        <v/>
      </c>
      <c r="I5" s="121"/>
      <c r="J5" s="121"/>
      <c r="K5" s="120" t="str">
        <f aca="false">IF(I5="","",IF(I5="N","PASS",IF(J5="Y","PASS — risk documented in thesis","FAIL — undocumented binary risk")))</f>
        <v/>
      </c>
      <c r="L5" s="120" t="str">
        <f aca="false">IF('Implied-Return Calculator'!T6="","",'Implied-Return Calculator'!T6)</f>
        <v/>
      </c>
      <c r="M5" s="120" t="str">
        <f aca="false">IF('Implied-Return Calculator'!U6="","",'Implied-Return Calculator'!U6)</f>
        <v/>
      </c>
      <c r="N5" s="122"/>
      <c r="O5" s="123"/>
      <c r="P5" s="120" t="str">
        <f aca="false">IF(OR(N5="",O5=""),"",IF(N5&lt;=50,"PASS — within ceiling",IF(AND(O5&gt;0.3,L5="PASS"),"PASS — growth+bear case exception met","FAIL — exceeds 50x, exception not met")))</f>
        <v/>
      </c>
      <c r="Q5" s="120" t="str">
        <f aca="false">IF(OR(C5="",D5="",E5="",K5="",L5="",M5="",P5=""),"",IF(AND(C5="PASS",D5="PASS",LEFT(E5,4)="PASS",LEFT(K5,4)="PASS",L5="PASS",M5="OK",LEFT(P5,4)="PASS",'Implied-Return Calculator'!S6="PASS"),"YES","NO — see failing rule(s)"))</f>
        <v/>
      </c>
      <c r="R5" s="120" t="str">
        <f aca="false">IF(Q5="","",IF(Q5="YES","Initiate: "&amp;H5,"DO NOT ENTER — resolve failing Entry Rule(s) above first"))</f>
        <v/>
      </c>
    </row>
    <row r="6" customFormat="false" ht="15" hidden="false" customHeight="true" outlineLevel="0" collapsed="false">
      <c r="A6" s="76" t="str">
        <f aca="false">IF(Scoring!A6="","",Scoring!A6)</f>
        <v>NVDA</v>
      </c>
      <c r="B6" s="119" t="str">
        <f aca="false">IF(Scoring!B6="","",Scoring!B6)</f>
        <v>NVIDIA Corporation</v>
      </c>
      <c r="C6" s="120" t="str">
        <f aca="false">IF(Scoring!AG6="","",IF(OR(Scoring!AG6="STRONG BUY",Scoring!AG6="BUY"),"PASS","FAIL"))</f>
        <v>PASS</v>
      </c>
      <c r="D6" s="120" t="str">
        <f aca="false">IF(Scoring!AH6="","",IF(Scoring!AH6="OK","PASS","FAIL"))</f>
        <v>PASS</v>
      </c>
      <c r="E6" s="120" t="str">
        <f aca="false">IF(Scoring!AI6="","",IF(Scoring!AI6="OK","PASS","FAIL — mandatory review required"))</f>
        <v>PASS</v>
      </c>
      <c r="F6" s="121"/>
      <c r="G6" s="121"/>
      <c r="H6" s="120" t="str">
        <f aca="false">IF(OR(F6="",G6=""),"",IF(AND(F6="Y",G6="Y"),"Standard initial size","50% of normal initial size + 90-day technical review"))</f>
        <v/>
      </c>
      <c r="I6" s="121"/>
      <c r="J6" s="121"/>
      <c r="K6" s="120" t="str">
        <f aca="false">IF(I6="","",IF(I6="N","PASS",IF(J6="Y","PASS — risk documented in thesis","FAIL — undocumented binary risk")))</f>
        <v/>
      </c>
      <c r="L6" s="120" t="str">
        <f aca="false">IF('Implied-Return Calculator'!T7="","",'Implied-Return Calculator'!T7)</f>
        <v/>
      </c>
      <c r="M6" s="120" t="str">
        <f aca="false">IF('Implied-Return Calculator'!U7="","",'Implied-Return Calculator'!U7)</f>
        <v/>
      </c>
      <c r="N6" s="122"/>
      <c r="O6" s="123"/>
      <c r="P6" s="120" t="str">
        <f aca="false">IF(OR(N6="",O6=""),"",IF(N6&lt;=50,"PASS — within ceiling",IF(AND(O6&gt;0.3,L6="PASS"),"PASS — growth+bear case exception met","FAIL — exceeds 50x, exception not met")))</f>
        <v/>
      </c>
      <c r="Q6" s="120" t="str">
        <f aca="false">IF(OR(C6="",D6="",E6="",K6="",L6="",M6="",P6=""),"",IF(AND(C6="PASS",D6="PASS",LEFT(E6,4)="PASS",LEFT(K6,4)="PASS",L6="PASS",M6="OK",LEFT(P6,4)="PASS",'Implied-Return Calculator'!S7="PASS"),"YES","NO — see failing rule(s)"))</f>
        <v/>
      </c>
      <c r="R6" s="120" t="str">
        <f aca="false">IF(Q6="","",IF(Q6="YES","Initiate: "&amp;H6,"DO NOT ENTER — resolve failing Entry Rule(s) above first"))</f>
        <v/>
      </c>
    </row>
    <row r="7" customFormat="false" ht="15" hidden="false" customHeight="true" outlineLevel="0" collapsed="false">
      <c r="A7" s="76" t="str">
        <f aca="false">IF(Scoring!A7="","",Scoring!A7)</f>
        <v>VRTX</v>
      </c>
      <c r="B7" s="119" t="str">
        <f aca="false">IF(Scoring!B7="","",Scoring!B7)</f>
        <v>Vertex Pharmaceuticals</v>
      </c>
      <c r="C7" s="120" t="str">
        <f aca="false">IF(Scoring!AG7="","",IF(OR(Scoring!AG7="STRONG BUY",Scoring!AG7="BUY"),"PASS","FAIL"))</f>
        <v>PASS</v>
      </c>
      <c r="D7" s="120" t="str">
        <f aca="false">IF(Scoring!AH7="","",IF(Scoring!AH7="OK","PASS","FAIL"))</f>
        <v>PASS</v>
      </c>
      <c r="E7" s="120" t="str">
        <f aca="false">IF(Scoring!AI7="","",IF(Scoring!AI7="OK","PASS","FAIL — mandatory review required"))</f>
        <v>PASS</v>
      </c>
      <c r="F7" s="121"/>
      <c r="G7" s="121"/>
      <c r="H7" s="120" t="str">
        <f aca="false">IF(OR(F7="",G7=""),"",IF(AND(F7="Y",G7="Y"),"Standard initial size","50% of normal initial size + 90-day technical review"))</f>
        <v/>
      </c>
      <c r="I7" s="121"/>
      <c r="J7" s="121"/>
      <c r="K7" s="120" t="str">
        <f aca="false">IF(I7="","",IF(I7="N","PASS",IF(J7="Y","PASS — risk documented in thesis","FAIL — undocumented binary risk")))</f>
        <v/>
      </c>
      <c r="L7" s="120" t="str">
        <f aca="false">IF('Implied-Return Calculator'!T8="","",'Implied-Return Calculator'!T8)</f>
        <v/>
      </c>
      <c r="M7" s="120" t="str">
        <f aca="false">IF('Implied-Return Calculator'!U8="","",'Implied-Return Calculator'!U8)</f>
        <v/>
      </c>
      <c r="N7" s="122"/>
      <c r="O7" s="123"/>
      <c r="P7" s="120" t="str">
        <f aca="false">IF(OR(N7="",O7=""),"",IF(N7&lt;=50,"PASS — within ceiling",IF(AND(O7&gt;0.3,L7="PASS"),"PASS — growth+bear case exception met","FAIL — exceeds 50x, exception not met")))</f>
        <v/>
      </c>
      <c r="Q7" s="120" t="str">
        <f aca="false">IF(OR(C7="",D7="",E7="",K7="",L7="",M7="",P7=""),"",IF(AND(C7="PASS",D7="PASS",LEFT(E7,4)="PASS",LEFT(K7,4)="PASS",L7="PASS",M7="OK",LEFT(P7,4)="PASS",'Implied-Return Calculator'!S8="PASS"),"YES","NO — see failing rule(s)"))</f>
        <v/>
      </c>
      <c r="R7" s="120" t="str">
        <f aca="false">IF(Q7="","",IF(Q7="YES","Initiate: "&amp;H7,"DO NOT ENTER — resolve failing Entry Rule(s) above first"))</f>
        <v/>
      </c>
    </row>
    <row r="8" customFormat="false" ht="15" hidden="false" customHeight="true" outlineLevel="0" collapsed="false">
      <c r="A8" s="76" t="str">
        <f aca="false">IF(Scoring!A8="","",Scoring!A8)</f>
        <v>PLD</v>
      </c>
      <c r="B8" s="119" t="str">
        <f aca="false">IF(Scoring!B8="","",Scoring!B8)</f>
        <v>Prologis Inc. (REIT-adapted)</v>
      </c>
      <c r="C8" s="120" t="str">
        <f aca="false">IF(Scoring!AG8="","",IF(OR(Scoring!AG8="STRONG BUY",Scoring!AG8="BUY"),"PASS","FAIL"))</f>
        <v>PASS</v>
      </c>
      <c r="D8" s="120" t="str">
        <f aca="false">IF(Scoring!AH8="","",IF(Scoring!AH8="OK","PASS","FAIL"))</f>
        <v>PASS</v>
      </c>
      <c r="E8" s="120" t="str">
        <f aca="false">IF(Scoring!AI8="","",IF(Scoring!AI8="OK","PASS","FAIL — mandatory review required"))</f>
        <v>PASS</v>
      </c>
      <c r="F8" s="121"/>
      <c r="G8" s="121"/>
      <c r="H8" s="120" t="str">
        <f aca="false">IF(OR(F8="",G8=""),"",IF(AND(F8="Y",G8="Y"),"Standard initial size","50% of normal initial size + 90-day technical review"))</f>
        <v/>
      </c>
      <c r="I8" s="121"/>
      <c r="J8" s="121"/>
      <c r="K8" s="120" t="str">
        <f aca="false">IF(I8="","",IF(I8="N","PASS",IF(J8="Y","PASS — risk documented in thesis","FAIL — undocumented binary risk")))</f>
        <v/>
      </c>
      <c r="L8" s="120" t="str">
        <f aca="false">IF('Implied-Return Calculator'!T9="","",'Implied-Return Calculator'!T9)</f>
        <v/>
      </c>
      <c r="M8" s="120" t="str">
        <f aca="false">IF('Implied-Return Calculator'!U9="","",'Implied-Return Calculator'!U9)</f>
        <v/>
      </c>
      <c r="N8" s="122"/>
      <c r="O8" s="123"/>
      <c r="P8" s="120" t="str">
        <f aca="false">IF(OR(N8="",O8=""),"",IF(N8&lt;=50,"PASS — within ceiling",IF(AND(O8&gt;0.3,L8="PASS"),"PASS — growth+bear case exception met","FAIL — exceeds 50x, exception not met")))</f>
        <v/>
      </c>
      <c r="Q8" s="120" t="str">
        <f aca="false">IF(OR(C8="",D8="",E8="",K8="",L8="",M8="",P8=""),"",IF(AND(C8="PASS",D8="PASS",LEFT(E8,4)="PASS",LEFT(K8,4)="PASS",L8="PASS",M8="OK",LEFT(P8,4)="PASS",'Implied-Return Calculator'!S9="PASS"),"YES","NO — see failing rule(s)"))</f>
        <v/>
      </c>
      <c r="R8" s="120" t="str">
        <f aca="false">IF(Q8="","",IF(Q8="YES","Initiate: "&amp;H8,"DO NOT ENTER — resolve failing Entry Rule(s) above first"))</f>
        <v/>
      </c>
    </row>
    <row r="9" customFormat="false" ht="15" hidden="false" customHeight="true" outlineLevel="1" collapsed="false">
      <c r="A9" s="76" t="str">
        <f aca="false">IF(Scoring!A9="","",Scoring!A9)</f>
        <v>SFM</v>
      </c>
      <c r="B9" s="119" t="str">
        <f aca="false">IF(Scoring!B9="","",Scoring!B9)</f>
        <v>Sprouts Farmers Market</v>
      </c>
      <c r="C9" s="120" t="str">
        <f aca="false">IF(Scoring!AG9="","",IF(OR(Scoring!AG9="STRONG BUY",Scoring!AG9="BUY"),"PASS","FAIL"))</f>
        <v/>
      </c>
      <c r="D9" s="120" t="str">
        <f aca="false">IF(Scoring!AH9="","",IF(Scoring!AH9="OK","PASS","FAIL"))</f>
        <v>FAIL</v>
      </c>
      <c r="E9" s="120" t="str">
        <f aca="false">IF(Scoring!AI9="","",IF(Scoring!AI9="OK","PASS","FAIL — mandatory review required"))</f>
        <v>FAIL — mandatory review required</v>
      </c>
      <c r="F9" s="121"/>
      <c r="G9" s="121"/>
      <c r="H9" s="120" t="str">
        <f aca="false">IF(OR(F9="",G9=""),"",IF(AND(F9="Y",G9="Y"),"Standard initial size","50% of normal initial size + 90-day technical review"))</f>
        <v/>
      </c>
      <c r="I9" s="121"/>
      <c r="J9" s="121"/>
      <c r="K9" s="120" t="str">
        <f aca="false">IF(I9="","",IF(I9="N","PASS",IF(J9="Y","PASS — risk documented in thesis","FAIL — undocumented binary risk")))</f>
        <v/>
      </c>
      <c r="L9" s="120" t="str">
        <f aca="false">IF('Implied-Return Calculator'!T10="","",'Implied-Return Calculator'!T10)</f>
        <v/>
      </c>
      <c r="M9" s="120" t="str">
        <f aca="false">IF('Implied-Return Calculator'!U10="","",'Implied-Return Calculator'!U10)</f>
        <v/>
      </c>
      <c r="N9" s="122"/>
      <c r="O9" s="123"/>
      <c r="P9" s="120" t="str">
        <f aca="false">IF(OR(N9="",O9=""),"",IF(N9&lt;=50,"PASS — within ceiling",IF(AND(O9&gt;0.3,L9="PASS"),"PASS — growth+bear case exception met","FAIL — exceeds 50x, exception not met")))</f>
        <v/>
      </c>
      <c r="Q9" s="120" t="str">
        <f aca="false">IF(OR(C9="",D9="",E9="",K9="",L9="",M9="",P9=""),"",IF(AND(C9="PASS",D9="PASS",LEFT(E9,4)="PASS",LEFT(K9,4)="PASS",L9="PASS",M9="OK",LEFT(P9,4)="PASS",'Implied-Return Calculator'!S10="PASS"),"YES","NO — see failing rule(s)"))</f>
        <v/>
      </c>
      <c r="R9" s="120" t="str">
        <f aca="false">IF(Q9="","",IF(Q9="YES","Initiate: "&amp;H9,"DO NOT ENTER — resolve failing Entry Rule(s) above first"))</f>
        <v/>
      </c>
    </row>
    <row r="10" customFormat="false" ht="15" hidden="false" customHeight="true" outlineLevel="1" collapsed="false">
      <c r="A10" s="76" t="str">
        <f aca="false">IF(Scoring!A10="","",Scoring!A10)</f>
        <v>ONON</v>
      </c>
      <c r="B10" s="119" t="str">
        <f aca="false">IF(Scoring!B10="","",Scoring!B10)</f>
        <v>On Holding AG</v>
      </c>
      <c r="C10" s="120" t="str">
        <f aca="false">IF(Scoring!AG10="","",IF(OR(Scoring!AG10="STRONG BUY",Scoring!AG10="BUY"),"PASS","FAIL"))</f>
        <v/>
      </c>
      <c r="D10" s="120" t="str">
        <f aca="false">IF(Scoring!AH10="","",IF(Scoring!AH10="OK","PASS","FAIL"))</f>
        <v>FAIL</v>
      </c>
      <c r="E10" s="120" t="str">
        <f aca="false">IF(Scoring!AI10="","",IF(Scoring!AI10="OK","PASS","FAIL — mandatory review required"))</f>
        <v>PASS</v>
      </c>
      <c r="F10" s="121"/>
      <c r="G10" s="121"/>
      <c r="H10" s="120" t="str">
        <f aca="false">IF(OR(F10="",G10=""),"",IF(AND(F10="Y",G10="Y"),"Standard initial size","50% of normal initial size + 90-day technical review"))</f>
        <v/>
      </c>
      <c r="I10" s="121"/>
      <c r="J10" s="121"/>
      <c r="K10" s="120" t="str">
        <f aca="false">IF(I10="","",IF(I10="N","PASS",IF(J10="Y","PASS — risk documented in thesis","FAIL — undocumented binary risk")))</f>
        <v/>
      </c>
      <c r="L10" s="120" t="str">
        <f aca="false">IF('Implied-Return Calculator'!T11="","",'Implied-Return Calculator'!T11)</f>
        <v/>
      </c>
      <c r="M10" s="120" t="str">
        <f aca="false">IF('Implied-Return Calculator'!U11="","",'Implied-Return Calculator'!U11)</f>
        <v/>
      </c>
      <c r="N10" s="122"/>
      <c r="O10" s="123"/>
      <c r="P10" s="120" t="str">
        <f aca="false">IF(OR(N10="",O10=""),"",IF(N10&lt;=50,"PASS — within ceiling",IF(AND(O10&gt;0.3,L10="PASS"),"PASS — growth+bear case exception met","FAIL — exceeds 50x, exception not met")))</f>
        <v/>
      </c>
      <c r="Q10" s="120" t="str">
        <f aca="false">IF(OR(C10="",D10="",E10="",K10="",L10="",M10="",P10=""),"",IF(AND(C10="PASS",D10="PASS",LEFT(E10,4)="PASS",LEFT(K10,4)="PASS",L10="PASS",M10="OK",LEFT(P10,4)="PASS",'Implied-Return Calculator'!S11="PASS"),"YES","NO — see failing rule(s)"))</f>
        <v/>
      </c>
      <c r="R10" s="120" t="str">
        <f aca="false">IF(Q10="","",IF(Q10="YES","Initiate: "&amp;H10,"DO NOT ENTER — resolve failing Entry Rule(s) above first"))</f>
        <v/>
      </c>
    </row>
    <row r="11" customFormat="false" ht="15" hidden="false" customHeight="true" outlineLevel="1" collapsed="false">
      <c r="A11" s="76" t="str">
        <f aca="false">IF(Scoring!A11="","",Scoring!A11)</f>
        <v>TSLA</v>
      </c>
      <c r="B11" s="119" t="str">
        <f aca="false">IF(Scoring!B11="","",Scoring!B11)</f>
        <v>Tesla Inc.</v>
      </c>
      <c r="C11" s="120" t="str">
        <f aca="false">IF(Scoring!AG11="","",IF(OR(Scoring!AG11="STRONG BUY",Scoring!AG11="BUY"),"PASS","FAIL"))</f>
        <v/>
      </c>
      <c r="D11" s="120" t="str">
        <f aca="false">IF(Scoring!AH11="","",IF(Scoring!AH11="OK","PASS","FAIL"))</f>
        <v>FAIL</v>
      </c>
      <c r="E11" s="120" t="str">
        <f aca="false">IF(Scoring!AI11="","",IF(Scoring!AI11="OK","PASS","FAIL — mandatory review required"))</f>
        <v>FAIL — mandatory review required</v>
      </c>
      <c r="F11" s="121"/>
      <c r="G11" s="121"/>
      <c r="H11" s="120" t="str">
        <f aca="false">IF(OR(F11="",G11=""),"",IF(AND(F11="Y",G11="Y"),"Standard initial size","50% of normal initial size + 90-day technical review"))</f>
        <v/>
      </c>
      <c r="I11" s="121"/>
      <c r="J11" s="121"/>
      <c r="K11" s="120" t="str">
        <f aca="false">IF(I11="","",IF(I11="N","PASS",IF(J11="Y","PASS — risk documented in thesis","FAIL — undocumented binary risk")))</f>
        <v/>
      </c>
      <c r="L11" s="120" t="str">
        <f aca="false">IF('Implied-Return Calculator'!T12="","",'Implied-Return Calculator'!T12)</f>
        <v/>
      </c>
      <c r="M11" s="120" t="str">
        <f aca="false">IF('Implied-Return Calculator'!U12="","",'Implied-Return Calculator'!U12)</f>
        <v/>
      </c>
      <c r="N11" s="122"/>
      <c r="O11" s="123"/>
      <c r="P11" s="120" t="str">
        <f aca="false">IF(OR(N11="",O11=""),"",IF(N11&lt;=50,"PASS — within ceiling",IF(AND(O11&gt;0.3,L11="PASS"),"PASS — growth+bear case exception met","FAIL — exceeds 50x, exception not met")))</f>
        <v/>
      </c>
      <c r="Q11" s="120" t="str">
        <f aca="false">IF(OR(C11="",D11="",E11="",K11="",L11="",M11="",P11=""),"",IF(AND(C11="PASS",D11="PASS",LEFT(E11,4)="PASS",LEFT(K11,4)="PASS",L11="PASS",M11="OK",LEFT(P11,4)="PASS",'Implied-Return Calculator'!S12="PASS"),"YES","NO — see failing rule(s)"))</f>
        <v/>
      </c>
      <c r="R11" s="120" t="str">
        <f aca="false">IF(Q11="","",IF(Q11="YES","Initiate: "&amp;H11,"DO NOT ENTER — resolve failing Entry Rule(s) above first"))</f>
        <v/>
      </c>
    </row>
    <row r="12" customFormat="false" ht="15" hidden="false" customHeight="true" outlineLevel="0" collapsed="false">
      <c r="A12" s="76" t="str">
        <f aca="false">IF(Scoring!A12="","",Scoring!A12)</f>
        <v>ADBE</v>
      </c>
      <c r="B12" s="119" t="str">
        <f aca="false">IF(Scoring!B12="","",Scoring!B12)</f>
        <v>Adobe Inc.</v>
      </c>
      <c r="C12" s="120" t="str">
        <f aca="false">IF(Scoring!AG12="","",IF(OR(Scoring!AG12="STRONG BUY",Scoring!AG12="BUY"),"PASS","FAIL"))</f>
        <v>PASS</v>
      </c>
      <c r="D12" s="120" t="str">
        <f aca="false">IF(Scoring!AH12="","",IF(Scoring!AH12="OK","PASS","FAIL"))</f>
        <v>PASS</v>
      </c>
      <c r="E12" s="120" t="str">
        <f aca="false">IF(Scoring!AI12="","",IF(Scoring!AI12="OK","PASS","FAIL — mandatory review required"))</f>
        <v>PASS</v>
      </c>
      <c r="F12" s="121"/>
      <c r="G12" s="121"/>
      <c r="H12" s="120" t="str">
        <f aca="false">IF(OR(F12="",G12=""),"",IF(AND(F12="Y",G12="Y"),"Standard initial size","50% of normal initial size + 90-day technical review"))</f>
        <v/>
      </c>
      <c r="I12" s="121"/>
      <c r="J12" s="121"/>
      <c r="K12" s="120" t="str">
        <f aca="false">IF(I12="","",IF(I12="N","PASS",IF(J12="Y","PASS — risk documented in thesis","FAIL — undocumented binary risk")))</f>
        <v/>
      </c>
      <c r="L12" s="120" t="str">
        <f aca="false">IF('Implied-Return Calculator'!T13="","",'Implied-Return Calculator'!T13)</f>
        <v/>
      </c>
      <c r="M12" s="120" t="str">
        <f aca="false">IF('Implied-Return Calculator'!U13="","",'Implied-Return Calculator'!U13)</f>
        <v/>
      </c>
      <c r="N12" s="122"/>
      <c r="O12" s="123"/>
      <c r="P12" s="120" t="str">
        <f aca="false">IF(OR(N12="",O12=""),"",IF(N12&lt;=50,"PASS — within ceiling",IF(AND(O12&gt;0.3,L12="PASS"),"PASS — growth+bear case exception met","FAIL — exceeds 50x, exception not met")))</f>
        <v/>
      </c>
      <c r="Q12" s="120" t="str">
        <f aca="false">IF(OR(C12="",D12="",E12="",K12="",L12="",M12="",P12=""),"",IF(AND(C12="PASS",D12="PASS",LEFT(E12,4)="PASS",LEFT(K12,4)="PASS",L12="PASS",M12="OK",LEFT(P12,4)="PASS",'Implied-Return Calculator'!S13="PASS"),"YES","NO — see failing rule(s)"))</f>
        <v/>
      </c>
      <c r="R12" s="120" t="str">
        <f aca="false">IF(Q12="","",IF(Q12="YES","Initiate: "&amp;H12,"DO NOT ENTER — resolve failing Entry Rule(s) above first"))</f>
        <v/>
      </c>
    </row>
    <row r="13" customFormat="false" ht="15" hidden="false" customHeight="true" outlineLevel="0" collapsed="false">
      <c r="A13" s="76" t="str">
        <f aca="false">IF(Scoring!A13="","",Scoring!A13)</f>
        <v>ANET</v>
      </c>
      <c r="B13" s="119" t="str">
        <f aca="false">IF(Scoring!B13="","",Scoring!B13)</f>
        <v>Arista Networks</v>
      </c>
      <c r="C13" s="120" t="str">
        <f aca="false">IF(Scoring!AG13="","",IF(OR(Scoring!AG13="STRONG BUY",Scoring!AG13="BUY"),"PASS","FAIL"))</f>
        <v>PASS</v>
      </c>
      <c r="D13" s="120" t="str">
        <f aca="false">IF(Scoring!AH13="","",IF(Scoring!AH13="OK","PASS","FAIL"))</f>
        <v>PASS</v>
      </c>
      <c r="E13" s="120" t="str">
        <f aca="false">IF(Scoring!AI13="","",IF(Scoring!AI13="OK","PASS","FAIL — mandatory review required"))</f>
        <v>PASS</v>
      </c>
      <c r="F13" s="121"/>
      <c r="G13" s="121"/>
      <c r="H13" s="120" t="str">
        <f aca="false">IF(OR(F13="",G13=""),"",IF(AND(F13="Y",G13="Y"),"Standard initial size","50% of normal initial size + 90-day technical review"))</f>
        <v/>
      </c>
      <c r="I13" s="121"/>
      <c r="J13" s="121"/>
      <c r="K13" s="120" t="str">
        <f aca="false">IF(I13="","",IF(I13="N","PASS",IF(J13="Y","PASS — risk documented in thesis","FAIL — undocumented binary risk")))</f>
        <v/>
      </c>
      <c r="L13" s="120" t="str">
        <f aca="false">IF('Implied-Return Calculator'!T14="","",'Implied-Return Calculator'!T14)</f>
        <v/>
      </c>
      <c r="M13" s="120" t="str">
        <f aca="false">IF('Implied-Return Calculator'!U14="","",'Implied-Return Calculator'!U14)</f>
        <v/>
      </c>
      <c r="N13" s="122"/>
      <c r="O13" s="123"/>
      <c r="P13" s="120" t="str">
        <f aca="false">IF(OR(N13="",O13=""),"",IF(N13&lt;=50,"PASS — within ceiling",IF(AND(O13&gt;0.3,L13="PASS"),"PASS — growth+bear case exception met","FAIL — exceeds 50x, exception not met")))</f>
        <v/>
      </c>
      <c r="Q13" s="120" t="str">
        <f aca="false">IF(OR(C13="",D13="",E13="",K13="",L13="",M13="",P13=""),"",IF(AND(C13="PASS",D13="PASS",LEFT(E13,4)="PASS",LEFT(K13,4)="PASS",L13="PASS",M13="OK",LEFT(P13,4)="PASS",'Implied-Return Calculator'!S14="PASS"),"YES","NO — see failing rule(s)"))</f>
        <v/>
      </c>
      <c r="R13" s="120" t="str">
        <f aca="false">IF(Q13="","",IF(Q13="YES","Initiate: "&amp;H13,"DO NOT ENTER — resolve failing Entry Rule(s) above first"))</f>
        <v/>
      </c>
    </row>
    <row r="14" customFormat="false" ht="15" hidden="false" customHeight="true" outlineLevel="0" collapsed="false">
      <c r="A14" s="76" t="str">
        <f aca="false">IF(Scoring!A14="","",Scoring!A14)</f>
        <v>ASML</v>
      </c>
      <c r="B14" s="119" t="str">
        <f aca="false">IF(Scoring!B14="","",Scoring!B14)</f>
        <v>ASML Holding</v>
      </c>
      <c r="C14" s="120" t="str">
        <f aca="false">IF(Scoring!AG14="","",IF(OR(Scoring!AG14="STRONG BUY",Scoring!AG14="BUY"),"PASS","FAIL"))</f>
        <v>PASS</v>
      </c>
      <c r="D14" s="120" t="str">
        <f aca="false">IF(Scoring!AH14="","",IF(Scoring!AH14="OK","PASS","FAIL"))</f>
        <v>PASS</v>
      </c>
      <c r="E14" s="120" t="str">
        <f aca="false">IF(Scoring!AI14="","",IF(Scoring!AI14="OK","PASS","FAIL — mandatory review required"))</f>
        <v>PASS</v>
      </c>
      <c r="F14" s="121"/>
      <c r="G14" s="121"/>
      <c r="H14" s="120" t="str">
        <f aca="false">IF(OR(F14="",G14=""),"",IF(AND(F14="Y",G14="Y"),"Standard initial size","50% of normal initial size + 90-day technical review"))</f>
        <v/>
      </c>
      <c r="I14" s="121"/>
      <c r="J14" s="121"/>
      <c r="K14" s="120" t="str">
        <f aca="false">IF(I14="","",IF(I14="N","PASS",IF(J14="Y","PASS — risk documented in thesis","FAIL — undocumented binary risk")))</f>
        <v/>
      </c>
      <c r="L14" s="120" t="str">
        <f aca="false">IF('Implied-Return Calculator'!T15="","",'Implied-Return Calculator'!T15)</f>
        <v/>
      </c>
      <c r="M14" s="120" t="str">
        <f aca="false">IF('Implied-Return Calculator'!U15="","",'Implied-Return Calculator'!U15)</f>
        <v/>
      </c>
      <c r="N14" s="122"/>
      <c r="O14" s="123"/>
      <c r="P14" s="120" t="str">
        <f aca="false">IF(OR(N14="",O14=""),"",IF(N14&lt;=50,"PASS — within ceiling",IF(AND(O14&gt;0.3,L14="PASS"),"PASS — growth+bear case exception met","FAIL — exceeds 50x, exception not met")))</f>
        <v/>
      </c>
      <c r="Q14" s="120" t="str">
        <f aca="false">IF(OR(C14="",D14="",E14="",K14="",L14="",M14="",P14=""),"",IF(AND(C14="PASS",D14="PASS",LEFT(E14,4)="PASS",LEFT(K14,4)="PASS",L14="PASS",M14="OK",LEFT(P14,4)="PASS",'Implied-Return Calculator'!S15="PASS"),"YES","NO — see failing rule(s)"))</f>
        <v/>
      </c>
      <c r="R14" s="120" t="str">
        <f aca="false">IF(Q14="","",IF(Q14="YES","Initiate: "&amp;H14,"DO NOT ENTER — resolve failing Entry Rule(s) above first"))</f>
        <v/>
      </c>
    </row>
    <row r="15" customFormat="false" ht="15" hidden="false" customHeight="true" outlineLevel="0" collapsed="false">
      <c r="A15" s="76" t="str">
        <f aca="false">IF(Scoring!A15="","",Scoring!A15)</f>
        <v>CRWD</v>
      </c>
      <c r="B15" s="119" t="str">
        <f aca="false">IF(Scoring!B15="","",Scoring!B15)</f>
        <v>CrowdStrike Holdings</v>
      </c>
      <c r="C15" s="120" t="str">
        <f aca="false">IF(Scoring!AG15="","",IF(OR(Scoring!AG15="STRONG BUY",Scoring!AG15="BUY"),"PASS","FAIL"))</f>
        <v>PASS</v>
      </c>
      <c r="D15" s="120" t="str">
        <f aca="false">IF(Scoring!AH15="","",IF(Scoring!AH15="OK","PASS","FAIL"))</f>
        <v>PASS</v>
      </c>
      <c r="E15" s="120" t="str">
        <f aca="false">IF(Scoring!AI15="","",IF(Scoring!AI15="OK","PASS","FAIL — mandatory review required"))</f>
        <v>PASS</v>
      </c>
      <c r="F15" s="121"/>
      <c r="G15" s="121"/>
      <c r="H15" s="120" t="str">
        <f aca="false">IF(OR(F15="",G15=""),"",IF(AND(F15="Y",G15="Y"),"Standard initial size","50% of normal initial size + 90-day technical review"))</f>
        <v/>
      </c>
      <c r="I15" s="121"/>
      <c r="J15" s="121"/>
      <c r="K15" s="120" t="str">
        <f aca="false">IF(I15="","",IF(I15="N","PASS",IF(J15="Y","PASS — risk documented in thesis","FAIL — undocumented binary risk")))</f>
        <v/>
      </c>
      <c r="L15" s="120" t="str">
        <f aca="false">IF('Implied-Return Calculator'!T16="","",'Implied-Return Calculator'!T16)</f>
        <v/>
      </c>
      <c r="M15" s="120" t="str">
        <f aca="false">IF('Implied-Return Calculator'!U16="","",'Implied-Return Calculator'!U16)</f>
        <v/>
      </c>
      <c r="N15" s="122"/>
      <c r="O15" s="123"/>
      <c r="P15" s="120" t="str">
        <f aca="false">IF(OR(N15="",O15=""),"",IF(N15&lt;=50,"PASS — within ceiling",IF(AND(O15&gt;0.3,L15="PASS"),"PASS — growth+bear case exception met","FAIL — exceeds 50x, exception not met")))</f>
        <v/>
      </c>
      <c r="Q15" s="120" t="str">
        <f aca="false">IF(OR(C15="",D15="",E15="",K15="",L15="",M15="",P15=""),"",IF(AND(C15="PASS",D15="PASS",LEFT(E15,4)="PASS",LEFT(K15,4)="PASS",L15="PASS",M15="OK",LEFT(P15,4)="PASS",'Implied-Return Calculator'!S16="PASS"),"YES","NO — see failing rule(s)"))</f>
        <v/>
      </c>
      <c r="R15" s="120" t="str">
        <f aca="false">IF(Q15="","",IF(Q15="YES","Initiate: "&amp;H15,"DO NOT ENTER — resolve failing Entry Rule(s) above first"))</f>
        <v/>
      </c>
    </row>
    <row r="16" customFormat="false" ht="15" hidden="false" customHeight="true" outlineLevel="0" collapsed="false">
      <c r="A16" s="76" t="str">
        <f aca="false">IF(Scoring!A16="","",Scoring!A16)</f>
        <v>KLAC</v>
      </c>
      <c r="B16" s="119" t="str">
        <f aca="false">IF(Scoring!B16="","",Scoring!B16)</f>
        <v>KLA Corporation</v>
      </c>
      <c r="C16" s="120" t="str">
        <f aca="false">IF(Scoring!AG16="","",IF(OR(Scoring!AG16="STRONG BUY",Scoring!AG16="BUY"),"PASS","FAIL"))</f>
        <v>PASS</v>
      </c>
      <c r="D16" s="120" t="str">
        <f aca="false">IF(Scoring!AH16="","",IF(Scoring!AH16="OK","PASS","FAIL"))</f>
        <v>PASS</v>
      </c>
      <c r="E16" s="120" t="str">
        <f aca="false">IF(Scoring!AI16="","",IF(Scoring!AI16="OK","PASS","FAIL — mandatory review required"))</f>
        <v>PASS</v>
      </c>
      <c r="F16" s="121"/>
      <c r="G16" s="121"/>
      <c r="H16" s="120" t="str">
        <f aca="false">IF(OR(F16="",G16=""),"",IF(AND(F16="Y",G16="Y"),"Standard initial size","50% of normal initial size + 90-day technical review"))</f>
        <v/>
      </c>
      <c r="I16" s="121"/>
      <c r="J16" s="121"/>
      <c r="K16" s="120" t="str">
        <f aca="false">IF(I16="","",IF(I16="N","PASS",IF(J16="Y","PASS — risk documented in thesis","FAIL — undocumented binary risk")))</f>
        <v/>
      </c>
      <c r="L16" s="120" t="str">
        <f aca="false">IF('Implied-Return Calculator'!T17="","",'Implied-Return Calculator'!T17)</f>
        <v/>
      </c>
      <c r="M16" s="120" t="str">
        <f aca="false">IF('Implied-Return Calculator'!U17="","",'Implied-Return Calculator'!U17)</f>
        <v/>
      </c>
      <c r="N16" s="122"/>
      <c r="O16" s="123"/>
      <c r="P16" s="120" t="str">
        <f aca="false">IF(OR(N16="",O16=""),"",IF(N16&lt;=50,"PASS — within ceiling",IF(AND(O16&gt;0.3,L16="PASS"),"PASS — growth+bear case exception met","FAIL — exceeds 50x, exception not met")))</f>
        <v/>
      </c>
      <c r="Q16" s="120" t="str">
        <f aca="false">IF(OR(C16="",D16="",E16="",K16="",L16="",M16="",P16=""),"",IF(AND(C16="PASS",D16="PASS",LEFT(E16,4)="PASS",LEFT(K16,4)="PASS",L16="PASS",M16="OK",LEFT(P16,4)="PASS",'Implied-Return Calculator'!S17="PASS"),"YES","NO — see failing rule(s)"))</f>
        <v/>
      </c>
      <c r="R16" s="120" t="str">
        <f aca="false">IF(Q16="","",IF(Q16="YES","Initiate: "&amp;H16,"DO NOT ENTER — resolve failing Entry Rule(s) above first"))</f>
        <v/>
      </c>
    </row>
    <row r="17" customFormat="false" ht="15" hidden="false" customHeight="true" outlineLevel="0" collapsed="false">
      <c r="A17" s="76" t="str">
        <f aca="false">IF(Scoring!A17="","",Scoring!A17)</f>
        <v>TSM</v>
      </c>
      <c r="B17" s="119" t="str">
        <f aca="false">IF(Scoring!B17="","",Scoring!B17)</f>
        <v>Taiwan Semiconductor Mfg.</v>
      </c>
      <c r="C17" s="120" t="str">
        <f aca="false">IF(Scoring!AG17="","",IF(OR(Scoring!AG17="STRONG BUY",Scoring!AG17="BUY"),"PASS","FAIL"))</f>
        <v>PASS</v>
      </c>
      <c r="D17" s="120" t="str">
        <f aca="false">IF(Scoring!AH17="","",IF(Scoring!AH17="OK","PASS","FAIL"))</f>
        <v>PASS</v>
      </c>
      <c r="E17" s="120" t="str">
        <f aca="false">IF(Scoring!AI17="","",IF(Scoring!AI17="OK","PASS","FAIL — mandatory review required"))</f>
        <v>PASS</v>
      </c>
      <c r="F17" s="121"/>
      <c r="G17" s="121"/>
      <c r="H17" s="120" t="str">
        <f aca="false">IF(OR(F17="",G17=""),"",IF(AND(F17="Y",G17="Y"),"Standard initial size","50% of normal initial size + 90-day technical review"))</f>
        <v/>
      </c>
      <c r="I17" s="121"/>
      <c r="J17" s="121"/>
      <c r="K17" s="120" t="str">
        <f aca="false">IF(I17="","",IF(I17="N","PASS",IF(J17="Y","PASS — risk documented in thesis","FAIL — undocumented binary risk")))</f>
        <v/>
      </c>
      <c r="L17" s="120" t="str">
        <f aca="false">IF('Implied-Return Calculator'!T18="","",'Implied-Return Calculator'!T18)</f>
        <v/>
      </c>
      <c r="M17" s="120" t="str">
        <f aca="false">IF('Implied-Return Calculator'!U18="","",'Implied-Return Calculator'!U18)</f>
        <v/>
      </c>
      <c r="N17" s="122"/>
      <c r="O17" s="123"/>
      <c r="P17" s="120" t="str">
        <f aca="false">IF(OR(N17="",O17=""),"",IF(N17&lt;=50,"PASS — within ceiling",IF(AND(O17&gt;0.3,L17="PASS"),"PASS — growth+bear case exception met","FAIL — exceeds 50x, exception not met")))</f>
        <v/>
      </c>
      <c r="Q17" s="120" t="str">
        <f aca="false">IF(OR(C17="",D17="",E17="",K17="",L17="",M17="",P17=""),"",IF(AND(C17="PASS",D17="PASS",LEFT(E17,4)="PASS",LEFT(K17,4)="PASS",L17="PASS",M17="OK",LEFT(P17,4)="PASS",'Implied-Return Calculator'!S18="PASS"),"YES","NO — see failing rule(s)"))</f>
        <v/>
      </c>
      <c r="R17" s="120" t="str">
        <f aca="false">IF(Q17="","",IF(Q17="YES","Initiate: "&amp;H17,"DO NOT ENTER — resolve failing Entry Rule(s) above first"))</f>
        <v/>
      </c>
    </row>
    <row r="18" customFormat="false" ht="15" hidden="false" customHeight="true" outlineLevel="0" collapsed="false">
      <c r="A18" s="76" t="str">
        <f aca="false">IF(Scoring!A18="","",Scoring!A18)</f>
        <v>VRT</v>
      </c>
      <c r="B18" s="119" t="str">
        <f aca="false">IF(Scoring!B18="","",Scoring!B18)</f>
        <v>Vertiv Holdings</v>
      </c>
      <c r="C18" s="120" t="str">
        <f aca="false">IF(Scoring!AG18="","",IF(OR(Scoring!AG18="STRONG BUY",Scoring!AG18="BUY"),"PASS","FAIL"))</f>
        <v>PASS</v>
      </c>
      <c r="D18" s="120" t="str">
        <f aca="false">IF(Scoring!AH18="","",IF(Scoring!AH18="OK","PASS","FAIL"))</f>
        <v>PASS</v>
      </c>
      <c r="E18" s="120" t="str">
        <f aca="false">IF(Scoring!AI18="","",IF(Scoring!AI18="OK","PASS","FAIL — mandatory review required"))</f>
        <v>PASS</v>
      </c>
      <c r="F18" s="121"/>
      <c r="G18" s="121"/>
      <c r="H18" s="120" t="str">
        <f aca="false">IF(OR(F18="",G18=""),"",IF(AND(F18="Y",G18="Y"),"Standard initial size","50% of normal initial size + 90-day technical review"))</f>
        <v/>
      </c>
      <c r="I18" s="121"/>
      <c r="J18" s="121"/>
      <c r="K18" s="120" t="str">
        <f aca="false">IF(I18="","",IF(I18="N","PASS",IF(J18="Y","PASS — risk documented in thesis","FAIL — undocumented binary risk")))</f>
        <v/>
      </c>
      <c r="L18" s="120" t="str">
        <f aca="false">IF('Implied-Return Calculator'!T19="","",'Implied-Return Calculator'!T19)</f>
        <v/>
      </c>
      <c r="M18" s="120" t="str">
        <f aca="false">IF('Implied-Return Calculator'!U19="","",'Implied-Return Calculator'!U19)</f>
        <v/>
      </c>
      <c r="N18" s="122"/>
      <c r="O18" s="123"/>
      <c r="P18" s="120" t="str">
        <f aca="false">IF(OR(N18="",O18=""),"",IF(N18&lt;=50,"PASS — within ceiling",IF(AND(O18&gt;0.3,L18="PASS"),"PASS — growth+bear case exception met","FAIL — exceeds 50x, exception not met")))</f>
        <v/>
      </c>
      <c r="Q18" s="120" t="str">
        <f aca="false">IF(OR(C18="",D18="",E18="",K18="",L18="",M18="",P18=""),"",IF(AND(C18="PASS",D18="PASS",LEFT(E18,4)="PASS",LEFT(K18,4)="PASS",L18="PASS",M18="OK",LEFT(P18,4)="PASS",'Implied-Return Calculator'!S19="PASS"),"YES","NO — see failing rule(s)"))</f>
        <v/>
      </c>
      <c r="R18" s="120" t="str">
        <f aca="false">IF(Q18="","",IF(Q18="YES","Initiate: "&amp;H18,"DO NOT ENTER — resolve failing Entry Rule(s) above first"))</f>
        <v/>
      </c>
    </row>
    <row r="19" customFormat="false" ht="15" hidden="false" customHeight="true" outlineLevel="0" collapsed="false">
      <c r="A19" s="76" t="str">
        <f aca="false">IF(Scoring!A19="","",Scoring!A19)</f>
        <v>COST</v>
      </c>
      <c r="B19" s="119" t="str">
        <f aca="false">IF(Scoring!B19="","",Scoring!B19)</f>
        <v>Costco Wholesale Corp.</v>
      </c>
      <c r="C19" s="120" t="str">
        <f aca="false">IF(Scoring!AG19="","",IF(OR(Scoring!AG19="STRONG BUY",Scoring!AG19="BUY"),"PASS","FAIL"))</f>
        <v>PASS</v>
      </c>
      <c r="D19" s="120" t="str">
        <f aca="false">IF(Scoring!AH19="","",IF(Scoring!AH19="OK","PASS","FAIL"))</f>
        <v>PASS</v>
      </c>
      <c r="E19" s="120" t="str">
        <f aca="false">IF(Scoring!AI19="","",IF(Scoring!AI19="OK","PASS","FAIL — mandatory review required"))</f>
        <v>PASS</v>
      </c>
      <c r="F19" s="121" t="s">
        <v>356</v>
      </c>
      <c r="G19" s="121" t="s">
        <v>356</v>
      </c>
      <c r="H19" s="120" t="str">
        <f aca="false">IF(OR(F19="",G19=""),"",IF(AND(F19="Y",G19="Y"),"Standard initial size","50% of normal initial size + 90-day technical review"))</f>
        <v>Standard initial size</v>
      </c>
      <c r="I19" s="121" t="s">
        <v>357</v>
      </c>
      <c r="J19" s="121"/>
      <c r="K19" s="120" t="str">
        <f aca="false">IF(I19="","",IF(I19="N","PASS",IF(J19="Y","PASS — risk documented in thesis","FAIL — undocumented binary risk")))</f>
        <v>PASS</v>
      </c>
      <c r="L19" s="120" t="str">
        <f aca="false">IF('Implied-Return Calculator'!T20="","",'Implied-Return Calculator'!T20)</f>
        <v>PASS</v>
      </c>
      <c r="M19" s="120" t="str">
        <f aca="false">IF('Implied-Return Calculator'!U20="","",'Implied-Return Calculator'!U20)</f>
        <v>OK</v>
      </c>
      <c r="N19" s="122" t="n">
        <v>61.48</v>
      </c>
      <c r="O19" s="123" t="n">
        <v>0.07</v>
      </c>
      <c r="P19" s="120" t="str">
        <f aca="false">IF(OR(N19="",O19=""),"",IF(N19&lt;=50,"PASS — within ceiling",IF(AND(O19&gt;0.3,L19="PASS"),"PASS — growth+bear case exception met","FAIL — exceeds 50x, exception not met")))</f>
        <v>FAIL — exceeds 50x, exception not met</v>
      </c>
      <c r="Q19" s="120" t="str">
        <f aca="false">IF(OR(C19="",D19="",E19="",K19="",L19="",M19="",P19=""),"",IF(AND(C19="PASS",D19="PASS",LEFT(E19,4)="PASS",LEFT(K19,4)="PASS",L19="PASS",M19="OK",LEFT(P19,4)="PASS",'Implied-Return Calculator'!S20="PASS"),"YES","NO — see failing rule(s)"))</f>
        <v>NO — see failing rule(s)</v>
      </c>
      <c r="R19" s="120" t="str">
        <f aca="false">IF(Q19="","",IF(Q19="YES","Initiate: "&amp;H19,"DO NOT ENTER — resolve failing Entry Rule(s) above first"))</f>
        <v>DO NOT ENTER — resolve failing Entry Rule(s) above first</v>
      </c>
    </row>
    <row r="20" customFormat="false" ht="15" hidden="false" customHeight="true" outlineLevel="0" collapsed="false">
      <c r="A20" s="76" t="str">
        <f aca="false">IF(Scoring!A20="","",Scoring!A20)</f>
        <v>V</v>
      </c>
      <c r="B20" s="119" t="str">
        <f aca="false">IF(Scoring!B20="","",Scoring!B20)</f>
        <v>Visa Inc.</v>
      </c>
      <c r="C20" s="120" t="str">
        <f aca="false">IF(Scoring!AG20="","",IF(OR(Scoring!AG20="STRONG BUY",Scoring!AG20="BUY"),"PASS","FAIL"))</f>
        <v>PASS</v>
      </c>
      <c r="D20" s="120" t="str">
        <f aca="false">IF(Scoring!AH20="","",IF(Scoring!AH20="OK","PASS","FAIL"))</f>
        <v>PASS</v>
      </c>
      <c r="E20" s="120" t="str">
        <f aca="false">IF(Scoring!AI20="","",IF(Scoring!AI20="OK","PASS","FAIL — mandatory review required"))</f>
        <v>PASS</v>
      </c>
      <c r="F20" s="121" t="s">
        <v>356</v>
      </c>
      <c r="G20" s="121" t="s">
        <v>356</v>
      </c>
      <c r="H20" s="120" t="str">
        <f aca="false">IF(OR(F20="",G20=""),"",IF(AND(F20="Y",G20="Y"),"Standard initial size","50% of normal initial size + 90-day technical review"))</f>
        <v>Standard initial size</v>
      </c>
      <c r="I20" s="121" t="s">
        <v>356</v>
      </c>
      <c r="J20" s="121" t="s">
        <v>356</v>
      </c>
      <c r="K20" s="120" t="str">
        <f aca="false">IF(I20="","",IF(I20="N","PASS",IF(J20="Y","PASS — risk documented in thesis","FAIL — undocumented binary risk")))</f>
        <v>PASS — risk documented in thesis</v>
      </c>
      <c r="L20" s="120" t="str">
        <f aca="false">IF('Implied-Return Calculator'!T21="","",'Implied-Return Calculator'!T21)</f>
        <v>PASS</v>
      </c>
      <c r="M20" s="120" t="str">
        <f aca="false">IF('Implied-Return Calculator'!U21="","",'Implied-Return Calculator'!U21)</f>
        <v>OK</v>
      </c>
      <c r="N20" s="122" t="n">
        <v>34.36</v>
      </c>
      <c r="O20" s="123" t="n">
        <v>0.11</v>
      </c>
      <c r="P20" s="120" t="str">
        <f aca="false">IF(OR(N20="",O20=""),"",IF(N20&lt;=50,"PASS — within ceiling",IF(AND(O20&gt;0.3,L20="PASS"),"PASS — growth+bear case exception met","FAIL — exceeds 50x, exception not met")))</f>
        <v>PASS — within ceiling</v>
      </c>
      <c r="Q20" s="120" t="str">
        <f aca="false">IF(OR(C20="",D20="",E20="",K20="",L20="",M20="",P20=""),"",IF(AND(C20="PASS",D20="PASS",LEFT(E20,4)="PASS",LEFT(K20,4)="PASS",L20="PASS",M20="OK",LEFT(P20,4)="PASS",'Implied-Return Calculator'!S21="PASS"),"YES","NO — see failing rule(s)"))</f>
        <v>YES</v>
      </c>
      <c r="R20" s="120" t="str">
        <f aca="false">IF(Q20="","",IF(Q20="YES","Initiate: "&amp;H20,"DO NOT ENTER — resolve failing Entry Rule(s) above first"))</f>
        <v>Initiate: Standard initial size</v>
      </c>
    </row>
    <row r="21" customFormat="false" ht="15" hidden="false" customHeight="true" outlineLevel="1" collapsed="false">
      <c r="A21" s="76" t="str">
        <f aca="false">IF(Scoring!A21="","",Scoring!A21)</f>
        <v>NEE</v>
      </c>
      <c r="B21" s="119" t="str">
        <f aca="false">IF(Scoring!B21="","",Scoring!B21)</f>
        <v>NextEra Energy Inc.</v>
      </c>
      <c r="C21" s="120" t="str">
        <f aca="false">IF(Scoring!AG21="","",IF(OR(Scoring!AG21="STRONG BUY",Scoring!AG21="BUY"),"PASS","FAIL"))</f>
        <v/>
      </c>
      <c r="D21" s="120" t="str">
        <f aca="false">IF(Scoring!AH21="","",IF(Scoring!AH21="OK","PASS","FAIL"))</f>
        <v>FAIL</v>
      </c>
      <c r="E21" s="120" t="str">
        <f aca="false">IF(Scoring!AI21="","",IF(Scoring!AI21="OK","PASS","FAIL — mandatory review required"))</f>
        <v>FAIL — mandatory review required</v>
      </c>
      <c r="F21" s="121"/>
      <c r="G21" s="121"/>
      <c r="H21" s="120" t="str">
        <f aca="false">IF(OR(F21="",G21=""),"",IF(AND(F21="Y",G21="Y"),"Standard initial size","50% of normal initial size + 90-day technical review"))</f>
        <v/>
      </c>
      <c r="I21" s="121"/>
      <c r="J21" s="121"/>
      <c r="K21" s="120" t="str">
        <f aca="false">IF(I21="","",IF(I21="N","PASS",IF(J21="Y","PASS — risk documented in thesis","FAIL — undocumented binary risk")))</f>
        <v/>
      </c>
      <c r="L21" s="120" t="str">
        <f aca="false">IF('Implied-Return Calculator'!T22="","",'Implied-Return Calculator'!T22)</f>
        <v/>
      </c>
      <c r="M21" s="120" t="str">
        <f aca="false">IF('Implied-Return Calculator'!U22="","",'Implied-Return Calculator'!U22)</f>
        <v/>
      </c>
      <c r="N21" s="122"/>
      <c r="O21" s="123"/>
      <c r="P21" s="120" t="str">
        <f aca="false">IF(OR(N21="",O21=""),"",IF(N21&lt;=50,"PASS — within ceiling",IF(AND(O21&gt;0.3,L21="PASS"),"PASS — growth+bear case exception met","FAIL — exceeds 50x, exception not met")))</f>
        <v/>
      </c>
      <c r="Q21" s="120" t="str">
        <f aca="false">IF(OR(C21="",D21="",E21="",K21="",L21="",M21="",P21=""),"",IF(AND(C21="PASS",D21="PASS",LEFT(E21,4)="PASS",LEFT(K21,4)="PASS",L21="PASS",M21="OK",LEFT(P21,4)="PASS",'Implied-Return Calculator'!S22="PASS"),"YES","NO — see failing rule(s)"))</f>
        <v/>
      </c>
      <c r="R21" s="120" t="str">
        <f aca="false">IF(Q21="","",IF(Q21="YES","Initiate: "&amp;H21,"DO NOT ENTER — resolve failing Entry Rule(s) above first"))</f>
        <v/>
      </c>
    </row>
    <row r="22" customFormat="false" ht="15" hidden="false" customHeight="true" outlineLevel="1" collapsed="false">
      <c r="A22" s="76" t="str">
        <f aca="false">IF(Scoring!A22="","",Scoring!A22)</f>
        <v>CRK</v>
      </c>
      <c r="B22" s="119" t="str">
        <f aca="false">IF(Scoring!B22="","",Scoring!B22)</f>
        <v>Comstock Resources Inc.</v>
      </c>
      <c r="C22" s="120" t="str">
        <f aca="false">IF(Scoring!AG22="","",IF(OR(Scoring!AG22="STRONG BUY",Scoring!AG22="BUY"),"PASS","FAIL"))</f>
        <v/>
      </c>
      <c r="D22" s="120" t="str">
        <f aca="false">IF(Scoring!AH22="","",IF(Scoring!AH22="OK","PASS","FAIL"))</f>
        <v>FAIL</v>
      </c>
      <c r="E22" s="120" t="str">
        <f aca="false">IF(Scoring!AI22="","",IF(Scoring!AI22="OK","PASS","FAIL — mandatory review required"))</f>
        <v>FAIL — mandatory review required</v>
      </c>
      <c r="F22" s="121"/>
      <c r="G22" s="121"/>
      <c r="H22" s="120" t="str">
        <f aca="false">IF(OR(F22="",G22=""),"",IF(AND(F22="Y",G22="Y"),"Standard initial size","50% of normal initial size + 90-day technical review"))</f>
        <v/>
      </c>
      <c r="I22" s="121"/>
      <c r="J22" s="121"/>
      <c r="K22" s="120" t="str">
        <f aca="false">IF(I22="","",IF(I22="N","PASS",IF(J22="Y","PASS — risk documented in thesis","FAIL — undocumented binary risk")))</f>
        <v/>
      </c>
      <c r="L22" s="120" t="str">
        <f aca="false">IF('Implied-Return Calculator'!T23="","",'Implied-Return Calculator'!T23)</f>
        <v/>
      </c>
      <c r="M22" s="120" t="str">
        <f aca="false">IF('Implied-Return Calculator'!U23="","",'Implied-Return Calculator'!U23)</f>
        <v/>
      </c>
      <c r="N22" s="122"/>
      <c r="O22" s="123"/>
      <c r="P22" s="120" t="str">
        <f aca="false">IF(OR(N22="",O22=""),"",IF(N22&lt;=50,"PASS — within ceiling",IF(AND(O22&gt;0.3,L22="PASS"),"PASS — growth+bear case exception met","FAIL — exceeds 50x, exception not met")))</f>
        <v/>
      </c>
      <c r="Q22" s="120" t="str">
        <f aca="false">IF(OR(C22="",D22="",E22="",K22="",L22="",M22="",P22=""),"",IF(AND(C22="PASS",D22="PASS",LEFT(E22,4)="PASS",LEFT(K22,4)="PASS",L22="PASS",M22="OK",LEFT(P22,4)="PASS",'Implied-Return Calculator'!S23="PASS"),"YES","NO — see failing rule(s)"))</f>
        <v/>
      </c>
      <c r="R22" s="120" t="str">
        <f aca="false">IF(Q22="","",IF(Q22="YES","Initiate: "&amp;H22,"DO NOT ENTER — resolve failing Entry Rule(s) above first"))</f>
        <v/>
      </c>
    </row>
    <row r="23" customFormat="false" ht="15" hidden="false" customHeight="true" outlineLevel="0" collapsed="false">
      <c r="A23" s="76" t="str">
        <f aca="false">IF(Scoring!A23="","",Scoring!A23)</f>
        <v>ET</v>
      </c>
      <c r="B23" s="119" t="str">
        <f aca="false">IF(Scoring!B23="","",Scoring!B23)</f>
        <v>Energy Transfer LP</v>
      </c>
      <c r="C23" s="120" t="str">
        <f aca="false">IF(Scoring!AG23="","",IF(OR(Scoring!AG23="STRONG BUY",Scoring!AG23="BUY"),"PASS","FAIL"))</f>
        <v/>
      </c>
      <c r="D23" s="120" t="str">
        <f aca="false">IF(Scoring!AH23="","",IF(Scoring!AH23="OK","PASS","FAIL"))</f>
        <v>PASS</v>
      </c>
      <c r="E23" s="120" t="str">
        <f aca="false">IF(Scoring!AI23="","",IF(Scoring!AI23="OK","PASS","FAIL — mandatory review required"))</f>
        <v>PASS</v>
      </c>
      <c r="F23" s="121"/>
      <c r="G23" s="121"/>
      <c r="H23" s="120" t="str">
        <f aca="false">IF(OR(F23="",G23=""),"",IF(AND(F23="Y",G23="Y"),"Standard initial size","50% of normal initial size + 90-day technical review"))</f>
        <v/>
      </c>
      <c r="I23" s="121"/>
      <c r="J23" s="121"/>
      <c r="K23" s="120" t="str">
        <f aca="false">IF(I23="","",IF(I23="N","PASS",IF(J23="Y","PASS — risk documented in thesis","FAIL — undocumented binary risk")))</f>
        <v/>
      </c>
      <c r="L23" s="120" t="str">
        <f aca="false">IF('Implied-Return Calculator'!T24="","",'Implied-Return Calculator'!T24)</f>
        <v/>
      </c>
      <c r="M23" s="120" t="str">
        <f aca="false">IF('Implied-Return Calculator'!U24="","",'Implied-Return Calculator'!U24)</f>
        <v/>
      </c>
      <c r="N23" s="122"/>
      <c r="O23" s="123"/>
      <c r="P23" s="120" t="str">
        <f aca="false">IF(OR(N23="",O23=""),"",IF(N23&lt;=50,"PASS — within ceiling",IF(AND(O23&gt;0.3,L23="PASS"),"PASS — growth+bear case exception met","FAIL — exceeds 50x, exception not met")))</f>
        <v/>
      </c>
      <c r="Q23" s="120" t="str">
        <f aca="false">IF(OR(C23="",D23="",E23="",K23="",L23="",M23="",P23=""),"",IF(AND(C23="PASS",D23="PASS",LEFT(E23,4)="PASS",LEFT(K23,4)="PASS",L23="PASS",M23="OK",LEFT(P23,4)="PASS",'Implied-Return Calculator'!S24="PASS"),"YES","NO — see failing rule(s)"))</f>
        <v/>
      </c>
      <c r="R23" s="120" t="str">
        <f aca="false">IF(Q23="","",IF(Q23="YES","Initiate: "&amp;H23,"DO NOT ENTER — resolve failing Entry Rule(s) above first"))</f>
        <v/>
      </c>
    </row>
    <row r="24" customFormat="false" ht="15" hidden="false" customHeight="true" outlineLevel="1" collapsed="false">
      <c r="A24" s="76" t="str">
        <f aca="false">IF(Scoring!A24="","",Scoring!A24)</f>
        <v>LBRT</v>
      </c>
      <c r="B24" s="119" t="str">
        <f aca="false">IF(Scoring!B24="","",Scoring!B24)</f>
        <v>Liberty Energy Inc.</v>
      </c>
      <c r="C24" s="120" t="str">
        <f aca="false">IF(Scoring!AG24="","",IF(OR(Scoring!AG24="STRONG BUY",Scoring!AG24="BUY"),"PASS","FAIL"))</f>
        <v/>
      </c>
      <c r="D24" s="120" t="str">
        <f aca="false">IF(Scoring!AH24="","",IF(Scoring!AH24="OK","PASS","FAIL"))</f>
        <v>FAIL</v>
      </c>
      <c r="E24" s="120" t="str">
        <f aca="false">IF(Scoring!AI24="","",IF(Scoring!AI24="OK","PASS","FAIL — mandatory review required"))</f>
        <v>FAIL — mandatory review required</v>
      </c>
      <c r="F24" s="121"/>
      <c r="G24" s="121"/>
      <c r="H24" s="120" t="str">
        <f aca="false">IF(OR(F24="",G24=""),"",IF(AND(F24="Y",G24="Y"),"Standard initial size","50% of normal initial size + 90-day technical review"))</f>
        <v/>
      </c>
      <c r="I24" s="121"/>
      <c r="J24" s="121"/>
      <c r="K24" s="120" t="str">
        <f aca="false">IF(I24="","",IF(I24="N","PASS",IF(J24="Y","PASS — risk documented in thesis","FAIL — undocumented binary risk")))</f>
        <v/>
      </c>
      <c r="L24" s="120" t="str">
        <f aca="false">IF('Implied-Return Calculator'!T25="","",'Implied-Return Calculator'!T25)</f>
        <v/>
      </c>
      <c r="M24" s="120" t="str">
        <f aca="false">IF('Implied-Return Calculator'!U25="","",'Implied-Return Calculator'!U25)</f>
        <v/>
      </c>
      <c r="N24" s="122"/>
      <c r="O24" s="123"/>
      <c r="P24" s="120" t="str">
        <f aca="false">IF(OR(N24="",O24=""),"",IF(N24&lt;=50,"PASS — within ceiling",IF(AND(O24&gt;0.3,L24="PASS"),"PASS — growth+bear case exception met","FAIL — exceeds 50x, exception not met")))</f>
        <v/>
      </c>
      <c r="Q24" s="120" t="str">
        <f aca="false">IF(OR(C24="",D24="",E24="",K24="",L24="",M24="",P24=""),"",IF(AND(C24="PASS",D24="PASS",LEFT(E24,4)="PASS",LEFT(K24,4)="PASS",L24="PASS",M24="OK",LEFT(P24,4)="PASS",'Implied-Return Calculator'!S25="PASS"),"YES","NO — see failing rule(s)"))</f>
        <v/>
      </c>
      <c r="R24" s="120" t="str">
        <f aca="false">IF(Q24="","",IF(Q24="YES","Initiate: "&amp;H24,"DO NOT ENTER — resolve failing Entry Rule(s) above first"))</f>
        <v/>
      </c>
    </row>
    <row r="25" customFormat="false" ht="15" hidden="false" customHeight="true" outlineLevel="0" collapsed="false">
      <c r="A25" s="76" t="str">
        <f aca="false">IF(Scoring!A25="","",Scoring!A25)</f>
        <v>NOV</v>
      </c>
      <c r="B25" s="119" t="str">
        <f aca="false">IF(Scoring!B25="","",Scoring!B25)</f>
        <v>NOV Inc.</v>
      </c>
      <c r="C25" s="120" t="str">
        <f aca="false">IF(Scoring!AG25="","",IF(OR(Scoring!AG25="STRONG BUY",Scoring!AG25="BUY"),"PASS","FAIL"))</f>
        <v/>
      </c>
      <c r="D25" s="120" t="str">
        <f aca="false">IF(Scoring!AH25="","",IF(Scoring!AH25="OK","PASS","FAIL"))</f>
        <v>FAIL</v>
      </c>
      <c r="E25" s="120" t="str">
        <f aca="false">IF(Scoring!AI25="","",IF(Scoring!AI25="OK","PASS","FAIL — mandatory review required"))</f>
        <v>PASS</v>
      </c>
      <c r="F25" s="121"/>
      <c r="G25" s="121"/>
      <c r="H25" s="120" t="str">
        <f aca="false">IF(OR(F25="",G25=""),"",IF(AND(F25="Y",G25="Y"),"Standard initial size","50% of normal initial size + 90-day technical review"))</f>
        <v/>
      </c>
      <c r="I25" s="121"/>
      <c r="J25" s="121"/>
      <c r="K25" s="120" t="str">
        <f aca="false">IF(I25="","",IF(I25="N","PASS",IF(J25="Y","PASS — risk documented in thesis","FAIL — undocumented binary risk")))</f>
        <v/>
      </c>
      <c r="L25" s="120" t="str">
        <f aca="false">IF('Implied-Return Calculator'!T26="","",'Implied-Return Calculator'!T26)</f>
        <v/>
      </c>
      <c r="M25" s="120" t="str">
        <f aca="false">IF('Implied-Return Calculator'!U26="","",'Implied-Return Calculator'!U26)</f>
        <v/>
      </c>
      <c r="N25" s="122"/>
      <c r="O25" s="123"/>
      <c r="P25" s="120" t="str">
        <f aca="false">IF(OR(N25="",O25=""),"",IF(N25&lt;=50,"PASS — within ceiling",IF(AND(O25&gt;0.3,L25="PASS"),"PASS — growth+bear case exception met","FAIL — exceeds 50x, exception not met")))</f>
        <v/>
      </c>
      <c r="Q25" s="120" t="str">
        <f aca="false">IF(OR(C25="",D25="",E25="",K25="",L25="",M25="",P25=""),"",IF(AND(C25="PASS",D25="PASS",LEFT(E25,4)="PASS",LEFT(K25,4)="PASS",L25="PASS",M25="OK",LEFT(P25,4)="PASS",'Implied-Return Calculator'!S26="PASS"),"YES","NO — see failing rule(s)"))</f>
        <v/>
      </c>
      <c r="R25" s="120" t="str">
        <f aca="false">IF(Q25="","",IF(Q25="YES","Initiate: "&amp;H25,"DO NOT ENTER — resolve failing Entry Rule(s) above first"))</f>
        <v/>
      </c>
    </row>
    <row r="26" customFormat="false" ht="15" hidden="false" customHeight="true" outlineLevel="1" collapsed="false">
      <c r="A26" s="76" t="str">
        <f aca="false">IF(Scoring!A26="","",Scoring!A26)</f>
        <v>CE</v>
      </c>
      <c r="B26" s="119" t="str">
        <f aca="false">IF(Scoring!B26="","",Scoring!B26)</f>
        <v>Celanese Corp.</v>
      </c>
      <c r="C26" s="120" t="str">
        <f aca="false">IF(Scoring!AG26="","",IF(OR(Scoring!AG26="STRONG BUY",Scoring!AG26="BUY"),"PASS","FAIL"))</f>
        <v/>
      </c>
      <c r="D26" s="120" t="str">
        <f aca="false">IF(Scoring!AH26="","",IF(Scoring!AH26="OK","PASS","FAIL"))</f>
        <v>FAIL</v>
      </c>
      <c r="E26" s="120" t="str">
        <f aca="false">IF(Scoring!AI26="","",IF(Scoring!AI26="OK","PASS","FAIL — mandatory review required"))</f>
        <v>FAIL — mandatory review required</v>
      </c>
      <c r="F26" s="121"/>
      <c r="G26" s="121"/>
      <c r="H26" s="120" t="str">
        <f aca="false">IF(OR(F26="",G26=""),"",IF(AND(F26="Y",G26="Y"),"Standard initial size","50% of normal initial size + 90-day technical review"))</f>
        <v/>
      </c>
      <c r="I26" s="121"/>
      <c r="J26" s="121"/>
      <c r="K26" s="120" t="str">
        <f aca="false">IF(I26="","",IF(I26="N","PASS",IF(J26="Y","PASS — risk documented in thesis","FAIL — undocumented binary risk")))</f>
        <v/>
      </c>
      <c r="L26" s="120" t="str">
        <f aca="false">IF('Implied-Return Calculator'!T27="","",'Implied-Return Calculator'!T27)</f>
        <v/>
      </c>
      <c r="M26" s="120" t="str">
        <f aca="false">IF('Implied-Return Calculator'!U27="","",'Implied-Return Calculator'!U27)</f>
        <v/>
      </c>
      <c r="N26" s="122"/>
      <c r="O26" s="123"/>
      <c r="P26" s="120" t="str">
        <f aca="false">IF(OR(N26="",O26=""),"",IF(N26&lt;=50,"PASS — within ceiling",IF(AND(O26&gt;0.3,L26="PASS"),"PASS — growth+bear case exception met","FAIL — exceeds 50x, exception not met")))</f>
        <v/>
      </c>
      <c r="Q26" s="120" t="str">
        <f aca="false">IF(OR(C26="",D26="",E26="",K26="",L26="",M26="",P26=""),"",IF(AND(C26="PASS",D26="PASS",LEFT(E26,4)="PASS",LEFT(K26,4)="PASS",L26="PASS",M26="OK",LEFT(P26,4)="PASS",'Implied-Return Calculator'!S27="PASS"),"YES","NO — see failing rule(s)"))</f>
        <v/>
      </c>
      <c r="R26" s="120" t="str">
        <f aca="false">IF(Q26="","",IF(Q26="YES","Initiate: "&amp;H26,"DO NOT ENTER — resolve failing Entry Rule(s) above first"))</f>
        <v/>
      </c>
    </row>
    <row r="27" customFormat="false" ht="15" hidden="false" customHeight="true" outlineLevel="1" collapsed="false">
      <c r="A27" s="76" t="str">
        <f aca="false">IF(Scoring!A27="","",Scoring!A27)</f>
        <v>CLF</v>
      </c>
      <c r="B27" s="119" t="str">
        <f aca="false">IF(Scoring!B27="","",Scoring!B27)</f>
        <v>Cleveland-Cliffs Inc.</v>
      </c>
      <c r="C27" s="120" t="str">
        <f aca="false">IF(Scoring!AG27="","",IF(OR(Scoring!AG27="STRONG BUY",Scoring!AG27="BUY"),"PASS","FAIL"))</f>
        <v/>
      </c>
      <c r="D27" s="120" t="str">
        <f aca="false">IF(Scoring!AH27="","",IF(Scoring!AH27="OK","PASS","FAIL"))</f>
        <v>FAIL</v>
      </c>
      <c r="E27" s="120" t="str">
        <f aca="false">IF(Scoring!AI27="","",IF(Scoring!AI27="OK","PASS","FAIL — mandatory review required"))</f>
        <v>FAIL — mandatory review required</v>
      </c>
      <c r="F27" s="121"/>
      <c r="G27" s="121"/>
      <c r="H27" s="120" t="str">
        <f aca="false">IF(OR(F27="",G27=""),"",IF(AND(F27="Y",G27="Y"),"Standard initial size","50% of normal initial size + 90-day technical review"))</f>
        <v/>
      </c>
      <c r="I27" s="121"/>
      <c r="J27" s="121"/>
      <c r="K27" s="120" t="str">
        <f aca="false">IF(I27="","",IF(I27="N","PASS",IF(J27="Y","PASS — risk documented in thesis","FAIL — undocumented binary risk")))</f>
        <v/>
      </c>
      <c r="L27" s="120" t="str">
        <f aca="false">IF('Implied-Return Calculator'!T28="","",'Implied-Return Calculator'!T28)</f>
        <v/>
      </c>
      <c r="M27" s="120" t="str">
        <f aca="false">IF('Implied-Return Calculator'!U28="","",'Implied-Return Calculator'!U28)</f>
        <v/>
      </c>
      <c r="N27" s="122"/>
      <c r="O27" s="123"/>
      <c r="P27" s="120" t="str">
        <f aca="false">IF(OR(N27="",O27=""),"",IF(N27&lt;=50,"PASS — within ceiling",IF(AND(O27&gt;0.3,L27="PASS"),"PASS — growth+bear case exception met","FAIL — exceeds 50x, exception not met")))</f>
        <v/>
      </c>
      <c r="Q27" s="120" t="str">
        <f aca="false">IF(OR(C27="",D27="",E27="",K27="",L27="",M27="",P27=""),"",IF(AND(C27="PASS",D27="PASS",LEFT(E27,4)="PASS",LEFT(K27,4)="PASS",L27="PASS",M27="OK",LEFT(P27,4)="PASS",'Implied-Return Calculator'!S28="PASS"),"YES","NO — see failing rule(s)"))</f>
        <v/>
      </c>
      <c r="R27" s="120" t="str">
        <f aca="false">IF(Q27="","",IF(Q27="YES","Initiate: "&amp;H27,"DO NOT ENTER — resolve failing Entry Rule(s) above first"))</f>
        <v/>
      </c>
    </row>
    <row r="28" customFormat="false" ht="15" hidden="false" customHeight="false" outlineLevel="0" collapsed="false">
      <c r="A28" s="84" t="str">
        <f aca="false">IF(Scoring!A28="","",Scoring!A28)</f>
        <v>LIN</v>
      </c>
      <c r="B28" s="124" t="str">
        <f aca="false">IF(Scoring!B28="","",Scoring!B28)</f>
        <v>Linde plc</v>
      </c>
      <c r="C28" s="84" t="str">
        <f aca="false">IF(Scoring!AG28="","",IF(OR(Scoring!AG28="STRONG BUY",Scoring!AG28="BUY"),"PASS","FAIL"))</f>
        <v/>
      </c>
      <c r="D28" s="84" t="str">
        <f aca="false">IF(Scoring!AH28="","",IF(Scoring!AH28="OK","PASS","FAIL"))</f>
        <v>PASS</v>
      </c>
      <c r="E28" s="125" t="str">
        <f aca="false">IF(Scoring!AI28="","",IF(Scoring!AI28="OK","PASS","FAIL — mandatory review required"))</f>
        <v>PASS</v>
      </c>
      <c r="F28" s="78"/>
      <c r="G28" s="78"/>
      <c r="H28" s="84" t="str">
        <f aca="false">IF(OR(F28="",G28=""),"",IF(AND(F28="Y",G28="Y"),"Standard initial size","50% of normal initial size + 90-day technical review"))</f>
        <v/>
      </c>
      <c r="I28" s="78"/>
      <c r="J28" s="78"/>
      <c r="K28" s="84" t="str">
        <f aca="false">IF(I28="","",IF(I28="N","PASS",IF(J28="Y","PASS — risk documented in thesis","FAIL — undocumented binary risk")))</f>
        <v/>
      </c>
      <c r="L28" s="84" t="str">
        <f aca="false">IF('Implied-Return Calculator'!T29="","",'Implied-Return Calculator'!T29)</f>
        <v/>
      </c>
      <c r="M28" s="84" t="str">
        <f aca="false">IF('Implied-Return Calculator'!U29="","",'Implied-Return Calculator'!U29)</f>
        <v/>
      </c>
      <c r="N28" s="126"/>
      <c r="O28" s="127"/>
      <c r="P28" s="84" t="str">
        <f aca="false">IF(OR(N28="",O28=""),"",IF(N28&lt;=50,"PASS — within ceiling",IF(AND(O28&gt;0.3,L28="PASS"),"PASS — growth+bear case exception met","FAIL — exceeds 50x, exception not met")))</f>
        <v/>
      </c>
      <c r="Q28" s="84" t="str">
        <f aca="false">IF(OR(C28="",D28="",E28="",K28="",L28="",M28="",P28=""),"",IF(AND(C28="PASS",D28="PASS",LEFT(E28,4)="PASS",LEFT(K28,4)="PASS",L28="PASS",M28="OK",LEFT(P28,4)="PASS",'Implied-Return Calculator'!S29="PASS"),"YES","NO — see failing rule(s)"))</f>
        <v/>
      </c>
      <c r="R28" s="84" t="str">
        <f aca="false">IF(Q28="","",IF(Q28="YES","Initiate: "&amp;H28,"DO NOT ENTER — resolve failing Entry Rule(s) above first"))</f>
        <v/>
      </c>
    </row>
    <row r="29" customFormat="false" ht="15" hidden="false" customHeight="false" outlineLevel="0" collapsed="false">
      <c r="A29" s="84" t="str">
        <f aca="false">IF(Scoring!A29="","",Scoring!A29)</f>
        <v>DEO</v>
      </c>
      <c r="B29" s="124" t="str">
        <f aca="false">IF(Scoring!B29="","",Scoring!B29)</f>
        <v>Diageo plc</v>
      </c>
      <c r="C29" s="84" t="str">
        <f aca="false">IF(Scoring!AG29="","",IF(OR(Scoring!AG29="STRONG BUY",Scoring!AG29="BUY"),"PASS","FAIL"))</f>
        <v/>
      </c>
      <c r="D29" s="84" t="str">
        <f aca="false">IF(Scoring!AH29="","",IF(Scoring!AH29="OK","PASS","FAIL"))</f>
        <v>FAIL</v>
      </c>
      <c r="E29" s="125" t="str">
        <f aca="false">IF(Scoring!AI29="","",IF(Scoring!AI29="OK","PASS","FAIL — mandatory review required"))</f>
        <v>PASS</v>
      </c>
      <c r="F29" s="78"/>
      <c r="G29" s="78"/>
      <c r="H29" s="84" t="str">
        <f aca="false">IF(OR(F29="",G29=""),"",IF(AND(F29="Y",G29="Y"),"Standard initial size","50% of normal initial size + 90-day technical review"))</f>
        <v/>
      </c>
      <c r="I29" s="78"/>
      <c r="J29" s="78"/>
      <c r="K29" s="84" t="str">
        <f aca="false">IF(I29="","",IF(I29="N","PASS",IF(J29="Y","PASS — risk documented in thesis","FAIL — undocumented binary risk")))</f>
        <v/>
      </c>
      <c r="L29" s="84" t="str">
        <f aca="false">IF('Implied-Return Calculator'!T30="","",'Implied-Return Calculator'!T30)</f>
        <v/>
      </c>
      <c r="M29" s="84" t="str">
        <f aca="false">IF('Implied-Return Calculator'!U30="","",'Implied-Return Calculator'!U30)</f>
        <v/>
      </c>
      <c r="N29" s="126"/>
      <c r="O29" s="127"/>
      <c r="P29" s="84" t="str">
        <f aca="false">IF(OR(N29="",O29=""),"",IF(N29&lt;=50,"PASS — within ceiling",IF(AND(O29&gt;0.3,L29="PASS"),"PASS — growth+bear case exception met","FAIL — exceeds 50x, exception not met")))</f>
        <v/>
      </c>
      <c r="Q29" s="84" t="str">
        <f aca="false">IF(OR(C29="",D29="",E29="",K29="",L29="",M29="",P29=""),"",IF(AND(C29="PASS",D29="PASS",LEFT(E29,4)="PASS",LEFT(K29,4)="PASS",L29="PASS",M29="OK",LEFT(P29,4)="PASS",'Implied-Return Calculator'!S30="PASS"),"YES","NO — see failing rule(s)"))</f>
        <v/>
      </c>
      <c r="R29" s="84" t="str">
        <f aca="false">IF(Q29="","",IF(Q29="YES","Initiate: "&amp;H29,"DO NOT ENTER — resolve failing Entry Rule(s) above first"))</f>
        <v/>
      </c>
    </row>
    <row r="30" customFormat="false" ht="15" hidden="false" customHeight="false" outlineLevel="0" collapsed="false">
      <c r="A30" s="84" t="str">
        <f aca="false">IF(Scoring!A30="","",Scoring!A30)</f>
        <v>EL</v>
      </c>
      <c r="B30" s="124" t="str">
        <f aca="false">IF(Scoring!B30="","",Scoring!B30)</f>
        <v>Estee Lauder Companies</v>
      </c>
      <c r="C30" s="84" t="str">
        <f aca="false">IF(Scoring!AG30="","",IF(OR(Scoring!AG30="STRONG BUY",Scoring!AG30="BUY"),"PASS","FAIL"))</f>
        <v/>
      </c>
      <c r="D30" s="84" t="str">
        <f aca="false">IF(Scoring!AH30="","",IF(Scoring!AH30="OK","PASS","FAIL"))</f>
        <v>FAIL</v>
      </c>
      <c r="E30" s="125" t="str">
        <f aca="false">IF(Scoring!AI30="","",IF(Scoring!AI30="OK","PASS","FAIL — mandatory review required"))</f>
        <v>FAIL — mandatory review required</v>
      </c>
      <c r="F30" s="78"/>
      <c r="G30" s="78"/>
      <c r="H30" s="84" t="str">
        <f aca="false">IF(OR(F30="",G30=""),"",IF(AND(F30="Y",G30="Y"),"Standard initial size","50% of normal initial size + 90-day technical review"))</f>
        <v/>
      </c>
      <c r="I30" s="78"/>
      <c r="J30" s="78"/>
      <c r="K30" s="84" t="str">
        <f aca="false">IF(I30="","",IF(I30="N","PASS",IF(J30="Y","PASS — risk documented in thesis","FAIL — undocumented binary risk")))</f>
        <v/>
      </c>
      <c r="L30" s="84" t="str">
        <f aca="false">IF('Implied-Return Calculator'!T31="","",'Implied-Return Calculator'!T31)</f>
        <v/>
      </c>
      <c r="M30" s="84" t="str">
        <f aca="false">IF('Implied-Return Calculator'!U31="","",'Implied-Return Calculator'!U31)</f>
        <v/>
      </c>
      <c r="N30" s="126"/>
      <c r="O30" s="127"/>
      <c r="P30" s="84" t="str">
        <f aca="false">IF(OR(N30="",O30=""),"",IF(N30&lt;=50,"PASS — within ceiling",IF(AND(O30&gt;0.3,L30="PASS"),"PASS — growth+bear case exception met","FAIL — exceeds 50x, exception not met")))</f>
        <v/>
      </c>
      <c r="Q30" s="84" t="str">
        <f aca="false">IF(OR(C30="",D30="",E30="",K30="",L30="",M30="",P30=""),"",IF(AND(C30="PASS",D30="PASS",LEFT(E30,4)="PASS",LEFT(K30,4)="PASS",L30="PASS",M30="OK",LEFT(P30,4)="PASS",'Implied-Return Calculator'!S31="PASS"),"YES","NO — see failing rule(s)"))</f>
        <v/>
      </c>
      <c r="R30" s="84" t="str">
        <f aca="false">IF(Q30="","",IF(Q30="YES","Initiate: "&amp;H30,"DO NOT ENTER — resolve failing Entry Rule(s) above first"))</f>
        <v/>
      </c>
    </row>
    <row r="31" customFormat="false" ht="15" hidden="false" customHeight="false" outlineLevel="0" collapsed="false">
      <c r="A31" s="84" t="str">
        <f aca="false">IF(Scoring!A31="","",Scoring!A31)</f>
        <v>HRL</v>
      </c>
      <c r="B31" s="124" t="str">
        <f aca="false">IF(Scoring!B31="","",Scoring!B31)</f>
        <v>Hormel Foods Corp.</v>
      </c>
      <c r="C31" s="84" t="str">
        <f aca="false">IF(Scoring!AG31="","",IF(OR(Scoring!AG31="STRONG BUY",Scoring!AG31="BUY"),"PASS","FAIL"))</f>
        <v/>
      </c>
      <c r="D31" s="84" t="str">
        <f aca="false">IF(Scoring!AH31="","",IF(Scoring!AH31="OK","PASS","FAIL"))</f>
        <v>FAIL</v>
      </c>
      <c r="E31" s="125" t="str">
        <f aca="false">IF(Scoring!AI31="","",IF(Scoring!AI31="OK","PASS","FAIL — mandatory review required"))</f>
        <v>FAIL — mandatory review required</v>
      </c>
      <c r="F31" s="78"/>
      <c r="G31" s="78"/>
      <c r="H31" s="84" t="str">
        <f aca="false">IF(OR(F31="",G31=""),"",IF(AND(F31="Y",G31="Y"),"Standard initial size","50% of normal initial size + 90-day technical review"))</f>
        <v/>
      </c>
      <c r="I31" s="78"/>
      <c r="J31" s="78"/>
      <c r="K31" s="84" t="str">
        <f aca="false">IF(I31="","",IF(I31="N","PASS",IF(J31="Y","PASS — risk documented in thesis","FAIL — undocumented binary risk")))</f>
        <v/>
      </c>
      <c r="L31" s="84" t="str">
        <f aca="false">IF('Implied-Return Calculator'!T32="","",'Implied-Return Calculator'!T32)</f>
        <v/>
      </c>
      <c r="M31" s="84" t="str">
        <f aca="false">IF('Implied-Return Calculator'!U32="","",'Implied-Return Calculator'!U32)</f>
        <v/>
      </c>
      <c r="N31" s="126"/>
      <c r="O31" s="127"/>
      <c r="P31" s="84" t="str">
        <f aca="false">IF(OR(N31="",O31=""),"",IF(N31&lt;=50,"PASS — within ceiling",IF(AND(O31&gt;0.3,L31="PASS"),"PASS — growth+bear case exception met","FAIL — exceeds 50x, exception not met")))</f>
        <v/>
      </c>
      <c r="Q31" s="84" t="str">
        <f aca="false">IF(OR(C31="",D31="",E31="",K31="",L31="",M31="",P31=""),"",IF(AND(C31="PASS",D31="PASS",LEFT(E31,4)="PASS",LEFT(K31,4)="PASS",L31="PASS",M31="OK",LEFT(P31,4)="PASS",'Implied-Return Calculator'!S32="PASS"),"YES","NO — see failing rule(s)"))</f>
        <v/>
      </c>
      <c r="R31" s="84" t="str">
        <f aca="false">IF(Q31="","",IF(Q31="YES","Initiate: "&amp;H31,"DO NOT ENTER — resolve failing Entry Rule(s) above first"))</f>
        <v/>
      </c>
    </row>
    <row r="32" customFormat="false" ht="15" hidden="false" customHeight="false" outlineLevel="0" collapsed="false">
      <c r="A32" s="84" t="str">
        <f aca="false">IF(Scoring!A32="","",Scoring!A32)</f>
        <v>PG</v>
      </c>
      <c r="B32" s="124" t="str">
        <f aca="false">IF(Scoring!B32="","",Scoring!B32)</f>
        <v>Procter &amp; Gamble Co.</v>
      </c>
      <c r="C32" s="84" t="str">
        <f aca="false">IF(Scoring!AG32="","",IF(OR(Scoring!AG32="STRONG BUY",Scoring!AG32="BUY"),"PASS","FAIL"))</f>
        <v/>
      </c>
      <c r="D32" s="84" t="str">
        <f aca="false">IF(Scoring!AH32="","",IF(Scoring!AH32="OK","PASS","FAIL"))</f>
        <v>PASS</v>
      </c>
      <c r="E32" s="125" t="str">
        <f aca="false">IF(Scoring!AI32="","",IF(Scoring!AI32="OK","PASS","FAIL — mandatory review required"))</f>
        <v>PASS</v>
      </c>
      <c r="F32" s="78"/>
      <c r="G32" s="78"/>
      <c r="H32" s="84" t="str">
        <f aca="false">IF(OR(F32="",G32=""),"",IF(AND(F32="Y",G32="Y"),"Standard initial size","50% of normal initial size + 90-day technical review"))</f>
        <v/>
      </c>
      <c r="I32" s="78"/>
      <c r="J32" s="78"/>
      <c r="K32" s="84" t="str">
        <f aca="false">IF(I32="","",IF(I32="N","PASS",IF(J32="Y","PASS — risk documented in thesis","FAIL — undocumented binary risk")))</f>
        <v/>
      </c>
      <c r="L32" s="84" t="str">
        <f aca="false">IF('Implied-Return Calculator'!T33="","",'Implied-Return Calculator'!T33)</f>
        <v/>
      </c>
      <c r="M32" s="84" t="str">
        <f aca="false">IF('Implied-Return Calculator'!U33="","",'Implied-Return Calculator'!U33)</f>
        <v/>
      </c>
      <c r="N32" s="126"/>
      <c r="O32" s="127"/>
      <c r="P32" s="84" t="str">
        <f aca="false">IF(OR(N32="",O32=""),"",IF(N32&lt;=50,"PASS — within ceiling",IF(AND(O32&gt;0.3,L32="PASS"),"PASS — growth+bear case exception met","FAIL — exceeds 50x, exception not met")))</f>
        <v/>
      </c>
      <c r="Q32" s="84" t="str">
        <f aca="false">IF(OR(C32="",D32="",E32="",K32="",L32="",M32="",P32=""),"",IF(AND(C32="PASS",D32="PASS",LEFT(E32,4)="PASS",LEFT(K32,4)="PASS",L32="PASS",M32="OK",LEFT(P32,4)="PASS",'Implied-Return Calculator'!S33="PASS"),"YES","NO — see failing rule(s)"))</f>
        <v/>
      </c>
      <c r="R32" s="84" t="str">
        <f aca="false">IF(Q32="","",IF(Q32="YES","Initiate: "&amp;H32,"DO NOT ENTER — resolve failing Entry Rule(s) above first"))</f>
        <v/>
      </c>
    </row>
    <row r="33" customFormat="false" ht="15" hidden="false" customHeight="false" outlineLevel="0" collapsed="false">
      <c r="A33" s="84" t="str">
        <f aca="false">IF(Scoring!A33="","",Scoring!A33)</f>
        <v>CMG</v>
      </c>
      <c r="B33" s="124" t="str">
        <f aca="false">IF(Scoring!B33="","",Scoring!B33)</f>
        <v>Chipotle Mexican Grill</v>
      </c>
      <c r="C33" s="84" t="str">
        <f aca="false">IF(Scoring!AG33="","",IF(OR(Scoring!AG33="STRONG BUY",Scoring!AG33="BUY"),"PASS","FAIL"))</f>
        <v/>
      </c>
      <c r="D33" s="84" t="str">
        <f aca="false">IF(Scoring!AH33="","",IF(Scoring!AH33="OK","PASS","FAIL"))</f>
        <v>PASS</v>
      </c>
      <c r="E33" s="125" t="str">
        <f aca="false">IF(Scoring!AI33="","",IF(Scoring!AI33="OK","PASS","FAIL — mandatory review required"))</f>
        <v>PASS</v>
      </c>
      <c r="F33" s="78"/>
      <c r="G33" s="78"/>
      <c r="H33" s="84" t="str">
        <f aca="false">IF(OR(F33="",G33=""),"",IF(AND(F33="Y",G33="Y"),"Standard initial size","50% of normal initial size + 90-day technical review"))</f>
        <v/>
      </c>
      <c r="I33" s="78"/>
      <c r="J33" s="78"/>
      <c r="K33" s="84" t="str">
        <f aca="false">IF(I33="","",IF(I33="N","PASS",IF(J33="Y","PASS — risk documented in thesis","FAIL — undocumented binary risk")))</f>
        <v/>
      </c>
      <c r="L33" s="84" t="str">
        <f aca="false">IF('Implied-Return Calculator'!T34="","",'Implied-Return Calculator'!T34)</f>
        <v/>
      </c>
      <c r="M33" s="84" t="str">
        <f aca="false">IF('Implied-Return Calculator'!U34="","",'Implied-Return Calculator'!U34)</f>
        <v/>
      </c>
      <c r="N33" s="126"/>
      <c r="O33" s="127"/>
      <c r="P33" s="84" t="str">
        <f aca="false">IF(OR(N33="",O33=""),"",IF(N33&lt;=50,"PASS — within ceiling",IF(AND(O33&gt;0.3,L33="PASS"),"PASS — growth+bear case exception met","FAIL — exceeds 50x, exception not met")))</f>
        <v/>
      </c>
      <c r="Q33" s="84" t="str">
        <f aca="false">IF(OR(C33="",D33="",E33="",K33="",L33="",M33="",P33=""),"",IF(AND(C33="PASS",D33="PASS",LEFT(E33,4)="PASS",LEFT(K33,4)="PASS",L33="PASS",M33="OK",LEFT(P33,4)="PASS",'Implied-Return Calculator'!S34="PASS"),"YES","NO — see failing rule(s)"))</f>
        <v/>
      </c>
      <c r="R33" s="84" t="str">
        <f aca="false">IF(Q33="","",IF(Q33="YES","Initiate: "&amp;H33,"DO NOT ENTER — resolve failing Entry Rule(s) above first"))</f>
        <v/>
      </c>
    </row>
    <row r="34" customFormat="false" ht="15" hidden="false" customHeight="false" outlineLevel="0" collapsed="false">
      <c r="A34" s="84" t="str">
        <f aca="false">IF(Scoring!A34="","",Scoring!A34)</f>
        <v>DPZ</v>
      </c>
      <c r="B34" s="124" t="str">
        <f aca="false">IF(Scoring!B34="","",Scoring!B34)</f>
        <v>Domino's Pizza Inc.</v>
      </c>
      <c r="C34" s="84" t="str">
        <f aca="false">IF(Scoring!AG34="","",IF(OR(Scoring!AG34="STRONG BUY",Scoring!AG34="BUY"),"PASS","FAIL"))</f>
        <v/>
      </c>
      <c r="D34" s="84" t="str">
        <f aca="false">IF(Scoring!AH34="","",IF(Scoring!AH34="OK","PASS","FAIL"))</f>
        <v>PASS</v>
      </c>
      <c r="E34" s="125" t="str">
        <f aca="false">IF(Scoring!AI34="","",IF(Scoring!AI34="OK","PASS","FAIL — mandatory review required"))</f>
        <v>PASS</v>
      </c>
      <c r="F34" s="78"/>
      <c r="G34" s="78"/>
      <c r="H34" s="84" t="str">
        <f aca="false">IF(OR(F34="",G34=""),"",IF(AND(F34="Y",G34="Y"),"Standard initial size","50% of normal initial size + 90-day technical review"))</f>
        <v/>
      </c>
      <c r="I34" s="78"/>
      <c r="J34" s="78"/>
      <c r="K34" s="84" t="str">
        <f aca="false">IF(I34="","",IF(I34="N","PASS",IF(J34="Y","PASS — risk documented in thesis","FAIL — undocumented binary risk")))</f>
        <v/>
      </c>
      <c r="L34" s="84" t="str">
        <f aca="false">IF('Implied-Return Calculator'!T35="","",'Implied-Return Calculator'!T35)</f>
        <v/>
      </c>
      <c r="M34" s="84" t="str">
        <f aca="false">IF('Implied-Return Calculator'!U35="","",'Implied-Return Calculator'!U35)</f>
        <v/>
      </c>
      <c r="N34" s="126"/>
      <c r="O34" s="127"/>
      <c r="P34" s="84" t="str">
        <f aca="false">IF(OR(N34="",O34=""),"",IF(N34&lt;=50,"PASS — within ceiling",IF(AND(O34&gt;0.3,L34="PASS"),"PASS — growth+bear case exception met","FAIL — exceeds 50x, exception not met")))</f>
        <v/>
      </c>
      <c r="Q34" s="84" t="str">
        <f aca="false">IF(OR(C34="",D34="",E34="",K34="",L34="",M34="",P34=""),"",IF(AND(C34="PASS",D34="PASS",LEFT(E34,4)="PASS",LEFT(K34,4)="PASS",L34="PASS",M34="OK",LEFT(P34,4)="PASS",'Implied-Return Calculator'!S35="PASS"),"YES","NO — see failing rule(s)"))</f>
        <v/>
      </c>
      <c r="R34" s="84" t="str">
        <f aca="false">IF(Q34="","",IF(Q34="YES","Initiate: "&amp;H34,"DO NOT ENTER — resolve failing Entry Rule(s) above first"))</f>
        <v/>
      </c>
    </row>
    <row r="35" customFormat="false" ht="15" hidden="false" customHeight="false" outlineLevel="0" collapsed="false">
      <c r="A35" s="84" t="str">
        <f aca="false">IF(Scoring!A35="","",Scoring!A35)</f>
        <v>PZZA</v>
      </c>
      <c r="B35" s="124" t="str">
        <f aca="false">IF(Scoring!B35="","",Scoring!B35)</f>
        <v>Papa John's Intl.</v>
      </c>
      <c r="C35" s="84" t="str">
        <f aca="false">IF(Scoring!AG35="","",IF(OR(Scoring!AG35="STRONG BUY",Scoring!AG35="BUY"),"PASS","FAIL"))</f>
        <v/>
      </c>
      <c r="D35" s="84" t="str">
        <f aca="false">IF(Scoring!AH35="","",IF(Scoring!AH35="OK","PASS","FAIL"))</f>
        <v>FAIL</v>
      </c>
      <c r="E35" s="125" t="str">
        <f aca="false">IF(Scoring!AI35="","",IF(Scoring!AI35="OK","PASS","FAIL — mandatory review required"))</f>
        <v>FAIL — mandatory review required</v>
      </c>
      <c r="F35" s="78"/>
      <c r="G35" s="78"/>
      <c r="H35" s="84" t="str">
        <f aca="false">IF(OR(F35="",G35=""),"",IF(AND(F35="Y",G35="Y"),"Standard initial size","50% of normal initial size + 90-day technical review"))</f>
        <v/>
      </c>
      <c r="I35" s="78"/>
      <c r="J35" s="78"/>
      <c r="K35" s="84" t="str">
        <f aca="false">IF(I35="","",IF(I35="N","PASS",IF(J35="Y","PASS — risk documented in thesis","FAIL — undocumented binary risk")))</f>
        <v/>
      </c>
      <c r="L35" s="84" t="str">
        <f aca="false">IF('Implied-Return Calculator'!T36="","",'Implied-Return Calculator'!T36)</f>
        <v/>
      </c>
      <c r="M35" s="84" t="str">
        <f aca="false">IF('Implied-Return Calculator'!U36="","",'Implied-Return Calculator'!U36)</f>
        <v/>
      </c>
      <c r="N35" s="126"/>
      <c r="O35" s="127"/>
      <c r="P35" s="84" t="str">
        <f aca="false">IF(OR(N35="",O35=""),"",IF(N35&lt;=50,"PASS — within ceiling",IF(AND(O35&gt;0.3,L35="PASS"),"PASS — growth+bear case exception met","FAIL — exceeds 50x, exception not met")))</f>
        <v/>
      </c>
      <c r="Q35" s="84" t="str">
        <f aca="false">IF(OR(C35="",D35="",E35="",K35="",L35="",M35="",P35=""),"",IF(AND(C35="PASS",D35="PASS",LEFT(E35,4)="PASS",LEFT(K35,4)="PASS",L35="PASS",M35="OK",LEFT(P35,4)="PASS",'Implied-Return Calculator'!S36="PASS"),"YES","NO — see failing rule(s)"))</f>
        <v/>
      </c>
      <c r="R35" s="84" t="str">
        <f aca="false">IF(Q35="","",IF(Q35="YES","Initiate: "&amp;H35,"DO NOT ENTER — resolve failing Entry Rule(s) above first"))</f>
        <v/>
      </c>
    </row>
    <row r="36" customFormat="false" ht="15" hidden="false" customHeight="false" outlineLevel="0" collapsed="false">
      <c r="A36" s="84" t="str">
        <f aca="false">IF(Scoring!A36="","",Scoring!A36)</f>
        <v>YUM</v>
      </c>
      <c r="B36" s="124" t="str">
        <f aca="false">IF(Scoring!B36="","",Scoring!B36)</f>
        <v>Yum! Brands Inc.</v>
      </c>
      <c r="C36" s="84" t="str">
        <f aca="false">IF(Scoring!AG36="","",IF(OR(Scoring!AG36="STRONG BUY",Scoring!AG36="BUY"),"PASS","FAIL"))</f>
        <v/>
      </c>
      <c r="D36" s="84" t="str">
        <f aca="false">IF(Scoring!AH36="","",IF(Scoring!AH36="OK","PASS","FAIL"))</f>
        <v>PASS</v>
      </c>
      <c r="E36" s="125" t="str">
        <f aca="false">IF(Scoring!AI36="","",IF(Scoring!AI36="OK","PASS","FAIL — mandatory review required"))</f>
        <v>PASS</v>
      </c>
      <c r="F36" s="78"/>
      <c r="G36" s="78"/>
      <c r="H36" s="84" t="str">
        <f aca="false">IF(OR(F36="",G36=""),"",IF(AND(F36="Y",G36="Y"),"Standard initial size","50% of normal initial size + 90-day technical review"))</f>
        <v/>
      </c>
      <c r="I36" s="78"/>
      <c r="J36" s="78"/>
      <c r="K36" s="84" t="str">
        <f aca="false">IF(I36="","",IF(I36="N","PASS",IF(J36="Y","PASS — risk documented in thesis","FAIL — undocumented binary risk")))</f>
        <v/>
      </c>
      <c r="L36" s="84" t="str">
        <f aca="false">IF('Implied-Return Calculator'!T37="","",'Implied-Return Calculator'!T37)</f>
        <v/>
      </c>
      <c r="M36" s="84" t="str">
        <f aca="false">IF('Implied-Return Calculator'!U37="","",'Implied-Return Calculator'!U37)</f>
        <v/>
      </c>
      <c r="N36" s="126"/>
      <c r="O36" s="127"/>
      <c r="P36" s="84" t="str">
        <f aca="false">IF(OR(N36="",O36=""),"",IF(N36&lt;=50,"PASS — within ceiling",IF(AND(O36&gt;0.3,L36="PASS"),"PASS — growth+bear case exception met","FAIL — exceeds 50x, exception not met")))</f>
        <v/>
      </c>
      <c r="Q36" s="84" t="str">
        <f aca="false">IF(OR(C36="",D36="",E36="",K36="",L36="",M36="",P36=""),"",IF(AND(C36="PASS",D36="PASS",LEFT(E36,4)="PASS",LEFT(K36,4)="PASS",L36="PASS",M36="OK",LEFT(P36,4)="PASS",'Implied-Return Calculator'!S37="PASS"),"YES","NO — see failing rule(s)"))</f>
        <v/>
      </c>
      <c r="R36" s="84" t="str">
        <f aca="false">IF(Q36="","",IF(Q36="YES","Initiate: "&amp;H36,"DO NOT ENTER — resolve failing Entry Rule(s) above first"))</f>
        <v/>
      </c>
    </row>
    <row r="37" customFormat="false" ht="15" hidden="false" customHeight="false" outlineLevel="0" collapsed="false">
      <c r="A37" s="84" t="str">
        <f aca="false">IF(Scoring!A37="","",Scoring!A37)</f>
        <v>NKE</v>
      </c>
      <c r="B37" s="124" t="str">
        <f aca="false">IF(Scoring!B37="","",Scoring!B37)</f>
        <v>Nike Inc.</v>
      </c>
      <c r="C37" s="84" t="str">
        <f aca="false">IF(Scoring!AG37="","",IF(OR(Scoring!AG37="STRONG BUY",Scoring!AG37="BUY"),"PASS","FAIL"))</f>
        <v/>
      </c>
      <c r="D37" s="84" t="str">
        <f aca="false">IF(Scoring!AH37="","",IF(Scoring!AH37="OK","PASS","FAIL"))</f>
        <v>FAIL</v>
      </c>
      <c r="E37" s="125" t="str">
        <f aca="false">IF(Scoring!AI37="","",IF(Scoring!AI37="OK","PASS","FAIL — mandatory review required"))</f>
        <v>FAIL — mandatory review required</v>
      </c>
      <c r="F37" s="78"/>
      <c r="G37" s="78"/>
      <c r="H37" s="84" t="str">
        <f aca="false">IF(OR(F37="",G37=""),"",IF(AND(F37="Y",G37="Y"),"Standard initial size","50% of normal initial size + 90-day technical review"))</f>
        <v/>
      </c>
      <c r="I37" s="78"/>
      <c r="J37" s="78"/>
      <c r="K37" s="84" t="str">
        <f aca="false">IF(I37="","",IF(I37="N","PASS",IF(J37="Y","PASS — risk documented in thesis","FAIL — undocumented binary risk")))</f>
        <v/>
      </c>
      <c r="L37" s="84" t="str">
        <f aca="false">IF('Implied-Return Calculator'!T38="","",'Implied-Return Calculator'!T38)</f>
        <v/>
      </c>
      <c r="M37" s="84" t="str">
        <f aca="false">IF('Implied-Return Calculator'!U38="","",'Implied-Return Calculator'!U38)</f>
        <v/>
      </c>
      <c r="N37" s="126"/>
      <c r="O37" s="127"/>
      <c r="P37" s="84" t="str">
        <f aca="false">IF(OR(N37="",O37=""),"",IF(N37&lt;=50,"PASS — within ceiling",IF(AND(O37&gt;0.3,L37="PASS"),"PASS — growth+bear case exception met","FAIL — exceeds 50x, exception not met")))</f>
        <v/>
      </c>
      <c r="Q37" s="84" t="str">
        <f aca="false">IF(OR(C37="",D37="",E37="",K37="",L37="",M37="",P37=""),"",IF(AND(C37="PASS",D37="PASS",LEFT(E37,4)="PASS",LEFT(K37,4)="PASS",L37="PASS",M37="OK",LEFT(P37,4)="PASS",'Implied-Return Calculator'!S38="PASS"),"YES","NO — see failing rule(s)"))</f>
        <v/>
      </c>
      <c r="R37" s="84" t="str">
        <f aca="false">IF(Q37="","",IF(Q37="YES","Initiate: "&amp;H37,"DO NOT ENTER — resolve failing Entry Rule(s) above first"))</f>
        <v/>
      </c>
    </row>
    <row r="38" customFormat="false" ht="15" hidden="false" customHeight="false" outlineLevel="0" collapsed="false">
      <c r="A38" s="84" t="str">
        <f aca="false">IF(Scoring!A38="","",Scoring!A38)</f>
        <v>VFC</v>
      </c>
      <c r="B38" s="124" t="str">
        <f aca="false">IF(Scoring!B38="","",Scoring!B38)</f>
        <v>V.F. Corporation</v>
      </c>
      <c r="C38" s="84" t="str">
        <f aca="false">IF(Scoring!AG38="","",IF(OR(Scoring!AG38="STRONG BUY",Scoring!AG38="BUY"),"PASS","FAIL"))</f>
        <v/>
      </c>
      <c r="D38" s="84" t="str">
        <f aca="false">IF(Scoring!AH38="","",IF(Scoring!AH38="OK","PASS","FAIL"))</f>
        <v>FAIL</v>
      </c>
      <c r="E38" s="125" t="str">
        <f aca="false">IF(Scoring!AI38="","",IF(Scoring!AI38="OK","PASS","FAIL — mandatory review required"))</f>
        <v>PASS</v>
      </c>
      <c r="F38" s="78"/>
      <c r="G38" s="78"/>
      <c r="H38" s="84" t="str">
        <f aca="false">IF(OR(F38="",G38=""),"",IF(AND(F38="Y",G38="Y"),"Standard initial size","50% of normal initial size + 90-day technical review"))</f>
        <v/>
      </c>
      <c r="I38" s="78"/>
      <c r="J38" s="78"/>
      <c r="K38" s="84" t="str">
        <f aca="false">IF(I38="","",IF(I38="N","PASS",IF(J38="Y","PASS — risk documented in thesis","FAIL — undocumented binary risk")))</f>
        <v/>
      </c>
      <c r="L38" s="84" t="str">
        <f aca="false">IF('Implied-Return Calculator'!T39="","",'Implied-Return Calculator'!T39)</f>
        <v/>
      </c>
      <c r="M38" s="84" t="str">
        <f aca="false">IF('Implied-Return Calculator'!U39="","",'Implied-Return Calculator'!U39)</f>
        <v/>
      </c>
      <c r="N38" s="126"/>
      <c r="O38" s="127"/>
      <c r="P38" s="84" t="str">
        <f aca="false">IF(OR(N38="",O38=""),"",IF(N38&lt;=50,"PASS — within ceiling",IF(AND(O38&gt;0.3,L38="PASS"),"PASS — growth+bear case exception met","FAIL — exceeds 50x, exception not met")))</f>
        <v/>
      </c>
      <c r="Q38" s="84" t="str">
        <f aca="false">IF(OR(C38="",D38="",E38="",K38="",L38="",M38="",P38=""),"",IF(AND(C38="PASS",D38="PASS",LEFT(E38,4)="PASS",LEFT(K38,4)="PASS",L38="PASS",M38="OK",LEFT(P38,4)="PASS",'Implied-Return Calculator'!S39="PASS"),"YES","NO — see failing rule(s)"))</f>
        <v/>
      </c>
      <c r="R38" s="84" t="str">
        <f aca="false">IF(Q38="","",IF(Q38="YES","Initiate: "&amp;H38,"DO NOT ENTER — resolve failing Entry Rule(s) above first"))</f>
        <v/>
      </c>
    </row>
    <row r="39" customFormat="false" ht="15" hidden="false" customHeight="false" outlineLevel="0" collapsed="false">
      <c r="A39" s="84" t="str">
        <f aca="false">IF(Scoring!A39="","",Scoring!A39)</f>
        <v>GOOS</v>
      </c>
      <c r="B39" s="124" t="str">
        <f aca="false">IF(Scoring!B39="","",Scoring!B39)</f>
        <v>Canada Goose Holdings</v>
      </c>
      <c r="C39" s="84" t="str">
        <f aca="false">IF(Scoring!AG39="","",IF(OR(Scoring!AG39="STRONG BUY",Scoring!AG39="BUY"),"PASS","FAIL"))</f>
        <v/>
      </c>
      <c r="D39" s="84" t="str">
        <f aca="false">IF(Scoring!AH39="","",IF(Scoring!AH39="OK","PASS","FAIL"))</f>
        <v>FAIL</v>
      </c>
      <c r="E39" s="125" t="str">
        <f aca="false">IF(Scoring!AI39="","",IF(Scoring!AI39="OK","PASS","FAIL — mandatory review required"))</f>
        <v>FAIL — mandatory review required</v>
      </c>
      <c r="F39" s="78"/>
      <c r="G39" s="78"/>
      <c r="H39" s="84" t="str">
        <f aca="false">IF(OR(F39="",G39=""),"",IF(AND(F39="Y",G39="Y"),"Standard initial size","50% of normal initial size + 90-day technical review"))</f>
        <v/>
      </c>
      <c r="I39" s="78"/>
      <c r="J39" s="78"/>
      <c r="K39" s="84" t="str">
        <f aca="false">IF(I39="","",IF(I39="N","PASS",IF(J39="Y","PASS — risk documented in thesis","FAIL — undocumented binary risk")))</f>
        <v/>
      </c>
      <c r="L39" s="84" t="str">
        <f aca="false">IF('Implied-Return Calculator'!T40="","",'Implied-Return Calculator'!T40)</f>
        <v/>
      </c>
      <c r="M39" s="84" t="str">
        <f aca="false">IF('Implied-Return Calculator'!U40="","",'Implied-Return Calculator'!U40)</f>
        <v/>
      </c>
      <c r="N39" s="126"/>
      <c r="O39" s="127"/>
      <c r="P39" s="84" t="str">
        <f aca="false">IF(OR(N39="",O39=""),"",IF(N39&lt;=50,"PASS — within ceiling",IF(AND(O39&gt;0.3,L39="PASS"),"PASS — growth+bear case exception met","FAIL — exceeds 50x, exception not met")))</f>
        <v/>
      </c>
      <c r="Q39" s="84" t="str">
        <f aca="false">IF(OR(C39="",D39="",E39="",K39="",L39="",M39="",P39=""),"",IF(AND(C39="PASS",D39="PASS",LEFT(E39,4)="PASS",LEFT(K39,4)="PASS",L39="PASS",M39="OK",LEFT(P39,4)="PASS",'Implied-Return Calculator'!S40="PASS"),"YES","NO — see failing rule(s)"))</f>
        <v/>
      </c>
      <c r="R39" s="84" t="str">
        <f aca="false">IF(Q39="","",IF(Q39="YES","Initiate: "&amp;H39,"DO NOT ENTER — resolve failing Entry Rule(s) above first"))</f>
        <v/>
      </c>
    </row>
    <row r="40" customFormat="false" ht="15" hidden="false" customHeight="false" outlineLevel="0" collapsed="false">
      <c r="A40" s="84" t="str">
        <f aca="false">IF(Scoring!A40="","",Scoring!A40)</f>
        <v>AAP</v>
      </c>
      <c r="B40" s="124" t="str">
        <f aca="false">IF(Scoring!B40="","",Scoring!B40)</f>
        <v>Advance Auto Parts Inc.</v>
      </c>
      <c r="C40" s="84" t="str">
        <f aca="false">IF(Scoring!AG40="","",IF(OR(Scoring!AG40="STRONG BUY",Scoring!AG40="BUY"),"PASS","FAIL"))</f>
        <v/>
      </c>
      <c r="D40" s="84" t="str">
        <f aca="false">IF(Scoring!AH40="","",IF(Scoring!AH40="OK","PASS","FAIL"))</f>
        <v>FAIL</v>
      </c>
      <c r="E40" s="125" t="str">
        <f aca="false">IF(Scoring!AI40="","",IF(Scoring!AI40="OK","PASS","FAIL — mandatory review required"))</f>
        <v>FAIL — mandatory review required</v>
      </c>
      <c r="F40" s="78"/>
      <c r="G40" s="78"/>
      <c r="H40" s="84" t="str">
        <f aca="false">IF(OR(F40="",G40=""),"",IF(AND(F40="Y",G40="Y"),"Standard initial size","50% of normal initial size + 90-day technical review"))</f>
        <v/>
      </c>
      <c r="I40" s="78"/>
      <c r="J40" s="78"/>
      <c r="K40" s="84" t="str">
        <f aca="false">IF(I40="","",IF(I40="N","PASS",IF(J40="Y","PASS — risk documented in thesis","FAIL — undocumented binary risk")))</f>
        <v/>
      </c>
      <c r="L40" s="84" t="str">
        <f aca="false">IF('Implied-Return Calculator'!T41="","",'Implied-Return Calculator'!T41)</f>
        <v/>
      </c>
      <c r="M40" s="84" t="str">
        <f aca="false">IF('Implied-Return Calculator'!U41="","",'Implied-Return Calculator'!U41)</f>
        <v/>
      </c>
      <c r="N40" s="126"/>
      <c r="O40" s="127"/>
      <c r="P40" s="84" t="str">
        <f aca="false">IF(OR(N40="",O40=""),"",IF(N40&lt;=50,"PASS — within ceiling",IF(AND(O40&gt;0.3,L40="PASS"),"PASS — growth+bear case exception met","FAIL — exceeds 50x, exception not met")))</f>
        <v/>
      </c>
      <c r="Q40" s="84" t="str">
        <f aca="false">IF(OR(C40="",D40="",E40="",K40="",L40="",M40="",P40=""),"",IF(AND(C40="PASS",D40="PASS",LEFT(E40,4)="PASS",LEFT(K40,4)="PASS",L40="PASS",M40="OK",LEFT(P40,4)="PASS",'Implied-Return Calculator'!S41="PASS"),"YES","NO — see failing rule(s)"))</f>
        <v/>
      </c>
      <c r="R40" s="84" t="str">
        <f aca="false">IF(Q40="","",IF(Q40="YES","Initiate: "&amp;H40,"DO NOT ENTER — resolve failing Entry Rule(s) above first"))</f>
        <v/>
      </c>
    </row>
    <row r="41" customFormat="false" ht="15" hidden="false" customHeight="false" outlineLevel="0" collapsed="false">
      <c r="A41" s="84" t="str">
        <f aca="false">IF(Scoring!A41="","",Scoring!A41)</f>
        <v>BABA</v>
      </c>
      <c r="B41" s="124" t="str">
        <f aca="false">IF(Scoring!B41="","",Scoring!B41)</f>
        <v>Alibaba Group Holding Ltd.</v>
      </c>
      <c r="C41" s="84" t="str">
        <f aca="false">IF(Scoring!AG41="","",IF(OR(Scoring!AG41="STRONG BUY",Scoring!AG41="BUY"),"PASS","FAIL"))</f>
        <v/>
      </c>
      <c r="D41" s="84" t="str">
        <f aca="false">IF(Scoring!AH41="","",IF(Scoring!AH41="OK","PASS","FAIL"))</f>
        <v>FAIL</v>
      </c>
      <c r="E41" s="125" t="str">
        <f aca="false">IF(Scoring!AI41="","",IF(Scoring!AI41="OK","PASS","FAIL — mandatory review required"))</f>
        <v>PASS</v>
      </c>
      <c r="F41" s="78"/>
      <c r="G41" s="78"/>
      <c r="H41" s="84" t="str">
        <f aca="false">IF(OR(F41="",G41=""),"",IF(AND(F41="Y",G41="Y"),"Standard initial size","50% of normal initial size + 90-day technical review"))</f>
        <v/>
      </c>
      <c r="I41" s="78"/>
      <c r="J41" s="78"/>
      <c r="K41" s="84" t="str">
        <f aca="false">IF(I41="","",IF(I41="N","PASS",IF(J41="Y","PASS — risk documented in thesis","FAIL — undocumented binary risk")))</f>
        <v/>
      </c>
      <c r="L41" s="84" t="str">
        <f aca="false">IF('Implied-Return Calculator'!T42="","",'Implied-Return Calculator'!T42)</f>
        <v/>
      </c>
      <c r="M41" s="84" t="str">
        <f aca="false">IF('Implied-Return Calculator'!U42="","",'Implied-Return Calculator'!U42)</f>
        <v/>
      </c>
      <c r="N41" s="126"/>
      <c r="O41" s="127"/>
      <c r="P41" s="84" t="str">
        <f aca="false">IF(OR(N41="",O41=""),"",IF(N41&lt;=50,"PASS — within ceiling",IF(AND(O41&gt;0.3,L41="PASS"),"PASS — growth+bear case exception met","FAIL — exceeds 50x, exception not met")))</f>
        <v/>
      </c>
      <c r="Q41" s="84" t="str">
        <f aca="false">IF(OR(C41="",D41="",E41="",K41="",L41="",M41="",P41=""),"",IF(AND(C41="PASS",D41="PASS",LEFT(E41,4)="PASS",LEFT(K41,4)="PASS",L41="PASS",M41="OK",LEFT(P41,4)="PASS",'Implied-Return Calculator'!S42="PASS"),"YES","NO — see failing rule(s)"))</f>
        <v/>
      </c>
      <c r="R41" s="84" t="str">
        <f aca="false">IF(Q41="","",IF(Q41="YES","Initiate: "&amp;H41,"DO NOT ENTER — resolve failing Entry Rule(s) above first"))</f>
        <v/>
      </c>
    </row>
    <row r="42" customFormat="false" ht="15" hidden="false" customHeight="false" outlineLevel="0" collapsed="false">
      <c r="A42" s="84" t="str">
        <f aca="false">IF(Scoring!A42="","",Scoring!A42)</f>
        <v>ETSY</v>
      </c>
      <c r="B42" s="124" t="str">
        <f aca="false">IF(Scoring!B42="","",Scoring!B42)</f>
        <v>Etsy Inc.</v>
      </c>
      <c r="C42" s="84" t="str">
        <f aca="false">IF(Scoring!AG42="","",IF(OR(Scoring!AG42="STRONG BUY",Scoring!AG42="BUY"),"PASS","FAIL"))</f>
        <v/>
      </c>
      <c r="D42" s="84" t="str">
        <f aca="false">IF(Scoring!AH42="","",IF(Scoring!AH42="OK","PASS","FAIL"))</f>
        <v>PASS</v>
      </c>
      <c r="E42" s="125" t="str">
        <f aca="false">IF(Scoring!AI42="","",IF(Scoring!AI42="OK","PASS","FAIL — mandatory review required"))</f>
        <v>PASS</v>
      </c>
      <c r="F42" s="78"/>
      <c r="G42" s="78"/>
      <c r="H42" s="84" t="str">
        <f aca="false">IF(OR(F42="",G42=""),"",IF(AND(F42="Y",G42="Y"),"Standard initial size","50% of normal initial size + 90-day technical review"))</f>
        <v/>
      </c>
      <c r="I42" s="78"/>
      <c r="J42" s="78"/>
      <c r="K42" s="84" t="str">
        <f aca="false">IF(I42="","",IF(I42="N","PASS",IF(J42="Y","PASS — risk documented in thesis","FAIL — undocumented binary risk")))</f>
        <v/>
      </c>
      <c r="L42" s="84" t="str">
        <f aca="false">IF('Implied-Return Calculator'!T43="","",'Implied-Return Calculator'!T43)</f>
        <v/>
      </c>
      <c r="M42" s="84" t="str">
        <f aca="false">IF('Implied-Return Calculator'!U43="","",'Implied-Return Calculator'!U43)</f>
        <v/>
      </c>
      <c r="N42" s="126"/>
      <c r="O42" s="127"/>
      <c r="P42" s="84" t="str">
        <f aca="false">IF(OR(N42="",O42=""),"",IF(N42&lt;=50,"PASS — within ceiling",IF(AND(O42&gt;0.3,L42="PASS"),"PASS — growth+bear case exception met","FAIL — exceeds 50x, exception not met")))</f>
        <v/>
      </c>
      <c r="Q42" s="84" t="str">
        <f aca="false">IF(OR(C42="",D42="",E42="",K42="",L42="",M42="",P42=""),"",IF(AND(C42="PASS",D42="PASS",LEFT(E42,4)="PASS",LEFT(K42,4)="PASS",L42="PASS",M42="OK",LEFT(P42,4)="PASS",'Implied-Return Calculator'!S43="PASS"),"YES","NO — see failing rule(s)"))</f>
        <v/>
      </c>
      <c r="R42" s="84" t="str">
        <f aca="false">IF(Q42="","",IF(Q42="YES","Initiate: "&amp;H42,"DO NOT ENTER — resolve failing Entry Rule(s) above first"))</f>
        <v/>
      </c>
    </row>
    <row r="43" customFormat="false" ht="15" hidden="false" customHeight="false" outlineLevel="0" collapsed="false">
      <c r="A43" s="84" t="str">
        <f aca="false">IF(Scoring!A43="","",Scoring!A43)</f>
        <v>GE</v>
      </c>
      <c r="B43" s="124" t="str">
        <f aca="false">IF(Scoring!B43="","",Scoring!B43)</f>
        <v>GE Aerospace</v>
      </c>
      <c r="C43" s="84" t="str">
        <f aca="false">IF(Scoring!AG43="","",IF(OR(Scoring!AG43="STRONG BUY",Scoring!AG43="BUY"),"PASS","FAIL"))</f>
        <v/>
      </c>
      <c r="D43" s="84" t="str">
        <f aca="false">IF(Scoring!AH43="","",IF(Scoring!AH43="OK","PASS","FAIL"))</f>
        <v>PASS</v>
      </c>
      <c r="E43" s="125" t="str">
        <f aca="false">IF(Scoring!AI43="","",IF(Scoring!AI43="OK","PASS","FAIL — mandatory review required"))</f>
        <v>PASS</v>
      </c>
      <c r="F43" s="78"/>
      <c r="G43" s="78"/>
      <c r="H43" s="84" t="str">
        <f aca="false">IF(OR(F43="",G43=""),"",IF(AND(F43="Y",G43="Y"),"Standard initial size","50% of normal initial size + 90-day technical review"))</f>
        <v/>
      </c>
      <c r="I43" s="78"/>
      <c r="J43" s="78"/>
      <c r="K43" s="84" t="str">
        <f aca="false">IF(I43="","",IF(I43="N","PASS",IF(J43="Y","PASS — risk documented in thesis","FAIL — undocumented binary risk")))</f>
        <v/>
      </c>
      <c r="L43" s="84" t="str">
        <f aca="false">IF('Implied-Return Calculator'!T44="","",'Implied-Return Calculator'!T44)</f>
        <v/>
      </c>
      <c r="M43" s="84" t="str">
        <f aca="false">IF('Implied-Return Calculator'!U44="","",'Implied-Return Calculator'!U44)</f>
        <v/>
      </c>
      <c r="N43" s="126"/>
      <c r="O43" s="127"/>
      <c r="P43" s="84" t="str">
        <f aca="false">IF(OR(N43="",O43=""),"",IF(N43&lt;=50,"PASS — within ceiling",IF(AND(O43&gt;0.3,L43="PASS"),"PASS — growth+bear case exception met","FAIL — exceeds 50x, exception not met")))</f>
        <v/>
      </c>
      <c r="Q43" s="84" t="str">
        <f aca="false">IF(OR(C43="",D43="",E43="",K43="",L43="",M43="",P43=""),"",IF(AND(C43="PASS",D43="PASS",LEFT(E43,4)="PASS",LEFT(K43,4)="PASS",L43="PASS",M43="OK",LEFT(P43,4)="PASS",'Implied-Return Calculator'!S44="PASS"),"YES","NO — see failing rule(s)"))</f>
        <v/>
      </c>
      <c r="R43" s="84" t="str">
        <f aca="false">IF(Q43="","",IF(Q43="YES","Initiate: "&amp;H43,"DO NOT ENTER — resolve failing Entry Rule(s) above first"))</f>
        <v/>
      </c>
    </row>
    <row r="44" customFormat="false" ht="15" hidden="false" customHeight="false" outlineLevel="0" collapsed="false">
      <c r="A44" s="84" t="str">
        <f aca="false">IF(Scoring!A44="","",Scoring!A44)</f>
        <v>PH</v>
      </c>
      <c r="B44" s="124" t="str">
        <f aca="false">IF(Scoring!B44="","",Scoring!B44)</f>
        <v>Parker-Hannifin Corporation</v>
      </c>
      <c r="C44" s="84" t="str">
        <f aca="false">IF(Scoring!AG44="","",IF(OR(Scoring!AG44="STRONG BUY",Scoring!AG44="BUY"),"PASS","FAIL"))</f>
        <v/>
      </c>
      <c r="D44" s="84" t="str">
        <f aca="false">IF(Scoring!AH44="","",IF(Scoring!AH44="OK","PASS","FAIL"))</f>
        <v>PASS</v>
      </c>
      <c r="E44" s="125" t="str">
        <f aca="false">IF(Scoring!AI44="","",IF(Scoring!AI44="OK","PASS","FAIL — mandatory review required"))</f>
        <v>PASS</v>
      </c>
      <c r="F44" s="78"/>
      <c r="G44" s="78"/>
      <c r="H44" s="84" t="str">
        <f aca="false">IF(OR(F44="",G44=""),"",IF(AND(F44="Y",G44="Y"),"Standard initial size","50% of normal initial size + 90-day technical review"))</f>
        <v/>
      </c>
      <c r="I44" s="78"/>
      <c r="J44" s="78"/>
      <c r="K44" s="84" t="str">
        <f aca="false">IF(I44="","",IF(I44="N","PASS",IF(J44="Y","PASS — risk documented in thesis","FAIL — undocumented binary risk")))</f>
        <v/>
      </c>
      <c r="L44" s="84" t="str">
        <f aca="false">IF('Implied-Return Calculator'!T45="","",'Implied-Return Calculator'!T45)</f>
        <v/>
      </c>
      <c r="M44" s="84" t="str">
        <f aca="false">IF('Implied-Return Calculator'!U45="","",'Implied-Return Calculator'!U45)</f>
        <v/>
      </c>
      <c r="N44" s="126"/>
      <c r="O44" s="127"/>
      <c r="P44" s="84" t="str">
        <f aca="false">IF(OR(N44="",O44=""),"",IF(N44&lt;=50,"PASS — within ceiling",IF(AND(O44&gt;0.3,L44="PASS"),"PASS — growth+bear case exception met","FAIL — exceeds 50x, exception not met")))</f>
        <v/>
      </c>
      <c r="Q44" s="84" t="str">
        <f aca="false">IF(OR(C44="",D44="",E44="",K44="",L44="",M44="",P44=""),"",IF(AND(C44="PASS",D44="PASS",LEFT(E44,4)="PASS",LEFT(K44,4)="PASS",L44="PASS",M44="OK",LEFT(P44,4)="PASS",'Implied-Return Calculator'!S45="PASS"),"YES","NO — see failing rule(s)"))</f>
        <v/>
      </c>
      <c r="R44" s="84" t="str">
        <f aca="false">IF(Q44="","",IF(Q44="YES","Initiate: "&amp;H44,"DO NOT ENTER — resolve failing Entry Rule(s) above first"))</f>
        <v/>
      </c>
    </row>
    <row r="45" customFormat="false" ht="15" hidden="false" customHeight="false" outlineLevel="0" collapsed="false">
      <c r="A45" s="84" t="str">
        <f aca="false">IF(Scoring!A45="","",Scoring!A45)</f>
        <v>ETN</v>
      </c>
      <c r="B45" s="124" t="str">
        <f aca="false">IF(Scoring!B45="","",Scoring!B45)</f>
        <v>Eaton Corporation plc</v>
      </c>
      <c r="C45" s="84" t="str">
        <f aca="false">IF(Scoring!AG45="","",IF(OR(Scoring!AG45="STRONG BUY",Scoring!AG45="BUY"),"PASS","FAIL"))</f>
        <v/>
      </c>
      <c r="D45" s="84" t="str">
        <f aca="false">IF(Scoring!AH45="","",IF(Scoring!AH45="OK","PASS","FAIL"))</f>
        <v>PASS</v>
      </c>
      <c r="E45" s="125" t="str">
        <f aca="false">IF(Scoring!AI45="","",IF(Scoring!AI45="OK","PASS","FAIL — mandatory review required"))</f>
        <v>PASS</v>
      </c>
      <c r="F45" s="78"/>
      <c r="G45" s="78"/>
      <c r="H45" s="84" t="str">
        <f aca="false">IF(OR(F45="",G45=""),"",IF(AND(F45="Y",G45="Y"),"Standard initial size","50% of normal initial size + 90-day technical review"))</f>
        <v/>
      </c>
      <c r="I45" s="78"/>
      <c r="J45" s="78"/>
      <c r="K45" s="84" t="str">
        <f aca="false">IF(I45="","",IF(I45="N","PASS",IF(J45="Y","PASS — risk documented in thesis","FAIL — undocumented binary risk")))</f>
        <v/>
      </c>
      <c r="L45" s="84" t="str">
        <f aca="false">IF('Implied-Return Calculator'!T46="","",'Implied-Return Calculator'!T46)</f>
        <v/>
      </c>
      <c r="M45" s="84" t="str">
        <f aca="false">IF('Implied-Return Calculator'!U46="","",'Implied-Return Calculator'!U46)</f>
        <v/>
      </c>
      <c r="N45" s="126"/>
      <c r="O45" s="127"/>
      <c r="P45" s="84" t="str">
        <f aca="false">IF(OR(N45="",O45=""),"",IF(N45&lt;=50,"PASS — within ceiling",IF(AND(O45&gt;0.3,L45="PASS"),"PASS — growth+bear case exception met","FAIL — exceeds 50x, exception not met")))</f>
        <v/>
      </c>
      <c r="Q45" s="84" t="str">
        <f aca="false">IF(OR(C45="",D45="",E45="",K45="",L45="",M45="",P45=""),"",IF(AND(C45="PASS",D45="PASS",LEFT(E45,4)="PASS",LEFT(K45,4)="PASS",L45="PASS",M45="OK",LEFT(P45,4)="PASS",'Implied-Return Calculator'!S46="PASS"),"YES","NO — see failing rule(s)"))</f>
        <v/>
      </c>
      <c r="R45" s="84" t="str">
        <f aca="false">IF(Q45="","",IF(Q45="YES","Initiate: "&amp;H45,"DO NOT ENTER — resolve failing Entry Rule(s) above first"))</f>
        <v/>
      </c>
    </row>
    <row r="46" customFormat="false" ht="15" hidden="false" customHeight="false" outlineLevel="0" collapsed="false">
      <c r="A46" s="84" t="str">
        <f aca="false">IF(Scoring!A46="","",Scoring!A46)</f>
        <v>DIS</v>
      </c>
      <c r="B46" s="124" t="str">
        <f aca="false">IF(Scoring!B46="","",Scoring!B46)</f>
        <v>The Walt Disney Company</v>
      </c>
      <c r="C46" s="84" t="str">
        <f aca="false">IF(Scoring!AG46="","",IF(OR(Scoring!AG46="STRONG BUY",Scoring!AG46="BUY"),"PASS","FAIL"))</f>
        <v/>
      </c>
      <c r="D46" s="84" t="str">
        <f aca="false">IF(Scoring!AH46="","",IF(Scoring!AH46="OK","PASS","FAIL"))</f>
        <v>FAIL</v>
      </c>
      <c r="E46" s="125" t="str">
        <f aca="false">IF(Scoring!AI46="","",IF(Scoring!AI46="OK","PASS","FAIL — mandatory review required"))</f>
        <v>PASS</v>
      </c>
      <c r="F46" s="78"/>
      <c r="G46" s="78"/>
      <c r="H46" s="84" t="str">
        <f aca="false">IF(OR(F46="",G46=""),"",IF(AND(F46="Y",G46="Y"),"Standard initial size","50% of normal initial size + 90-day technical review"))</f>
        <v/>
      </c>
      <c r="I46" s="78"/>
      <c r="J46" s="78"/>
      <c r="K46" s="84" t="str">
        <f aca="false">IF(I46="","",IF(I46="N","PASS",IF(J46="Y","PASS — risk documented in thesis","FAIL — undocumented binary risk")))</f>
        <v/>
      </c>
      <c r="L46" s="84" t="str">
        <f aca="false">IF('Implied-Return Calculator'!T47="","",'Implied-Return Calculator'!T47)</f>
        <v/>
      </c>
      <c r="M46" s="84" t="str">
        <f aca="false">IF('Implied-Return Calculator'!U47="","",'Implied-Return Calculator'!U47)</f>
        <v/>
      </c>
      <c r="N46" s="126"/>
      <c r="O46" s="127"/>
      <c r="P46" s="84" t="str">
        <f aca="false">IF(OR(N46="",O46=""),"",IF(N46&lt;=50,"PASS — within ceiling",IF(AND(O46&gt;0.3,L46="PASS"),"PASS — growth+bear case exception met","FAIL — exceeds 50x, exception not met")))</f>
        <v/>
      </c>
      <c r="Q46" s="84" t="str">
        <f aca="false">IF(OR(C46="",D46="",E46="",K46="",L46="",M46="",P46=""),"",IF(AND(C46="PASS",D46="PASS",LEFT(E46,4)="PASS",LEFT(K46,4)="PASS",L46="PASS",M46="OK",LEFT(P46,4)="PASS",'Implied-Return Calculator'!S47="PASS"),"YES","NO — see failing rule(s)"))</f>
        <v/>
      </c>
      <c r="R46" s="84" t="str">
        <f aca="false">IF(Q46="","",IF(Q46="YES","Initiate: "&amp;H46,"DO NOT ENTER — resolve failing Entry Rule(s) above first"))</f>
        <v/>
      </c>
    </row>
    <row r="47" customFormat="false" ht="15" hidden="false" customHeight="false" outlineLevel="0" collapsed="false">
      <c r="A47" s="84" t="str">
        <f aca="false">IF(Scoring!A47="","",Scoring!A47)</f>
        <v>NFLX</v>
      </c>
      <c r="B47" s="124" t="str">
        <f aca="false">IF(Scoring!B47="","",Scoring!B47)</f>
        <v>Netflix, Inc.</v>
      </c>
      <c r="C47" s="84" t="str">
        <f aca="false">IF(Scoring!AG47="","",IF(OR(Scoring!AG47="STRONG BUY",Scoring!AG47="BUY"),"PASS","FAIL"))</f>
        <v/>
      </c>
      <c r="D47" s="84" t="str">
        <f aca="false">IF(Scoring!AH47="","",IF(Scoring!AH47="OK","PASS","FAIL"))</f>
        <v>PASS</v>
      </c>
      <c r="E47" s="125" t="str">
        <f aca="false">IF(Scoring!AI47="","",IF(Scoring!AI47="OK","PASS","FAIL — mandatory review required"))</f>
        <v>PASS</v>
      </c>
      <c r="F47" s="78"/>
      <c r="G47" s="78"/>
      <c r="H47" s="84" t="str">
        <f aca="false">IF(OR(F47="",G47=""),"",IF(AND(F47="Y",G47="Y"),"Standard initial size","50% of normal initial size + 90-day technical review"))</f>
        <v/>
      </c>
      <c r="I47" s="78"/>
      <c r="J47" s="78"/>
      <c r="K47" s="84" t="str">
        <f aca="false">IF(I47="","",IF(I47="N","PASS",IF(J47="Y","PASS — risk documented in thesis","FAIL — undocumented binary risk")))</f>
        <v/>
      </c>
      <c r="L47" s="84" t="str">
        <f aca="false">IF('Implied-Return Calculator'!T48="","",'Implied-Return Calculator'!T48)</f>
        <v/>
      </c>
      <c r="M47" s="84" t="str">
        <f aca="false">IF('Implied-Return Calculator'!U48="","",'Implied-Return Calculator'!U48)</f>
        <v/>
      </c>
      <c r="N47" s="126"/>
      <c r="O47" s="127"/>
      <c r="P47" s="84" t="str">
        <f aca="false">IF(OR(N47="",O47=""),"",IF(N47&lt;=50,"PASS — within ceiling",IF(AND(O47&gt;0.3,L47="PASS"),"PASS — growth+bear case exception met","FAIL — exceeds 50x, exception not met")))</f>
        <v/>
      </c>
      <c r="Q47" s="84" t="str">
        <f aca="false">IF(OR(C47="",D47="",E47="",K47="",L47="",M47="",P47=""),"",IF(AND(C47="PASS",D47="PASS",LEFT(E47,4)="PASS",LEFT(K47,4)="PASS",L47="PASS",M47="OK",LEFT(P47,4)="PASS",'Implied-Return Calculator'!S48="PASS"),"YES","NO — see failing rule(s)"))</f>
        <v/>
      </c>
      <c r="R47" s="84" t="str">
        <f aca="false">IF(Q47="","",IF(Q47="YES","Initiate: "&amp;H47,"DO NOT ENTER — resolve failing Entry Rule(s) above first"))</f>
        <v/>
      </c>
    </row>
    <row r="48" customFormat="false" ht="15" hidden="false" customHeight="false" outlineLevel="0" collapsed="false">
      <c r="A48" s="84"/>
      <c r="B48" s="124"/>
      <c r="C48" s="84"/>
      <c r="D48" s="84"/>
      <c r="E48" s="125"/>
      <c r="F48" s="78"/>
      <c r="G48" s="78"/>
      <c r="H48" s="84"/>
      <c r="I48" s="78"/>
      <c r="J48" s="78"/>
      <c r="K48" s="84"/>
      <c r="L48" s="84"/>
      <c r="M48" s="84"/>
      <c r="N48" s="126"/>
      <c r="O48" s="127"/>
      <c r="P48" s="84"/>
      <c r="Q48" s="84"/>
      <c r="R48" s="84"/>
    </row>
    <row r="49" customFormat="false" ht="15" hidden="false" customHeight="false" outlineLevel="0" collapsed="false">
      <c r="A49" s="84"/>
      <c r="B49" s="124"/>
      <c r="C49" s="84"/>
      <c r="D49" s="84"/>
      <c r="E49" s="125"/>
      <c r="F49" s="78"/>
      <c r="G49" s="78"/>
      <c r="H49" s="84"/>
      <c r="I49" s="78"/>
      <c r="J49" s="78"/>
      <c r="K49" s="84"/>
      <c r="L49" s="84"/>
      <c r="M49" s="84"/>
      <c r="N49" s="126"/>
      <c r="O49" s="127"/>
      <c r="P49" s="84"/>
      <c r="Q49" s="84"/>
      <c r="R49" s="84"/>
    </row>
  </sheetData>
  <mergeCells count="1">
    <mergeCell ref="A1:R1"/>
  </mergeCells>
  <conditionalFormatting sqref="C3:C47">
    <cfRule type="cellIs" priority="2" operator="equal" aboveAverage="0" equalAverage="0" bottom="0" percent="0" rank="0" text="" dxfId="23">
      <formula>"PASS"</formula>
    </cfRule>
    <cfRule type="cellIs" priority="3" operator="equal" aboveAverage="0" equalAverage="0" bottom="0" percent="0" rank="0" text="" dxfId="0">
      <formula>"FAIL"</formula>
    </cfRule>
  </conditionalFormatting>
  <conditionalFormatting sqref="D3:D47">
    <cfRule type="cellIs" priority="4" operator="equal" aboveAverage="0" equalAverage="0" bottom="0" percent="0" rank="0" text="" dxfId="23">
      <formula>"PASS"</formula>
    </cfRule>
    <cfRule type="cellIs" priority="5" operator="equal" aboveAverage="0" equalAverage="0" bottom="0" percent="0" rank="0" text="" dxfId="0">
      <formula>"FAIL"</formula>
    </cfRule>
  </conditionalFormatting>
  <conditionalFormatting sqref="E3:E47">
    <cfRule type="expression" priority="6" aboveAverage="0" equalAverage="0" bottom="0" percent="0" rank="0" text="" dxfId="23">
      <formula>LEFT(E3,4)="PASS"</formula>
    </cfRule>
    <cfRule type="expression" priority="7" aboveAverage="0" equalAverage="0" bottom="0" percent="0" rank="0" text="" dxfId="0">
      <formula>LEFT(E3,4)="FAIL"</formula>
    </cfRule>
  </conditionalFormatting>
  <conditionalFormatting sqref="K3:K47">
    <cfRule type="expression" priority="8" aboveAverage="0" equalAverage="0" bottom="0" percent="0" rank="0" text="" dxfId="23">
      <formula>LEFT(K3,4)="PASS"</formula>
    </cfRule>
    <cfRule type="expression" priority="9" aboveAverage="0" equalAverage="0" bottom="0" percent="0" rank="0" text="" dxfId="0">
      <formula>LEFT(K3,4)="FAIL"</formula>
    </cfRule>
  </conditionalFormatting>
  <conditionalFormatting sqref="P3:P47">
    <cfRule type="expression" priority="10" aboveAverage="0" equalAverage="0" bottom="0" percent="0" rank="0" text="" dxfId="23">
      <formula>LEFT(P3,4)="PASS"</formula>
    </cfRule>
    <cfRule type="expression" priority="11" aboveAverage="0" equalAverage="0" bottom="0" percent="0" rank="0" text="" dxfId="0">
      <formula>LEFT(P3,4)="FAIL"</formula>
    </cfRule>
  </conditionalFormatting>
  <conditionalFormatting sqref="L3:L47">
    <cfRule type="cellIs" priority="12" operator="equal" aboveAverage="0" equalAverage="0" bottom="0" percent="0" rank="0" text="" dxfId="23">
      <formula>"PASS"</formula>
    </cfRule>
    <cfRule type="cellIs" priority="13" operator="equal" aboveAverage="0" equalAverage="0" bottom="0" percent="0" rank="0" text="" dxfId="0">
      <formula>"FAIL"</formula>
    </cfRule>
  </conditionalFormatting>
  <conditionalFormatting sqref="M3:M47">
    <cfRule type="cellIs" priority="14" operator="equal" aboveAverage="0" equalAverage="0" bottom="0" percent="0" rank="0" text="" dxfId="23">
      <formula>"OK"</formula>
    </cfRule>
    <cfRule type="cellIs" priority="15" operator="equal" aboveAverage="0" equalAverage="0" bottom="0" percent="0" rank="0" text="" dxfId="0">
      <formula>"CHECK TAGS"</formula>
    </cfRule>
  </conditionalFormatting>
  <conditionalFormatting sqref="Q3:Q47">
    <cfRule type="cellIs" priority="16" operator="equal" aboveAverage="0" equalAverage="0" bottom="0" percent="0" rank="0" text="" dxfId="23">
      <formula>"YES"</formula>
    </cfRule>
    <cfRule type="expression" priority="17" aboveAverage="0" equalAverage="0" bottom="0" percent="0" rank="0" text="" dxfId="0">
      <formula>LEFT(Q3,2)="NO"</formula>
    </cfRule>
  </conditionalFormatting>
  <conditionalFormatting sqref="H3:H47">
    <cfRule type="cellIs" priority="18" operator="equal" aboveAverage="0" equalAverage="0" bottom="0" percent="0" rank="0" text="" dxfId="23">
      <formula>"Standard initial size"</formula>
    </cfRule>
    <cfRule type="expression" priority="19" aboveAverage="0" equalAverage="0" bottom="0" percent="0" rank="0" text="" dxfId="16">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28" t="s">
        <v>358</v>
      </c>
      <c r="B1" s="128"/>
      <c r="C1" s="128"/>
      <c r="D1" s="128"/>
      <c r="E1" s="128"/>
      <c r="F1" s="128"/>
      <c r="G1" s="128"/>
      <c r="H1" s="128"/>
      <c r="I1" s="128"/>
    </row>
    <row r="2" customFormat="false" ht="25.5" hidden="false" customHeight="true" outlineLevel="0" collapsed="false">
      <c r="A2" s="67" t="s">
        <v>74</v>
      </c>
      <c r="B2" s="67" t="s">
        <v>216</v>
      </c>
      <c r="C2" s="67" t="s">
        <v>78</v>
      </c>
      <c r="D2" s="67" t="s">
        <v>359</v>
      </c>
      <c r="E2" s="67" t="s">
        <v>360</v>
      </c>
      <c r="F2" s="67" t="s">
        <v>361</v>
      </c>
      <c r="G2" s="67" t="s">
        <v>362</v>
      </c>
      <c r="H2" s="67" t="s">
        <v>363</v>
      </c>
      <c r="I2" s="67" t="s">
        <v>364</v>
      </c>
    </row>
    <row r="3" customFormat="false" ht="15" hidden="false" customHeight="true" outlineLevel="0" collapsed="false">
      <c r="A3" s="69"/>
      <c r="B3" s="69"/>
      <c r="C3" s="71"/>
      <c r="D3" s="129"/>
      <c r="E3" s="130"/>
      <c r="F3" s="131"/>
      <c r="G3" s="71"/>
      <c r="H3" s="71"/>
      <c r="I3" s="132"/>
    </row>
    <row r="4" customFormat="false" ht="15" hidden="false" customHeight="true" outlineLevel="0" collapsed="false">
      <c r="A4" s="69"/>
      <c r="B4" s="69"/>
      <c r="C4" s="71"/>
      <c r="D4" s="129"/>
      <c r="E4" s="130"/>
      <c r="F4" s="131"/>
      <c r="G4" s="71"/>
      <c r="H4" s="71"/>
      <c r="I4" s="132"/>
    </row>
    <row r="5" customFormat="false" ht="15" hidden="false" customHeight="true" outlineLevel="0" collapsed="false">
      <c r="A5" s="69"/>
      <c r="B5" s="69"/>
      <c r="C5" s="71"/>
      <c r="D5" s="129"/>
      <c r="E5" s="130"/>
      <c r="F5" s="131"/>
      <c r="G5" s="71"/>
      <c r="H5" s="71"/>
      <c r="I5" s="132"/>
    </row>
    <row r="6" customFormat="false" ht="15" hidden="false" customHeight="true" outlineLevel="0" collapsed="false">
      <c r="A6" s="69"/>
      <c r="B6" s="69"/>
      <c r="C6" s="71"/>
      <c r="D6" s="129"/>
      <c r="E6" s="130"/>
      <c r="F6" s="131"/>
      <c r="G6" s="71"/>
      <c r="H6" s="71"/>
      <c r="I6" s="132"/>
    </row>
    <row r="7" customFormat="false" ht="15" hidden="false" customHeight="true" outlineLevel="0" collapsed="false">
      <c r="A7" s="69"/>
      <c r="B7" s="69"/>
      <c r="C7" s="71"/>
      <c r="D7" s="129"/>
      <c r="E7" s="130"/>
      <c r="F7" s="131"/>
      <c r="G7" s="71"/>
      <c r="H7" s="71"/>
      <c r="I7" s="132"/>
    </row>
    <row r="8" customFormat="false" ht="15" hidden="false" customHeight="true" outlineLevel="0" collapsed="false">
      <c r="A8" s="69"/>
      <c r="B8" s="69"/>
      <c r="C8" s="71"/>
      <c r="D8" s="129"/>
      <c r="E8" s="130"/>
      <c r="F8" s="131"/>
      <c r="G8" s="71"/>
      <c r="H8" s="71"/>
      <c r="I8" s="132"/>
    </row>
    <row r="9" customFormat="false" ht="15" hidden="false" customHeight="true" outlineLevel="0" collapsed="false">
      <c r="A9" s="69"/>
      <c r="B9" s="69"/>
      <c r="C9" s="71"/>
      <c r="D9" s="129"/>
      <c r="E9" s="130"/>
      <c r="F9" s="131"/>
      <c r="G9" s="71"/>
      <c r="H9" s="71"/>
      <c r="I9" s="132"/>
    </row>
    <row r="10" customFormat="false" ht="15" hidden="false" customHeight="true" outlineLevel="0" collapsed="false">
      <c r="A10" s="69"/>
      <c r="B10" s="69"/>
      <c r="C10" s="71"/>
      <c r="D10" s="129"/>
      <c r="E10" s="130"/>
      <c r="F10" s="131"/>
      <c r="G10" s="71"/>
      <c r="H10" s="71"/>
      <c r="I10" s="132"/>
    </row>
    <row r="11" customFormat="false" ht="15" hidden="false" customHeight="true" outlineLevel="0" collapsed="false">
      <c r="A11" s="69"/>
      <c r="B11" s="69"/>
      <c r="C11" s="71"/>
      <c r="D11" s="129"/>
      <c r="E11" s="130"/>
      <c r="F11" s="131"/>
      <c r="G11" s="71"/>
      <c r="H11" s="71"/>
      <c r="I11" s="132"/>
    </row>
    <row r="12" customFormat="false" ht="15" hidden="false" customHeight="true" outlineLevel="0" collapsed="false">
      <c r="A12" s="69"/>
      <c r="B12" s="69"/>
      <c r="C12" s="71"/>
      <c r="D12" s="129"/>
      <c r="E12" s="130"/>
      <c r="F12" s="131"/>
      <c r="G12" s="71"/>
      <c r="H12" s="71"/>
      <c r="I12" s="132"/>
    </row>
    <row r="13" customFormat="false" ht="15" hidden="false" customHeight="true" outlineLevel="0" collapsed="false">
      <c r="A13" s="69"/>
      <c r="B13" s="69"/>
      <c r="C13" s="71"/>
      <c r="D13" s="129"/>
      <c r="E13" s="130"/>
      <c r="F13" s="131"/>
      <c r="G13" s="71"/>
      <c r="H13" s="71"/>
      <c r="I13" s="132"/>
    </row>
    <row r="14" customFormat="false" ht="15" hidden="false" customHeight="true" outlineLevel="0" collapsed="false">
      <c r="A14" s="69"/>
      <c r="B14" s="69"/>
      <c r="C14" s="71"/>
      <c r="D14" s="129"/>
      <c r="E14" s="130"/>
      <c r="F14" s="131"/>
      <c r="G14" s="71"/>
      <c r="H14" s="71"/>
      <c r="I14" s="132"/>
    </row>
    <row r="15" customFormat="false" ht="15" hidden="false" customHeight="true" outlineLevel="0" collapsed="false">
      <c r="A15" s="69"/>
      <c r="B15" s="69"/>
      <c r="C15" s="71"/>
      <c r="D15" s="129"/>
      <c r="E15" s="130"/>
      <c r="F15" s="131"/>
      <c r="G15" s="71"/>
      <c r="H15" s="71"/>
      <c r="I15" s="132"/>
    </row>
    <row r="16" customFormat="false" ht="15" hidden="false" customHeight="true" outlineLevel="0" collapsed="false">
      <c r="A16" s="69"/>
      <c r="B16" s="69"/>
      <c r="C16" s="71"/>
      <c r="D16" s="129"/>
      <c r="E16" s="130"/>
      <c r="F16" s="131"/>
      <c r="G16" s="71"/>
      <c r="H16" s="71"/>
      <c r="I16" s="132"/>
    </row>
    <row r="17" customFormat="false" ht="15" hidden="false" customHeight="true" outlineLevel="0" collapsed="false">
      <c r="A17" s="69"/>
      <c r="B17" s="69"/>
      <c r="C17" s="71"/>
      <c r="D17" s="129"/>
      <c r="E17" s="130"/>
      <c r="F17" s="131"/>
      <c r="G17" s="71"/>
      <c r="H17" s="71"/>
      <c r="I17" s="132"/>
    </row>
    <row r="18" customFormat="false" ht="15" hidden="false" customHeight="true" outlineLevel="0" collapsed="false">
      <c r="A18" s="69"/>
      <c r="B18" s="69"/>
      <c r="C18" s="71"/>
      <c r="D18" s="129"/>
      <c r="E18" s="130"/>
      <c r="F18" s="131"/>
      <c r="G18" s="71"/>
      <c r="H18" s="71"/>
      <c r="I18" s="132"/>
    </row>
    <row r="19" customFormat="false" ht="15" hidden="false" customHeight="true" outlineLevel="0" collapsed="false">
      <c r="A19" s="69"/>
      <c r="B19" s="69"/>
      <c r="C19" s="71"/>
      <c r="D19" s="129"/>
      <c r="E19" s="130"/>
      <c r="F19" s="131"/>
      <c r="G19" s="71"/>
      <c r="H19" s="71"/>
      <c r="I19" s="132"/>
    </row>
    <row r="20" customFormat="false" ht="15" hidden="false" customHeight="true" outlineLevel="0" collapsed="false">
      <c r="A20" s="69"/>
      <c r="B20" s="69"/>
      <c r="C20" s="71"/>
      <c r="D20" s="129"/>
      <c r="E20" s="130"/>
      <c r="F20" s="131"/>
      <c r="G20" s="71"/>
      <c r="H20" s="71"/>
      <c r="I20" s="132"/>
    </row>
    <row r="21" customFormat="false" ht="15" hidden="false" customHeight="true" outlineLevel="0" collapsed="false">
      <c r="A21" s="69"/>
      <c r="B21" s="69"/>
      <c r="C21" s="71"/>
      <c r="D21" s="129"/>
      <c r="E21" s="130"/>
      <c r="F21" s="131"/>
      <c r="G21" s="71"/>
      <c r="H21" s="71"/>
      <c r="I21" s="132"/>
    </row>
    <row r="22" customFormat="false" ht="15" hidden="false" customHeight="true" outlineLevel="0" collapsed="false">
      <c r="A22" s="69"/>
      <c r="B22" s="69"/>
      <c r="C22" s="71"/>
      <c r="D22" s="129"/>
      <c r="E22" s="130"/>
      <c r="F22" s="131"/>
      <c r="G22" s="71"/>
      <c r="H22" s="71"/>
      <c r="I22" s="132"/>
    </row>
    <row r="23" customFormat="false" ht="15" hidden="false" customHeight="true" outlineLevel="0" collapsed="false">
      <c r="A23" s="69"/>
      <c r="B23" s="69"/>
      <c r="C23" s="71"/>
      <c r="D23" s="129"/>
      <c r="E23" s="130"/>
      <c r="F23" s="131"/>
      <c r="G23" s="71"/>
      <c r="H23" s="71"/>
      <c r="I23" s="132"/>
    </row>
    <row r="24" customFormat="false" ht="15" hidden="false" customHeight="true" outlineLevel="0" collapsed="false">
      <c r="A24" s="69"/>
      <c r="B24" s="69"/>
      <c r="C24" s="71"/>
      <c r="D24" s="129"/>
      <c r="E24" s="130"/>
      <c r="F24" s="131"/>
      <c r="G24" s="71"/>
      <c r="H24" s="71"/>
      <c r="I24" s="132"/>
    </row>
    <row r="25" customFormat="false" ht="15" hidden="false" customHeight="true" outlineLevel="0" collapsed="false">
      <c r="A25" s="69"/>
      <c r="B25" s="69"/>
      <c r="C25" s="71"/>
      <c r="D25" s="129"/>
      <c r="E25" s="130"/>
      <c r="F25" s="131"/>
      <c r="G25" s="71"/>
      <c r="H25" s="71"/>
      <c r="I25" s="132"/>
    </row>
    <row r="26" customFormat="false" ht="15" hidden="false" customHeight="true" outlineLevel="0" collapsed="false">
      <c r="A26" s="69"/>
      <c r="B26" s="69"/>
      <c r="C26" s="71"/>
      <c r="D26" s="129"/>
      <c r="E26" s="130"/>
      <c r="F26" s="131"/>
      <c r="G26" s="71"/>
      <c r="H26" s="71"/>
      <c r="I26" s="132"/>
    </row>
    <row r="27" customFormat="false" ht="15" hidden="false" customHeight="true" outlineLevel="0" collapsed="false">
      <c r="A27" s="69"/>
      <c r="B27" s="69"/>
      <c r="C27" s="71"/>
      <c r="D27" s="129"/>
      <c r="E27" s="130"/>
      <c r="F27" s="131"/>
      <c r="G27" s="71"/>
      <c r="H27" s="71"/>
      <c r="I27" s="132"/>
    </row>
    <row r="30" customFormat="false" ht="15" hidden="false" customHeight="true" outlineLevel="0" collapsed="false">
      <c r="A30" s="133" t="s">
        <v>365</v>
      </c>
      <c r="B30" s="133"/>
      <c r="C30" s="133"/>
      <c r="D30" s="133"/>
      <c r="E30" s="133"/>
      <c r="F30" s="133"/>
      <c r="G30" s="133"/>
      <c r="H30" s="133"/>
      <c r="I30" s="133"/>
    </row>
    <row r="31" customFormat="false" ht="15" hidden="false" customHeight="true" outlineLevel="0" collapsed="false">
      <c r="A31" s="133" t="s">
        <v>366</v>
      </c>
      <c r="B31" s="133"/>
      <c r="C31" s="133"/>
      <c r="D31" s="133"/>
      <c r="E31" s="133"/>
      <c r="F31" s="133"/>
      <c r="G31" s="133"/>
      <c r="H31" s="133"/>
      <c r="I31" s="133"/>
    </row>
    <row r="32" customFormat="false" ht="15" hidden="false" customHeight="true" outlineLevel="0" collapsed="false">
      <c r="A32" s="133" t="s">
        <v>367</v>
      </c>
      <c r="B32" s="133"/>
      <c r="C32" s="133"/>
      <c r="D32" s="133"/>
      <c r="E32" s="133"/>
      <c r="F32" s="133"/>
      <c r="G32" s="133"/>
      <c r="H32" s="133"/>
      <c r="I32" s="133"/>
    </row>
    <row r="33" customFormat="false" ht="15" hidden="false" customHeight="true" outlineLevel="0" collapsed="false">
      <c r="A33" s="133" t="s">
        <v>368</v>
      </c>
      <c r="B33" s="133"/>
      <c r="C33" s="133"/>
      <c r="D33" s="133"/>
      <c r="E33" s="133"/>
      <c r="F33" s="133"/>
      <c r="G33" s="133"/>
      <c r="H33" s="133"/>
      <c r="I33" s="133"/>
    </row>
    <row r="34" customFormat="false" ht="15" hidden="false" customHeight="true" outlineLevel="0" collapsed="false">
      <c r="A34" s="133" t="s">
        <v>369</v>
      </c>
      <c r="B34" s="133"/>
      <c r="C34" s="133"/>
      <c r="D34" s="133"/>
      <c r="E34" s="133"/>
      <c r="F34" s="133"/>
      <c r="G34" s="133"/>
      <c r="H34" s="133"/>
      <c r="I34" s="133"/>
    </row>
    <row r="35" customFormat="false" ht="15" hidden="false" customHeight="true" outlineLevel="0" collapsed="false">
      <c r="A35" s="133" t="s">
        <v>370</v>
      </c>
      <c r="B35" s="133"/>
      <c r="C35" s="133"/>
      <c r="D35" s="133"/>
      <c r="E35" s="133"/>
      <c r="F35" s="133"/>
      <c r="G35" s="133"/>
      <c r="H35" s="133"/>
      <c r="I35" s="133"/>
    </row>
  </sheetData>
  <mergeCells count="7">
    <mergeCell ref="A1:I1"/>
    <mergeCell ref="A30:I30"/>
    <mergeCell ref="A31:I31"/>
    <mergeCell ref="A32:I32"/>
    <mergeCell ref="A33:I33"/>
    <mergeCell ref="A34:I34"/>
    <mergeCell ref="A35:I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1"/>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3" activePane="bottomRight" state="frozen"/>
      <selection pane="topLeft" activeCell="A175" activeCellId="0" sqref="A175"/>
      <selection pane="topRight" activeCell="B175" activeCellId="0" sqref="B175"/>
      <selection pane="bottomLeft" activeCell="A3" activeCellId="0" sqref="A3"/>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34" t="s">
        <v>371</v>
      </c>
      <c r="B1" s="134"/>
      <c r="C1" s="134"/>
      <c r="D1" s="134"/>
      <c r="E1" s="134"/>
      <c r="F1" s="134"/>
      <c r="G1" s="134"/>
      <c r="H1" s="134"/>
      <c r="I1" s="134"/>
      <c r="J1" s="134"/>
      <c r="K1" s="134"/>
      <c r="L1" s="134"/>
      <c r="M1" s="134"/>
      <c r="N1" s="134"/>
      <c r="O1" s="134"/>
      <c r="P1" s="134"/>
      <c r="Q1" s="134"/>
      <c r="R1" s="134"/>
      <c r="S1" s="134"/>
      <c r="T1" s="134"/>
      <c r="U1" s="134"/>
    </row>
    <row r="2" customFormat="false" ht="15" hidden="false" customHeight="true" outlineLevel="0" collapsed="false">
      <c r="A2" s="67" t="s">
        <v>215</v>
      </c>
      <c r="B2" s="67" t="str">
        <f aca="false">'Price History'!B2</f>
        <v>ADBE</v>
      </c>
      <c r="C2" s="67" t="str">
        <f aca="false">'Price History'!C2</f>
        <v>ANET</v>
      </c>
      <c r="D2" s="67" t="str">
        <f aca="false">'Price History'!D2</f>
        <v>ASML</v>
      </c>
      <c r="E2" s="67" t="str">
        <f aca="false">'Price History'!E2</f>
        <v>AVGO</v>
      </c>
      <c r="F2" s="67" t="str">
        <f aca="false">'Price History'!F2</f>
        <v>CRWD</v>
      </c>
      <c r="G2" s="67" t="str">
        <f aca="false">'Price History'!G2</f>
        <v>KLAC</v>
      </c>
      <c r="H2" s="67" t="str">
        <f aca="false">'Price History'!H2</f>
        <v>MU</v>
      </c>
      <c r="I2" s="67" t="str">
        <f aca="false">'Price History'!I2</f>
        <v>NVDA</v>
      </c>
      <c r="J2" s="67" t="str">
        <f aca="false">'Price History'!J2</f>
        <v>PLD</v>
      </c>
      <c r="K2" s="67" t="str">
        <f aca="false">'Price History'!K2</f>
        <v>PLTR</v>
      </c>
      <c r="L2" s="67" t="str">
        <f aca="false">'Price History'!L2</f>
        <v>TSM</v>
      </c>
      <c r="M2" s="67" t="str">
        <f aca="false">'Price History'!M2</f>
        <v>VRT</v>
      </c>
      <c r="N2" s="67" t="str">
        <f aca="false">'Price History'!N2</f>
        <v>VRTX</v>
      </c>
      <c r="O2" s="67" t="str">
        <f aca="false">'Price History'!O2</f>
        <v>AVUV</v>
      </c>
      <c r="P2" s="67" t="n">
        <f aca="false">'Price History'!P2</f>
        <v>0</v>
      </c>
      <c r="Q2" s="67" t="str">
        <f aca="false">'Price History'!Q2</f>
        <v>HELO</v>
      </c>
      <c r="R2" s="67" t="str">
        <f aca="false">'Price History'!R2</f>
        <v>JEPQ</v>
      </c>
      <c r="S2" s="67" t="str">
        <f aca="false">'Price History'!S2</f>
        <v>SPMO</v>
      </c>
      <c r="T2" s="67" t="str">
        <f aca="false">'Price History'!T2</f>
        <v>VFLO</v>
      </c>
      <c r="U2" s="67" t="n">
        <f aca="false">'Price History'!U2</f>
        <v>0</v>
      </c>
      <c r="W2" s="135" t="s">
        <v>372</v>
      </c>
      <c r="X2" s="135" t="s">
        <v>373</v>
      </c>
      <c r="Y2" s="135" t="s">
        <v>374</v>
      </c>
      <c r="Z2" s="135" t="s">
        <v>375</v>
      </c>
      <c r="AA2" s="135" t="s">
        <v>376</v>
      </c>
      <c r="AB2" s="135" t="s">
        <v>377</v>
      </c>
      <c r="AC2" s="135" t="s">
        <v>378</v>
      </c>
      <c r="AD2" s="135" t="s">
        <v>379</v>
      </c>
      <c r="AE2" s="135" t="s">
        <v>380</v>
      </c>
      <c r="AF2" s="135" t="s">
        <v>381</v>
      </c>
      <c r="AG2" s="135" t="s">
        <v>382</v>
      </c>
      <c r="AH2" s="135" t="s">
        <v>383</v>
      </c>
      <c r="AI2" s="135" t="s">
        <v>384</v>
      </c>
      <c r="AJ2" s="135" t="s">
        <v>385</v>
      </c>
      <c r="AK2" s="135" t="s">
        <v>386</v>
      </c>
      <c r="AL2" s="135" t="s">
        <v>387</v>
      </c>
      <c r="AM2" s="135" t="s">
        <v>388</v>
      </c>
      <c r="AN2" s="135" t="s">
        <v>389</v>
      </c>
    </row>
    <row r="3" customFormat="false" ht="15" hidden="false" customHeight="true" outlineLevel="0" collapsed="false">
      <c r="A3" s="136" t="n">
        <f aca="false">IF('Price History'!A4="","",'Price History'!A4)</f>
        <v>45156</v>
      </c>
      <c r="B3" s="137" t="n">
        <f aca="false">IFERROR(IF(OR(NOT(ISNUMBER('Price History'!B4)),NOT(ISNUMBER('Price History'!B3)),'Price History'!B3=0),"",'Price History'!B4/'Price History'!B3-1),"")</f>
        <v>-0.00062936375258138</v>
      </c>
      <c r="C3" s="137" t="n">
        <f aca="false">IFERROR(IF(OR(NOT(ISNUMBER('Price History'!C4)),NOT(ISNUMBER('Price History'!C3)),'Price History'!C3=0),"",'Price History'!C4/'Price History'!C3-1),"")</f>
        <v>0.0320073159579333</v>
      </c>
      <c r="D3" s="137" t="n">
        <f aca="false">IFERROR(IF(OR(NOT(ISNUMBER('Price History'!D4)),NOT(ISNUMBER('Price History'!D3)),'Price History'!D3=0),"",'Price History'!D4/'Price History'!D3-1),"")</f>
        <v>-0.00974644141557612</v>
      </c>
      <c r="E3" s="137" t="n">
        <f aca="false">IFERROR(IF(OR(NOT(ISNUMBER('Price History'!E4)),NOT(ISNUMBER('Price History'!E3)),'Price History'!E3=0),"",'Price History'!E4/'Price History'!E3-1),"")</f>
        <v>-0.0048204386599181</v>
      </c>
      <c r="F3" s="137" t="n">
        <f aca="false">IFERROR(IF(OR(NOT(ISNUMBER('Price History'!F4)),NOT(ISNUMBER('Price History'!F3)),'Price History'!F3=0),"",'Price History'!F4/'Price History'!F3-1),"")</f>
        <v>-0.00971397733405288</v>
      </c>
      <c r="G3" s="137" t="n">
        <f aca="false">IFERROR(IF(OR(NOT(ISNUMBER('Price History'!G4)),NOT(ISNUMBER('Price History'!G3)),'Price History'!G3=0),"",'Price History'!G4/'Price History'!G3-1),"")</f>
        <v>-0.0020876826722338</v>
      </c>
      <c r="H3" s="137" t="n">
        <f aca="false">IFERROR(IF(OR(NOT(ISNUMBER('Price History'!H4)),NOT(ISNUMBER('Price History'!H3)),'Price History'!H3=0),"",'Price History'!H4/'Price History'!H3-1),"")</f>
        <v>-0.0121174460152245</v>
      </c>
      <c r="I3" s="137" t="n">
        <f aca="false">IFERROR(IF(OR(NOT(ISNUMBER('Price History'!I4)),NOT(ISNUMBER('Price History'!I3)),'Price History'!I3=0),"",'Price History'!I4/'Price History'!I3-1),"")</f>
        <v>0.0599755201958383</v>
      </c>
      <c r="J3" s="137" t="n">
        <f aca="false">IFERROR(IF(OR(NOT(ISNUMBER('Price History'!J4)),NOT(ISNUMBER('Price History'!J3)),'Price History'!J3=0),"",'Price History'!J4/'Price History'!J3-1),"")</f>
        <v>-0.0165168812241924</v>
      </c>
      <c r="K3" s="137" t="n">
        <f aca="false">IFERROR(IF(OR(NOT(ISNUMBER('Price History'!K4)),NOT(ISNUMBER('Price History'!K3)),'Price History'!K3=0),"",'Price History'!K4/'Price History'!K3-1),"")</f>
        <v>-0.0655418559377028</v>
      </c>
      <c r="L3" s="137" t="n">
        <f aca="false">IFERROR(IF(OR(NOT(ISNUMBER('Price History'!L4)),NOT(ISNUMBER('Price History'!L3)),'Price History'!L3=0),"",'Price History'!L4/'Price History'!L3-1),"")</f>
        <v>-0.00967496467007289</v>
      </c>
      <c r="M3" s="137" t="n">
        <f aca="false">IFERROR(IF(OR(NOT(ISNUMBER('Price History'!M4)),NOT(ISNUMBER('Price History'!M3)),'Price History'!M3=0),"",'Price History'!M4/'Price History'!M3-1),"")</f>
        <v>0.0137272455983288</v>
      </c>
      <c r="N3" s="137" t="n">
        <f aca="false">IFERROR(IF(OR(NOT(ISNUMBER('Price History'!N4)),NOT(ISNUMBER('Price History'!N3)),'Price History'!N3=0),"",'Price History'!N4/'Price History'!N3-1),"")</f>
        <v>-0.0144057623049221</v>
      </c>
      <c r="O3" s="137" t="n">
        <f aca="false">IFERROR(IF(OR(NOT(ISNUMBER('Price History'!O4)),NOT(ISNUMBER('Price History'!O3)),'Price History'!O3=0),"",'Price History'!O4/'Price History'!O3-1),"")</f>
        <v>-0.0307785153892577</v>
      </c>
      <c r="P3" s="137" t="str">
        <f aca="false">IFERROR(IF(OR(NOT(ISNUMBER('Price History'!P4)),NOT(ISNUMBER('Price History'!P3)),'Price History'!P3=0),"",'Price History'!P4/'Price History'!P3-1),"")</f>
        <v/>
      </c>
      <c r="Q3" s="137" t="n">
        <f aca="false">IFERROR(IF(OR(NOT(ISNUMBER('Price History'!Q4)),NOT(ISNUMBER('Price History'!Q3)),'Price History'!Q3=0),"",'Price History'!Q4/'Price History'!Q3-1),"")</f>
        <v>0.0032102728731942</v>
      </c>
      <c r="R3" s="137" t="n">
        <f aca="false">IFERROR(IF(OR(NOT(ISNUMBER('Price History'!R4)),NOT(ISNUMBER('Price History'!R3)),'Price History'!R3=0),"",'Price History'!R4/'Price History'!R3-1),"")</f>
        <v>-0.0186114596403179</v>
      </c>
      <c r="S3" s="137" t="n">
        <f aca="false">IFERROR(IF(OR(NOT(ISNUMBER('Price History'!S4)),NOT(ISNUMBER('Price History'!S3)),'Price History'!S3=0),"",'Price History'!S4/'Price History'!S3-1),"")</f>
        <v>-0.00837034506320467</v>
      </c>
      <c r="T3" s="137" t="n">
        <f aca="false">IFERROR(IF(OR(NOT(ISNUMBER('Price History'!T4)),NOT(ISNUMBER('Price History'!T3)),'Price History'!T3=0),"",'Price History'!T4/'Price History'!T3-1),"")</f>
        <v>-0.0267558528428093</v>
      </c>
      <c r="U3" s="137" t="str">
        <f aca="false">IFERROR(IF(OR(NOT(ISNUMBER('Price History'!U4)),NOT(ISNUMBER('Price History'!U3)),'Price History'!U3=0),"",'Price History'!U4/'Price History'!U3-1),"")</f>
        <v/>
      </c>
      <c r="W3" s="138" t="n">
        <f aca="false">'Price History'!B3+('Price History'!B158-'Price History'!B3)*0</f>
        <v>508.45</v>
      </c>
      <c r="X3" s="138" t="n">
        <f aca="false">'Price History'!C3+('Price History'!C158-'Price History'!C3)*0</f>
        <v>43.74</v>
      </c>
      <c r="Y3" s="138" t="n">
        <f aca="false">'Price History'!D3+('Price History'!D158-'Price History'!D3)*0</f>
        <v>661.78</v>
      </c>
      <c r="Z3" s="138" t="n">
        <f aca="false">'Price History'!E3+('Price History'!E158-'Price History'!E3)*0</f>
        <v>82.98</v>
      </c>
      <c r="AA3" s="138" t="n">
        <f aca="false">'Price History'!F3+('Price History'!F158-'Price History'!F3)*0</f>
        <v>37.06</v>
      </c>
      <c r="AB3" s="138" t="n">
        <f aca="false">'Price History'!G3+('Price History'!G158-'Price History'!G3)*0</f>
        <v>47.9</v>
      </c>
      <c r="AC3" s="138" t="n">
        <f aca="false">'Price History'!H3+('Price History'!H158-'Price History'!H3)*0</f>
        <v>64.37</v>
      </c>
      <c r="AD3" s="138" t="n">
        <f aca="false">'Price History'!I3+('Price History'!I158-'Price History'!I3)*0</f>
        <v>40.85</v>
      </c>
      <c r="AE3" s="138" t="n">
        <f aca="false">'Price History'!J3+('Price History'!J158-'Price History'!J3)*0</f>
        <v>123.51</v>
      </c>
      <c r="AF3" s="138" t="n">
        <f aca="false">'Price History'!K3+('Price History'!K158-'Price History'!K3)*0</f>
        <v>15.41</v>
      </c>
      <c r="AG3" s="138" t="n">
        <f aca="false">'Price History'!L3+('Price History'!L158-'Price History'!L3)*0</f>
        <v>91.99</v>
      </c>
      <c r="AH3" s="138" t="n">
        <f aca="false">'Price History'!M3+('Price History'!M158-'Price History'!M3)*0</f>
        <v>33.51</v>
      </c>
      <c r="AI3" s="138" t="n">
        <f aca="false">'Price History'!N3+('Price History'!N158-'Price History'!N3)*0</f>
        <v>349.86</v>
      </c>
      <c r="AJ3" s="138" t="n">
        <f aca="false">'Price History'!O3+('Price History'!O158-'Price History'!O3)*0</f>
        <v>82.85</v>
      </c>
      <c r="AK3" s="138" t="n">
        <f aca="false">'Price History'!Q3+('Price History'!Q151-'Price History'!Q3)*0</f>
        <v>49.84</v>
      </c>
      <c r="AL3" s="138" t="n">
        <f aca="false">'Price History'!R3+('Price History'!R158-'Price History'!R3)*0</f>
        <v>47.82</v>
      </c>
      <c r="AM3" s="138" t="n">
        <f aca="false">'Price History'!S3+('Price History'!S158-'Price History'!S3)*0</f>
        <v>58.54</v>
      </c>
      <c r="AN3" s="138" t="n">
        <f aca="false">'Price History'!T3+('Price History'!T158-'Price History'!T3)*0</f>
        <v>26.91</v>
      </c>
    </row>
    <row r="4" customFormat="false" ht="15" hidden="false" customHeight="true" outlineLevel="0" collapsed="false">
      <c r="A4" s="136" t="n">
        <f aca="false">IF('Price History'!A5="","",'Price History'!A5)</f>
        <v>45163</v>
      </c>
      <c r="B4" s="137" t="n">
        <f aca="false">IFERROR(IF(OR(NOT(ISNUMBER('Price History'!B5)),NOT(ISNUMBER('Price History'!B4)),'Price History'!B4=0),"",'Price History'!B5/'Price History'!B4-1),"")</f>
        <v>0.0333182453309191</v>
      </c>
      <c r="C4" s="137" t="n">
        <f aca="false">IFERROR(IF(OR(NOT(ISNUMBER('Price History'!C5)),NOT(ISNUMBER('Price History'!C4)),'Price History'!C4=0),"",'Price History'!C5/'Price History'!C4-1),"")</f>
        <v>0.00199379707576419</v>
      </c>
      <c r="D4" s="137" t="n">
        <f aca="false">IFERROR(IF(OR(NOT(ISNUMBER('Price History'!D5)),NOT(ISNUMBER('Price History'!D4)),'Price History'!D4=0),"",'Price History'!D5/'Price History'!D4-1),"")</f>
        <v>-0.00659209863732779</v>
      </c>
      <c r="E4" s="137" t="n">
        <f aca="false">IFERROR(IF(OR(NOT(ISNUMBER('Price History'!E5)),NOT(ISNUMBER('Price History'!E4)),'Price History'!E4=0),"",'Price History'!E5/'Price History'!E4-1),"")</f>
        <v>0.0314846209736015</v>
      </c>
      <c r="F4" s="137" t="n">
        <f aca="false">IFERROR(IF(OR(NOT(ISNUMBER('Price History'!F5)),NOT(ISNUMBER('Price History'!F4)),'Price History'!F4=0),"",'Price History'!F5/'Price History'!F4-1),"")</f>
        <v>0.0190735694822888</v>
      </c>
      <c r="G4" s="137" t="n">
        <f aca="false">IFERROR(IF(OR(NOT(ISNUMBER('Price History'!G5)),NOT(ISNUMBER('Price History'!G4)),'Price History'!G4=0),"",'Price History'!G5/'Price History'!G4-1),"")</f>
        <v>0.00774058577405867</v>
      </c>
      <c r="H4" s="137" t="n">
        <f aca="false">IFERROR(IF(OR(NOT(ISNUMBER('Price History'!H5)),NOT(ISNUMBER('Price History'!H4)),'Price History'!H4=0),"",'Price History'!H5/'Price History'!H4-1),"")</f>
        <v>0.00204434659537656</v>
      </c>
      <c r="I4" s="137" t="n">
        <f aca="false">IFERROR(IF(OR(NOT(ISNUMBER('Price History'!I5)),NOT(ISNUMBER('Price History'!I4)),'Price History'!I4=0),"",'Price History'!I5/'Price History'!I4-1),"")</f>
        <v>0.0628175519630487</v>
      </c>
      <c r="J4" s="137" t="n">
        <f aca="false">IFERROR(IF(OR(NOT(ISNUMBER('Price History'!J5)),NOT(ISNUMBER('Price History'!J4)),'Price History'!J4=0),"",'Price History'!J5/'Price History'!J4-1),"")</f>
        <v>0.00979665761093274</v>
      </c>
      <c r="K4" s="137" t="n">
        <f aca="false">IFERROR(IF(OR(NOT(ISNUMBER('Price History'!K5)),NOT(ISNUMBER('Price History'!K4)),'Price History'!K4=0),"",'Price History'!K5/'Price History'!K4-1),"")</f>
        <v>0.00902777777777764</v>
      </c>
      <c r="L4" s="137" t="n">
        <f aca="false">IFERROR(IF(OR(NOT(ISNUMBER('Price History'!L5)),NOT(ISNUMBER('Price History'!L4)),'Price History'!L4=0),"",'Price History'!L5/'Price History'!L4-1),"")</f>
        <v>0.021953896816685</v>
      </c>
      <c r="M4" s="137" t="n">
        <f aca="false">IFERROR(IF(OR(NOT(ISNUMBER('Price History'!M5)),NOT(ISNUMBER('Price History'!M4)),'Price History'!M4=0),"",'Price History'!M5/'Price History'!M4-1),"")</f>
        <v>0.103915219311157</v>
      </c>
      <c r="N4" s="137" t="n">
        <f aca="false">IFERROR(IF(OR(NOT(ISNUMBER('Price History'!N5)),NOT(ISNUMBER('Price History'!N4)),'Price History'!N4=0),"",'Price History'!N5/'Price History'!N4-1),"")</f>
        <v>0.0151963343193551</v>
      </c>
      <c r="O4" s="137" t="n">
        <f aca="false">IFERROR(IF(OR(NOT(ISNUMBER('Price History'!O5)),NOT(ISNUMBER('Price History'!O4)),'Price History'!O4=0),"",'Price History'!O5/'Price History'!O4-1),"")</f>
        <v>-0.0161892901618929</v>
      </c>
      <c r="P4" s="137" t="str">
        <f aca="false">IFERROR(IF(OR(NOT(ISNUMBER('Price History'!P5)),NOT(ISNUMBER('Price History'!P4)),'Price History'!P4=0),"",'Price History'!P5/'Price History'!P4-1),"")</f>
        <v/>
      </c>
      <c r="Q4" s="137" t="n">
        <f aca="false">IFERROR(IF(OR(NOT(ISNUMBER('Price History'!Q5)),NOT(ISNUMBER('Price History'!Q4)),'Price History'!Q4=0),"",'Price History'!Q5/'Price History'!Q4-1),"")</f>
        <v>0.00340000000000007</v>
      </c>
      <c r="R4" s="137" t="n">
        <f aca="false">IFERROR(IF(OR(NOT(ISNUMBER('Price History'!R5)),NOT(ISNUMBER('Price History'!R4)),'Price History'!R4=0),"",'Price History'!R5/'Price History'!R4-1),"")</f>
        <v>0.0159812486682294</v>
      </c>
      <c r="S4" s="137" t="n">
        <f aca="false">IFERROR(IF(OR(NOT(ISNUMBER('Price History'!S5)),NOT(ISNUMBER('Price History'!S4)),'Price History'!S4=0),"",'Price History'!S5/'Price History'!S4-1),"")</f>
        <v>-0.00275624461670965</v>
      </c>
      <c r="T4" s="137" t="n">
        <f aca="false">IFERROR(IF(OR(NOT(ISNUMBER('Price History'!T5)),NOT(ISNUMBER('Price History'!T4)),'Price History'!T4=0),"",'Price History'!T5/'Price History'!T4-1),"")</f>
        <v>-0.00801832760595655</v>
      </c>
      <c r="U4" s="137" t="str">
        <f aca="false">IFERROR(IF(OR(NOT(ISNUMBER('Price History'!U5)),NOT(ISNUMBER('Price History'!U4)),'Price History'!U4=0),"",'Price History'!U5/'Price History'!U4-1),"")</f>
        <v/>
      </c>
      <c r="W4" s="138" t="n">
        <f aca="false">'Price History'!B3+('Price History'!B158-'Price History'!B3)*0.00649350649350649</f>
        <v>506.774415584416</v>
      </c>
      <c r="X4" s="138" t="n">
        <f aca="false">'Price History'!C3+('Price History'!C158-'Price History'!C3)*0.00649350649350649</f>
        <v>44.6270779220779</v>
      </c>
      <c r="Y4" s="138" t="n">
        <f aca="false">'Price History'!D3+('Price History'!D158-'Price History'!D3)*0.00649350649350649</f>
        <v>668.060649350649</v>
      </c>
      <c r="Z4" s="138" t="n">
        <f aca="false">'Price History'!E3+('Price History'!E158-'Price History'!E3)*0.00649350649350649</f>
        <v>84.968961038961</v>
      </c>
      <c r="AA4" s="138" t="n">
        <f aca="false">'Price History'!F3+('Price History'!F158-'Price History'!F3)*0.00649350649350649</f>
        <v>38.0587012987013</v>
      </c>
      <c r="AB4" s="138" t="n">
        <f aca="false">'Price History'!G3+('Price History'!G158-'Price History'!G3)*0.00649350649350649</f>
        <v>48.7761038961039</v>
      </c>
      <c r="AC4" s="138" t="n">
        <f aca="false">'Price History'!H3+('Price History'!H158-'Price History'!H3)*0.00649350649350649</f>
        <v>69.2963636363636</v>
      </c>
      <c r="AD4" s="138" t="n">
        <f aca="false">'Price History'!I3+('Price History'!I158-'Price History'!I3)*0.00649350649350649</f>
        <v>41.8883116883117</v>
      </c>
      <c r="AE4" s="138" t="n">
        <f aca="false">'Price History'!J3+('Price History'!J158-'Price History'!J3)*0.00649350649350649</f>
        <v>123.647012987013</v>
      </c>
      <c r="AF4" s="138" t="n">
        <f aca="false">'Price History'!K3+('Price History'!K158-'Price History'!K3)*0.00649350649350649</f>
        <v>16.109025974026</v>
      </c>
      <c r="AG4" s="138" t="n">
        <f aca="false">'Price History'!L3+('Price History'!L158-'Price History'!L3)*0.00649350649350649</f>
        <v>94.0176623376623</v>
      </c>
      <c r="AH4" s="138" t="n">
        <f aca="false">'Price History'!M3+('Price History'!M158-'Price History'!M3)*0.00649350649350649</f>
        <v>34.861038961039</v>
      </c>
      <c r="AI4" s="138" t="n">
        <f aca="false">'Price History'!N3+('Price History'!N158-'Price History'!N3)*0.00649350649350649</f>
        <v>350.686233766234</v>
      </c>
      <c r="AJ4" s="138" t="n">
        <f aca="false">'Price History'!O3+('Price History'!O158-'Price History'!O3)*0.00649350649350649</f>
        <v>83.1255194805195</v>
      </c>
      <c r="AK4" s="138" t="n">
        <f aca="false">'Price History'!Q3+('Price History'!Q151-'Price History'!Q3)*0.00649350649350649</f>
        <v>49.9608441558442</v>
      </c>
      <c r="AL4" s="138" t="n">
        <f aca="false">'Price History'!R3+('Price History'!R158-'Price History'!R3)*0.00649350649350649</f>
        <v>47.8877272727273</v>
      </c>
      <c r="AM4" s="138" t="n">
        <f aca="false">'Price History'!S3+('Price History'!S158-'Price History'!S3)*0.00649350649350649</f>
        <v>59.0938311688312</v>
      </c>
      <c r="AN4" s="138" t="n">
        <f aca="false">'Price History'!T3+('Price History'!T158-'Price History'!T3)*0.00649350649350649</f>
        <v>27.0582467532468</v>
      </c>
    </row>
    <row r="5" customFormat="false" ht="15" hidden="false" customHeight="true" outlineLevel="0" collapsed="false">
      <c r="A5" s="136" t="n">
        <f aca="false">IF('Price History'!A6="","",'Price History'!A6)</f>
        <v>45170</v>
      </c>
      <c r="B5" s="137" t="n">
        <f aca="false">IFERROR(IF(OR(NOT(ISNUMBER('Price History'!B6)),NOT(ISNUMBER('Price History'!B5)),'Price History'!B5=0),"",'Price History'!B6/'Price History'!B5-1),"")</f>
        <v>0.0726583628537694</v>
      </c>
      <c r="C5" s="137" t="n">
        <f aca="false">IFERROR(IF(OR(NOT(ISNUMBER('Price History'!C6)),NOT(ISNUMBER('Price History'!C5)),'Price History'!C5=0),"",'Price History'!C6/'Price History'!C5-1),"")</f>
        <v>0.0908688923281009</v>
      </c>
      <c r="D5" s="137" t="n">
        <f aca="false">IFERROR(IF(OR(NOT(ISNUMBER('Price History'!D6)),NOT(ISNUMBER('Price History'!D5)),'Price History'!D5=0),"",'Price History'!D6/'Price History'!D5-1),"")</f>
        <v>0.0176802199658992</v>
      </c>
      <c r="E5" s="137" t="n">
        <f aca="false">IFERROR(IF(OR(NOT(ISNUMBER('Price History'!E6)),NOT(ISNUMBER('Price History'!E5)),'Price History'!E5=0),"",'Price History'!E6/'Price History'!E5-1),"")</f>
        <v>0.0243014792204741</v>
      </c>
      <c r="F5" s="137" t="n">
        <f aca="false">IFERROR(IF(OR(NOT(ISNUMBER('Price History'!F6)),NOT(ISNUMBER('Price History'!F5)),'Price History'!F5=0),"",'Price History'!F6/'Price History'!F5-1),"")</f>
        <v>0.0778074866310161</v>
      </c>
      <c r="G5" s="137" t="n">
        <f aca="false">IFERROR(IF(OR(NOT(ISNUMBER('Price History'!G6)),NOT(ISNUMBER('Price History'!G5)),'Price History'!G5=0),"",'Price History'!G6/'Price History'!G5-1),"")</f>
        <v>0.0525223167946856</v>
      </c>
      <c r="H5" s="137" t="n">
        <f aca="false">IFERROR(IF(OR(NOT(ISNUMBER('Price History'!H6)),NOT(ISNUMBER('Price History'!H5)),'Price History'!H5=0),"",'Price History'!H6/'Price History'!H5-1),"")</f>
        <v>0.104676710608914</v>
      </c>
      <c r="I5" s="137" t="n">
        <f aca="false">IFERROR(IF(OR(NOT(ISNUMBER('Price History'!I6)),NOT(ISNUMBER('Price History'!I5)),'Price History'!I5=0),"",'Price History'!I6/'Price History'!I5-1),"")</f>
        <v>0.0541069100391134</v>
      </c>
      <c r="J5" s="137" t="n">
        <f aca="false">IFERROR(IF(OR(NOT(ISNUMBER('Price History'!J6)),NOT(ISNUMBER('Price History'!J5)),'Price History'!J5=0),"",'Price History'!J6/'Price History'!J5-1),"")</f>
        <v>0.015734550790804</v>
      </c>
      <c r="K5" s="137" t="n">
        <f aca="false">IFERROR(IF(OR(NOT(ISNUMBER('Price History'!K6)),NOT(ISNUMBER('Price History'!K5)),'Price History'!K5=0),"",'Price History'!K6/'Price History'!K5-1),"")</f>
        <v>0.044735030970406</v>
      </c>
      <c r="L5" s="137" t="n">
        <f aca="false">IFERROR(IF(OR(NOT(ISNUMBER('Price History'!L6)),NOT(ISNUMBER('Price History'!L5)),'Price History'!L5=0),"",'Price History'!L6/'Price History'!L5-1),"")</f>
        <v>0.000966702470461822</v>
      </c>
      <c r="M5" s="137" t="n">
        <f aca="false">IFERROR(IF(OR(NOT(ISNUMBER('Price History'!M6)),NOT(ISNUMBER('Price History'!M5)),'Price History'!M5=0),"",'Price History'!M6/'Price History'!M5-1),"")</f>
        <v>0.0631999999999999</v>
      </c>
      <c r="N5" s="137" t="n">
        <f aca="false">IFERROR(IF(OR(NOT(ISNUMBER('Price History'!N6)),NOT(ISNUMBER('Price History'!N5)),'Price History'!N5=0),"",'Price History'!N6/'Price History'!N5-1),"")</f>
        <v>0.00297091927098214</v>
      </c>
      <c r="O5" s="137" t="n">
        <f aca="false">IFERROR(IF(OR(NOT(ISNUMBER('Price History'!O6)),NOT(ISNUMBER('Price History'!O5)),'Price History'!O5=0),"",'Price History'!O6/'Price History'!O5-1),"")</f>
        <v>0.0467088607594937</v>
      </c>
      <c r="P5" s="137" t="str">
        <f aca="false">IFERROR(IF(OR(NOT(ISNUMBER('Price History'!P6)),NOT(ISNUMBER('Price History'!P5)),'Price History'!P5=0),"",'Price History'!P6/'Price History'!P5-1),"")</f>
        <v/>
      </c>
      <c r="Q5" s="137" t="n">
        <f aca="false">IFERROR(IF(OR(NOT(ISNUMBER('Price History'!Q6)),NOT(ISNUMBER('Price History'!Q5)),'Price History'!Q5=0),"",'Price History'!Q6/'Price History'!Q5-1),"")</f>
        <v>-0.0111620490332869</v>
      </c>
      <c r="R5" s="137" t="n">
        <f aca="false">IFERROR(IF(OR(NOT(ISNUMBER('Price History'!R6)),NOT(ISNUMBER('Price History'!R5)),'Price History'!R5=0),"",'Price History'!R6/'Price History'!R5-1),"")</f>
        <v>0.018246644295302</v>
      </c>
      <c r="S5" s="137" t="n">
        <f aca="false">IFERROR(IF(OR(NOT(ISNUMBER('Price History'!S6)),NOT(ISNUMBER('Price History'!S5)),'Price History'!S5=0),"",'Price History'!S6/'Price History'!S5-1),"")</f>
        <v>0.0160649507686992</v>
      </c>
      <c r="T5" s="137" t="n">
        <f aca="false">IFERROR(IF(OR(NOT(ISNUMBER('Price History'!T6)),NOT(ISNUMBER('Price History'!T5)),'Price History'!T5=0),"",'Price History'!T6/'Price History'!T5-1),"")</f>
        <v>0.0261739799846035</v>
      </c>
      <c r="U5" s="137" t="str">
        <f aca="false">IFERROR(IF(OR(NOT(ISNUMBER('Price History'!U6)),NOT(ISNUMBER('Price History'!U5)),'Price History'!U5=0),"",'Price History'!U6/'Price History'!U5-1),"")</f>
        <v/>
      </c>
      <c r="W5" s="138" t="n">
        <f aca="false">'Price History'!B3+('Price History'!B158-'Price History'!B3)*0.012987012987013</f>
        <v>505.098831168831</v>
      </c>
      <c r="X5" s="138" t="n">
        <f aca="false">'Price History'!C3+('Price History'!C158-'Price History'!C3)*0.012987012987013</f>
        <v>45.5141558441558</v>
      </c>
      <c r="Y5" s="138" t="n">
        <f aca="false">'Price History'!D3+('Price History'!D158-'Price History'!D3)*0.012987012987013</f>
        <v>674.341298701299</v>
      </c>
      <c r="Z5" s="138" t="n">
        <f aca="false">'Price History'!E3+('Price History'!E158-'Price History'!E3)*0.012987012987013</f>
        <v>86.9579220779221</v>
      </c>
      <c r="AA5" s="138" t="n">
        <f aca="false">'Price History'!F3+('Price History'!F158-'Price History'!F3)*0.012987012987013</f>
        <v>39.0574025974026</v>
      </c>
      <c r="AB5" s="138" t="n">
        <f aca="false">'Price History'!G3+('Price History'!G158-'Price History'!G3)*0.012987012987013</f>
        <v>49.6522077922078</v>
      </c>
      <c r="AC5" s="138" t="n">
        <f aca="false">'Price History'!H3+('Price History'!H158-'Price History'!H3)*0.012987012987013</f>
        <v>74.2227272727273</v>
      </c>
      <c r="AD5" s="138" t="n">
        <f aca="false">'Price History'!I3+('Price History'!I158-'Price History'!I3)*0.012987012987013</f>
        <v>42.9266233766234</v>
      </c>
      <c r="AE5" s="138" t="n">
        <f aca="false">'Price History'!J3+('Price History'!J158-'Price History'!J3)*0.012987012987013</f>
        <v>123.784025974026</v>
      </c>
      <c r="AF5" s="138" t="n">
        <f aca="false">'Price History'!K3+('Price History'!K158-'Price History'!K3)*0.012987012987013</f>
        <v>16.808051948052</v>
      </c>
      <c r="AG5" s="138" t="n">
        <f aca="false">'Price History'!L3+('Price History'!L158-'Price History'!L3)*0.012987012987013</f>
        <v>96.0453246753247</v>
      </c>
      <c r="AH5" s="138" t="n">
        <f aca="false">'Price History'!M3+('Price History'!M158-'Price History'!M3)*0.012987012987013</f>
        <v>36.2120779220779</v>
      </c>
      <c r="AI5" s="138" t="n">
        <f aca="false">'Price History'!N3+('Price History'!N158-'Price History'!N3)*0.012987012987013</f>
        <v>351.512467532468</v>
      </c>
      <c r="AJ5" s="138" t="n">
        <f aca="false">'Price History'!O3+('Price History'!O158-'Price History'!O3)*0.012987012987013</f>
        <v>83.401038961039</v>
      </c>
      <c r="AK5" s="138" t="n">
        <f aca="false">'Price History'!Q3+('Price History'!Q151-'Price History'!Q3)*0.012987012987013</f>
        <v>50.0816883116883</v>
      </c>
      <c r="AL5" s="138" t="n">
        <f aca="false">'Price History'!R3+('Price History'!R158-'Price History'!R3)*0.012987012987013</f>
        <v>47.9554545454545</v>
      </c>
      <c r="AM5" s="138" t="n">
        <f aca="false">'Price History'!S3+('Price History'!S158-'Price History'!S3)*0.012987012987013</f>
        <v>59.6476623376623</v>
      </c>
      <c r="AN5" s="138" t="n">
        <f aca="false">'Price History'!T3+('Price History'!T158-'Price History'!T3)*0.012987012987013</f>
        <v>27.2064935064935</v>
      </c>
    </row>
    <row r="6" customFormat="false" ht="15" hidden="false" customHeight="true" outlineLevel="0" collapsed="false">
      <c r="A6" s="136" t="n">
        <f aca="false">IF('Price History'!A7="","",'Price History'!A7)</f>
        <v>45177</v>
      </c>
      <c r="B6" s="137" t="n">
        <f aca="false">IFERROR(IF(OR(NOT(ISNUMBER('Price History'!B7)),NOT(ISNUMBER('Price History'!B6)),'Price History'!B6=0),"",'Price History'!B7/'Price History'!B6-1),"")</f>
        <v>-0.00506027946946974</v>
      </c>
      <c r="C6" s="137" t="n">
        <f aca="false">IFERROR(IF(OR(NOT(ISNUMBER('Price History'!C7)),NOT(ISNUMBER('Price History'!C6)),'Price History'!C6=0),"",'Price History'!C7/'Price History'!C6-1),"")</f>
        <v>-0.00445885691122838</v>
      </c>
      <c r="D6" s="137" t="n">
        <f aca="false">IFERROR(IF(OR(NOT(ISNUMBER('Price History'!D7)),NOT(ISNUMBER('Price History'!D6)),'Price History'!D6=0),"",'Price History'!D7/'Price History'!D6-1),"")</f>
        <v>-0.0523154017991909</v>
      </c>
      <c r="E6" s="137" t="n">
        <f aca="false">IFERROR(IF(OR(NOT(ISNUMBER('Price History'!E7)),NOT(ISNUMBER('Price History'!E6)),'Price History'!E6=0),"",'Price History'!E7/'Price History'!E6-1),"")</f>
        <v>-0.0170773638968481</v>
      </c>
      <c r="F6" s="137" t="n">
        <f aca="false">IFERROR(IF(OR(NOT(ISNUMBER('Price History'!F7)),NOT(ISNUMBER('Price History'!F6)),'Price History'!F6=0),"",'Price History'!F7/'Price History'!F6-1),"")</f>
        <v>0.0424212354254527</v>
      </c>
      <c r="G6" s="137" t="n">
        <f aca="false">IFERROR(IF(OR(NOT(ISNUMBER('Price History'!G7)),NOT(ISNUMBER('Price History'!G6)),'Price History'!G6=0),"",'Price History'!G7/'Price History'!G6-1),"")</f>
        <v>-0.0183431952662722</v>
      </c>
      <c r="H6" s="137" t="n">
        <f aca="false">IFERROR(IF(OR(NOT(ISNUMBER('Price History'!H7)),NOT(ISNUMBER('Price History'!H6)),'Price History'!H6=0),"",'Price History'!H7/'Price History'!H6-1),"")</f>
        <v>-0.0029833783207841</v>
      </c>
      <c r="I6" s="137" t="n">
        <f aca="false">IFERROR(IF(OR(NOT(ISNUMBER('Price History'!I7)),NOT(ISNUMBER('Price History'!I6)),'Price History'!I6=0),"",'Price History'!I7/'Price History'!I6-1),"")</f>
        <v>-0.0606060606060606</v>
      </c>
      <c r="J6" s="137" t="n">
        <f aca="false">IFERROR(IF(OR(NOT(ISNUMBER('Price History'!J7)),NOT(ISNUMBER('Price History'!J6)),'Price History'!J6=0),"",'Price History'!J7/'Price History'!J6-1),"")</f>
        <v>-0.016935548599406</v>
      </c>
      <c r="K6" s="137" t="n">
        <f aca="false">IFERROR(IF(OR(NOT(ISNUMBER('Price History'!K7)),NOT(ISNUMBER('Price History'!K6)),'Price History'!K6=0),"",'Price History'!K7/'Price History'!K6-1),"")</f>
        <v>-0.00329380764163367</v>
      </c>
      <c r="L6" s="137" t="n">
        <f aca="false">IFERROR(IF(OR(NOT(ISNUMBER('Price History'!L7)),NOT(ISNUMBER('Price History'!L6)),'Price History'!L6=0),"",'Price History'!L7/'Price History'!L6-1),"")</f>
        <v>-0.0380942161176091</v>
      </c>
      <c r="M6" s="137" t="n">
        <f aca="false">IFERROR(IF(OR(NOT(ISNUMBER('Price History'!M7)),NOT(ISNUMBER('Price History'!M6)),'Price History'!M6=0),"",'Price History'!M7/'Price History'!M6-1),"")</f>
        <v>-0.0168046149987458</v>
      </c>
      <c r="N6" s="137" t="n">
        <f aca="false">IFERROR(IF(OR(NOT(ISNUMBER('Price History'!N7)),NOT(ISNUMBER('Price History'!N6)),'Price History'!N6=0),"",'Price History'!N7/'Price History'!N6-1),"")</f>
        <v>-0.0229279407576189</v>
      </c>
      <c r="O6" s="137" t="n">
        <f aca="false">IFERROR(IF(OR(NOT(ISNUMBER('Price History'!O7)),NOT(ISNUMBER('Price History'!O6)),'Price History'!O6=0),"",'Price History'!O7/'Price History'!O6-1),"")</f>
        <v>-0.0384568871689441</v>
      </c>
      <c r="P6" s="137" t="str">
        <f aca="false">IFERROR(IF(OR(NOT(ISNUMBER('Price History'!P7)),NOT(ISNUMBER('Price History'!P6)),'Price History'!P6=0),"",'Price History'!P7/'Price History'!P6-1),"")</f>
        <v/>
      </c>
      <c r="Q6" s="137" t="n">
        <f aca="false">IFERROR(IF(OR(NOT(ISNUMBER('Price History'!Q7)),NOT(ISNUMBER('Price History'!Q6)),'Price History'!Q6=0),"",'Price History'!Q7/'Price History'!Q6-1),"")</f>
        <v>-0.0173352146744608</v>
      </c>
      <c r="R6" s="137" t="n">
        <f aca="false">IFERROR(IF(OR(NOT(ISNUMBER('Price History'!R7)),NOT(ISNUMBER('Price History'!R6)),'Price History'!R6=0),"",'Price History'!R7/'Price History'!R6-1),"")</f>
        <v>-0.00659114315139031</v>
      </c>
      <c r="S6" s="137" t="n">
        <f aca="false">IFERROR(IF(OR(NOT(ISNUMBER('Price History'!S7)),NOT(ISNUMBER('Price History'!S6)),'Price History'!S6=0),"",'Price History'!S7/'Price History'!S6-1),"")</f>
        <v>0.00595035702142122</v>
      </c>
      <c r="T6" s="137" t="n">
        <f aca="false">IFERROR(IF(OR(NOT(ISNUMBER('Price History'!T7)),NOT(ISNUMBER('Price History'!T6)),'Price History'!T6=0),"",'Price History'!T7/'Price History'!T6-1),"")</f>
        <v>-0.00712678169542391</v>
      </c>
      <c r="U6" s="137" t="str">
        <f aca="false">IFERROR(IF(OR(NOT(ISNUMBER('Price History'!U7)),NOT(ISNUMBER('Price History'!U6)),'Price History'!U6=0),"",'Price History'!U7/'Price History'!U6-1),"")</f>
        <v/>
      </c>
      <c r="W6" s="138" t="n">
        <f aca="false">'Price History'!B3+('Price History'!B158-'Price History'!B3)*0.0194805194805195</f>
        <v>503.423246753247</v>
      </c>
      <c r="X6" s="138" t="n">
        <f aca="false">'Price History'!C3+('Price History'!C158-'Price History'!C3)*0.0194805194805195</f>
        <v>46.4012337662338</v>
      </c>
      <c r="Y6" s="138" t="n">
        <f aca="false">'Price History'!D3+('Price History'!D158-'Price History'!D3)*0.0194805194805195</f>
        <v>680.621948051948</v>
      </c>
      <c r="Z6" s="138" t="n">
        <f aca="false">'Price History'!E3+('Price History'!E158-'Price History'!E3)*0.0194805194805195</f>
        <v>88.9468831168831</v>
      </c>
      <c r="AA6" s="138" t="n">
        <f aca="false">'Price History'!F3+('Price History'!F158-'Price History'!F3)*0.0194805194805195</f>
        <v>40.0561038961039</v>
      </c>
      <c r="AB6" s="138" t="n">
        <f aca="false">'Price History'!G3+('Price History'!G158-'Price History'!G3)*0.0194805194805195</f>
        <v>50.5283116883117</v>
      </c>
      <c r="AC6" s="138" t="n">
        <f aca="false">'Price History'!H3+('Price History'!H158-'Price History'!H3)*0.0194805194805195</f>
        <v>79.1490909090909</v>
      </c>
      <c r="AD6" s="138" t="n">
        <f aca="false">'Price History'!I3+('Price History'!I158-'Price History'!I3)*0.0194805194805195</f>
        <v>43.9649350649351</v>
      </c>
      <c r="AE6" s="138" t="n">
        <f aca="false">'Price History'!J3+('Price History'!J158-'Price History'!J3)*0.0194805194805195</f>
        <v>123.921038961039</v>
      </c>
      <c r="AF6" s="138" t="n">
        <f aca="false">'Price History'!K3+('Price History'!K158-'Price History'!K3)*0.0194805194805195</f>
        <v>17.5070779220779</v>
      </c>
      <c r="AG6" s="138" t="n">
        <f aca="false">'Price History'!L3+('Price History'!L158-'Price History'!L3)*0.0194805194805195</f>
        <v>98.072987012987</v>
      </c>
      <c r="AH6" s="138" t="n">
        <f aca="false">'Price History'!M3+('Price History'!M158-'Price History'!M3)*0.0194805194805195</f>
        <v>37.5631168831169</v>
      </c>
      <c r="AI6" s="138" t="n">
        <f aca="false">'Price History'!N3+('Price History'!N158-'Price History'!N3)*0.0194805194805195</f>
        <v>352.338701298701</v>
      </c>
      <c r="AJ6" s="138" t="n">
        <f aca="false">'Price History'!O3+('Price History'!O158-'Price History'!O3)*0.0194805194805195</f>
        <v>83.6765584415584</v>
      </c>
      <c r="AK6" s="138" t="n">
        <f aca="false">'Price History'!Q3+('Price History'!Q151-'Price History'!Q3)*0.0194805194805195</f>
        <v>50.2025324675325</v>
      </c>
      <c r="AL6" s="138" t="n">
        <f aca="false">'Price History'!R3+('Price History'!R158-'Price History'!R3)*0.0194805194805195</f>
        <v>48.0231818181818</v>
      </c>
      <c r="AM6" s="138" t="n">
        <f aca="false">'Price History'!S3+('Price History'!S158-'Price History'!S3)*0.0194805194805195</f>
        <v>60.2014935064935</v>
      </c>
      <c r="AN6" s="138" t="n">
        <f aca="false">'Price History'!T3+('Price History'!T158-'Price History'!T3)*0.0194805194805195</f>
        <v>27.3547402597403</v>
      </c>
    </row>
    <row r="7" customFormat="false" ht="15" hidden="false" customHeight="true" outlineLevel="0" collapsed="false">
      <c r="A7" s="136" t="n">
        <f aca="false">IF('Price History'!A8="","",'Price History'!A8)</f>
        <v>45184</v>
      </c>
      <c r="B7" s="137" t="n">
        <f aca="false">IFERROR(IF(OR(NOT(ISNUMBER('Price History'!B8)),NOT(ISNUMBER('Price History'!B7)),'Price History'!B7=0),"",'Price History'!B8/'Price History'!B7-1),"")</f>
        <v>-0.0561603255050325</v>
      </c>
      <c r="C7" s="137" t="n">
        <f aca="false">IFERROR(IF(OR(NOT(ISNUMBER('Price History'!C8)),NOT(ISNUMBER('Price History'!C7)),'Price History'!C7=0),"",'Price History'!C8/'Price History'!C7-1),"")</f>
        <v>-0.0598534201954397</v>
      </c>
      <c r="D7" s="137" t="n">
        <f aca="false">IFERROR(IF(OR(NOT(ISNUMBER('Price History'!D8)),NOT(ISNUMBER('Price History'!D7)),'Price History'!D7=0),"",'Price History'!D8/'Price History'!D7-1),"")</f>
        <v>-0.0496926066320518</v>
      </c>
      <c r="E7" s="137" t="n">
        <f aca="false">IFERROR(IF(OR(NOT(ISNUMBER('Price History'!E8)),NOT(ISNUMBER('Price History'!E7)),'Price History'!E7=0),"",'Price History'!E8/'Price History'!E7-1),"")</f>
        <v>-0.00687966417910457</v>
      </c>
      <c r="F7" s="137" t="n">
        <f aca="false">IFERROR(IF(OR(NOT(ISNUMBER('Price History'!F8)),NOT(ISNUMBER('Price History'!F7)),'Price History'!F7=0),"",'Price History'!F8/'Price History'!F7-1),"")</f>
        <v>-0.0157068062827226</v>
      </c>
      <c r="G7" s="137" t="n">
        <f aca="false">IFERROR(IF(OR(NOT(ISNUMBER('Price History'!G8)),NOT(ISNUMBER('Price History'!G7)),'Price History'!G7=0),"",'Price History'!G8/'Price History'!G7-1),"")</f>
        <v>-0.087402049427366</v>
      </c>
      <c r="H7" s="137" t="n">
        <f aca="false">IFERROR(IF(OR(NOT(ISNUMBER('Price History'!H8)),NOT(ISNUMBER('Price History'!H7)),'Price History'!H7=0),"",'Price History'!H8/'Price History'!H7-1),"")</f>
        <v>-0.00427472214306091</v>
      </c>
      <c r="I7" s="137" t="n">
        <f aca="false">IFERROR(IF(OR(NOT(ISNUMBER('Price History'!I8)),NOT(ISNUMBER('Price History'!I7)),'Price History'!I7=0),"",'Price History'!I8/'Price History'!I7-1),"")</f>
        <v>-0.0366469168312487</v>
      </c>
      <c r="J7" s="137" t="n">
        <f aca="false">IFERROR(IF(OR(NOT(ISNUMBER('Price History'!J8)),NOT(ISNUMBER('Price History'!J7)),'Price History'!J7=0),"",'Price History'!J8/'Price History'!J7-1),"")</f>
        <v>0.0057152188112346</v>
      </c>
      <c r="K7" s="137" t="n">
        <f aca="false">IFERROR(IF(OR(NOT(ISNUMBER('Price History'!K8)),NOT(ISNUMBER('Price History'!K7)),'Price History'!K7=0),"",'Price History'!K8/'Price History'!K7-1),"")</f>
        <v>0.0132187706543292</v>
      </c>
      <c r="L7" s="137" t="n">
        <f aca="false">IFERROR(IF(OR(NOT(ISNUMBER('Price History'!L8)),NOT(ISNUMBER('Price History'!L7)),'Price History'!L7=0),"",'Price History'!L8/'Price History'!L7-1),"")</f>
        <v>-0.00435073627844718</v>
      </c>
      <c r="M7" s="137" t="n">
        <f aca="false">IFERROR(IF(OR(NOT(ISNUMBER('Price History'!M8)),NOT(ISNUMBER('Price History'!M7)),'Price History'!M7=0),"",'Price History'!M8/'Price History'!M7-1),"")</f>
        <v>-0.0262755102040817</v>
      </c>
      <c r="N7" s="137" t="n">
        <f aca="false">IFERROR(IF(OR(NOT(ISNUMBER('Price History'!N8)),NOT(ISNUMBER('Price History'!N7)),'Price History'!N7=0),"",'Price History'!N8/'Price History'!N7-1),"")</f>
        <v>0.0170529077393964</v>
      </c>
      <c r="O7" s="137" t="n">
        <f aca="false">IFERROR(IF(OR(NOT(ISNUMBER('Price History'!O8)),NOT(ISNUMBER('Price History'!O7)),'Price History'!O7=0),"",'Price History'!O8/'Price History'!O7-1),"")</f>
        <v>-0.00188655515029568</v>
      </c>
      <c r="P7" s="137" t="str">
        <f aca="false">IFERROR(IF(OR(NOT(ISNUMBER('Price History'!P8)),NOT(ISNUMBER('Price History'!P7)),'Price History'!P7=0),"",'Price History'!P8/'Price History'!P7-1),"")</f>
        <v/>
      </c>
      <c r="Q7" s="137" t="n">
        <f aca="false">IFERROR(IF(OR(NOT(ISNUMBER('Price History'!Q8)),NOT(ISNUMBER('Price History'!Q7)),'Price History'!Q7=0),"",'Price History'!Q8/'Price History'!Q7-1),"")</f>
        <v>0.0402051282051281</v>
      </c>
      <c r="R7" s="137" t="n">
        <f aca="false">IFERROR(IF(OR(NOT(ISNUMBER('Price History'!R8)),NOT(ISNUMBER('Price History'!R7)),'Price History'!R7=0),"",'Price History'!R8/'Price History'!R7-1),"")</f>
        <v>-0.000414679659962558</v>
      </c>
      <c r="S7" s="137" t="n">
        <f aca="false">IFERROR(IF(OR(NOT(ISNUMBER('Price History'!S8)),NOT(ISNUMBER('Price History'!S7)),'Price History'!S7=0),"",'Price History'!S8/'Price History'!S7-1),"")</f>
        <v>0</v>
      </c>
      <c r="T7" s="137" t="n">
        <f aca="false">IFERROR(IF(OR(NOT(ISNUMBER('Price History'!T8)),NOT(ISNUMBER('Price History'!T7)),'Price History'!T7=0),"",'Price History'!T8/'Price History'!T7-1),"")</f>
        <v>-0.0064223649414431</v>
      </c>
      <c r="U7" s="137" t="str">
        <f aca="false">IFERROR(IF(OR(NOT(ISNUMBER('Price History'!U8)),NOT(ISNUMBER('Price History'!U7)),'Price History'!U7=0),"",'Price History'!U8/'Price History'!U7-1),"")</f>
        <v/>
      </c>
      <c r="W7" s="138" t="n">
        <f aca="false">'Price History'!B3+('Price History'!B158-'Price History'!B3)*0.025974025974026</f>
        <v>501.747662337662</v>
      </c>
      <c r="X7" s="138" t="n">
        <f aca="false">'Price History'!C3+('Price History'!C158-'Price History'!C3)*0.025974025974026</f>
        <v>47.2883116883117</v>
      </c>
      <c r="Y7" s="138" t="n">
        <f aca="false">'Price History'!D3+('Price History'!D158-'Price History'!D3)*0.025974025974026</f>
        <v>686.902597402597</v>
      </c>
      <c r="Z7" s="138" t="n">
        <f aca="false">'Price History'!E3+('Price History'!E158-'Price History'!E3)*0.025974025974026</f>
        <v>90.9358441558442</v>
      </c>
      <c r="AA7" s="138" t="n">
        <f aca="false">'Price History'!F3+('Price History'!F158-'Price History'!F3)*0.025974025974026</f>
        <v>41.0548051948052</v>
      </c>
      <c r="AB7" s="138" t="n">
        <f aca="false">'Price History'!G3+('Price History'!G158-'Price History'!G3)*0.025974025974026</f>
        <v>51.4044155844156</v>
      </c>
      <c r="AC7" s="138" t="n">
        <f aca="false">'Price History'!H3+('Price History'!H158-'Price History'!H3)*0.025974025974026</f>
        <v>84.0754545454546</v>
      </c>
      <c r="AD7" s="138" t="n">
        <f aca="false">'Price History'!I3+('Price History'!I158-'Price History'!I3)*0.025974025974026</f>
        <v>45.0032467532468</v>
      </c>
      <c r="AE7" s="138" t="n">
        <f aca="false">'Price History'!J3+('Price History'!J158-'Price History'!J3)*0.025974025974026</f>
        <v>124.058051948052</v>
      </c>
      <c r="AF7" s="138" t="n">
        <f aca="false">'Price History'!K3+('Price History'!K158-'Price History'!K3)*0.025974025974026</f>
        <v>18.2061038961039</v>
      </c>
      <c r="AG7" s="138" t="n">
        <f aca="false">'Price History'!L3+('Price History'!L158-'Price History'!L3)*0.025974025974026</f>
        <v>100.100649350649</v>
      </c>
      <c r="AH7" s="138" t="n">
        <f aca="false">'Price History'!M3+('Price History'!M158-'Price History'!M3)*0.025974025974026</f>
        <v>38.9141558441559</v>
      </c>
      <c r="AI7" s="138" t="n">
        <f aca="false">'Price History'!N3+('Price History'!N158-'Price History'!N3)*0.025974025974026</f>
        <v>353.164935064935</v>
      </c>
      <c r="AJ7" s="138" t="n">
        <f aca="false">'Price History'!O3+('Price History'!O158-'Price History'!O3)*0.025974025974026</f>
        <v>83.9520779220779</v>
      </c>
      <c r="AK7" s="138" t="n">
        <f aca="false">'Price History'!Q3+('Price History'!Q151-'Price History'!Q3)*0.025974025974026</f>
        <v>50.3233766233766</v>
      </c>
      <c r="AL7" s="138" t="n">
        <f aca="false">'Price History'!R3+('Price History'!R158-'Price History'!R3)*0.025974025974026</f>
        <v>48.0909090909091</v>
      </c>
      <c r="AM7" s="138" t="n">
        <f aca="false">'Price History'!S3+('Price History'!S158-'Price History'!S3)*0.025974025974026</f>
        <v>60.7553246753247</v>
      </c>
      <c r="AN7" s="138" t="n">
        <f aca="false">'Price History'!T3+('Price History'!T158-'Price History'!T3)*0.025974025974026</f>
        <v>27.502987012987</v>
      </c>
    </row>
    <row r="8" customFormat="false" ht="15" hidden="false" customHeight="true" outlineLevel="0" collapsed="false">
      <c r="A8" s="136" t="n">
        <f aca="false">IF('Price History'!A9="","",'Price History'!A9)</f>
        <v>45191</v>
      </c>
      <c r="B8" s="137" t="n">
        <f aca="false">IFERROR(IF(OR(NOT(ISNUMBER('Price History'!B9)),NOT(ISNUMBER('Price History'!B8)),'Price History'!B8=0),"",'Price History'!B9/'Price History'!B8-1),"")</f>
        <v>-0.0302331297623325</v>
      </c>
      <c r="C8" s="137" t="n">
        <f aca="false">IFERROR(IF(OR(NOT(ISNUMBER('Price History'!C9)),NOT(ISNUMBER('Price History'!C8)),'Price History'!C8=0),"",'Price History'!C9/'Price History'!C8-1),"")</f>
        <v>-0.023603291468168</v>
      </c>
      <c r="D8" s="137" t="n">
        <f aca="false">IFERROR(IF(OR(NOT(ISNUMBER('Price History'!D9)),NOT(ISNUMBER('Price History'!D8)),'Price History'!D8=0),"",'Price History'!D9/'Price History'!D8-1),"")</f>
        <v>-0.0160225253913451</v>
      </c>
      <c r="E8" s="137" t="n">
        <f aca="false">IFERROR(IF(OR(NOT(ISNUMBER('Price History'!E9)),NOT(ISNUMBER('Price History'!E8)),'Price History'!E8=0),"",'Price History'!E9/'Price History'!E8-1),"")</f>
        <v>-0.0265351649641893</v>
      </c>
      <c r="F8" s="137" t="n">
        <f aca="false">IFERROR(IF(OR(NOT(ISNUMBER('Price History'!F9)),NOT(ISNUMBER('Price History'!F8)),'Price History'!F8=0),"",'Price History'!F9/'Price History'!F8-1),"")</f>
        <v>-0.0174081237911025</v>
      </c>
      <c r="G8" s="137" t="n">
        <f aca="false">IFERROR(IF(OR(NOT(ISNUMBER('Price History'!G9)),NOT(ISNUMBER('Price History'!G8)),'Price History'!G8=0),"",'Price History'!G9/'Price History'!G8-1),"")</f>
        <v>-0.00528401585204763</v>
      </c>
      <c r="H8" s="137" t="n">
        <f aca="false">IFERROR(IF(OR(NOT(ISNUMBER('Price History'!H9)),NOT(ISNUMBER('Price History'!H8)),'Price History'!H8=0),"",'Price History'!H9/'Price History'!H8-1),"")</f>
        <v>-0.0143102461362336</v>
      </c>
      <c r="I8" s="137" t="n">
        <f aca="false">IFERROR(IF(OR(NOT(ISNUMBER('Price History'!I9)),NOT(ISNUMBER('Price History'!I8)),'Price History'!I8=0),"",'Price History'!I9/'Price History'!I8-1),"")</f>
        <v>-0.0521640091116173</v>
      </c>
      <c r="J8" s="137" t="n">
        <f aca="false">IFERROR(IF(OR(NOT(ISNUMBER('Price History'!J9)),NOT(ISNUMBER('Price History'!J8)),'Price History'!J8=0),"",'Price History'!J9/'Price History'!J8-1),"")</f>
        <v>-0.0739568111706447</v>
      </c>
      <c r="K8" s="137" t="n">
        <f aca="false">IFERROR(IF(OR(NOT(ISNUMBER('Price History'!K9)),NOT(ISNUMBER('Price History'!K8)),'Price History'!K8=0),"",'Price History'!K9/'Price History'!K8-1),"")</f>
        <v>-0.0782778864970646</v>
      </c>
      <c r="L8" s="137" t="n">
        <f aca="false">IFERROR(IF(OR(NOT(ISNUMBER('Price History'!L9)),NOT(ISNUMBER('Price History'!L8)),'Price History'!L8=0),"",'Price History'!L9/'Price History'!L8-1),"")</f>
        <v>-0.0404481792717086</v>
      </c>
      <c r="M8" s="137" t="n">
        <f aca="false">IFERROR(IF(OR(NOT(ISNUMBER('Price History'!M9)),NOT(ISNUMBER('Price History'!M8)),'Price History'!M8=0),"",'Price History'!M9/'Price History'!M8-1),"")</f>
        <v>-0.0450615666753995</v>
      </c>
      <c r="N8" s="137" t="n">
        <f aca="false">IFERROR(IF(OR(NOT(ISNUMBER('Price History'!N9)),NOT(ISNUMBER('Price History'!N8)),'Price History'!N8=0),"",'Price History'!N9/'Price History'!N8-1),"")</f>
        <v>0.00180567497850381</v>
      </c>
      <c r="O8" s="137" t="n">
        <f aca="false">IFERROR(IF(OR(NOT(ISNUMBER('Price History'!O9)),NOT(ISNUMBER('Price History'!O8)),'Price History'!O8=0),"",'Price History'!O9/'Price History'!O8-1),"")</f>
        <v>-0.0336441532258065</v>
      </c>
      <c r="P8" s="137" t="str">
        <f aca="false">IFERROR(IF(OR(NOT(ISNUMBER('Price History'!P9)),NOT(ISNUMBER('Price History'!P8)),'Price History'!P8=0),"",'Price History'!P9/'Price History'!P8-1),"")</f>
        <v/>
      </c>
      <c r="Q8" s="137" t="n">
        <f aca="false">IFERROR(IF(OR(NOT(ISNUMBER('Price History'!Q9)),NOT(ISNUMBER('Price History'!Q8)),'Price History'!Q8=0),"",'Price History'!Q9/'Price History'!Q8-1),"")</f>
        <v>0.0100571879313744</v>
      </c>
      <c r="R8" s="137" t="n">
        <f aca="false">IFERROR(IF(OR(NOT(ISNUMBER('Price History'!R9)),NOT(ISNUMBER('Price History'!R8)),'Price History'!R8=0),"",'Price History'!R9/'Price History'!R8-1),"")</f>
        <v>-0.0269653598838416</v>
      </c>
      <c r="S8" s="137" t="n">
        <f aca="false">IFERROR(IF(OR(NOT(ISNUMBER('Price History'!S9)),NOT(ISNUMBER('Price History'!S8)),'Price History'!S8=0),"",'Price History'!S9/'Price History'!S8-1),"")</f>
        <v>-0.0288997802940679</v>
      </c>
      <c r="T8" s="137" t="n">
        <f aca="false">IFERROR(IF(OR(NOT(ISNUMBER('Price History'!T9)),NOT(ISNUMBER('Price History'!T8)),'Price History'!T8=0),"",'Price History'!T9/'Price History'!T8-1),"")</f>
        <v>-0.0148288973384031</v>
      </c>
      <c r="U8" s="137" t="str">
        <f aca="false">IFERROR(IF(OR(NOT(ISNUMBER('Price History'!U9)),NOT(ISNUMBER('Price History'!U8)),'Price History'!U8=0),"",'Price History'!U9/'Price History'!U8-1),"")</f>
        <v/>
      </c>
      <c r="W8" s="138" t="n">
        <f aca="false">'Price History'!B3+('Price History'!B158-'Price History'!B3)*0.0324675324675325</f>
        <v>500.072077922078</v>
      </c>
      <c r="X8" s="138" t="n">
        <f aca="false">'Price History'!C3+('Price History'!C158-'Price History'!C3)*0.0324675324675325</f>
        <v>48.1753896103896</v>
      </c>
      <c r="Y8" s="138" t="n">
        <f aca="false">'Price History'!D3+('Price History'!D158-'Price History'!D3)*0.0324675324675325</f>
        <v>693.183246753247</v>
      </c>
      <c r="Z8" s="138" t="n">
        <f aca="false">'Price History'!E3+('Price History'!E158-'Price History'!E3)*0.0324675324675325</f>
        <v>92.9248051948052</v>
      </c>
      <c r="AA8" s="138" t="n">
        <f aca="false">'Price History'!F3+('Price History'!F158-'Price History'!F3)*0.0324675324675325</f>
        <v>42.0535064935065</v>
      </c>
      <c r="AB8" s="138" t="n">
        <f aca="false">'Price History'!G3+('Price History'!G158-'Price History'!G3)*0.0324675324675325</f>
        <v>52.2805194805195</v>
      </c>
      <c r="AC8" s="138" t="n">
        <f aca="false">'Price History'!H3+('Price History'!H158-'Price History'!H3)*0.0324675324675325</f>
        <v>89.0018181818182</v>
      </c>
      <c r="AD8" s="138" t="n">
        <f aca="false">'Price History'!I3+('Price History'!I158-'Price History'!I3)*0.0324675324675325</f>
        <v>46.0415584415585</v>
      </c>
      <c r="AE8" s="138" t="n">
        <f aca="false">'Price History'!J3+('Price History'!J158-'Price History'!J3)*0.0324675324675325</f>
        <v>124.195064935065</v>
      </c>
      <c r="AF8" s="138" t="n">
        <f aca="false">'Price History'!K3+('Price History'!K158-'Price History'!K3)*0.0324675324675325</f>
        <v>18.9051298701299</v>
      </c>
      <c r="AG8" s="138" t="n">
        <f aca="false">'Price History'!L3+('Price History'!L158-'Price History'!L3)*0.0324675324675325</f>
        <v>102.128311688312</v>
      </c>
      <c r="AH8" s="138" t="n">
        <f aca="false">'Price History'!M3+('Price History'!M158-'Price History'!M3)*0.0324675324675325</f>
        <v>40.2651948051948</v>
      </c>
      <c r="AI8" s="138" t="n">
        <f aca="false">'Price History'!N3+('Price History'!N158-'Price History'!N3)*0.0324675324675325</f>
        <v>353.991168831169</v>
      </c>
      <c r="AJ8" s="138" t="n">
        <f aca="false">'Price History'!O3+('Price History'!O158-'Price History'!O3)*0.0324675324675325</f>
        <v>84.2275974025974</v>
      </c>
      <c r="AK8" s="138" t="n">
        <f aca="false">'Price History'!Q3+('Price History'!Q151-'Price History'!Q3)*0.0324675324675325</f>
        <v>50.4442207792208</v>
      </c>
      <c r="AL8" s="138" t="n">
        <f aca="false">'Price History'!R3+('Price History'!R158-'Price History'!R3)*0.0324675324675325</f>
        <v>48.1586363636364</v>
      </c>
      <c r="AM8" s="138" t="n">
        <f aca="false">'Price History'!S3+('Price History'!S158-'Price History'!S3)*0.0324675324675325</f>
        <v>61.3091558441558</v>
      </c>
      <c r="AN8" s="138" t="n">
        <f aca="false">'Price History'!T3+('Price History'!T158-'Price History'!T3)*0.0324675324675325</f>
        <v>27.6512337662338</v>
      </c>
    </row>
    <row r="9" customFormat="false" ht="15" hidden="false" customHeight="true" outlineLevel="0" collapsed="false">
      <c r="A9" s="136" t="n">
        <f aca="false">IF('Price History'!A10="","",'Price History'!A10)</f>
        <v>45198</v>
      </c>
      <c r="B9" s="137" t="n">
        <f aca="false">IFERROR(IF(OR(NOT(ISNUMBER('Price History'!B10)),NOT(ISNUMBER('Price History'!B9)),'Price History'!B9=0),"",'Price History'!B10/'Price History'!B9-1),"")</f>
        <v>-0.00584909339052442</v>
      </c>
      <c r="C9" s="137" t="n">
        <f aca="false">IFERROR(IF(OR(NOT(ISNUMBER('Price History'!C10)),NOT(ISNUMBER('Price History'!C9)),'Price History'!C9=0),"",'Price History'!C10/'Price History'!C9-1),"")</f>
        <v>0.0197383011754269</v>
      </c>
      <c r="D9" s="137" t="n">
        <f aca="false">IFERROR(IF(OR(NOT(ISNUMBER('Price History'!D10)),NOT(ISNUMBER('Price History'!D9)),'Price History'!D9=0),"",'Price History'!D10/'Price History'!D9-1),"")</f>
        <v>0.00265712825753695</v>
      </c>
      <c r="E9" s="137" t="n">
        <f aca="false">IFERROR(IF(OR(NOT(ISNUMBER('Price History'!E10)),NOT(ISNUMBER('Price History'!E9)),'Price History'!E9=0),"",'Price History'!E10/'Price History'!E9-1),"")</f>
        <v>0.00180919068869856</v>
      </c>
      <c r="F9" s="137" t="n">
        <f aca="false">IFERROR(IF(OR(NOT(ISNUMBER('Price History'!F10)),NOT(ISNUMBER('Price History'!F9)),'Price History'!F9=0),"",'Price History'!F10/'Price History'!F9-1),"")</f>
        <v>0.0297736220472442</v>
      </c>
      <c r="G9" s="137" t="n">
        <f aca="false">IFERROR(IF(OR(NOT(ISNUMBER('Price History'!G10)),NOT(ISNUMBER('Price History'!G9)),'Price History'!G9=0),"",'Price History'!G10/'Price History'!G9-1),"")</f>
        <v>0.0152722443559097</v>
      </c>
      <c r="H9" s="137" t="n">
        <f aca="false">IFERROR(IF(OR(NOT(ISNUMBER('Price History'!H10)),NOT(ISNUMBER('Price History'!H9)),'Price History'!H9=0),"",'Price History'!H10/'Price History'!H9-1),"")</f>
        <v>-0.0123403019744482</v>
      </c>
      <c r="I9" s="137" t="n">
        <f aca="false">IFERROR(IF(OR(NOT(ISNUMBER('Price History'!I10)),NOT(ISNUMBER('Price History'!I9)),'Price History'!I9=0),"",'Price History'!I10/'Price History'!I9-1),"")</f>
        <v>0.0454217736121125</v>
      </c>
      <c r="J9" s="137" t="n">
        <f aca="false">IFERROR(IF(OR(NOT(ISNUMBER('Price History'!J10)),NOT(ISNUMBER('Price History'!J9)),'Price History'!J9=0),"",'Price History'!J10/'Price History'!J9-1),"")</f>
        <v>-0.0163057771543789</v>
      </c>
      <c r="K9" s="137" t="n">
        <f aca="false">IFERROR(IF(OR(NOT(ISNUMBER('Price History'!K10)),NOT(ISNUMBER('Price History'!K9)),'Price History'!K9=0),"",'Price History'!K10/'Price History'!K9-1),"")</f>
        <v>0.132342533616419</v>
      </c>
      <c r="L9" s="137" t="n">
        <f aca="false">IFERROR(IF(OR(NOT(ISNUMBER('Price History'!L10)),NOT(ISNUMBER('Price History'!L9)),'Price History'!L9=0),"",'Price History'!L10/'Price History'!L9-1),"")</f>
        <v>0.0147127510509109</v>
      </c>
      <c r="M9" s="137" t="n">
        <f aca="false">IFERROR(IF(OR(NOT(ISNUMBER('Price History'!M10)),NOT(ISNUMBER('Price History'!M9)),'Price History'!M9=0),"",'Price History'!M10/'Price History'!M9-1),"")</f>
        <v>0.0205761316872428</v>
      </c>
      <c r="N9" s="137" t="n">
        <f aca="false">IFERROR(IF(OR(NOT(ISNUMBER('Price History'!N10)),NOT(ISNUMBER('Price History'!N9)),'Price History'!N9=0),"",'Price History'!N10/'Price History'!N9-1),"")</f>
        <v>-0.00512116270420271</v>
      </c>
      <c r="O9" s="137" t="n">
        <f aca="false">IFERROR(IF(OR(NOT(ISNUMBER('Price History'!O10)),NOT(ISNUMBER('Price History'!O9)),'Price History'!O9=0),"",'Price History'!O10/'Price History'!O9-1),"")</f>
        <v>0.0164297822401878</v>
      </c>
      <c r="P9" s="137" t="str">
        <f aca="false">IFERROR(IF(OR(NOT(ISNUMBER('Price History'!P10)),NOT(ISNUMBER('Price History'!P9)),'Price History'!P9=0),"",'Price History'!P10/'Price History'!P9-1),"")</f>
        <v/>
      </c>
      <c r="Q9" s="137" t="n">
        <f aca="false">IFERROR(IF(OR(NOT(ISNUMBER('Price History'!Q10)),NOT(ISNUMBER('Price History'!Q9)),'Price History'!Q9=0),"",'Price History'!Q10/'Price History'!Q9-1),"")</f>
        <v>0.0130808278016401</v>
      </c>
      <c r="R9" s="137" t="n">
        <f aca="false">IFERROR(IF(OR(NOT(ISNUMBER('Price History'!R10)),NOT(ISNUMBER('Price History'!R9)),'Price History'!R9=0),"",'Price History'!R10/'Price History'!R9-1),"")</f>
        <v>0.000426348326582948</v>
      </c>
      <c r="S9" s="137" t="n">
        <f aca="false">IFERROR(IF(OR(NOT(ISNUMBER('Price History'!S10)),NOT(ISNUMBER('Price History'!S9)),'Price History'!S9=0),"",'Price History'!S10/'Price History'!S9-1),"")</f>
        <v>-0.00313261399234255</v>
      </c>
      <c r="T9" s="137" t="n">
        <f aca="false">IFERROR(IF(OR(NOT(ISNUMBER('Price History'!T10)),NOT(ISNUMBER('Price History'!T9)),'Price History'!T9=0),"",'Price History'!T10/'Price History'!T9-1),"")</f>
        <v>0.00270165959089153</v>
      </c>
      <c r="U9" s="137" t="str">
        <f aca="false">IFERROR(IF(OR(NOT(ISNUMBER('Price History'!U10)),NOT(ISNUMBER('Price History'!U9)),'Price History'!U9=0),"",'Price History'!U10/'Price History'!U9-1),"")</f>
        <v/>
      </c>
      <c r="W9" s="138" t="n">
        <f aca="false">'Price History'!B3+('Price History'!B158-'Price History'!B3)*0.038961038961039</f>
        <v>498.396493506493</v>
      </c>
      <c r="X9" s="138" t="n">
        <f aca="false">'Price History'!C3+('Price History'!C158-'Price History'!C3)*0.038961038961039</f>
        <v>49.0624675324675</v>
      </c>
      <c r="Y9" s="138" t="n">
        <f aca="false">'Price History'!D3+('Price History'!D158-'Price History'!D3)*0.038961038961039</f>
        <v>699.463896103896</v>
      </c>
      <c r="Z9" s="138" t="n">
        <f aca="false">'Price History'!E3+('Price History'!E158-'Price History'!E3)*0.038961038961039</f>
        <v>94.9137662337663</v>
      </c>
      <c r="AA9" s="138" t="n">
        <f aca="false">'Price History'!F3+('Price History'!F158-'Price History'!F3)*0.038961038961039</f>
        <v>43.0522077922078</v>
      </c>
      <c r="AB9" s="138" t="n">
        <f aca="false">'Price History'!G3+('Price History'!G158-'Price History'!G3)*0.038961038961039</f>
        <v>53.1566233766234</v>
      </c>
      <c r="AC9" s="138" t="n">
        <f aca="false">'Price History'!H3+('Price History'!H158-'Price History'!H3)*0.038961038961039</f>
        <v>93.9281818181819</v>
      </c>
      <c r="AD9" s="138" t="n">
        <f aca="false">'Price History'!I3+('Price History'!I158-'Price History'!I3)*0.038961038961039</f>
        <v>47.0798701298701</v>
      </c>
      <c r="AE9" s="138" t="n">
        <f aca="false">'Price History'!J3+('Price History'!J158-'Price History'!J3)*0.038961038961039</f>
        <v>124.332077922078</v>
      </c>
      <c r="AF9" s="138" t="n">
        <f aca="false">'Price History'!K3+('Price History'!K158-'Price History'!K3)*0.038961038961039</f>
        <v>19.6041558441558</v>
      </c>
      <c r="AG9" s="138" t="n">
        <f aca="false">'Price History'!L3+('Price History'!L158-'Price History'!L3)*0.038961038961039</f>
        <v>104.155974025974</v>
      </c>
      <c r="AH9" s="138" t="n">
        <f aca="false">'Price History'!M3+('Price History'!M158-'Price History'!M3)*0.038961038961039</f>
        <v>41.6162337662338</v>
      </c>
      <c r="AI9" s="138" t="n">
        <f aca="false">'Price History'!N3+('Price History'!N158-'Price History'!N3)*0.038961038961039</f>
        <v>354.817402597403</v>
      </c>
      <c r="AJ9" s="138" t="n">
        <f aca="false">'Price History'!O3+('Price History'!O158-'Price History'!O3)*0.038961038961039</f>
        <v>84.5031168831169</v>
      </c>
      <c r="AK9" s="138" t="n">
        <f aca="false">'Price History'!Q3+('Price History'!Q151-'Price History'!Q3)*0.038961038961039</f>
        <v>50.5650649350649</v>
      </c>
      <c r="AL9" s="138" t="n">
        <f aca="false">'Price History'!R3+('Price History'!R158-'Price History'!R3)*0.038961038961039</f>
        <v>48.2263636363636</v>
      </c>
      <c r="AM9" s="138" t="n">
        <f aca="false">'Price History'!S3+('Price History'!S158-'Price History'!S3)*0.038961038961039</f>
        <v>61.862987012987</v>
      </c>
      <c r="AN9" s="138" t="n">
        <f aca="false">'Price History'!T3+('Price History'!T158-'Price History'!T3)*0.038961038961039</f>
        <v>27.7994805194805</v>
      </c>
    </row>
    <row r="10" customFormat="false" ht="15" hidden="false" customHeight="true" outlineLevel="0" collapsed="false">
      <c r="A10" s="136" t="n">
        <f aca="false">IF('Price History'!A11="","",'Price History'!A11)</f>
        <v>45205</v>
      </c>
      <c r="B10" s="137" t="n">
        <f aca="false">IFERROR(IF(OR(NOT(ISNUMBER('Price History'!B11)),NOT(ISNUMBER('Price History'!B10)),'Price History'!B10=0),"",'Price History'!B11/'Price History'!B10-1),"")</f>
        <v>0.0329084134143949</v>
      </c>
      <c r="C10" s="137" t="n">
        <f aca="false">IFERROR(IF(OR(NOT(ISNUMBER('Price History'!C11)),NOT(ISNUMBER('Price History'!C10)),'Price History'!C10=0),"",'Price History'!C11/'Price History'!C10-1),"")</f>
        <v>0.0550239234449761</v>
      </c>
      <c r="D10" s="137" t="n">
        <f aca="false">IFERROR(IF(OR(NOT(ISNUMBER('Price History'!D11)),NOT(ISNUMBER('Price History'!D10)),'Price History'!D10=0),"",'Price History'!D11/'Price History'!D10-1),"")</f>
        <v>0.014779329324228</v>
      </c>
      <c r="E10" s="137" t="n">
        <f aca="false">IFERROR(IF(OR(NOT(ISNUMBER('Price History'!E11)),NOT(ISNUMBER('Price History'!E10)),'Price History'!E10=0),"",'Price History'!E11/'Price History'!E10-1),"")</f>
        <v>0.0176980496026968</v>
      </c>
      <c r="F10" s="137" t="n">
        <f aca="false">IFERROR(IF(OR(NOT(ISNUMBER('Price History'!F11)),NOT(ISNUMBER('Price History'!F10)),'Price History'!F10=0),"",'Price History'!F11/'Price History'!F10-1),"")</f>
        <v>0.055436081242533</v>
      </c>
      <c r="G10" s="137" t="n">
        <f aca="false">IFERROR(IF(OR(NOT(ISNUMBER('Price History'!G11)),NOT(ISNUMBER('Price History'!G10)),'Price History'!G10=0),"",'Price History'!G11/'Price History'!G10-1),"")</f>
        <v>0.0204926967516896</v>
      </c>
      <c r="H10" s="137" t="n">
        <f aca="false">IFERROR(IF(OR(NOT(ISNUMBER('Price History'!H11)),NOT(ISNUMBER('Price History'!H10)),'Price History'!H10=0),"",'Price History'!H11/'Price History'!H10-1),"")</f>
        <v>0.0283698368366896</v>
      </c>
      <c r="I10" s="137" t="n">
        <f aca="false">IFERROR(IF(OR(NOT(ISNUMBER('Price History'!I11)),NOT(ISNUMBER('Price History'!I10)),'Price History'!I10=0),"",'Price History'!I11/'Price History'!I10-1),"")</f>
        <v>0.0519540229885056</v>
      </c>
      <c r="J10" s="137" t="n">
        <f aca="false">IFERROR(IF(OR(NOT(ISNUMBER('Price History'!J11)),NOT(ISNUMBER('Price History'!J10)),'Price History'!J10=0),"",'Price History'!J11/'Price History'!J10-1),"")</f>
        <v>-0.0294091435700917</v>
      </c>
      <c r="K10" s="137" t="n">
        <f aca="false">IFERROR(IF(OR(NOT(ISNUMBER('Price History'!K11)),NOT(ISNUMBER('Price History'!K10)),'Price History'!K10=0),"",'Price History'!K11/'Price History'!K10-1),"")</f>
        <v>0.038125</v>
      </c>
      <c r="L10" s="137" t="n">
        <f aca="false">IFERROR(IF(OR(NOT(ISNUMBER('Price History'!L11)),NOT(ISNUMBER('Price History'!L10)),'Price History'!L10=0),"",'Price History'!L11/'Price History'!L10-1),"")</f>
        <v>0.0275028768699654</v>
      </c>
      <c r="M10" s="137" t="n">
        <f aca="false">IFERROR(IF(OR(NOT(ISNUMBER('Price History'!M11)),NOT(ISNUMBER('Price History'!M10)),'Price History'!M10=0),"",'Price History'!M11/'Price History'!M10-1),"")</f>
        <v>0.0690860215053764</v>
      </c>
      <c r="N10" s="137" t="n">
        <f aca="false">IFERROR(IF(OR(NOT(ISNUMBER('Price History'!N11)),NOT(ISNUMBER('Price History'!N10)),'Price History'!N10=0),"",'Price History'!N11/'Price History'!N10-1),"")</f>
        <v>0.0370391671938806</v>
      </c>
      <c r="O10" s="137" t="n">
        <f aca="false">IFERROR(IF(OR(NOT(ISNUMBER('Price History'!O11)),NOT(ISNUMBER('Price History'!O10)),'Price History'!O10=0),"",'Price History'!O11/'Price History'!O10-1),"")</f>
        <v>-0.030147530468249</v>
      </c>
      <c r="P10" s="137" t="str">
        <f aca="false">IFERROR(IF(OR(NOT(ISNUMBER('Price History'!P11)),NOT(ISNUMBER('Price History'!P10)),'Price History'!P10=0),"",'Price History'!P11/'Price History'!P10-1),"")</f>
        <v/>
      </c>
      <c r="Q10" s="137" t="n">
        <f aca="false">IFERROR(IF(OR(NOT(ISNUMBER('Price History'!Q11)),NOT(ISNUMBER('Price History'!Q10)),'Price History'!Q10=0),"",'Price History'!Q11/'Price History'!Q10-1),"")</f>
        <v>0.00443245326652519</v>
      </c>
      <c r="R10" s="137" t="n">
        <f aca="false">IFERROR(IF(OR(NOT(ISNUMBER('Price History'!R11)),NOT(ISNUMBER('Price History'!R10)),'Price History'!R10=0),"",'Price History'!R11/'Price History'!R10-1),"")</f>
        <v>0.0042616663115278</v>
      </c>
      <c r="S10" s="137" t="n">
        <f aca="false">IFERROR(IF(OR(NOT(ISNUMBER('Price History'!S11)),NOT(ISNUMBER('Price History'!S10)),'Price History'!S10=0),"",'Price History'!S11/'Price History'!S10-1),"")</f>
        <v>0.011173184357542</v>
      </c>
      <c r="T10" s="137" t="n">
        <f aca="false">IFERROR(IF(OR(NOT(ISNUMBER('Price History'!T11)),NOT(ISNUMBER('Price History'!T10)),'Price History'!T10=0),"",'Price History'!T11/'Price History'!T10-1),"")</f>
        <v>-0.0184757505773672</v>
      </c>
      <c r="U10" s="137" t="str">
        <f aca="false">IFERROR(IF(OR(NOT(ISNUMBER('Price History'!U11)),NOT(ISNUMBER('Price History'!U10)),'Price History'!U10=0),"",'Price History'!U11/'Price History'!U10-1),"")</f>
        <v/>
      </c>
      <c r="W10" s="138" t="n">
        <f aca="false">'Price History'!B3+('Price History'!B158-'Price History'!B3)*0.0454545454545455</f>
        <v>496.720909090909</v>
      </c>
      <c r="X10" s="138" t="n">
        <f aca="false">'Price History'!C3+('Price History'!C158-'Price History'!C3)*0.0454545454545455</f>
        <v>49.9495454545455</v>
      </c>
      <c r="Y10" s="138" t="n">
        <f aca="false">'Price History'!D3+('Price History'!D158-'Price History'!D3)*0.0454545454545455</f>
        <v>705.744545454546</v>
      </c>
      <c r="Z10" s="138" t="n">
        <f aca="false">'Price History'!E3+('Price History'!E158-'Price History'!E3)*0.0454545454545455</f>
        <v>96.9027272727273</v>
      </c>
      <c r="AA10" s="138" t="n">
        <f aca="false">'Price History'!F3+('Price History'!F158-'Price History'!F3)*0.0454545454545455</f>
        <v>44.0509090909091</v>
      </c>
      <c r="AB10" s="138" t="n">
        <f aca="false">'Price History'!G3+('Price History'!G158-'Price History'!G3)*0.0454545454545455</f>
        <v>54.0327272727273</v>
      </c>
      <c r="AC10" s="138" t="n">
        <f aca="false">'Price History'!H3+('Price History'!H158-'Price History'!H3)*0.0454545454545455</f>
        <v>98.8545454545455</v>
      </c>
      <c r="AD10" s="138" t="n">
        <f aca="false">'Price History'!I3+('Price History'!I158-'Price History'!I3)*0.0454545454545455</f>
        <v>48.1181818181818</v>
      </c>
      <c r="AE10" s="138" t="n">
        <f aca="false">'Price History'!J3+('Price History'!J158-'Price History'!J3)*0.0454545454545455</f>
        <v>124.469090909091</v>
      </c>
      <c r="AF10" s="138" t="n">
        <f aca="false">'Price History'!K3+('Price History'!K158-'Price History'!K3)*0.0454545454545455</f>
        <v>20.3031818181818</v>
      </c>
      <c r="AG10" s="138" t="n">
        <f aca="false">'Price History'!L3+('Price History'!L158-'Price History'!L3)*0.0454545454545455</f>
        <v>106.183636363636</v>
      </c>
      <c r="AH10" s="138" t="n">
        <f aca="false">'Price History'!M3+('Price History'!M158-'Price History'!M3)*0.0454545454545455</f>
        <v>42.9672727272727</v>
      </c>
      <c r="AI10" s="138" t="n">
        <f aca="false">'Price History'!N3+('Price History'!N158-'Price History'!N3)*0.0454545454545455</f>
        <v>355.643636363636</v>
      </c>
      <c r="AJ10" s="138" t="n">
        <f aca="false">'Price History'!O3+('Price History'!O158-'Price History'!O3)*0.0454545454545455</f>
        <v>84.7786363636364</v>
      </c>
      <c r="AK10" s="138" t="n">
        <f aca="false">'Price History'!Q3+('Price History'!Q151-'Price History'!Q3)*0.0454545454545455</f>
        <v>50.6859090909091</v>
      </c>
      <c r="AL10" s="138" t="n">
        <f aca="false">'Price History'!R3+('Price History'!R158-'Price History'!R3)*0.0454545454545455</f>
        <v>48.2940909090909</v>
      </c>
      <c r="AM10" s="138" t="n">
        <f aca="false">'Price History'!S3+('Price History'!S158-'Price History'!S3)*0.0454545454545455</f>
        <v>62.4168181818182</v>
      </c>
      <c r="AN10" s="138" t="n">
        <f aca="false">'Price History'!T3+('Price History'!T158-'Price History'!T3)*0.0454545454545455</f>
        <v>27.9477272727273</v>
      </c>
    </row>
    <row r="11" customFormat="false" ht="15" hidden="false" customHeight="true" outlineLevel="0" collapsed="false">
      <c r="A11" s="136" t="n">
        <f aca="false">IF('Price History'!A12="","",'Price History'!A12)</f>
        <v>45212</v>
      </c>
      <c r="B11" s="137" t="n">
        <f aca="false">IFERROR(IF(OR(NOT(ISNUMBER('Price History'!B12)),NOT(ISNUMBER('Price History'!B11)),'Price History'!B11=0),"",'Price History'!B12/'Price History'!B11-1),"")</f>
        <v>0.0419229892914104</v>
      </c>
      <c r="C11" s="137" t="n">
        <f aca="false">IFERROR(IF(OR(NOT(ISNUMBER('Price History'!C12)),NOT(ISNUMBER('Price History'!C11)),'Price History'!C11=0),"",'Price History'!C12/'Price History'!C11-1),"")</f>
        <v>-0.0216450216450216</v>
      </c>
      <c r="D11" s="137" t="n">
        <f aca="false">IFERROR(IF(OR(NOT(ISNUMBER('Price History'!D12)),NOT(ISNUMBER('Price History'!D11)),'Price History'!D11=0),"",'Price History'!D12/'Price History'!D11-1),"")</f>
        <v>0.00400093745814911</v>
      </c>
      <c r="E11" s="137" t="n">
        <f aca="false">IFERROR(IF(OR(NOT(ISNUMBER('Price History'!E12)),NOT(ISNUMBER('Price History'!E11)),'Price History'!E11=0),"",'Price History'!E12/'Price History'!E11-1),"")</f>
        <v>0.0448361528451438</v>
      </c>
      <c r="F11" s="137" t="n">
        <f aca="false">IFERROR(IF(OR(NOT(ISNUMBER('Price History'!F12)),NOT(ISNUMBER('Price History'!F11)),'Price History'!F11=0),"",'Price History'!F12/'Price History'!F11-1),"")</f>
        <v>0.0511659497396422</v>
      </c>
      <c r="G11" s="137" t="n">
        <f aca="false">IFERROR(IF(OR(NOT(ISNUMBER('Price History'!G12)),NOT(ISNUMBER('Price History'!G11)),'Price History'!G11=0),"",'Price History'!G12/'Price History'!G11-1),"")</f>
        <v>0.0399487289040803</v>
      </c>
      <c r="H11" s="137" t="n">
        <f aca="false">IFERROR(IF(OR(NOT(ISNUMBER('Price History'!H12)),NOT(ISNUMBER('Price History'!H11)),'Price History'!H11=0),"",'Price History'!H12/'Price History'!H11-1),"")</f>
        <v>-0.0107204116638079</v>
      </c>
      <c r="I11" s="137" t="n">
        <f aca="false">IFERROR(IF(OR(NOT(ISNUMBER('Price History'!I12)),NOT(ISNUMBER('Price History'!I11)),'Price History'!I11=0),"",'Price History'!I12/'Price History'!I11-1),"")</f>
        <v>-0.00655594405594395</v>
      </c>
      <c r="J11" s="137" t="n">
        <f aca="false">IFERROR(IF(OR(NOT(ISNUMBER('Price History'!J12)),NOT(ISNUMBER('Price History'!J11)),'Price History'!J11=0),"",'Price History'!J12/'Price History'!J11-1),"")</f>
        <v>0.0067946010467359</v>
      </c>
      <c r="K11" s="137" t="n">
        <f aca="false">IFERROR(IF(OR(NOT(ISNUMBER('Price History'!K12)),NOT(ISNUMBER('Price History'!K11)),'Price History'!K11=0),"",'Price History'!K12/'Price History'!K11-1),"")</f>
        <v>0.0451535219747141</v>
      </c>
      <c r="L11" s="137" t="n">
        <f aca="false">IFERROR(IF(OR(NOT(ISNUMBER('Price History'!L12)),NOT(ISNUMBER('Price History'!L11)),'Price History'!L11=0),"",'Price History'!L12/'Price History'!L11-1),"")</f>
        <v>0.01310337103819</v>
      </c>
      <c r="M11" s="137" t="n">
        <f aca="false">IFERROR(IF(OR(NOT(ISNUMBER('Price History'!M12)),NOT(ISNUMBER('Price History'!M11)),'Price History'!M11=0),"",'Price History'!M12/'Price History'!M11-1),"")</f>
        <v>-0.0168468694996229</v>
      </c>
      <c r="N11" s="137" t="n">
        <f aca="false">IFERROR(IF(OR(NOT(ISNUMBER('Price History'!N12)),NOT(ISNUMBER('Price History'!N11)),'Price History'!N11=0),"",'Price History'!N12/'Price History'!N11-1),"")</f>
        <v>0.0287837612999833</v>
      </c>
      <c r="O11" s="137" t="n">
        <f aca="false">IFERROR(IF(OR(NOT(ISNUMBER('Price History'!O12)),NOT(ISNUMBER('Price History'!O11)),'Price History'!O11=0),"",'Price History'!O12/'Price History'!O11-1),"")</f>
        <v>0.00264550264550278</v>
      </c>
      <c r="P11" s="137" t="str">
        <f aca="false">IFERROR(IF(OR(NOT(ISNUMBER('Price History'!P12)),NOT(ISNUMBER('Price History'!P11)),'Price History'!P11=0),"",'Price History'!P12/'Price History'!P11-1),"")</f>
        <v/>
      </c>
      <c r="Q11" s="137" t="n">
        <f aca="false">IFERROR(IF(OR(NOT(ISNUMBER('Price History'!Q12)),NOT(ISNUMBER('Price History'!Q11)),'Price History'!Q11=0),"",'Price History'!Q12/'Price History'!Q11-1),"")</f>
        <v>0.000959324635456671</v>
      </c>
      <c r="R11" s="137" t="n">
        <f aca="false">IFERROR(IF(OR(NOT(ISNUMBER('Price History'!R12)),NOT(ISNUMBER('Price History'!R11)),'Price History'!R11=0),"",'Price History'!R12/'Price History'!R11-1),"")</f>
        <v>0.00275832802885634</v>
      </c>
      <c r="S11" s="137" t="n">
        <f aca="false">IFERROR(IF(OR(NOT(ISNUMBER('Price History'!S12)),NOT(ISNUMBER('Price History'!S11)),'Price History'!S11=0),"",'Price History'!S12/'Price History'!S11-1),"")</f>
        <v>0.00569751381215466</v>
      </c>
      <c r="T11" s="137" t="n">
        <f aca="false">IFERROR(IF(OR(NOT(ISNUMBER('Price History'!T12)),NOT(ISNUMBER('Price History'!T11)),'Price History'!T11=0),"",'Price History'!T12/'Price History'!T11-1),"")</f>
        <v>0.0129411764705882</v>
      </c>
      <c r="U11" s="137" t="str">
        <f aca="false">IFERROR(IF(OR(NOT(ISNUMBER('Price History'!U12)),NOT(ISNUMBER('Price History'!U11)),'Price History'!U11=0),"",'Price History'!U12/'Price History'!U11-1),"")</f>
        <v/>
      </c>
      <c r="W11" s="138" t="n">
        <f aca="false">'Price History'!B3+('Price History'!B158-'Price History'!B3)*0.051948051948052</f>
        <v>495.045324675325</v>
      </c>
      <c r="X11" s="138" t="n">
        <f aca="false">'Price History'!C3+('Price History'!C158-'Price History'!C3)*0.051948051948052</f>
        <v>50.8366233766234</v>
      </c>
      <c r="Y11" s="138" t="n">
        <f aca="false">'Price History'!D3+('Price History'!D158-'Price History'!D3)*0.051948051948052</f>
        <v>712.025194805195</v>
      </c>
      <c r="Z11" s="138" t="n">
        <f aca="false">'Price History'!E3+('Price History'!E158-'Price History'!E3)*0.051948051948052</f>
        <v>98.8916883116883</v>
      </c>
      <c r="AA11" s="138" t="n">
        <f aca="false">'Price History'!F3+('Price History'!F158-'Price History'!F3)*0.051948051948052</f>
        <v>45.0496103896104</v>
      </c>
      <c r="AB11" s="138" t="n">
        <f aca="false">'Price History'!G3+('Price History'!G158-'Price History'!G3)*0.051948051948052</f>
        <v>54.9088311688312</v>
      </c>
      <c r="AC11" s="138" t="n">
        <f aca="false">'Price History'!H3+('Price History'!H158-'Price History'!H3)*0.051948051948052</f>
        <v>103.780909090909</v>
      </c>
      <c r="AD11" s="138" t="n">
        <f aca="false">'Price History'!I3+('Price History'!I158-'Price History'!I3)*0.051948051948052</f>
        <v>49.1564935064935</v>
      </c>
      <c r="AE11" s="138" t="n">
        <f aca="false">'Price History'!J3+('Price History'!J158-'Price History'!J3)*0.051948051948052</f>
        <v>124.606103896104</v>
      </c>
      <c r="AF11" s="138" t="n">
        <f aca="false">'Price History'!K3+('Price History'!K158-'Price History'!K3)*0.051948051948052</f>
        <v>21.0022077922078</v>
      </c>
      <c r="AG11" s="138" t="n">
        <f aca="false">'Price History'!L3+('Price History'!L158-'Price History'!L3)*0.051948051948052</f>
        <v>108.211298701299</v>
      </c>
      <c r="AH11" s="138" t="n">
        <f aca="false">'Price History'!M3+('Price History'!M158-'Price History'!M3)*0.051948051948052</f>
        <v>44.3183116883117</v>
      </c>
      <c r="AI11" s="138" t="n">
        <f aca="false">'Price History'!N3+('Price History'!N158-'Price History'!N3)*0.051948051948052</f>
        <v>356.46987012987</v>
      </c>
      <c r="AJ11" s="138" t="n">
        <f aca="false">'Price History'!O3+('Price History'!O158-'Price History'!O3)*0.051948051948052</f>
        <v>85.0541558441558</v>
      </c>
      <c r="AK11" s="138" t="n">
        <f aca="false">'Price History'!Q3+('Price History'!Q151-'Price History'!Q3)*0.051948051948052</f>
        <v>50.8067532467533</v>
      </c>
      <c r="AL11" s="138" t="n">
        <f aca="false">'Price History'!R3+('Price History'!R158-'Price History'!R3)*0.051948051948052</f>
        <v>48.3618181818182</v>
      </c>
      <c r="AM11" s="138" t="n">
        <f aca="false">'Price History'!S3+('Price History'!S158-'Price History'!S3)*0.051948051948052</f>
        <v>62.9706493506494</v>
      </c>
      <c r="AN11" s="138" t="n">
        <f aca="false">'Price History'!T3+('Price History'!T158-'Price History'!T3)*0.051948051948052</f>
        <v>28.095974025974</v>
      </c>
    </row>
    <row r="12" customFormat="false" ht="15" hidden="false" customHeight="true" outlineLevel="0" collapsed="false">
      <c r="A12" s="136" t="n">
        <f aca="false">IF('Price History'!A13="","",'Price History'!A13)</f>
        <v>45219</v>
      </c>
      <c r="B12" s="137" t="n">
        <f aca="false">IFERROR(IF(OR(NOT(ISNUMBER('Price History'!B13)),NOT(ISNUMBER('Price History'!B12)),'Price History'!B12=0),"",'Price History'!B13/'Price History'!B12-1),"")</f>
        <v>-0.0142138639842553</v>
      </c>
      <c r="C12" s="137" t="n">
        <f aca="false">IFERROR(IF(OR(NOT(ISNUMBER('Price History'!C13)),NOT(ISNUMBER('Price History'!C12)),'Price History'!C12=0),"",'Price History'!C13/'Price History'!C12-1),"")</f>
        <v>-0.0195954487989887</v>
      </c>
      <c r="D12" s="137" t="n">
        <f aca="false">IFERROR(IF(OR(NOT(ISNUMBER('Price History'!D13)),NOT(ISNUMBER('Price History'!D12)),'Price History'!D12=0),"",'Price History'!D13/'Price History'!D12-1),"")</f>
        <v>-0.0327636515214672</v>
      </c>
      <c r="E12" s="137" t="n">
        <f aca="false">IFERROR(IF(OR(NOT(ISNUMBER('Price History'!E13)),NOT(ISNUMBER('Price History'!E12)),'Price History'!E12=0),"",'Price History'!E13/'Price History'!E12-1),"")</f>
        <v>-0.0335144927536232</v>
      </c>
      <c r="F12" s="137" t="n">
        <f aca="false">IFERROR(IF(OR(NOT(ISNUMBER('Price History'!F13)),NOT(ISNUMBER('Price History'!F12)),'Price History'!F12=0),"",'Price History'!F13/'Price History'!F12-1),"")</f>
        <v>-0.0374757699763084</v>
      </c>
      <c r="G12" s="137" t="n">
        <f aca="false">IFERROR(IF(OR(NOT(ISNUMBER('Price History'!G13)),NOT(ISNUMBER('Price History'!G12)),'Price History'!G12=0),"",'Price History'!G13/'Price History'!G12-1),"")</f>
        <v>-0.0501232539030402</v>
      </c>
      <c r="H12" s="137" t="n">
        <f aca="false">IFERROR(IF(OR(NOT(ISNUMBER('Price History'!H13)),NOT(ISNUMBER('Price History'!H12)),'Price History'!H12=0),"",'Price History'!H13/'Price History'!H12-1),"")</f>
        <v>-0.0287530703655541</v>
      </c>
      <c r="I12" s="137" t="n">
        <f aca="false">IFERROR(IF(OR(NOT(ISNUMBER('Price History'!I13)),NOT(ISNUMBER('Price History'!I12)),'Price History'!I12=0),"",'Price History'!I13/'Price History'!I12-1),"")</f>
        <v>-0.0895292564892213</v>
      </c>
      <c r="J12" s="137" t="n">
        <f aca="false">IFERROR(IF(OR(NOT(ISNUMBER('Price History'!J13)),NOT(ISNUMBER('Price History'!J12)),'Price History'!J12=0),"",'Price History'!J13/'Price History'!J12-1),"")</f>
        <v>-0.0658458732330142</v>
      </c>
      <c r="K12" s="137" t="n">
        <f aca="false">IFERROR(IF(OR(NOT(ISNUMBER('Price History'!K13)),NOT(ISNUMBER('Price History'!K12)),'Price History'!K12=0),"",'Price History'!K13/'Price History'!K12-1),"")</f>
        <v>-0.0720046082949308</v>
      </c>
      <c r="L12" s="137" t="n">
        <f aca="false">IFERROR(IF(OR(NOT(ISNUMBER('Price History'!L13)),NOT(ISNUMBER('Price History'!L12)),'Price History'!L12=0),"",'Price History'!L13/'Price History'!L12-1),"")</f>
        <v>0.0093964183064339</v>
      </c>
      <c r="M12" s="137" t="n">
        <f aca="false">IFERROR(IF(OR(NOT(ISNUMBER('Price History'!M13)),NOT(ISNUMBER('Price History'!M12)),'Price History'!M12=0),"",'Price History'!M13/'Price History'!M12-1),"")</f>
        <v>-0.0603580562659847</v>
      </c>
      <c r="N12" s="137" t="n">
        <f aca="false">IFERROR(IF(OR(NOT(ISNUMBER('Price History'!N13)),NOT(ISNUMBER('Price History'!N12)),'Price History'!N12=0),"",'Price History'!N13/'Price History'!N12-1),"")</f>
        <v>-0.0246361185983827</v>
      </c>
      <c r="O12" s="137" t="n">
        <f aca="false">IFERROR(IF(OR(NOT(ISNUMBER('Price History'!O13)),NOT(ISNUMBER('Price History'!O12)),'Price History'!O12=0),"",'Price History'!O13/'Price History'!O12-1),"")</f>
        <v>-0.016754617414248</v>
      </c>
      <c r="P12" s="137" t="str">
        <f aca="false">IFERROR(IF(OR(NOT(ISNUMBER('Price History'!P13)),NOT(ISNUMBER('Price History'!P12)),'Price History'!P12=0),"",'Price History'!P13/'Price History'!P12-1),"")</f>
        <v/>
      </c>
      <c r="Q12" s="137" t="n">
        <f aca="false">IFERROR(IF(OR(NOT(ISNUMBER('Price History'!Q13)),NOT(ISNUMBER('Price History'!Q12)),'Price History'!Q12=0),"",'Price History'!Q13/'Price History'!Q12-1),"")</f>
        <v>0.00364193981215255</v>
      </c>
      <c r="R12" s="137" t="n">
        <f aca="false">IFERROR(IF(OR(NOT(ISNUMBER('Price History'!R13)),NOT(ISNUMBER('Price History'!R12)),'Price History'!R12=0),"",'Price History'!R13/'Price History'!R12-1),"")</f>
        <v>-0.0198899703766399</v>
      </c>
      <c r="S12" s="137" t="n">
        <f aca="false">IFERROR(IF(OR(NOT(ISNUMBER('Price History'!S13)),NOT(ISNUMBER('Price History'!S12)),'Price History'!S12=0),"",'Price History'!S13/'Price History'!S12-1),"")</f>
        <v>-0.0290128755364807</v>
      </c>
      <c r="T12" s="137" t="n">
        <f aca="false">IFERROR(IF(OR(NOT(ISNUMBER('Price History'!T13)),NOT(ISNUMBER('Price History'!T12)),'Price History'!T12=0),"",'Price History'!T13/'Price History'!T12-1),"")</f>
        <v>-0.0127758420441346</v>
      </c>
      <c r="U12" s="137" t="str">
        <f aca="false">IFERROR(IF(OR(NOT(ISNUMBER('Price History'!U13)),NOT(ISNUMBER('Price History'!U12)),'Price History'!U12=0),"",'Price History'!U13/'Price History'!U12-1),"")</f>
        <v/>
      </c>
      <c r="W12" s="138" t="n">
        <f aca="false">'Price History'!B3+('Price History'!B158-'Price History'!B3)*0.0584415584415584</f>
        <v>493.36974025974</v>
      </c>
      <c r="X12" s="138" t="n">
        <f aca="false">'Price History'!C3+('Price History'!C158-'Price History'!C3)*0.0584415584415584</f>
        <v>51.7237012987013</v>
      </c>
      <c r="Y12" s="138" t="n">
        <f aca="false">'Price History'!D3+('Price History'!D158-'Price History'!D3)*0.0584415584415584</f>
        <v>718.305844155844</v>
      </c>
      <c r="Z12" s="138" t="n">
        <f aca="false">'Price History'!E3+('Price History'!E158-'Price History'!E3)*0.0584415584415584</f>
        <v>100.880649350649</v>
      </c>
      <c r="AA12" s="138" t="n">
        <f aca="false">'Price History'!F3+('Price History'!F158-'Price History'!F3)*0.0584415584415584</f>
        <v>46.0483116883117</v>
      </c>
      <c r="AB12" s="138" t="n">
        <f aca="false">'Price History'!G3+('Price History'!G158-'Price History'!G3)*0.0584415584415584</f>
        <v>55.7849350649351</v>
      </c>
      <c r="AC12" s="138" t="n">
        <f aca="false">'Price History'!H3+('Price History'!H158-'Price History'!H3)*0.0584415584415584</f>
        <v>108.707272727273</v>
      </c>
      <c r="AD12" s="138" t="n">
        <f aca="false">'Price History'!I3+('Price History'!I158-'Price History'!I3)*0.0584415584415584</f>
        <v>50.1948051948052</v>
      </c>
      <c r="AE12" s="138" t="n">
        <f aca="false">'Price History'!J3+('Price History'!J158-'Price History'!J3)*0.0584415584415584</f>
        <v>124.743116883117</v>
      </c>
      <c r="AF12" s="138" t="n">
        <f aca="false">'Price History'!K3+('Price History'!K158-'Price History'!K3)*0.0584415584415584</f>
        <v>21.7012337662338</v>
      </c>
      <c r="AG12" s="138" t="n">
        <f aca="false">'Price History'!L3+('Price History'!L158-'Price History'!L3)*0.0584415584415584</f>
        <v>110.238961038961</v>
      </c>
      <c r="AH12" s="138" t="n">
        <f aca="false">'Price History'!M3+('Price History'!M158-'Price History'!M3)*0.0584415584415584</f>
        <v>45.6693506493506</v>
      </c>
      <c r="AI12" s="138" t="n">
        <f aca="false">'Price History'!N3+('Price History'!N158-'Price History'!N3)*0.0584415584415584</f>
        <v>357.296103896104</v>
      </c>
      <c r="AJ12" s="138" t="n">
        <f aca="false">'Price History'!O3+('Price History'!O158-'Price History'!O3)*0.0584415584415584</f>
        <v>85.3296753246753</v>
      </c>
      <c r="AK12" s="138" t="n">
        <f aca="false">'Price History'!Q3+('Price History'!Q151-'Price History'!Q3)*0.0584415584415584</f>
        <v>50.9275974025974</v>
      </c>
      <c r="AL12" s="138" t="n">
        <f aca="false">'Price History'!R3+('Price History'!R158-'Price History'!R3)*0.0584415584415584</f>
        <v>48.4295454545455</v>
      </c>
      <c r="AM12" s="138" t="n">
        <f aca="false">'Price History'!S3+('Price History'!S158-'Price History'!S3)*0.0584415584415584</f>
        <v>63.5244805194805</v>
      </c>
      <c r="AN12" s="138" t="n">
        <f aca="false">'Price History'!T3+('Price History'!T158-'Price History'!T3)*0.0584415584415584</f>
        <v>28.2442207792208</v>
      </c>
    </row>
    <row r="13" customFormat="false" ht="15" hidden="false" customHeight="true" outlineLevel="0" collapsed="false">
      <c r="A13" s="136" t="n">
        <f aca="false">IF('Price History'!A14="","",'Price History'!A14)</f>
        <v>45226</v>
      </c>
      <c r="B13" s="137" t="n">
        <f aca="false">IFERROR(IF(OR(NOT(ISNUMBER('Price History'!B14)),NOT(ISNUMBER('Price History'!B13)),'Price History'!B13=0),"",'Price History'!B14/'Price History'!B13-1),"")</f>
        <v>-0.0607068914522331</v>
      </c>
      <c r="C13" s="137" t="n">
        <f aca="false">IFERROR(IF(OR(NOT(ISNUMBER('Price History'!C14)),NOT(ISNUMBER('Price History'!C13)),'Price History'!C13=0),"",'Price History'!C14/'Price History'!C13-1),"")</f>
        <v>-0.0532989469159683</v>
      </c>
      <c r="D13" s="137" t="n">
        <f aca="false">IFERROR(IF(OR(NOT(ISNUMBER('Price History'!D14)),NOT(ISNUMBER('Price History'!D13)),'Price History'!D13=0),"",'Price History'!D14/'Price History'!D13-1),"")</f>
        <v>0.0170660230994655</v>
      </c>
      <c r="E13" s="137" t="n">
        <f aca="false">IFERROR(IF(OR(NOT(ISNUMBER('Price History'!E14)),NOT(ISNUMBER('Price History'!E13)),'Price History'!E13=0),"",'Price History'!E14/'Price History'!E13-1),"")</f>
        <v>-0.0178069353327085</v>
      </c>
      <c r="F13" s="137" t="n">
        <f aca="false">IFERROR(IF(OR(NOT(ISNUMBER('Price History'!F14)),NOT(ISNUMBER('Price History'!F13)),'Price History'!F13=0),"",'Price History'!F14/'Price History'!F13-1),"")</f>
        <v>-0.0331170284179906</v>
      </c>
      <c r="G13" s="137" t="n">
        <f aca="false">IFERROR(IF(OR(NOT(ISNUMBER('Price History'!G14)),NOT(ISNUMBER('Price History'!G13)),'Price History'!G13=0),"",'Price History'!G14/'Price History'!G13-1),"")</f>
        <v>-0.00973183391003463</v>
      </c>
      <c r="H13" s="137" t="n">
        <f aca="false">IFERROR(IF(OR(NOT(ISNUMBER('Price History'!H14)),NOT(ISNUMBER('Price History'!H13)),'Price History'!H13=0),"",'Price History'!H14/'Price History'!H13-1),"")</f>
        <v>-0.0233561440047604</v>
      </c>
      <c r="I13" s="137" t="n">
        <f aca="false">IFERROR(IF(OR(NOT(ISNUMBER('Price History'!I14)),NOT(ISNUMBER('Price History'!I13)),'Price History'!I13=0),"",'Price History'!I14/'Price History'!I13-1),"")</f>
        <v>-0.0215027784489007</v>
      </c>
      <c r="J13" s="137" t="n">
        <f aca="false">IFERROR(IF(OR(NOT(ISNUMBER('Price History'!J14)),NOT(ISNUMBER('Price History'!J13)),'Price History'!J13=0),"",'Price History'!J14/'Price History'!J13-1),"")</f>
        <v>-0.0498877282046277</v>
      </c>
      <c r="K13" s="137" t="n">
        <f aca="false">IFERROR(IF(OR(NOT(ISNUMBER('Price History'!K14)),NOT(ISNUMBER('Price History'!K13)),'Price History'!K13=0),"",'Price History'!K14/'Price History'!K13-1),"")</f>
        <v>-0.0645561762880198</v>
      </c>
      <c r="L13" s="137" t="n">
        <f aca="false">IFERROR(IF(OR(NOT(ISNUMBER('Price History'!L14)),NOT(ISNUMBER('Price History'!L13)),'Price History'!L13=0),"",'Price History'!L14/'Price History'!L13-1),"")</f>
        <v>-0.0582630599058155</v>
      </c>
      <c r="M13" s="137" t="n">
        <f aca="false">IFERROR(IF(OR(NOT(ISNUMBER('Price History'!M14)),NOT(ISNUMBER('Price History'!M13)),'Price History'!M13=0),"",'Price History'!M14/'Price History'!M13-1),"")</f>
        <v>-0.00870985302123029</v>
      </c>
      <c r="N13" s="137" t="n">
        <f aca="false">IFERROR(IF(OR(NOT(ISNUMBER('Price History'!N14)),NOT(ISNUMBER('Price History'!N13)),'Price History'!N13=0),"",'Price History'!N14/'Price History'!N13-1),"")</f>
        <v>-0.018183827999779</v>
      </c>
      <c r="O13" s="137" t="n">
        <f aca="false">IFERROR(IF(OR(NOT(ISNUMBER('Price History'!O14)),NOT(ISNUMBER('Price History'!O13)),'Price History'!O13=0),"",'Price History'!O14/'Price History'!O13-1),"")</f>
        <v>-0.0154300281765732</v>
      </c>
      <c r="P13" s="137" t="str">
        <f aca="false">IFERROR(IF(OR(NOT(ISNUMBER('Price History'!P14)),NOT(ISNUMBER('Price History'!P13)),'Price History'!P13=0),"",'Price History'!P14/'Price History'!P13-1),"")</f>
        <v/>
      </c>
      <c r="Q13" s="137" t="n">
        <f aca="false">IFERROR(IF(OR(NOT(ISNUMBER('Price History'!Q14)),NOT(ISNUMBER('Price History'!Q13)),'Price History'!Q13=0),"",'Price History'!Q14/'Price History'!Q13-1),"")</f>
        <v>0.0089763177998472</v>
      </c>
      <c r="R13" s="137" t="n">
        <f aca="false">IFERROR(IF(OR(NOT(ISNUMBER('Price History'!R14)),NOT(ISNUMBER('Price History'!R13)),'Price History'!R13=0),"",'Price History'!R14/'Price History'!R13-1),"")</f>
        <v>-0.0207253886010363</v>
      </c>
      <c r="S13" s="137" t="n">
        <f aca="false">IFERROR(IF(OR(NOT(ISNUMBER('Price History'!S14)),NOT(ISNUMBER('Price History'!S13)),'Price History'!S13=0),"",'Price History'!S14/'Price History'!S13-1),"")</f>
        <v>-0.0201555869872702</v>
      </c>
      <c r="T13" s="137" t="n">
        <f aca="false">IFERROR(IF(OR(NOT(ISNUMBER('Price History'!T14)),NOT(ISNUMBER('Price History'!T13)),'Price History'!T13=0),"",'Price History'!T14/'Price History'!T13-1),"")</f>
        <v>-0.0329411764705883</v>
      </c>
      <c r="U13" s="137" t="str">
        <f aca="false">IFERROR(IF(OR(NOT(ISNUMBER('Price History'!U14)),NOT(ISNUMBER('Price History'!U13)),'Price History'!U13=0),"",'Price History'!U14/'Price History'!U13-1),"")</f>
        <v/>
      </c>
      <c r="W13" s="138" t="n">
        <f aca="false">'Price History'!B3+('Price History'!B158-'Price History'!B3)*0.0649350649350649</f>
        <v>491.694155844156</v>
      </c>
      <c r="X13" s="138" t="n">
        <f aca="false">'Price History'!C3+('Price History'!C158-'Price History'!C3)*0.0649350649350649</f>
        <v>52.6107792207792</v>
      </c>
      <c r="Y13" s="138" t="n">
        <f aca="false">'Price History'!D3+('Price History'!D158-'Price History'!D3)*0.0649350649350649</f>
        <v>724.586493506493</v>
      </c>
      <c r="Z13" s="138" t="n">
        <f aca="false">'Price History'!E3+('Price History'!E158-'Price History'!E3)*0.0649350649350649</f>
        <v>102.86961038961</v>
      </c>
      <c r="AA13" s="138" t="n">
        <f aca="false">'Price History'!F3+('Price History'!F158-'Price History'!F3)*0.0649350649350649</f>
        <v>47.047012987013</v>
      </c>
      <c r="AB13" s="138" t="n">
        <f aca="false">'Price History'!G3+('Price History'!G158-'Price History'!G3)*0.0649350649350649</f>
        <v>56.661038961039</v>
      </c>
      <c r="AC13" s="138" t="n">
        <f aca="false">'Price History'!H3+('Price History'!H158-'Price History'!H3)*0.0649350649350649</f>
        <v>113.633636363636</v>
      </c>
      <c r="AD13" s="138" t="n">
        <f aca="false">'Price History'!I3+('Price History'!I158-'Price History'!I3)*0.0649350649350649</f>
        <v>51.2331168831169</v>
      </c>
      <c r="AE13" s="138" t="n">
        <f aca="false">'Price History'!J3+('Price History'!J158-'Price History'!J3)*0.0649350649350649</f>
        <v>124.88012987013</v>
      </c>
      <c r="AF13" s="138" t="n">
        <f aca="false">'Price History'!K3+('Price History'!K158-'Price History'!K3)*0.0649350649350649</f>
        <v>22.4002597402597</v>
      </c>
      <c r="AG13" s="138" t="n">
        <f aca="false">'Price History'!L3+('Price History'!L158-'Price History'!L3)*0.0649350649350649</f>
        <v>112.266623376623</v>
      </c>
      <c r="AH13" s="138" t="n">
        <f aca="false">'Price History'!M3+('Price History'!M158-'Price History'!M3)*0.0649350649350649</f>
        <v>47.0203896103896</v>
      </c>
      <c r="AI13" s="138" t="n">
        <f aca="false">'Price History'!N3+('Price History'!N158-'Price History'!N3)*0.0649350649350649</f>
        <v>358.122337662338</v>
      </c>
      <c r="AJ13" s="138" t="n">
        <f aca="false">'Price History'!O3+('Price History'!O158-'Price History'!O3)*0.0649350649350649</f>
        <v>85.6051948051948</v>
      </c>
      <c r="AK13" s="138" t="n">
        <f aca="false">'Price History'!Q3+('Price History'!Q151-'Price History'!Q3)*0.0649350649350649</f>
        <v>51.0484415584416</v>
      </c>
      <c r="AL13" s="138" t="n">
        <f aca="false">'Price History'!R3+('Price History'!R158-'Price History'!R3)*0.0649350649350649</f>
        <v>48.4972727272727</v>
      </c>
      <c r="AM13" s="138" t="n">
        <f aca="false">'Price History'!S3+('Price History'!S158-'Price History'!S3)*0.0649350649350649</f>
        <v>64.0783116883117</v>
      </c>
      <c r="AN13" s="138" t="n">
        <f aca="false">'Price History'!T3+('Price History'!T158-'Price History'!T3)*0.0649350649350649</f>
        <v>28.3924675324675</v>
      </c>
    </row>
    <row r="14" customFormat="false" ht="15" hidden="false" customHeight="true" outlineLevel="0" collapsed="false">
      <c r="A14" s="136" t="n">
        <f aca="false">IF('Price History'!A15="","",'Price History'!A15)</f>
        <v>45233</v>
      </c>
      <c r="B14" s="137" t="n">
        <f aca="false">IFERROR(IF(OR(NOT(ISNUMBER('Price History'!B15)),NOT(ISNUMBER('Price History'!B14)),'Price History'!B14=0),"",'Price History'!B15/'Price History'!B14-1),"")</f>
        <v>0.10930488860899</v>
      </c>
      <c r="C14" s="137" t="n">
        <f aca="false">IFERROR(IF(OR(NOT(ISNUMBER('Price History'!C15)),NOT(ISNUMBER('Price History'!C14)),'Price History'!C14=0),"",'Price History'!C15/'Price History'!C14-1),"")</f>
        <v>0.205902383654938</v>
      </c>
      <c r="D14" s="137" t="n">
        <f aca="false">IFERROR(IF(OR(NOT(ISNUMBER('Price History'!D15)),NOT(ISNUMBER('Price History'!D14)),'Price History'!D14=0),"",'Price History'!D15/'Price History'!D14-1),"")</f>
        <v>0.0888305084745762</v>
      </c>
      <c r="E14" s="137" t="n">
        <f aca="false">IFERROR(IF(OR(NOT(ISNUMBER('Price History'!E15)),NOT(ISNUMBER('Price History'!E14)),'Price History'!E14=0),"",'Price History'!E15/'Price History'!E14-1),"")</f>
        <v>0.0528387404580153</v>
      </c>
      <c r="F14" s="137" t="n">
        <f aca="false">IFERROR(IF(OR(NOT(ISNUMBER('Price History'!F15)),NOT(ISNUMBER('Price History'!F14)),'Price History'!F14=0),"",'Price History'!F15/'Price History'!F14-1),"")</f>
        <v>0.0890997454292988</v>
      </c>
      <c r="G14" s="137" t="n">
        <f aca="false">IFERROR(IF(OR(NOT(ISNUMBER('Price History'!G15)),NOT(ISNUMBER('Price History'!G14)),'Price History'!G14=0),"",'Price History'!G15/'Price History'!G14-1),"")</f>
        <v>0.0910679187595544</v>
      </c>
      <c r="H14" s="137" t="n">
        <f aca="false">IFERROR(IF(OR(NOT(ISNUMBER('Price History'!H15)),NOT(ISNUMBER('Price History'!H14)),'Price History'!H14=0),"",'Price History'!H15/'Price History'!H14-1),"")</f>
        <v>0.105559786747905</v>
      </c>
      <c r="I14" s="137" t="n">
        <f aca="false">IFERROR(IF(OR(NOT(ISNUMBER('Price History'!I15)),NOT(ISNUMBER('Price History'!I14)),'Price History'!I14=0),"",'Price History'!I15/'Price History'!I14-1),"")</f>
        <v>0.111358024691358</v>
      </c>
      <c r="J14" s="137" t="n">
        <f aca="false">IFERROR(IF(OR(NOT(ISNUMBER('Price History'!J15)),NOT(ISNUMBER('Price History'!J14)),'Price History'!J14=0),"",'Price History'!J15/'Price History'!J14-1),"")</f>
        <v>0.0948417591450885</v>
      </c>
      <c r="K14" s="137" t="n">
        <f aca="false">IFERROR(IF(OR(NOT(ISNUMBER('Price History'!K15)),NOT(ISNUMBER('Price History'!K14)),'Price History'!K14=0),"",'Price History'!K15/'Price History'!K14-1),"")</f>
        <v>0.253483742534838</v>
      </c>
      <c r="L14" s="137" t="n">
        <f aca="false">IFERROR(IF(OR(NOT(ISNUMBER('Price History'!L15)),NOT(ISNUMBER('Price History'!L14)),'Price History'!L14=0),"",'Price History'!L15/'Price History'!L14-1),"")</f>
        <v>0.0674497034538901</v>
      </c>
      <c r="M14" s="137" t="n">
        <f aca="false">IFERROR(IF(OR(NOT(ISNUMBER('Price History'!M15)),NOT(ISNUMBER('Price History'!M14)),'Price History'!M14=0),"",'Price History'!M15/'Price History'!M14-1),"")</f>
        <v>0.110378912685338</v>
      </c>
      <c r="N14" s="137" t="n">
        <f aca="false">IFERROR(IF(OR(NOT(ISNUMBER('Price History'!N15)),NOT(ISNUMBER('Price History'!N14)),'Price History'!N14=0),"",'Price History'!N15/'Price History'!N14-1),"")</f>
        <v>0.0588831344291827</v>
      </c>
      <c r="O14" s="137" t="n">
        <f aca="false">IFERROR(IF(OR(NOT(ISNUMBER('Price History'!O15)),NOT(ISNUMBER('Price History'!O14)),'Price History'!O14=0),"",'Price History'!O15/'Price History'!O14-1),"")</f>
        <v>0.0715453802125921</v>
      </c>
      <c r="P14" s="137" t="str">
        <f aca="false">IFERROR(IF(OR(NOT(ISNUMBER('Price History'!P15)),NOT(ISNUMBER('Price History'!P14)),'Price History'!P14=0),"",'Price History'!P15/'Price History'!P14-1),"")</f>
        <v/>
      </c>
      <c r="Q14" s="137" t="n">
        <f aca="false">IFERROR(IF(OR(NOT(ISNUMBER('Price History'!Q15)),NOT(ISNUMBER('Price History'!Q14)),'Price History'!Q14=0),"",'Price History'!Q15/'Price History'!Q14-1),"")</f>
        <v>-0.000757145561234185</v>
      </c>
      <c r="R14" s="137" t="n">
        <f aca="false">IFERROR(IF(OR(NOT(ISNUMBER('Price History'!R15)),NOT(ISNUMBER('Price History'!R14)),'Price History'!R14=0),"",'Price History'!R15/'Price History'!R14-1),"")</f>
        <v>0.0476190476190477</v>
      </c>
      <c r="S14" s="137" t="n">
        <f aca="false">IFERROR(IF(OR(NOT(ISNUMBER('Price History'!S15)),NOT(ISNUMBER('Price History'!S14)),'Price History'!S14=0),"",'Price History'!S15/'Price History'!S14-1),"")</f>
        <v>0.0582822085889569</v>
      </c>
      <c r="T14" s="137" t="n">
        <f aca="false">IFERROR(IF(OR(NOT(ISNUMBER('Price History'!T15)),NOT(ISNUMBER('Price History'!T14)),'Price History'!T14=0),"",'Price History'!T15/'Price History'!T14-1),"")</f>
        <v>0.0587996755879967</v>
      </c>
      <c r="U14" s="137" t="str">
        <f aca="false">IFERROR(IF(OR(NOT(ISNUMBER('Price History'!U15)),NOT(ISNUMBER('Price History'!U14)),'Price History'!U14=0),"",'Price History'!U15/'Price History'!U14-1),"")</f>
        <v/>
      </c>
      <c r="W14" s="138" t="n">
        <f aca="false">'Price History'!B3+('Price History'!B158-'Price History'!B3)*0.0714285714285714</f>
        <v>490.018571428571</v>
      </c>
      <c r="X14" s="138" t="n">
        <f aca="false">'Price History'!C3+('Price History'!C158-'Price History'!C3)*0.0714285714285714</f>
        <v>53.4978571428571</v>
      </c>
      <c r="Y14" s="138" t="n">
        <f aca="false">'Price History'!D3+('Price History'!D158-'Price History'!D3)*0.0714285714285714</f>
        <v>730.867142857143</v>
      </c>
      <c r="Z14" s="138" t="n">
        <f aca="false">'Price History'!E3+('Price History'!E158-'Price History'!E3)*0.0714285714285714</f>
        <v>104.858571428571</v>
      </c>
      <c r="AA14" s="138" t="n">
        <f aca="false">'Price History'!F3+('Price History'!F158-'Price History'!F3)*0.0714285714285714</f>
        <v>48.0457142857143</v>
      </c>
      <c r="AB14" s="138" t="n">
        <f aca="false">'Price History'!G3+('Price History'!G158-'Price History'!G3)*0.0714285714285714</f>
        <v>57.5371428571429</v>
      </c>
      <c r="AC14" s="138" t="n">
        <f aca="false">'Price History'!H3+('Price History'!H158-'Price History'!H3)*0.0714285714285714</f>
        <v>118.56</v>
      </c>
      <c r="AD14" s="138" t="n">
        <f aca="false">'Price History'!I3+('Price History'!I158-'Price History'!I3)*0.0714285714285714</f>
        <v>52.2714285714286</v>
      </c>
      <c r="AE14" s="138" t="n">
        <f aca="false">'Price History'!J3+('Price History'!J158-'Price History'!J3)*0.0714285714285714</f>
        <v>125.017142857143</v>
      </c>
      <c r="AF14" s="138" t="n">
        <f aca="false">'Price History'!K3+('Price History'!K158-'Price History'!K3)*0.0714285714285714</f>
        <v>23.0992857142857</v>
      </c>
      <c r="AG14" s="138" t="n">
        <f aca="false">'Price History'!L3+('Price History'!L158-'Price History'!L3)*0.0714285714285714</f>
        <v>114.294285714286</v>
      </c>
      <c r="AH14" s="138" t="n">
        <f aca="false">'Price History'!M3+('Price History'!M158-'Price History'!M3)*0.0714285714285714</f>
        <v>48.3714285714286</v>
      </c>
      <c r="AI14" s="138" t="n">
        <f aca="false">'Price History'!N3+('Price History'!N158-'Price History'!N3)*0.0714285714285714</f>
        <v>358.948571428571</v>
      </c>
      <c r="AJ14" s="138" t="n">
        <f aca="false">'Price History'!O3+('Price History'!O158-'Price History'!O3)*0.0714285714285714</f>
        <v>85.8807142857143</v>
      </c>
      <c r="AK14" s="138" t="n">
        <f aca="false">'Price History'!Q3+('Price History'!Q151-'Price History'!Q3)*0.0714285714285714</f>
        <v>51.1692857142857</v>
      </c>
      <c r="AL14" s="138" t="n">
        <f aca="false">'Price History'!R3+('Price History'!R158-'Price History'!R3)*0.0714285714285714</f>
        <v>48.565</v>
      </c>
      <c r="AM14" s="138" t="n">
        <f aca="false">'Price History'!S3+('Price History'!S158-'Price History'!S3)*0.0714285714285714</f>
        <v>64.6321428571429</v>
      </c>
      <c r="AN14" s="138" t="n">
        <f aca="false">'Price History'!T3+('Price History'!T158-'Price History'!T3)*0.0714285714285714</f>
        <v>28.5407142857143</v>
      </c>
    </row>
    <row r="15" customFormat="false" ht="15" hidden="false" customHeight="true" outlineLevel="0" collapsed="false">
      <c r="A15" s="136" t="n">
        <f aca="false">IF('Price History'!A16="","",'Price History'!A16)</f>
        <v>45240</v>
      </c>
      <c r="B15" s="137" t="n">
        <f aca="false">IFERROR(IF(OR(NOT(ISNUMBER('Price History'!B16)),NOT(ISNUMBER('Price History'!B15)),'Price History'!B15=0),"",'Price History'!B16/'Price History'!B15-1),"")</f>
        <v>0.0595394386687012</v>
      </c>
      <c r="C15" s="137" t="n">
        <f aca="false">IFERROR(IF(OR(NOT(ISNUMBER('Price History'!C16)),NOT(ISNUMBER('Price History'!C15)),'Price History'!C15=0),"",'Price History'!C16/'Price History'!C15-1),"")</f>
        <v>-0.0265436746987952</v>
      </c>
      <c r="D15" s="137" t="n">
        <f aca="false">IFERROR(IF(OR(NOT(ISNUMBER('Price History'!D16)),NOT(ISNUMBER('Price History'!D15)),'Price History'!D15=0),"",'Price History'!D16/'Price History'!D15-1),"")</f>
        <v>0.029373764418362</v>
      </c>
      <c r="E15" s="137" t="n">
        <f aca="false">IFERROR(IF(OR(NOT(ISNUMBER('Price History'!E16)),NOT(ISNUMBER('Price History'!E15)),'Price History'!E15=0),"",'Price History'!E16/'Price History'!E15-1),"")</f>
        <v>0.0847400022657756</v>
      </c>
      <c r="F15" s="137" t="n">
        <f aca="false">IFERROR(IF(OR(NOT(ISNUMBER('Price History'!F16)),NOT(ISNUMBER('Price History'!F15)),'Price History'!F15=0),"",'Price History'!F16/'Price History'!F15-1),"")</f>
        <v>0.0429239269018273</v>
      </c>
      <c r="G15" s="137" t="n">
        <f aca="false">IFERROR(IF(OR(NOT(ISNUMBER('Price History'!G16)),NOT(ISNUMBER('Price History'!G15)),'Price History'!G15=0),"",'Price History'!G16/'Price History'!G15-1),"")</f>
        <v>0.0694555644515613</v>
      </c>
      <c r="H15" s="137" t="n">
        <f aca="false">IFERROR(IF(OR(NOT(ISNUMBER('Price History'!H16)),NOT(ISNUMBER('Price History'!H15)),'Price History'!H15=0),"",'Price History'!H16/'Price History'!H15-1),"")</f>
        <v>0.0383025626894462</v>
      </c>
      <c r="I15" s="137" t="n">
        <f aca="false">IFERROR(IF(OR(NOT(ISNUMBER('Price History'!I16)),NOT(ISNUMBER('Price History'!I15)),'Price History'!I15=0),"",'Price History'!I16/'Price History'!I15-1),"")</f>
        <v>0.0739835592090647</v>
      </c>
      <c r="J15" s="137" t="n">
        <f aca="false">IFERROR(IF(OR(NOT(ISNUMBER('Price History'!J16)),NOT(ISNUMBER('Price History'!J15)),'Price History'!J15=0),"",'Price History'!J16/'Price History'!J15-1),"")</f>
        <v>-0.0187705302674801</v>
      </c>
      <c r="K15" s="137" t="n">
        <f aca="false">IFERROR(IF(OR(NOT(ISNUMBER('Price History'!K16)),NOT(ISNUMBER('Price History'!K15)),'Price History'!K15=0),"",'Price History'!K16/'Price History'!K15-1),"")</f>
        <v>0.0412916887241928</v>
      </c>
      <c r="L15" s="137" t="n">
        <f aca="false">IFERROR(IF(OR(NOT(ISNUMBER('Price History'!L16)),NOT(ISNUMBER('Price History'!L15)),'Price History'!L15=0),"",'Price History'!L16/'Price History'!L15-1),"")</f>
        <v>0.0615535461379235</v>
      </c>
      <c r="M15" s="137" t="n">
        <f aca="false">IFERROR(IF(OR(NOT(ISNUMBER('Price History'!M16)),NOT(ISNUMBER('Price History'!M15)),'Price History'!M15=0),"",'Price History'!M16/'Price History'!M15-1),"")</f>
        <v>0.0343719090009891</v>
      </c>
      <c r="N15" s="137" t="n">
        <f aca="false">IFERROR(IF(OR(NOT(ISNUMBER('Price History'!N16)),NOT(ISNUMBER('Price History'!N15)),'Price History'!N15=0),"",'Price History'!N16/'Price History'!N15-1),"")</f>
        <v>-0.00677830940988844</v>
      </c>
      <c r="O15" s="137" t="n">
        <f aca="false">IFERROR(IF(OR(NOT(ISNUMBER('Price History'!O16)),NOT(ISNUMBER('Price History'!O15)),'Price History'!O15=0),"",'Price History'!O16/'Price History'!O15-1),"")</f>
        <v>-0.0340836830726186</v>
      </c>
      <c r="P15" s="137" t="str">
        <f aca="false">IFERROR(IF(OR(NOT(ISNUMBER('Price History'!P16)),NOT(ISNUMBER('Price History'!P15)),'Price History'!P15=0),"",'Price History'!P16/'Price History'!P15-1),"")</f>
        <v/>
      </c>
      <c r="Q15" s="137" t="n">
        <f aca="false">IFERROR(IF(OR(NOT(ISNUMBER('Price History'!Q16)),NOT(ISNUMBER('Price History'!Q15)),'Price History'!Q15=0),"",'Price History'!Q16/'Price History'!Q15-1),"")</f>
        <v>0.0017048683462777</v>
      </c>
      <c r="R15" s="137" t="n">
        <f aca="false">IFERROR(IF(OR(NOT(ISNUMBER('Price History'!R16)),NOT(ISNUMBER('Price History'!R15)),'Price History'!R15=0),"",'Price History'!R16/'Price History'!R15-1),"")</f>
        <v>0.0208333333333333</v>
      </c>
      <c r="S15" s="137" t="n">
        <f aca="false">IFERROR(IF(OR(NOT(ISNUMBER('Price History'!S16)),NOT(ISNUMBER('Price History'!S15)),'Price History'!S15=0),"",'Price History'!S16/'Price History'!S15-1),"")</f>
        <v>0.0294970161977834</v>
      </c>
      <c r="T15" s="137" t="n">
        <f aca="false">IFERROR(IF(OR(NOT(ISNUMBER('Price History'!T16)),NOT(ISNUMBER('Price History'!T15)),'Price History'!T15=0),"",'Price History'!T16/'Price History'!T15-1),"")</f>
        <v>-0.00689391037916509</v>
      </c>
      <c r="U15" s="137" t="str">
        <f aca="false">IFERROR(IF(OR(NOT(ISNUMBER('Price History'!U16)),NOT(ISNUMBER('Price History'!U15)),'Price History'!U15=0),"",'Price History'!U16/'Price History'!U15-1),"")</f>
        <v/>
      </c>
      <c r="W15" s="138" t="n">
        <f aca="false">'Price History'!B3+('Price History'!B158-'Price History'!B3)*0.0779220779220779</f>
        <v>488.342987012987</v>
      </c>
      <c r="X15" s="138" t="n">
        <f aca="false">'Price History'!C3+('Price History'!C158-'Price History'!C3)*0.0779220779220779</f>
        <v>54.3849350649351</v>
      </c>
      <c r="Y15" s="138" t="n">
        <f aca="false">'Price History'!D3+('Price History'!D158-'Price History'!D3)*0.0779220779220779</f>
        <v>737.147792207792</v>
      </c>
      <c r="Z15" s="138" t="n">
        <f aca="false">'Price History'!E3+('Price History'!E158-'Price History'!E3)*0.0779220779220779</f>
        <v>106.847532467532</v>
      </c>
      <c r="AA15" s="138" t="n">
        <f aca="false">'Price History'!F3+('Price History'!F158-'Price History'!F3)*0.0779220779220779</f>
        <v>49.0444155844156</v>
      </c>
      <c r="AB15" s="138" t="n">
        <f aca="false">'Price History'!G3+('Price History'!G158-'Price History'!G3)*0.0779220779220779</f>
        <v>58.4132467532468</v>
      </c>
      <c r="AC15" s="138" t="n">
        <f aca="false">'Price History'!H3+('Price History'!H158-'Price History'!H3)*0.0779220779220779</f>
        <v>123.486363636364</v>
      </c>
      <c r="AD15" s="138" t="n">
        <f aca="false">'Price History'!I3+('Price History'!I158-'Price History'!I3)*0.0779220779220779</f>
        <v>53.3097402597403</v>
      </c>
      <c r="AE15" s="138" t="n">
        <f aca="false">'Price History'!J3+('Price History'!J158-'Price History'!J3)*0.0779220779220779</f>
        <v>125.154155844156</v>
      </c>
      <c r="AF15" s="138" t="n">
        <f aca="false">'Price History'!K3+('Price History'!K158-'Price History'!K3)*0.0779220779220779</f>
        <v>23.7983116883117</v>
      </c>
      <c r="AG15" s="138" t="n">
        <f aca="false">'Price History'!L3+('Price History'!L158-'Price History'!L3)*0.0779220779220779</f>
        <v>116.321948051948</v>
      </c>
      <c r="AH15" s="138" t="n">
        <f aca="false">'Price History'!M3+('Price History'!M158-'Price History'!M3)*0.0779220779220779</f>
        <v>49.7224675324675</v>
      </c>
      <c r="AI15" s="138" t="n">
        <f aca="false">'Price History'!N3+('Price History'!N158-'Price History'!N3)*0.0779220779220779</f>
        <v>359.774805194805</v>
      </c>
      <c r="AJ15" s="138" t="n">
        <f aca="false">'Price History'!O3+('Price History'!O158-'Price History'!O3)*0.0779220779220779</f>
        <v>86.1562337662338</v>
      </c>
      <c r="AK15" s="138" t="n">
        <f aca="false">'Price History'!Q3+('Price History'!Q151-'Price History'!Q3)*0.0779220779220779</f>
        <v>51.2901298701299</v>
      </c>
      <c r="AL15" s="138" t="n">
        <f aca="false">'Price History'!R3+('Price History'!R158-'Price History'!R3)*0.0779220779220779</f>
        <v>48.6327272727273</v>
      </c>
      <c r="AM15" s="138" t="n">
        <f aca="false">'Price History'!S3+('Price History'!S158-'Price History'!S3)*0.0779220779220779</f>
        <v>65.185974025974</v>
      </c>
      <c r="AN15" s="138" t="n">
        <f aca="false">'Price History'!T3+('Price History'!T158-'Price History'!T3)*0.0779220779220779</f>
        <v>28.688961038961</v>
      </c>
    </row>
    <row r="16" customFormat="false" ht="15" hidden="false" customHeight="true" outlineLevel="0" collapsed="false">
      <c r="A16" s="136" t="n">
        <f aca="false">IF('Price History'!A17="","",'Price History'!A17)</f>
        <v>45247</v>
      </c>
      <c r="B16" s="137" t="n">
        <f aca="false">IFERROR(IF(OR(NOT(ISNUMBER('Price History'!B17)),NOT(ISNUMBER('Price History'!B16)),'Price History'!B16=0),"",'Price History'!B17/'Price History'!B16-1),"")</f>
        <v>0.00910887110277603</v>
      </c>
      <c r="C16" s="137" t="n">
        <f aca="false">IFERROR(IF(OR(NOT(ISNUMBER('Price History'!C17)),NOT(ISNUMBER('Price History'!C16)),'Price History'!C16=0),"",'Price History'!C17/'Price History'!C16-1),"")</f>
        <v>0.0377103074840455</v>
      </c>
      <c r="D16" s="137" t="n">
        <f aca="false">IFERROR(IF(OR(NOT(ISNUMBER('Price History'!D17)),NOT(ISNUMBER('Price History'!D16)),'Price History'!D16=0),"",'Price History'!D17/'Price History'!D16-1),"")</f>
        <v>0.0375181466247279</v>
      </c>
      <c r="E16" s="137" t="n">
        <f aca="false">IFERROR(IF(OR(NOT(ISNUMBER('Price History'!E17)),NOT(ISNUMBER('Price History'!E16)),'Price History'!E16=0),"",'Price History'!E17/'Price History'!E16-1),"")</f>
        <v>0.0210966057441253</v>
      </c>
      <c r="F16" s="137" t="n">
        <f aca="false">IFERROR(IF(OR(NOT(ISNUMBER('Price History'!F17)),NOT(ISNUMBER('Price History'!F16)),'Price History'!F16=0),"",'Price History'!F17/'Price History'!F16-1),"")</f>
        <v>0.0548084759576204</v>
      </c>
      <c r="G16" s="137" t="n">
        <f aca="false">IFERROR(IF(OR(NOT(ISNUMBER('Price History'!G17)),NOT(ISNUMBER('Price History'!G16)),'Price History'!G16=0),"",'Price History'!G17/'Price History'!G16-1),"")</f>
        <v>0.0190903986524424</v>
      </c>
      <c r="H16" s="137" t="n">
        <f aca="false">IFERROR(IF(OR(NOT(ISNUMBER('Price History'!H17)),NOT(ISNUMBER('Price History'!H16)),'Price History'!H16=0),"",'Price History'!H17/'Price History'!H16-1),"")</f>
        <v>0.0291932059447984</v>
      </c>
      <c r="I16" s="137" t="n">
        <f aca="false">IFERROR(IF(OR(NOT(ISNUMBER('Price History'!I17)),NOT(ISNUMBER('Price History'!I16)),'Price History'!I16=0),"",'Price History'!I17/'Price History'!I16-1),"")</f>
        <v>0.0198593297476208</v>
      </c>
      <c r="J16" s="137" t="n">
        <f aca="false">IFERROR(IF(OR(NOT(ISNUMBER('Price History'!J17)),NOT(ISNUMBER('Price History'!J16)),'Price History'!J16=0),"",'Price History'!J17/'Price History'!J16-1),"")</f>
        <v>0.0527977044476327</v>
      </c>
      <c r="K16" s="137" t="n">
        <f aca="false">IFERROR(IF(OR(NOT(ISNUMBER('Price History'!K17)),NOT(ISNUMBER('Price History'!K16)),'Price History'!K16=0),"",'Price History'!K17/'Price History'!K16-1),"")</f>
        <v>0.0416878495170308</v>
      </c>
      <c r="L16" s="137" t="n">
        <f aca="false">IFERROR(IF(OR(NOT(ISNUMBER('Price History'!L17)),NOT(ISNUMBER('Price History'!L16)),'Price History'!L16=0),"",'Price History'!L17/'Price History'!L16-1),"")</f>
        <v>0.0219622331691298</v>
      </c>
      <c r="M16" s="137" t="n">
        <f aca="false">IFERROR(IF(OR(NOT(ISNUMBER('Price History'!M17)),NOT(ISNUMBER('Price History'!M16)),'Price History'!M16=0),"",'Price History'!M17/'Price History'!M16-1),"")</f>
        <v>0.034903179536218</v>
      </c>
      <c r="N16" s="137" t="n">
        <f aca="false">IFERROR(IF(OR(NOT(ISNUMBER('Price History'!N17)),NOT(ISNUMBER('Price History'!N16)),'Price History'!N16=0),"",'Price History'!N17/'Price History'!N16-1),"")</f>
        <v>-0.06195637628797</v>
      </c>
      <c r="O16" s="137" t="n">
        <f aca="false">IFERROR(IF(OR(NOT(ISNUMBER('Price History'!O17)),NOT(ISNUMBER('Price History'!O16)),'Price History'!O16=0),"",'Price History'!O17/'Price History'!O16-1),"")</f>
        <v>0.0554312047399603</v>
      </c>
      <c r="P16" s="137" t="str">
        <f aca="false">IFERROR(IF(OR(NOT(ISNUMBER('Price History'!P17)),NOT(ISNUMBER('Price History'!P16)),'Price History'!P16=0),"",'Price History'!P17/'Price History'!P16-1),"")</f>
        <v/>
      </c>
      <c r="Q16" s="137" t="n">
        <f aca="false">IFERROR(IF(OR(NOT(ISNUMBER('Price History'!Q17)),NOT(ISNUMBER('Price History'!Q16)),'Price History'!Q16=0),"",'Price History'!Q17/'Price History'!Q16-1),"")</f>
        <v>-0.00434947049924361</v>
      </c>
      <c r="R16" s="137" t="n">
        <f aca="false">IFERROR(IF(OR(NOT(ISNUMBER('Price History'!R17)),NOT(ISNUMBER('Price History'!R16)),'Price History'!R16=0),"",'Price History'!R17/'Price History'!R16-1),"")</f>
        <v>0.00948258091115228</v>
      </c>
      <c r="S16" s="137" t="n">
        <f aca="false">IFERROR(IF(OR(NOT(ISNUMBER('Price History'!S17)),NOT(ISNUMBER('Price History'!S16)),'Price History'!S16=0),"",'Price History'!S17/'Price History'!S16-1),"")</f>
        <v>0.0216959258032461</v>
      </c>
      <c r="T16" s="137" t="n">
        <f aca="false">IFERROR(IF(OR(NOT(ISNUMBER('Price History'!T17)),NOT(ISNUMBER('Price History'!T16)),'Price History'!T16=0),"",'Price History'!T17/'Price History'!T16-1),"")</f>
        <v>0.0254531430775165</v>
      </c>
      <c r="U16" s="137" t="str">
        <f aca="false">IFERROR(IF(OR(NOT(ISNUMBER('Price History'!U17)),NOT(ISNUMBER('Price History'!U16)),'Price History'!U16=0),"",'Price History'!U17/'Price History'!U16-1),"")</f>
        <v/>
      </c>
      <c r="W16" s="138" t="n">
        <f aca="false">'Price History'!B3+('Price History'!B158-'Price History'!B3)*0.0844155844155844</f>
        <v>486.667402597403</v>
      </c>
      <c r="X16" s="138" t="n">
        <f aca="false">'Price History'!C3+('Price History'!C158-'Price History'!C3)*0.0844155844155844</f>
        <v>55.272012987013</v>
      </c>
      <c r="Y16" s="138" t="n">
        <f aca="false">'Price History'!D3+('Price History'!D158-'Price History'!D3)*0.0844155844155844</f>
        <v>743.428441558442</v>
      </c>
      <c r="Z16" s="138" t="n">
        <f aca="false">'Price History'!E3+('Price History'!E158-'Price History'!E3)*0.0844155844155844</f>
        <v>108.836493506494</v>
      </c>
      <c r="AA16" s="138" t="n">
        <f aca="false">'Price History'!F3+('Price History'!F158-'Price History'!F3)*0.0844155844155844</f>
        <v>50.0431168831169</v>
      </c>
      <c r="AB16" s="138" t="n">
        <f aca="false">'Price History'!G3+('Price History'!G158-'Price History'!G3)*0.0844155844155844</f>
        <v>59.2893506493506</v>
      </c>
      <c r="AC16" s="138" t="n">
        <f aca="false">'Price History'!H3+('Price History'!H158-'Price History'!H3)*0.0844155844155844</f>
        <v>128.412727272727</v>
      </c>
      <c r="AD16" s="138" t="n">
        <f aca="false">'Price History'!I3+('Price History'!I158-'Price History'!I3)*0.0844155844155844</f>
        <v>54.3480519480519</v>
      </c>
      <c r="AE16" s="138" t="n">
        <f aca="false">'Price History'!J3+('Price History'!J158-'Price History'!J3)*0.0844155844155844</f>
        <v>125.291168831169</v>
      </c>
      <c r="AF16" s="138" t="n">
        <f aca="false">'Price History'!K3+('Price History'!K158-'Price History'!K3)*0.0844155844155844</f>
        <v>24.4973376623377</v>
      </c>
      <c r="AG16" s="138" t="n">
        <f aca="false">'Price History'!L3+('Price History'!L158-'Price History'!L3)*0.0844155844155844</f>
        <v>118.34961038961</v>
      </c>
      <c r="AH16" s="138" t="n">
        <f aca="false">'Price History'!M3+('Price History'!M158-'Price History'!M3)*0.0844155844155844</f>
        <v>51.0735064935065</v>
      </c>
      <c r="AI16" s="138" t="n">
        <f aca="false">'Price History'!N3+('Price History'!N158-'Price History'!N3)*0.0844155844155844</f>
        <v>360.601038961039</v>
      </c>
      <c r="AJ16" s="138" t="n">
        <f aca="false">'Price History'!O3+('Price History'!O158-'Price History'!O3)*0.0844155844155844</f>
        <v>86.4317532467533</v>
      </c>
      <c r="AK16" s="138" t="n">
        <f aca="false">'Price History'!Q3+('Price History'!Q151-'Price History'!Q3)*0.0844155844155844</f>
        <v>51.410974025974</v>
      </c>
      <c r="AL16" s="138" t="n">
        <f aca="false">'Price History'!R3+('Price History'!R158-'Price History'!R3)*0.0844155844155844</f>
        <v>48.7004545454546</v>
      </c>
      <c r="AM16" s="138" t="n">
        <f aca="false">'Price History'!S3+('Price History'!S158-'Price History'!S3)*0.0844155844155844</f>
        <v>65.7398051948052</v>
      </c>
      <c r="AN16" s="138" t="n">
        <f aca="false">'Price History'!T3+('Price History'!T158-'Price History'!T3)*0.0844155844155844</f>
        <v>28.8372077922078</v>
      </c>
    </row>
    <row r="17" customFormat="false" ht="15" hidden="false" customHeight="true" outlineLevel="0" collapsed="false">
      <c r="A17" s="136" t="n">
        <f aca="false">IF('Price History'!A18="","",'Price History'!A18)</f>
        <v>45254</v>
      </c>
      <c r="B17" s="137" t="n">
        <f aca="false">IFERROR(IF(OR(NOT(ISNUMBER('Price History'!B18)),NOT(ISNUMBER('Price History'!B17)),'Price History'!B17=0),"",'Price History'!B18/'Price History'!B17-1),"")</f>
        <v>0.02782663525039</v>
      </c>
      <c r="C17" s="137" t="n">
        <f aca="false">IFERROR(IF(OR(NOT(ISNUMBER('Price History'!C18)),NOT(ISNUMBER('Price History'!C17)),'Price History'!C17=0),"",'Price History'!C18/'Price History'!C17-1),"")</f>
        <v>0.0175177040626167</v>
      </c>
      <c r="D17" s="137" t="n">
        <f aca="false">IFERROR(IF(OR(NOT(ISNUMBER('Price History'!D18)),NOT(ISNUMBER('Price History'!D17)),'Price History'!D17=0),"",'Price History'!D18/'Price History'!D17-1),"")</f>
        <v>0.00741885175414292</v>
      </c>
      <c r="E17" s="137" t="n">
        <f aca="false">IFERROR(IF(OR(NOT(ISNUMBER('Price History'!E18)),NOT(ISNUMBER('Price History'!E17)),'Price History'!E17=0),"",'Price History'!E18/'Price History'!E17-1),"")</f>
        <v>0.00122737035900578</v>
      </c>
      <c r="F17" s="137" t="n">
        <f aca="false">IFERROR(IF(OR(NOT(ISNUMBER('Price History'!F18)),NOT(ISNUMBER('Price History'!F17)),'Price History'!F17=0),"",'Price History'!F18/'Price History'!F17-1),"")</f>
        <v>0.0173845856673749</v>
      </c>
      <c r="G17" s="137" t="n">
        <f aca="false">IFERROR(IF(OR(NOT(ISNUMBER('Price History'!G18)),NOT(ISNUMBER('Price History'!G17)),'Price History'!G17=0),"",'Price History'!G18/'Price History'!G17-1),"")</f>
        <v>0.0203856749311295</v>
      </c>
      <c r="H17" s="137" t="n">
        <f aca="false">IFERROR(IF(OR(NOT(ISNUMBER('Price History'!H18)),NOT(ISNUMBER('Price History'!H17)),'Price History'!H17=0),"",'Price History'!H18/'Price History'!H17-1),"")</f>
        <v>-0.00889633831872094</v>
      </c>
      <c r="I17" s="137" t="n">
        <f aca="false">IFERROR(IF(OR(NOT(ISNUMBER('Price History'!I18)),NOT(ISNUMBER('Price History'!I17)),'Price History'!I17=0),"",'Price History'!I18/'Price History'!I17-1),"")</f>
        <v>-0.0308316430020283</v>
      </c>
      <c r="J17" s="137" t="n">
        <f aca="false">IFERROR(IF(OR(NOT(ISNUMBER('Price History'!J18)),NOT(ISNUMBER('Price History'!J17)),'Price History'!J17=0),"",'Price History'!J18/'Price History'!J17-1),"")</f>
        <v>0.0175342963568639</v>
      </c>
      <c r="K17" s="137" t="n">
        <f aca="false">IFERROR(IF(OR(NOT(ISNUMBER('Price History'!K18)),NOT(ISNUMBER('Price History'!K17)),'Price History'!K17=0),"",'Price History'!K18/'Price History'!K17-1),"")</f>
        <v>-0.0629575402635432</v>
      </c>
      <c r="L17" s="137" t="n">
        <f aca="false">IFERROR(IF(OR(NOT(ISNUMBER('Price History'!L18)),NOT(ISNUMBER('Price History'!L17)),'Price History'!L17=0),"",'Price History'!L18/'Price History'!L17-1),"")</f>
        <v>-0.0175738100020084</v>
      </c>
      <c r="M17" s="137" t="n">
        <f aca="false">IFERROR(IF(OR(NOT(ISNUMBER('Price History'!M18)),NOT(ISNUMBER('Price History'!M17)),'Price History'!M17=0),"",'Price History'!M18/'Price History'!M17-1),"")</f>
        <v>-0.0140910140910141</v>
      </c>
      <c r="N17" s="137" t="n">
        <f aca="false">IFERROR(IF(OR(NOT(ISNUMBER('Price History'!N18)),NOT(ISNUMBER('Price History'!N17)),'Price History'!N17=0),"",'Price History'!N18/'Price History'!N17-1),"")</f>
        <v>0.00724679029957209</v>
      </c>
      <c r="O17" s="137" t="n">
        <f aca="false">IFERROR(IF(OR(NOT(ISNUMBER('Price History'!O18)),NOT(ISNUMBER('Price History'!O17)),'Price History'!O17=0),"",'Price History'!O18/'Price History'!O17-1),"")</f>
        <v>0.000124750499002069</v>
      </c>
      <c r="P17" s="137" t="str">
        <f aca="false">IFERROR(IF(OR(NOT(ISNUMBER('Price History'!P18)),NOT(ISNUMBER('Price History'!P17)),'Price History'!P17=0),"",'Price History'!P18/'Price History'!P17-1),"")</f>
        <v/>
      </c>
      <c r="Q17" s="137" t="n">
        <f aca="false">IFERROR(IF(OR(NOT(ISNUMBER('Price History'!Q18)),NOT(ISNUMBER('Price History'!Q17)),'Price History'!Q17=0),"",'Price History'!Q18/'Price History'!Q17-1),"")</f>
        <v>0.00987654320987663</v>
      </c>
      <c r="R17" s="137" t="n">
        <f aca="false">IFERROR(IF(OR(NOT(ISNUMBER('Price History'!R18)),NOT(ISNUMBER('Price History'!R17)),'Price History'!R17=0),"",'Price History'!R18/'Price History'!R17-1),"")</f>
        <v>0.00530937308556245</v>
      </c>
      <c r="S17" s="137" t="n">
        <f aca="false">IFERROR(IF(OR(NOT(ISNUMBER('Price History'!S18)),NOT(ISNUMBER('Price History'!S17)),'Price History'!S17=0),"",'Price History'!S18/'Price History'!S17-1),"")</f>
        <v>0.00551142810828331</v>
      </c>
      <c r="T17" s="137" t="n">
        <f aca="false">IFERROR(IF(OR(NOT(ISNUMBER('Price History'!T18)),NOT(ISNUMBER('Price History'!T17)),'Price History'!T17=0),"",'Price History'!T18/'Price History'!T17-1),"")</f>
        <v>0.00714554343738261</v>
      </c>
      <c r="U17" s="137" t="str">
        <f aca="false">IFERROR(IF(OR(NOT(ISNUMBER('Price History'!U18)),NOT(ISNUMBER('Price History'!U17)),'Price History'!U17=0),"",'Price History'!U18/'Price History'!U17-1),"")</f>
        <v/>
      </c>
      <c r="W17" s="138" t="n">
        <f aca="false">'Price History'!B3+('Price History'!B158-'Price History'!B3)*0.0909090909090909</f>
        <v>484.991818181818</v>
      </c>
      <c r="X17" s="138" t="n">
        <f aca="false">'Price History'!C3+('Price History'!C158-'Price History'!C3)*0.0909090909090909</f>
        <v>56.1590909090909</v>
      </c>
      <c r="Y17" s="138" t="n">
        <f aca="false">'Price History'!D3+('Price History'!D158-'Price History'!D3)*0.0909090909090909</f>
        <v>749.709090909091</v>
      </c>
      <c r="Z17" s="138" t="n">
        <f aca="false">'Price History'!E3+('Price History'!E158-'Price History'!E3)*0.0909090909090909</f>
        <v>110.825454545455</v>
      </c>
      <c r="AA17" s="138" t="n">
        <f aca="false">'Price History'!F3+('Price History'!F158-'Price History'!F3)*0.0909090909090909</f>
        <v>51.0418181818182</v>
      </c>
      <c r="AB17" s="138" t="n">
        <f aca="false">'Price History'!G3+('Price History'!G158-'Price History'!G3)*0.0909090909090909</f>
        <v>60.1654545454545</v>
      </c>
      <c r="AC17" s="138" t="n">
        <f aca="false">'Price History'!H3+('Price History'!H158-'Price History'!H3)*0.0909090909090909</f>
        <v>133.339090909091</v>
      </c>
      <c r="AD17" s="138" t="n">
        <f aca="false">'Price History'!I3+('Price History'!I158-'Price History'!I3)*0.0909090909090909</f>
        <v>55.3863636363636</v>
      </c>
      <c r="AE17" s="138" t="n">
        <f aca="false">'Price History'!J3+('Price History'!J158-'Price History'!J3)*0.0909090909090909</f>
        <v>125.428181818182</v>
      </c>
      <c r="AF17" s="138" t="n">
        <f aca="false">'Price History'!K3+('Price History'!K158-'Price History'!K3)*0.0909090909090909</f>
        <v>25.1963636363636</v>
      </c>
      <c r="AG17" s="138" t="n">
        <f aca="false">'Price History'!L3+('Price History'!L158-'Price History'!L3)*0.0909090909090909</f>
        <v>120.377272727273</v>
      </c>
      <c r="AH17" s="138" t="n">
        <f aca="false">'Price History'!M3+('Price History'!M158-'Price History'!M3)*0.0909090909090909</f>
        <v>52.4245454545455</v>
      </c>
      <c r="AI17" s="138" t="n">
        <f aca="false">'Price History'!N3+('Price History'!N158-'Price History'!N3)*0.0909090909090909</f>
        <v>361.427272727273</v>
      </c>
      <c r="AJ17" s="138" t="n">
        <f aca="false">'Price History'!O3+('Price History'!O158-'Price History'!O3)*0.0909090909090909</f>
        <v>86.7072727272727</v>
      </c>
      <c r="AK17" s="138" t="n">
        <f aca="false">'Price History'!Q3+('Price History'!Q151-'Price History'!Q3)*0.0909090909090909</f>
        <v>51.5318181818182</v>
      </c>
      <c r="AL17" s="138" t="n">
        <f aca="false">'Price History'!R3+('Price History'!R158-'Price History'!R3)*0.0909090909090909</f>
        <v>48.7681818181818</v>
      </c>
      <c r="AM17" s="138" t="n">
        <f aca="false">'Price History'!S3+('Price History'!S158-'Price History'!S3)*0.0909090909090909</f>
        <v>66.2936363636364</v>
      </c>
      <c r="AN17" s="138" t="n">
        <f aca="false">'Price History'!T3+('Price History'!T158-'Price History'!T3)*0.0909090909090909</f>
        <v>28.9854545454545</v>
      </c>
    </row>
    <row r="18" customFormat="false" ht="15" hidden="false" customHeight="true" outlineLevel="0" collapsed="false">
      <c r="A18" s="136" t="n">
        <f aca="false">IF('Price History'!A19="","",'Price History'!A19)</f>
        <v>45261</v>
      </c>
      <c r="B18" s="137" t="n">
        <f aca="false">IFERROR(IF(OR(NOT(ISNUMBER('Price History'!B19)),NOT(ISNUMBER('Price History'!B18)),'Price History'!B18=0),"",'Price History'!B19/'Price History'!B18-1),"")</f>
        <v>-0.0112361364480247</v>
      </c>
      <c r="C18" s="137" t="n">
        <f aca="false">IFERROR(IF(OR(NOT(ISNUMBER('Price History'!C19)),NOT(ISNUMBER('Price History'!C18)),'Price History'!C18=0),"",'Price History'!C19/'Price History'!C18-1),"")</f>
        <v>-0.00805860805860814</v>
      </c>
      <c r="D18" s="137" t="n">
        <f aca="false">IFERROR(IF(OR(NOT(ISNUMBER('Price History'!D19)),NOT(ISNUMBER('Price History'!D18)),'Price History'!D18=0),"",'Price History'!D19/'Price History'!D18-1),"")</f>
        <v>0.00147573714517213</v>
      </c>
      <c r="E18" s="137" t="n">
        <f aca="false">IFERROR(IF(OR(NOT(ISNUMBER('Price History'!E19)),NOT(ISNUMBER('Price History'!E18)),'Price History'!E18=0),"",'Price History'!E19/'Price History'!E18-1),"")</f>
        <v>-0.0499540300337114</v>
      </c>
      <c r="F18" s="137" t="n">
        <f aca="false">IFERROR(IF(OR(NOT(ISNUMBER('Price History'!F19)),NOT(ISNUMBER('Price History'!F18)),'Price History'!F18=0),"",'Price History'!F19/'Price History'!F18-1),"")</f>
        <v>0.115625593316879</v>
      </c>
      <c r="G18" s="137" t="n">
        <f aca="false">IFERROR(IF(OR(NOT(ISNUMBER('Price History'!G19)),NOT(ISNUMBER('Price History'!G18)),'Price History'!G18=0),"",'Price History'!G19/'Price History'!G18-1),"")</f>
        <v>-0.0118790496760259</v>
      </c>
      <c r="H18" s="137" t="n">
        <f aca="false">IFERROR(IF(OR(NOT(ISNUMBER('Price History'!H19)),NOT(ISNUMBER('Price History'!H18)),'Price History'!H18=0),"",'Price History'!H19/'Price History'!H18-1),"")</f>
        <v>-0.0122284376219591</v>
      </c>
      <c r="I18" s="137" t="n">
        <f aca="false">IFERROR(IF(OR(NOT(ISNUMBER('Price History'!I19)),NOT(ISNUMBER('Price History'!I18)),'Price History'!I18=0),"",'Price History'!I19/'Price History'!I18-1),"")</f>
        <v>-0.0211385516952699</v>
      </c>
      <c r="J18" s="137" t="n">
        <f aca="false">IFERROR(IF(OR(NOT(ISNUMBER('Price History'!J19)),NOT(ISNUMBER('Price History'!J18)),'Price History'!J18=0),"",'Price History'!J19/'Price History'!J18-1),"")</f>
        <v>0.0558928571428572</v>
      </c>
      <c r="K18" s="137" t="n">
        <f aca="false">IFERROR(IF(OR(NOT(ISNUMBER('Price History'!K19)),NOT(ISNUMBER('Price History'!K18)),'Price History'!K18=0),"",'Price History'!K19/'Price History'!K18-1),"")</f>
        <v>0.0557291666666666</v>
      </c>
      <c r="L18" s="137" t="n">
        <f aca="false">IFERROR(IF(OR(NOT(ISNUMBER('Price History'!L19)),NOT(ISNUMBER('Price History'!L18)),'Price History'!L18=0),"",'Price History'!L19/'Price History'!L18-1),"")</f>
        <v>0.00735970561177557</v>
      </c>
      <c r="M18" s="137" t="n">
        <f aca="false">IFERROR(IF(OR(NOT(ISNUMBER('Price History'!M19)),NOT(ISNUMBER('Price History'!M18)),'Price History'!M18=0),"",'Price History'!M19/'Price History'!M18-1),"")</f>
        <v>0.0576382380506093</v>
      </c>
      <c r="N18" s="137" t="n">
        <f aca="false">IFERROR(IF(OR(NOT(ISNUMBER('Price History'!N19)),NOT(ISNUMBER('Price History'!N18)),'Price History'!N18=0),"",'Price History'!N19/'Price History'!N18-1),"")</f>
        <v>-0.00532517561749379</v>
      </c>
      <c r="O18" s="137" t="n">
        <f aca="false">IFERROR(IF(OR(NOT(ISNUMBER('Price History'!O19)),NOT(ISNUMBER('Price History'!O18)),'Price History'!O18=0),"",'Price History'!O19/'Price History'!O18-1),"")</f>
        <v>0.0335536983909193</v>
      </c>
      <c r="P18" s="137" t="str">
        <f aca="false">IFERROR(IF(OR(NOT(ISNUMBER('Price History'!P19)),NOT(ISNUMBER('Price History'!P18)),'Price History'!P18=0),"",'Price History'!P19/'Price History'!P18-1),"")</f>
        <v/>
      </c>
      <c r="Q18" s="137" t="n">
        <f aca="false">IFERROR(IF(OR(NOT(ISNUMBER('Price History'!Q19)),NOT(ISNUMBER('Price History'!Q18)),'Price History'!Q18=0),"",'Price History'!Q19/'Price History'!Q18-1),"")</f>
        <v>0.00583035546360722</v>
      </c>
      <c r="R18" s="137" t="n">
        <f aca="false">IFERROR(IF(OR(NOT(ISNUMBER('Price History'!R19)),NOT(ISNUMBER('Price History'!R18)),'Price History'!R18=0),"",'Price History'!R19/'Price History'!R18-1),"")</f>
        <v>-0.00670322973796467</v>
      </c>
      <c r="S18" s="137" t="n">
        <f aca="false">IFERROR(IF(OR(NOT(ISNUMBER('Price History'!S19)),NOT(ISNUMBER('Price History'!S18)),'Price History'!S18=0),"",'Price History'!S19/'Price History'!S18-1),"")</f>
        <v>-0.00225697243269385</v>
      </c>
      <c r="T18" s="137" t="n">
        <f aca="false">IFERROR(IF(OR(NOT(ISNUMBER('Price History'!T19)),NOT(ISNUMBER('Price History'!T18)),'Price History'!T18=0),"",'Price History'!T19/'Price History'!T18-1),"")</f>
        <v>0.0134428678117999</v>
      </c>
      <c r="U18" s="137" t="str">
        <f aca="false">IFERROR(IF(OR(NOT(ISNUMBER('Price History'!U19)),NOT(ISNUMBER('Price History'!U18)),'Price History'!U18=0),"",'Price History'!U19/'Price History'!U18-1),"")</f>
        <v/>
      </c>
      <c r="W18" s="138" t="n">
        <f aca="false">'Price History'!B3+('Price History'!B158-'Price History'!B3)*0.0974025974025974</f>
        <v>483.316233766234</v>
      </c>
      <c r="X18" s="138" t="n">
        <f aca="false">'Price History'!C3+('Price History'!C158-'Price History'!C3)*0.0974025974025974</f>
        <v>57.0461688311688</v>
      </c>
      <c r="Y18" s="138" t="n">
        <f aca="false">'Price History'!D3+('Price History'!D158-'Price History'!D3)*0.0974025974025974</f>
        <v>755.98974025974</v>
      </c>
      <c r="Z18" s="138" t="n">
        <f aca="false">'Price History'!E3+('Price History'!E158-'Price History'!E3)*0.0974025974025974</f>
        <v>112.814415584416</v>
      </c>
      <c r="AA18" s="138" t="n">
        <f aca="false">'Price History'!F3+('Price History'!F158-'Price History'!F3)*0.0974025974025974</f>
        <v>52.0405194805195</v>
      </c>
      <c r="AB18" s="138" t="n">
        <f aca="false">'Price History'!G3+('Price History'!G158-'Price History'!G3)*0.0974025974025974</f>
        <v>61.0415584415584</v>
      </c>
      <c r="AC18" s="138" t="n">
        <f aca="false">'Price History'!H3+('Price History'!H158-'Price History'!H3)*0.0974025974025974</f>
        <v>138.265454545455</v>
      </c>
      <c r="AD18" s="138" t="n">
        <f aca="false">'Price History'!I3+('Price History'!I158-'Price History'!I3)*0.0974025974025974</f>
        <v>56.4246753246753</v>
      </c>
      <c r="AE18" s="138" t="n">
        <f aca="false">'Price History'!J3+('Price History'!J158-'Price History'!J3)*0.0974025974025974</f>
        <v>125.565194805195</v>
      </c>
      <c r="AF18" s="138" t="n">
        <f aca="false">'Price History'!K3+('Price History'!K158-'Price History'!K3)*0.0974025974025974</f>
        <v>25.8953896103896</v>
      </c>
      <c r="AG18" s="138" t="n">
        <f aca="false">'Price History'!L3+('Price History'!L158-'Price History'!L3)*0.0974025974025974</f>
        <v>122.404935064935</v>
      </c>
      <c r="AH18" s="138" t="n">
        <f aca="false">'Price History'!M3+('Price History'!M158-'Price History'!M3)*0.0974025974025974</f>
        <v>53.7755844155844</v>
      </c>
      <c r="AI18" s="138" t="n">
        <f aca="false">'Price History'!N3+('Price History'!N158-'Price History'!N3)*0.0974025974025974</f>
        <v>362.253506493507</v>
      </c>
      <c r="AJ18" s="138" t="n">
        <f aca="false">'Price History'!O3+('Price History'!O158-'Price History'!O3)*0.0974025974025974</f>
        <v>86.9827922077922</v>
      </c>
      <c r="AK18" s="138" t="n">
        <f aca="false">'Price History'!Q3+('Price History'!Q151-'Price History'!Q3)*0.0974025974025974</f>
        <v>51.6526623376623</v>
      </c>
      <c r="AL18" s="138" t="n">
        <f aca="false">'Price History'!R3+('Price History'!R158-'Price History'!R3)*0.0974025974025974</f>
        <v>48.8359090909091</v>
      </c>
      <c r="AM18" s="138" t="n">
        <f aca="false">'Price History'!S3+('Price History'!S158-'Price History'!S3)*0.0974025974025974</f>
        <v>66.8474675324675</v>
      </c>
      <c r="AN18" s="138" t="n">
        <f aca="false">'Price History'!T3+('Price History'!T158-'Price History'!T3)*0.0974025974025974</f>
        <v>29.1337012987013</v>
      </c>
    </row>
    <row r="19" customFormat="false" ht="15" hidden="false" customHeight="true" outlineLevel="0" collapsed="false">
      <c r="A19" s="136" t="n">
        <f aca="false">IF('Price History'!A20="","",'Price History'!A20)</f>
        <v>45268</v>
      </c>
      <c r="B19" s="137" t="n">
        <f aca="false">IFERROR(IF(OR(NOT(ISNUMBER('Price History'!B20)),NOT(ISNUMBER('Price History'!B19)),'Price History'!B19=0),"",'Price History'!B20/'Price History'!B19-1),"")</f>
        <v>-0.00401652325828206</v>
      </c>
      <c r="C19" s="137" t="n">
        <f aca="false">IFERROR(IF(OR(NOT(ISNUMBER('Price History'!C20)),NOT(ISNUMBER('Price History'!C19)),'Price History'!C19=0),"",'Price History'!C20/'Price History'!C19-1),"")</f>
        <v>0.0341580502215657</v>
      </c>
      <c r="D19" s="137" t="n">
        <f aca="false">IFERROR(IF(OR(NOT(ISNUMBER('Price History'!D20)),NOT(ISNUMBER('Price History'!D19)),'Price History'!D19=0),"",'Price History'!D20/'Price History'!D19-1),"")</f>
        <v>0.00611095059231426</v>
      </c>
      <c r="E19" s="137" t="n">
        <f aca="false">IFERROR(IF(OR(NOT(ISNUMBER('Price History'!E20)),NOT(ISNUMBER('Price History'!E19)),'Price History'!E19=0),"",'Price History'!E20/'Price History'!E19-1),"")</f>
        <v>0.0153763440860215</v>
      </c>
      <c r="F19" s="137" t="n">
        <f aca="false">IFERROR(IF(OR(NOT(ISNUMBER('Price History'!F20)),NOT(ISNUMBER('Price History'!F19)),'Price History'!F19=0),"",'Price History'!F20/'Price History'!F19-1),"")</f>
        <v>0.0319945541184479</v>
      </c>
      <c r="G19" s="137" t="n">
        <f aca="false">IFERROR(IF(OR(NOT(ISNUMBER('Price History'!G20)),NOT(ISNUMBER('Price History'!G19)),'Price History'!G19=0),"",'Price History'!G20/'Price History'!G19-1),"")</f>
        <v>-0.0265938069216758</v>
      </c>
      <c r="H19" s="137" t="n">
        <f aca="false">IFERROR(IF(OR(NOT(ISNUMBER('Price History'!H20)),NOT(ISNUMBER('Price History'!H19)),'Price History'!H19=0),"",'Price History'!H20/'Price History'!H19-1),"")</f>
        <v>-0.0127749242723563</v>
      </c>
      <c r="I19" s="137" t="n">
        <f aca="false">IFERROR(IF(OR(NOT(ISNUMBER('Price History'!I20)),NOT(ISNUMBER('Price History'!I19)),'Price History'!I19=0),"",'Price History'!I20/'Price History'!I19-1),"")</f>
        <v>0.01582210818901</v>
      </c>
      <c r="J19" s="137" t="n">
        <f aca="false">IFERROR(IF(OR(NOT(ISNUMBER('Price History'!J20)),NOT(ISNUMBER('Price History'!J19)),'Price History'!J19=0),"",'Price History'!J20/'Price History'!J19-1),"")</f>
        <v>0.0134449518011162</v>
      </c>
      <c r="K19" s="137" t="n">
        <f aca="false">IFERROR(IF(OR(NOT(ISNUMBER('Price History'!K20)),NOT(ISNUMBER('Price History'!K19)),'Price History'!K19=0),"",'Price History'!K20/'Price History'!K19-1),"")</f>
        <v>-0.123334977799704</v>
      </c>
      <c r="L19" s="137" t="n">
        <f aca="false">IFERROR(IF(OR(NOT(ISNUMBER('Price History'!L20)),NOT(ISNUMBER('Price History'!L19)),'Price History'!L19=0),"",'Price History'!L20/'Price History'!L19-1),"")</f>
        <v>0.0182648401826484</v>
      </c>
      <c r="M19" s="137" t="n">
        <f aca="false">IFERROR(IF(OR(NOT(ISNUMBER('Price History'!M20)),NOT(ISNUMBER('Price History'!M19)),'Price History'!M19=0),"",'Price History'!M20/'Price History'!M19-1),"")</f>
        <v>0.0443066016836509</v>
      </c>
      <c r="N19" s="137" t="n">
        <f aca="false">IFERROR(IF(OR(NOT(ISNUMBER('Price History'!N20)),NOT(ISNUMBER('Price History'!N19)),'Price History'!N19=0),"",'Price History'!N20/'Price History'!N19-1),"")</f>
        <v>-0.0028761817974714</v>
      </c>
      <c r="O19" s="137" t="n">
        <f aca="false">IFERROR(IF(OR(NOT(ISNUMBER('Price History'!O20)),NOT(ISNUMBER('Price History'!O19)),'Price History'!O19=0),"",'Price History'!O20/'Price History'!O19-1),"")</f>
        <v>0.00832729905865315</v>
      </c>
      <c r="P19" s="137" t="str">
        <f aca="false">IFERROR(IF(OR(NOT(ISNUMBER('Price History'!P20)),NOT(ISNUMBER('Price History'!P19)),'Price History'!P19=0),"",'Price History'!P20/'Price History'!P19-1),"")</f>
        <v/>
      </c>
      <c r="Q19" s="137" t="n">
        <f aca="false">IFERROR(IF(OR(NOT(ISNUMBER('Price History'!Q20)),NOT(ISNUMBER('Price History'!Q19)),'Price History'!Q19=0),"",'Price History'!Q20/'Price History'!Q19-1),"")</f>
        <v>0.0063575168287211</v>
      </c>
      <c r="R19" s="137" t="n">
        <f aca="false">IFERROR(IF(OR(NOT(ISNUMBER('Price History'!R20)),NOT(ISNUMBER('Price History'!R19)),'Price History'!R19=0),"",'Price History'!R20/'Price History'!R19-1),"")</f>
        <v>0.00736196319018401</v>
      </c>
      <c r="S19" s="137" t="n">
        <f aca="false">IFERROR(IF(OR(NOT(ISNUMBER('Price History'!S20)),NOT(ISNUMBER('Price History'!S19)),'Price History'!S19=0),"",'Price History'!S20/'Price History'!S19-1),"")</f>
        <v>0.0037162708030376</v>
      </c>
      <c r="T19" s="137" t="n">
        <f aca="false">IFERROR(IF(OR(NOT(ISNUMBER('Price History'!T20)),NOT(ISNUMBER('Price History'!T19)),'Price History'!T19=0),"",'Price History'!T20/'Price History'!T19-1),"")</f>
        <v>0.00884303610906412</v>
      </c>
      <c r="U19" s="137" t="str">
        <f aca="false">IFERROR(IF(OR(NOT(ISNUMBER('Price History'!U20)),NOT(ISNUMBER('Price History'!U19)),'Price History'!U19=0),"",'Price History'!U20/'Price History'!U19-1),"")</f>
        <v/>
      </c>
      <c r="W19" s="138" t="n">
        <f aca="false">'Price History'!B3+('Price History'!B158-'Price History'!B3)*0.103896103896104</f>
        <v>481.640649350649</v>
      </c>
      <c r="X19" s="138" t="n">
        <f aca="false">'Price History'!C3+('Price History'!C158-'Price History'!C3)*0.103896103896104</f>
        <v>57.9332467532468</v>
      </c>
      <c r="Y19" s="138" t="n">
        <f aca="false">'Price History'!D3+('Price History'!D158-'Price History'!D3)*0.103896103896104</f>
        <v>762.27038961039</v>
      </c>
      <c r="Z19" s="138" t="n">
        <f aca="false">'Price History'!E3+('Price History'!E158-'Price History'!E3)*0.103896103896104</f>
        <v>114.803376623377</v>
      </c>
      <c r="AA19" s="138" t="n">
        <f aca="false">'Price History'!F3+('Price History'!F158-'Price History'!F3)*0.103896103896104</f>
        <v>53.0392207792208</v>
      </c>
      <c r="AB19" s="138" t="n">
        <f aca="false">'Price History'!G3+('Price History'!G158-'Price History'!G3)*0.103896103896104</f>
        <v>61.9176623376624</v>
      </c>
      <c r="AC19" s="138" t="n">
        <f aca="false">'Price History'!H3+('Price History'!H158-'Price History'!H3)*0.103896103896104</f>
        <v>143.191818181818</v>
      </c>
      <c r="AD19" s="138" t="n">
        <f aca="false">'Price History'!I3+('Price History'!I158-'Price History'!I3)*0.103896103896104</f>
        <v>57.462987012987</v>
      </c>
      <c r="AE19" s="138" t="n">
        <f aca="false">'Price History'!J3+('Price History'!J158-'Price History'!J3)*0.103896103896104</f>
        <v>125.702207792208</v>
      </c>
      <c r="AF19" s="138" t="n">
        <f aca="false">'Price History'!K3+('Price History'!K158-'Price History'!K3)*0.103896103896104</f>
        <v>26.5944155844156</v>
      </c>
      <c r="AG19" s="138" t="n">
        <f aca="false">'Price History'!L3+('Price History'!L158-'Price History'!L3)*0.103896103896104</f>
        <v>124.432597402597</v>
      </c>
      <c r="AH19" s="138" t="n">
        <f aca="false">'Price History'!M3+('Price History'!M158-'Price History'!M3)*0.103896103896104</f>
        <v>55.1266233766234</v>
      </c>
      <c r="AI19" s="138" t="n">
        <f aca="false">'Price History'!N3+('Price History'!N158-'Price History'!N3)*0.103896103896104</f>
        <v>363.07974025974</v>
      </c>
      <c r="AJ19" s="138" t="n">
        <f aca="false">'Price History'!O3+('Price History'!O158-'Price History'!O3)*0.103896103896104</f>
        <v>87.2583116883117</v>
      </c>
      <c r="AK19" s="138" t="n">
        <f aca="false">'Price History'!Q3+('Price History'!Q151-'Price History'!Q3)*0.103896103896104</f>
        <v>51.7735064935065</v>
      </c>
      <c r="AL19" s="138" t="n">
        <f aca="false">'Price History'!R3+('Price History'!R158-'Price History'!R3)*0.103896103896104</f>
        <v>48.9036363636364</v>
      </c>
      <c r="AM19" s="138" t="n">
        <f aca="false">'Price History'!S3+('Price History'!S158-'Price History'!S3)*0.103896103896104</f>
        <v>67.4012987012987</v>
      </c>
      <c r="AN19" s="138" t="n">
        <f aca="false">'Price History'!T3+('Price History'!T158-'Price History'!T3)*0.103896103896104</f>
        <v>29.2819480519481</v>
      </c>
    </row>
    <row r="20" customFormat="false" ht="15" hidden="false" customHeight="true" outlineLevel="0" collapsed="false">
      <c r="A20" s="136" t="n">
        <f aca="false">IF('Price History'!A21="","",'Price History'!A21)</f>
        <v>45275</v>
      </c>
      <c r="B20" s="137" t="n">
        <f aca="false">IFERROR(IF(OR(NOT(ISNUMBER('Price History'!B21)),NOT(ISNUMBER('Price History'!B20)),'Price History'!B20=0),"",'Price History'!B21/'Price History'!B20-1),"")</f>
        <v>-0.0415239094441076</v>
      </c>
      <c r="C20" s="137" t="n">
        <f aca="false">IFERROR(IF(OR(NOT(ISNUMBER('Price History'!C21)),NOT(ISNUMBER('Price History'!C20)),'Price History'!C20=0),"",'Price History'!C21/'Price History'!C20-1),"")</f>
        <v>0.0515979289412605</v>
      </c>
      <c r="D20" s="137" t="n">
        <f aca="false">IFERROR(IF(OR(NOT(ISNUMBER('Price History'!D21)),NOT(ISNUMBER('Price History'!D20)),'Price History'!D20=0),"",'Price History'!D21/'Price History'!D20-1),"")</f>
        <v>0.0811711155464299</v>
      </c>
      <c r="E20" s="137" t="n">
        <f aca="false">IFERROR(IF(OR(NOT(ISNUMBER('Price History'!E21)),NOT(ISNUMBER('Price History'!E20)),'Price History'!E20=0),"",'Price History'!E21/'Price History'!E20-1),"")</f>
        <v>0.19633591019803</v>
      </c>
      <c r="F20" s="137" t="n">
        <f aca="false">IFERROR(IF(OR(NOT(ISNUMBER('Price History'!F21)),NOT(ISNUMBER('Price History'!F20)),'Price History'!F20=0),"",'Price History'!F21/'Price History'!F20-1),"")</f>
        <v>0.0722295514511873</v>
      </c>
      <c r="G20" s="137" t="n">
        <f aca="false">IFERROR(IF(OR(NOT(ISNUMBER('Price History'!G21)),NOT(ISNUMBER('Price History'!G20)),'Price History'!G20=0),"",'Price History'!G21/'Price History'!G20-1),"")</f>
        <v>0.094872754491018</v>
      </c>
      <c r="H20" s="137" t="n">
        <f aca="false">IFERROR(IF(OR(NOT(ISNUMBER('Price History'!H21)),NOT(ISNUMBER('Price History'!H20)),'Price History'!H20=0),"",'Price History'!H21/'Price History'!H20-1),"")</f>
        <v>0.0860458911419424</v>
      </c>
      <c r="I20" s="137" t="n">
        <f aca="false">IFERROR(IF(OR(NOT(ISNUMBER('Price History'!I21)),NOT(ISNUMBER('Price History'!I20)),'Price History'!I20=0),"",'Price History'!I21/'Price History'!I20-1),"")</f>
        <v>0.0290465165228373</v>
      </c>
      <c r="J20" s="137" t="n">
        <f aca="false">IFERROR(IF(OR(NOT(ISNUMBER('Price History'!J21)),NOT(ISNUMBER('Price History'!J20)),'Price History'!J20=0),"",'Price History'!J21/'Price History'!J20-1),"")</f>
        <v>0.12023362536504</v>
      </c>
      <c r="K20" s="137" t="n">
        <f aca="false">IFERROR(IF(OR(NOT(ISNUMBER('Price History'!K21)),NOT(ISNUMBER('Price History'!K20)),'Price History'!K20=0),"",'Price History'!K21/'Price History'!K20-1),"")</f>
        <v>0.024198086662915</v>
      </c>
      <c r="L20" s="137" t="n">
        <f aca="false">IFERROR(IF(OR(NOT(ISNUMBER('Price History'!L21)),NOT(ISNUMBER('Price History'!L20)),'Price History'!L20=0),"",'Price History'!L21/'Price History'!L20-1),"")</f>
        <v>0.0218236173393125</v>
      </c>
      <c r="M20" s="137" t="n">
        <f aca="false">IFERROR(IF(OR(NOT(ISNUMBER('Price History'!M21)),NOT(ISNUMBER('Price History'!M20)),'Price History'!M20=0),"",'Price History'!M21/'Price History'!M20-1),"")</f>
        <v>0.0125159100551548</v>
      </c>
      <c r="N20" s="137" t="n">
        <f aca="false">IFERROR(IF(OR(NOT(ISNUMBER('Price History'!N21)),NOT(ISNUMBER('Price History'!N20)),'Price History'!N20=0),"",'Price History'!N21/'Price History'!N20-1),"")</f>
        <v>0.172868770526917</v>
      </c>
      <c r="O20" s="137" t="n">
        <f aca="false">IFERROR(IF(OR(NOT(ISNUMBER('Price History'!O21)),NOT(ISNUMBER('Price History'!O20)),'Price History'!O20=0),"",'Price History'!O21/'Price History'!O20-1),"")</f>
        <v>0.0548174745661281</v>
      </c>
      <c r="P20" s="137" t="str">
        <f aca="false">IFERROR(IF(OR(NOT(ISNUMBER('Price History'!P21)),NOT(ISNUMBER('Price History'!P20)),'Price History'!P20=0),"",'Price History'!P21/'Price History'!P20-1),"")</f>
        <v/>
      </c>
      <c r="Q20" s="137" t="n">
        <f aca="false">IFERROR(IF(OR(NOT(ISNUMBER('Price History'!Q21)),NOT(ISNUMBER('Price History'!Q20)),'Price History'!Q20=0),"",'Price History'!Q21/'Price History'!Q20-1),"")</f>
        <v>0.0141211445559271</v>
      </c>
      <c r="R20" s="137" t="n">
        <f aca="false">IFERROR(IF(OR(NOT(ISNUMBER('Price History'!R21)),NOT(ISNUMBER('Price History'!R20)),'Price History'!R20=0),"",'Price History'!R21/'Price History'!R20-1),"")</f>
        <v>0.0150223304912709</v>
      </c>
      <c r="S20" s="137" t="n">
        <f aca="false">IFERROR(IF(OR(NOT(ISNUMBER('Price History'!S21)),NOT(ISNUMBER('Price History'!S20)),'Price History'!S20=0),"",'Price History'!S21/'Price History'!S20-1),"")</f>
        <v>0.0341274951706374</v>
      </c>
      <c r="T20" s="137" t="n">
        <f aca="false">IFERROR(IF(OR(NOT(ISNUMBER('Price History'!T21)),NOT(ISNUMBER('Price History'!T20)),'Price History'!T20=0),"",'Price History'!T21/'Price History'!T20-1),"")</f>
        <v>0.0277574872169468</v>
      </c>
      <c r="U20" s="137" t="str">
        <f aca="false">IFERROR(IF(OR(NOT(ISNUMBER('Price History'!U21)),NOT(ISNUMBER('Price History'!U20)),'Price History'!U20=0),"",'Price History'!U21/'Price History'!U20-1),"")</f>
        <v/>
      </c>
      <c r="W20" s="138" t="n">
        <f aca="false">'Price History'!B3+('Price History'!B158-'Price History'!B3)*0.11038961038961</f>
        <v>479.965064935065</v>
      </c>
      <c r="X20" s="138" t="n">
        <f aca="false">'Price History'!C3+('Price History'!C158-'Price History'!C3)*0.11038961038961</f>
        <v>58.8203246753246</v>
      </c>
      <c r="Y20" s="138" t="n">
        <f aca="false">'Price History'!D3+('Price History'!D158-'Price History'!D3)*0.11038961038961</f>
        <v>768.551038961039</v>
      </c>
      <c r="Z20" s="138" t="n">
        <f aca="false">'Price History'!E3+('Price History'!E158-'Price History'!E3)*0.11038961038961</f>
        <v>116.792337662338</v>
      </c>
      <c r="AA20" s="138" t="n">
        <f aca="false">'Price History'!F3+('Price History'!F158-'Price History'!F3)*0.11038961038961</f>
        <v>54.037922077922</v>
      </c>
      <c r="AB20" s="138" t="n">
        <f aca="false">'Price History'!G3+('Price History'!G158-'Price History'!G3)*0.11038961038961</f>
        <v>62.7937662337662</v>
      </c>
      <c r="AC20" s="138" t="n">
        <f aca="false">'Price History'!H3+('Price History'!H158-'Price History'!H3)*0.11038961038961</f>
        <v>148.118181818182</v>
      </c>
      <c r="AD20" s="138" t="n">
        <f aca="false">'Price History'!I3+('Price History'!I158-'Price History'!I3)*0.11038961038961</f>
        <v>58.5012987012986</v>
      </c>
      <c r="AE20" s="138" t="n">
        <f aca="false">'Price History'!J3+('Price History'!J158-'Price History'!J3)*0.11038961038961</f>
        <v>125.839220779221</v>
      </c>
      <c r="AF20" s="138" t="n">
        <f aca="false">'Price History'!K3+('Price History'!K158-'Price History'!K3)*0.11038961038961</f>
        <v>27.2934415584415</v>
      </c>
      <c r="AG20" s="138" t="n">
        <f aca="false">'Price History'!L3+('Price History'!L158-'Price History'!L3)*0.11038961038961</f>
        <v>126.46025974026</v>
      </c>
      <c r="AH20" s="138" t="n">
        <f aca="false">'Price History'!M3+('Price History'!M158-'Price History'!M3)*0.11038961038961</f>
        <v>56.4776623376623</v>
      </c>
      <c r="AI20" s="138" t="n">
        <f aca="false">'Price History'!N3+('Price History'!N158-'Price History'!N3)*0.11038961038961</f>
        <v>363.905974025974</v>
      </c>
      <c r="AJ20" s="138" t="n">
        <f aca="false">'Price History'!O3+('Price History'!O158-'Price History'!O3)*0.11038961038961</f>
        <v>87.5338311688311</v>
      </c>
      <c r="AK20" s="138" t="n">
        <f aca="false">'Price History'!Q3+('Price History'!Q151-'Price History'!Q3)*0.11038961038961</f>
        <v>51.8943506493506</v>
      </c>
      <c r="AL20" s="138" t="n">
        <f aca="false">'Price History'!R3+('Price History'!R158-'Price History'!R3)*0.11038961038961</f>
        <v>48.9713636363636</v>
      </c>
      <c r="AM20" s="138" t="n">
        <f aca="false">'Price History'!S3+('Price History'!S158-'Price History'!S3)*0.11038961038961</f>
        <v>67.9551298701298</v>
      </c>
      <c r="AN20" s="138" t="n">
        <f aca="false">'Price History'!T3+('Price History'!T158-'Price History'!T3)*0.11038961038961</f>
        <v>29.4301948051948</v>
      </c>
    </row>
    <row r="21" customFormat="false" ht="15" hidden="false" customHeight="true" outlineLevel="0" collapsed="false">
      <c r="A21" s="136" t="n">
        <f aca="false">IF('Price History'!A22="","",'Price History'!A22)</f>
        <v>45282</v>
      </c>
      <c r="B21" s="137" t="n">
        <f aca="false">IFERROR(IF(OR(NOT(ISNUMBER('Price History'!B22)),NOT(ISNUMBER('Price History'!B21)),'Price History'!B21=0),"",'Price History'!B22/'Price History'!B21-1),"")</f>
        <v>0.0240644455086545</v>
      </c>
      <c r="C21" s="137" t="n">
        <f aca="false">IFERROR(IF(OR(NOT(ISNUMBER('Price History'!C22)),NOT(ISNUMBER('Price History'!C21)),'Price History'!C21=0),"",'Price History'!C22/'Price History'!C21-1),"")</f>
        <v>0.0113752122241086</v>
      </c>
      <c r="D21" s="137" t="n">
        <f aca="false">IFERROR(IF(OR(NOT(ISNUMBER('Price History'!D22)),NOT(ISNUMBER('Price History'!D21)),'Price History'!D21=0),"",'Price History'!D22/'Price History'!D21-1),"")</f>
        <v>-0.00057107947301327</v>
      </c>
      <c r="E21" s="137" t="n">
        <f aca="false">IFERROR(IF(OR(NOT(ISNUMBER('Price History'!E22)),NOT(ISNUMBER('Price History'!E21)),'Price History'!E21=0),"",'Price History'!E22/'Price History'!E21-1),"")</f>
        <v>-0.00681596884128521</v>
      </c>
      <c r="F21" s="137" t="n">
        <f aca="false">IFERROR(IF(OR(NOT(ISNUMBER('Price History'!F22)),NOT(ISNUMBER('Price History'!F21)),'Price History'!F21=0),"",'Price History'!F22/'Price History'!F21-1),"")</f>
        <v>-0.0170716702553061</v>
      </c>
      <c r="G21" s="137" t="n">
        <f aca="false">IFERROR(IF(OR(NOT(ISNUMBER('Price History'!G22)),NOT(ISNUMBER('Price History'!G21)),'Price History'!G21=0),"",'Price History'!G22/'Price History'!G21-1),"")</f>
        <v>-0.00410186292941372</v>
      </c>
      <c r="H21" s="137" t="n">
        <f aca="false">IFERROR(IF(OR(NOT(ISNUMBER('Price History'!H22)),NOT(ISNUMBER('Price History'!H21)),'Price History'!H21=0),"",'Price History'!H22/'Price History'!H21-1),"")</f>
        <v>0.0624001965360521</v>
      </c>
      <c r="I21" s="137" t="n">
        <f aca="false">IFERROR(IF(OR(NOT(ISNUMBER('Price History'!I22)),NOT(ISNUMBER('Price History'!I21)),'Price History'!I21=0),"",'Price History'!I22/'Price History'!I21-1),"")</f>
        <v>-0.00122724483534464</v>
      </c>
      <c r="J21" s="137" t="n">
        <f aca="false">IFERROR(IF(OR(NOT(ISNUMBER('Price History'!J22)),NOT(ISNUMBER('Price History'!J21)),'Price History'!J21=0),"",'Price History'!J22/'Price History'!J21-1),"")</f>
        <v>-0.0138537166691493</v>
      </c>
      <c r="K21" s="137" t="n">
        <f aca="false">IFERROR(IF(OR(NOT(ISNUMBER('Price History'!K22)),NOT(ISNUMBER('Price History'!K21)),'Price History'!K21=0),"",'Price History'!K22/'Price History'!K21-1),"")</f>
        <v>-0.0434065934065934</v>
      </c>
      <c r="L21" s="137" t="n">
        <f aca="false">IFERROR(IF(OR(NOT(ISNUMBER('Price History'!L22)),NOT(ISNUMBER('Price History'!L21)),'Price History'!L21=0),"",'Price History'!L22/'Price History'!L21-1),"")</f>
        <v>0.00594889799102782</v>
      </c>
      <c r="M21" s="137" t="n">
        <f aca="false">IFERROR(IF(OR(NOT(ISNUMBER('Price History'!M22)),NOT(ISNUMBER('Price History'!M21)),'Price History'!M21=0),"",'Price History'!M22/'Price History'!M21-1),"")</f>
        <v>0.0219987429289756</v>
      </c>
      <c r="N21" s="137" t="n">
        <f aca="false">IFERROR(IF(OR(NOT(ISNUMBER('Price History'!N22)),NOT(ISNUMBER('Price History'!N21)),'Price History'!N21=0),"",'Price History'!N22/'Price History'!N21-1),"")</f>
        <v>-0.0132219733125548</v>
      </c>
      <c r="O21" s="137" t="n">
        <f aca="false">IFERROR(IF(OR(NOT(ISNUMBER('Price History'!O22)),NOT(ISNUMBER('Price History'!O21)),'Price History'!O21=0),"",'Price History'!O22/'Price History'!O21-1),"")</f>
        <v>0.0226937478724611</v>
      </c>
      <c r="P21" s="137" t="str">
        <f aca="false">IFERROR(IF(OR(NOT(ISNUMBER('Price History'!P22)),NOT(ISNUMBER('Price History'!P21)),'Price History'!P21=0),"",'Price History'!P22/'Price History'!P21-1),"")</f>
        <v/>
      </c>
      <c r="Q21" s="137" t="n">
        <f aca="false">IFERROR(IF(OR(NOT(ISNUMBER('Price History'!Q22)),NOT(ISNUMBER('Price History'!Q21)),'Price History'!Q21=0),"",'Price History'!Q22/'Price History'!Q21-1),"")</f>
        <v>0.00439721509710522</v>
      </c>
      <c r="R21" s="137" t="n">
        <f aca="false">IFERROR(IF(OR(NOT(ISNUMBER('Price History'!R22)),NOT(ISNUMBER('Price History'!R21)),'Price History'!R21=0),"",'Price History'!R22/'Price History'!R21-1),"")</f>
        <v>0.00319999999999987</v>
      </c>
      <c r="S21" s="137" t="n">
        <f aca="false">IFERROR(IF(OR(NOT(ISNUMBER('Price History'!S22)),NOT(ISNUMBER('Price History'!S21)),'Price History'!S21=0),"",'Price History'!S22/'Price History'!S21-1),"")</f>
        <v>0.0124533001245333</v>
      </c>
      <c r="T21" s="137" t="n">
        <f aca="false">IFERROR(IF(OR(NOT(ISNUMBER('Price History'!T22)),NOT(ISNUMBER('Price History'!T21)),'Price History'!T21=0),"",'Price History'!T22/'Price History'!T21-1),"")</f>
        <v>0.00959488272921116</v>
      </c>
      <c r="U21" s="137" t="str">
        <f aca="false">IFERROR(IF(OR(NOT(ISNUMBER('Price History'!U22)),NOT(ISNUMBER('Price History'!U21)),'Price History'!U21=0),"",'Price History'!U22/'Price History'!U21-1),"")</f>
        <v/>
      </c>
      <c r="W21" s="138" t="n">
        <f aca="false">'Price History'!B3+('Price History'!B158-'Price History'!B3)*0.116883116883117</f>
        <v>478.289480519481</v>
      </c>
      <c r="X21" s="138" t="n">
        <f aca="false">'Price History'!C3+('Price History'!C158-'Price History'!C3)*0.116883116883117</f>
        <v>59.7074025974026</v>
      </c>
      <c r="Y21" s="138" t="n">
        <f aca="false">'Price History'!D3+('Price History'!D158-'Price History'!D3)*0.116883116883117</f>
        <v>774.831688311688</v>
      </c>
      <c r="Z21" s="138" t="n">
        <f aca="false">'Price History'!E3+('Price History'!E158-'Price History'!E3)*0.116883116883117</f>
        <v>118.781298701299</v>
      </c>
      <c r="AA21" s="138" t="n">
        <f aca="false">'Price History'!F3+('Price History'!F158-'Price History'!F3)*0.116883116883117</f>
        <v>55.0366233766234</v>
      </c>
      <c r="AB21" s="138" t="n">
        <f aca="false">'Price History'!G3+('Price History'!G158-'Price History'!G3)*0.116883116883117</f>
        <v>63.6698701298701</v>
      </c>
      <c r="AC21" s="138" t="n">
        <f aca="false">'Price History'!H3+('Price History'!H158-'Price History'!H3)*0.116883116883117</f>
        <v>153.044545454546</v>
      </c>
      <c r="AD21" s="138" t="n">
        <f aca="false">'Price History'!I3+('Price History'!I158-'Price History'!I3)*0.116883116883117</f>
        <v>59.5396103896104</v>
      </c>
      <c r="AE21" s="138" t="n">
        <f aca="false">'Price History'!J3+('Price History'!J158-'Price History'!J3)*0.116883116883117</f>
        <v>125.976233766234</v>
      </c>
      <c r="AF21" s="138" t="n">
        <f aca="false">'Price History'!K3+('Price History'!K158-'Price History'!K3)*0.116883116883117</f>
        <v>27.9924675324675</v>
      </c>
      <c r="AG21" s="138" t="n">
        <f aca="false">'Price History'!L3+('Price History'!L158-'Price History'!L3)*0.116883116883117</f>
        <v>128.487922077922</v>
      </c>
      <c r="AH21" s="138" t="n">
        <f aca="false">'Price History'!M3+('Price History'!M158-'Price History'!M3)*0.116883116883117</f>
        <v>57.8287012987013</v>
      </c>
      <c r="AI21" s="138" t="n">
        <f aca="false">'Price History'!N3+('Price History'!N158-'Price History'!N3)*0.116883116883117</f>
        <v>364.732207792208</v>
      </c>
      <c r="AJ21" s="138" t="n">
        <f aca="false">'Price History'!O3+('Price History'!O158-'Price History'!O3)*0.116883116883117</f>
        <v>87.8093506493507</v>
      </c>
      <c r="AK21" s="138" t="n">
        <f aca="false">'Price History'!Q3+('Price History'!Q151-'Price History'!Q3)*0.116883116883117</f>
        <v>52.0151948051948</v>
      </c>
      <c r="AL21" s="138" t="n">
        <f aca="false">'Price History'!R3+('Price History'!R158-'Price History'!R3)*0.116883116883117</f>
        <v>49.0390909090909</v>
      </c>
      <c r="AM21" s="138" t="n">
        <f aca="false">'Price History'!S3+('Price History'!S158-'Price History'!S3)*0.116883116883117</f>
        <v>68.5089610389611</v>
      </c>
      <c r="AN21" s="138" t="n">
        <f aca="false">'Price History'!T3+('Price History'!T158-'Price History'!T3)*0.116883116883117</f>
        <v>29.5784415584416</v>
      </c>
    </row>
    <row r="22" customFormat="false" ht="15" hidden="false" customHeight="true" outlineLevel="0" collapsed="false">
      <c r="A22" s="136" t="n">
        <f aca="false">IF('Price History'!A23="","",'Price History'!A23)</f>
        <v>45289</v>
      </c>
      <c r="B22" s="137" t="n">
        <f aca="false">IFERROR(IF(OR(NOT(ISNUMBER('Price History'!B23)),NOT(ISNUMBER('Price History'!B22)),'Price History'!B22=0),"",'Price History'!B23/'Price History'!B22-1),"")</f>
        <v>-0.00359081419624219</v>
      </c>
      <c r="C22" s="137" t="n">
        <f aca="false">IFERROR(IF(OR(NOT(ISNUMBER('Price History'!C23)),NOT(ISNUMBER('Price History'!C22)),'Price History'!C22=0),"",'Price History'!C23/'Price History'!C22-1),"")</f>
        <v>-0.0115830115830116</v>
      </c>
      <c r="D22" s="137" t="n">
        <f aca="false">IFERROR(IF(OR(NOT(ISNUMBER('Price History'!D23)),NOT(ISNUMBER('Price History'!D22)),'Price History'!D22=0),"",'Price History'!D23/'Price History'!D22-1),"")</f>
        <v>0.00583365447224704</v>
      </c>
      <c r="E22" s="137" t="n">
        <f aca="false">IFERROR(IF(OR(NOT(ISNUMBER('Price History'!E23)),NOT(ISNUMBER('Price History'!E22)),'Price History'!E22=0),"",'Price History'!E23/'Price History'!E22-1),"")</f>
        <v>-0.00508021390374336</v>
      </c>
      <c r="F22" s="137" t="n">
        <f aca="false">IFERROR(IF(OR(NOT(ISNUMBER('Price History'!F23)),NOT(ISNUMBER('Price History'!F22)),'Price History'!F22=0),"",'Price History'!F23/'Price History'!F22-1),"")</f>
        <v>-0.00125176028790486</v>
      </c>
      <c r="G22" s="137" t="n">
        <f aca="false">IFERROR(IF(OR(NOT(ISNUMBER('Price History'!G23)),NOT(ISNUMBER('Price History'!G22)),'Price History'!G22=0),"",'Price History'!G23/'Price History'!G22-1),"")</f>
        <v>-0.00240260854642183</v>
      </c>
      <c r="H22" s="137" t="n">
        <f aca="false">IFERROR(IF(OR(NOT(ISNUMBER('Price History'!H23)),NOT(ISNUMBER('Price History'!H22)),'Price History'!H22=0),"",'Price History'!H23/'Price History'!H22-1),"")</f>
        <v>-0.0132963348363971</v>
      </c>
      <c r="I22" s="137" t="n">
        <f aca="false">IFERROR(IF(OR(NOT(ISNUMBER('Price History'!I23)),NOT(ISNUMBER('Price History'!I22)),'Price History'!I22=0),"",'Price History'!I23/'Price History'!I22-1),"")</f>
        <v>0.0141306573827567</v>
      </c>
      <c r="J22" s="137" t="n">
        <f aca="false">IFERROR(IF(OR(NOT(ISNUMBER('Price History'!J23)),NOT(ISNUMBER('Price History'!J22)),'Price History'!J22=0),"",'Price History'!J23/'Price History'!J22-1),"")</f>
        <v>0.00679758308157097</v>
      </c>
      <c r="K22" s="137" t="n">
        <f aca="false">IFERROR(IF(OR(NOT(ISNUMBER('Price History'!K23)),NOT(ISNUMBER('Price History'!K22)),'Price History'!K22=0),"",'Price History'!K23/'Price History'!K22-1),"")</f>
        <v>-0.0137851809304996</v>
      </c>
      <c r="L22" s="137" t="n">
        <f aca="false">IFERROR(IF(OR(NOT(ISNUMBER('Price History'!L23)),NOT(ISNUMBER('Price History'!L22)),'Price History'!L22=0),"",'Price History'!L23/'Price History'!L22-1),"")</f>
        <v>0.00824042656325741</v>
      </c>
      <c r="M22" s="137" t="n">
        <f aca="false">IFERROR(IF(OR(NOT(ISNUMBER('Price History'!M23)),NOT(ISNUMBER('Price History'!M22)),'Price History'!M22=0),"",'Price History'!M23/'Price History'!M22-1),"")</f>
        <v>-0.0153751537515375</v>
      </c>
      <c r="N22" s="137" t="n">
        <f aca="false">IFERROR(IF(OR(NOT(ISNUMBER('Price History'!N23)),NOT(ISNUMBER('Price History'!N22)),'Price History'!N22=0),"",'Price History'!N23/'Price History'!N22-1),"")</f>
        <v>0.00404688463911174</v>
      </c>
      <c r="O22" s="137" t="n">
        <f aca="false">IFERROR(IF(OR(NOT(ISNUMBER('Price History'!O23)),NOT(ISNUMBER('Price History'!O22)),'Price History'!O22=0),"",'Price History'!O23/'Price History'!O22-1),"")</f>
        <v>-0.0036613780095418</v>
      </c>
      <c r="P22" s="137" t="str">
        <f aca="false">IFERROR(IF(OR(NOT(ISNUMBER('Price History'!P23)),NOT(ISNUMBER('Price History'!P22)),'Price History'!P22=0),"",'Price History'!P23/'Price History'!P22-1),"")</f>
        <v/>
      </c>
      <c r="Q22" s="137" t="n">
        <f aca="false">IFERROR(IF(OR(NOT(ISNUMBER('Price History'!Q23)),NOT(ISNUMBER('Price History'!Q22)),'Price History'!Q22=0),"",'Price History'!Q23/'Price History'!Q22-1),"")</f>
        <v>-0.00547245530828155</v>
      </c>
      <c r="R22" s="137" t="n">
        <f aca="false">IFERROR(IF(OR(NOT(ISNUMBER('Price History'!R23)),NOT(ISNUMBER('Price History'!R22)),'Price History'!R22=0),"",'Price History'!R23/'Price History'!R22-1),"")</f>
        <v>-0.00458532695374792</v>
      </c>
      <c r="S22" s="137" t="n">
        <f aca="false">IFERROR(IF(OR(NOT(ISNUMBER('Price History'!S23)),NOT(ISNUMBER('Price History'!S22)),'Price History'!S22=0),"",'Price History'!S23/'Price History'!S22-1),"")</f>
        <v>0.00707257072570711</v>
      </c>
      <c r="T22" s="137" t="n">
        <f aca="false">IFERROR(IF(OR(NOT(ISNUMBER('Price History'!T23)),NOT(ISNUMBER('Price History'!T22)),'Price History'!T22=0),"",'Price History'!T23/'Price History'!T22-1),"")</f>
        <v>-0.0024639211545231</v>
      </c>
      <c r="U22" s="137" t="str">
        <f aca="false">IFERROR(IF(OR(NOT(ISNUMBER('Price History'!U23)),NOT(ISNUMBER('Price History'!U22)),'Price History'!U22=0),"",'Price History'!U23/'Price History'!U22-1),"")</f>
        <v/>
      </c>
      <c r="W22" s="138" t="n">
        <f aca="false">'Price History'!B3+('Price History'!B158-'Price History'!B3)*0.123376623376623</f>
        <v>476.613896103896</v>
      </c>
      <c r="X22" s="138" t="n">
        <f aca="false">'Price History'!C3+('Price History'!C158-'Price History'!C3)*0.123376623376623</f>
        <v>60.5944805194805</v>
      </c>
      <c r="Y22" s="138" t="n">
        <f aca="false">'Price History'!D3+('Price History'!D158-'Price History'!D3)*0.123376623376623</f>
        <v>781.112337662337</v>
      </c>
      <c r="Z22" s="138" t="n">
        <f aca="false">'Price History'!E3+('Price History'!E158-'Price History'!E3)*0.123376623376623</f>
        <v>120.77025974026</v>
      </c>
      <c r="AA22" s="138" t="n">
        <f aca="false">'Price History'!F3+('Price History'!F158-'Price History'!F3)*0.123376623376623</f>
        <v>56.0353246753246</v>
      </c>
      <c r="AB22" s="138" t="n">
        <f aca="false">'Price History'!G3+('Price History'!G158-'Price History'!G3)*0.123376623376623</f>
        <v>64.545974025974</v>
      </c>
      <c r="AC22" s="138" t="n">
        <f aca="false">'Price History'!H3+('Price History'!H158-'Price History'!H3)*0.123376623376623</f>
        <v>157.970909090909</v>
      </c>
      <c r="AD22" s="138" t="n">
        <f aca="false">'Price History'!I3+('Price History'!I158-'Price History'!I3)*0.123376623376623</f>
        <v>60.577922077922</v>
      </c>
      <c r="AE22" s="138" t="n">
        <f aca="false">'Price History'!J3+('Price History'!J158-'Price History'!J3)*0.123376623376623</f>
        <v>126.113246753247</v>
      </c>
      <c r="AF22" s="138" t="n">
        <f aca="false">'Price History'!K3+('Price History'!K158-'Price History'!K3)*0.123376623376623</f>
        <v>28.6914935064935</v>
      </c>
      <c r="AG22" s="138" t="n">
        <f aca="false">'Price History'!L3+('Price History'!L158-'Price History'!L3)*0.123376623376623</f>
        <v>130.515584415584</v>
      </c>
      <c r="AH22" s="138" t="n">
        <f aca="false">'Price History'!M3+('Price History'!M158-'Price History'!M3)*0.123376623376623</f>
        <v>59.1797402597402</v>
      </c>
      <c r="AI22" s="138" t="n">
        <f aca="false">'Price History'!N3+('Price History'!N158-'Price History'!N3)*0.123376623376623</f>
        <v>365.558441558442</v>
      </c>
      <c r="AJ22" s="138" t="n">
        <f aca="false">'Price History'!O3+('Price History'!O158-'Price History'!O3)*0.123376623376623</f>
        <v>88.0848701298701</v>
      </c>
      <c r="AK22" s="138" t="n">
        <f aca="false">'Price History'!Q3+('Price History'!Q151-'Price History'!Q3)*0.123376623376623</f>
        <v>52.136038961039</v>
      </c>
      <c r="AL22" s="138" t="n">
        <f aca="false">'Price History'!R3+('Price History'!R158-'Price History'!R3)*0.123376623376623</f>
        <v>49.1068181818182</v>
      </c>
      <c r="AM22" s="138" t="n">
        <f aca="false">'Price History'!S3+('Price History'!S158-'Price History'!S3)*0.123376623376623</f>
        <v>69.0627922077922</v>
      </c>
      <c r="AN22" s="138" t="n">
        <f aca="false">'Price History'!T3+('Price History'!T158-'Price History'!T3)*0.123376623376623</f>
        <v>29.7266883116883</v>
      </c>
    </row>
    <row r="23" customFormat="false" ht="15" hidden="false" customHeight="true" outlineLevel="0" collapsed="false">
      <c r="A23" s="136" t="n">
        <f aca="false">IF('Price History'!A24="","",'Price History'!A24)</f>
        <v>45296</v>
      </c>
      <c r="B23" s="137" t="n">
        <f aca="false">IFERROR(IF(OR(NOT(ISNUMBER('Price History'!B24)),NOT(ISNUMBER('Price History'!B23)),'Price History'!B23=0),"",'Price History'!B24/'Price History'!B23-1),"")</f>
        <v>-0.0536372779081462</v>
      </c>
      <c r="C23" s="137" t="n">
        <f aca="false">IFERROR(IF(OR(NOT(ISNUMBER('Price History'!C24)),NOT(ISNUMBER('Price History'!C23)),'Price History'!C23=0),"",'Price History'!C24/'Price History'!C23-1),"")</f>
        <v>-0.0195312500000001</v>
      </c>
      <c r="D23" s="137" t="n">
        <f aca="false">IFERROR(IF(OR(NOT(ISNUMBER('Price History'!D24)),NOT(ISNUMBER('Price History'!D23)),'Price History'!D23=0),"",'Price History'!D24/'Price History'!D23-1),"")</f>
        <v>-0.0707868731173703</v>
      </c>
      <c r="E23" s="137" t="n">
        <f aca="false">IFERROR(IF(OR(NOT(ISNUMBER('Price History'!E24)),NOT(ISNUMBER('Price History'!E23)),'Price History'!E23=0),"",'Price History'!E24/'Price History'!E23-1),"")</f>
        <v>-0.060019707963809</v>
      </c>
      <c r="F23" s="137" t="n">
        <f aca="false">IFERROR(IF(OR(NOT(ISNUMBER('Price History'!F24)),NOT(ISNUMBER('Price History'!F23)),'Price History'!F23=0),"",'Price History'!F24/'Price History'!F23-1),"")</f>
        <v>-0.0307065643114524</v>
      </c>
      <c r="G23" s="137" t="n">
        <f aca="false">IFERROR(IF(OR(NOT(ISNUMBER('Price History'!G24)),NOT(ISNUMBER('Price History'!G23)),'Price History'!G23=0),"",'Price History'!G24/'Price History'!G23-1),"")</f>
        <v>-0.0636504386719422</v>
      </c>
      <c r="H23" s="137" t="n">
        <f aca="false">IFERROR(IF(OR(NOT(ISNUMBER('Price History'!H24)),NOT(ISNUMBER('Price History'!H23)),'Price History'!H23=0),"",'Price History'!H24/'Price History'!H23-1),"")</f>
        <v>-0.0221467072884931</v>
      </c>
      <c r="I23" s="137" t="n">
        <f aca="false">IFERROR(IF(OR(NOT(ISNUMBER('Price History'!I24)),NOT(ISNUMBER('Price History'!I23)),'Price History'!I23=0),"",'Price History'!I24/'Price History'!I23-1),"")</f>
        <v>-0.00848142164781907</v>
      </c>
      <c r="J23" s="137" t="n">
        <f aca="false">IFERROR(IF(OR(NOT(ISNUMBER('Price History'!J24)),NOT(ISNUMBER('Price History'!J23)),'Price History'!J23=0),"",'Price History'!J24/'Price History'!J23-1),"")</f>
        <v>-0.0205551387846963</v>
      </c>
      <c r="K23" s="137" t="n">
        <f aca="false">IFERROR(IF(OR(NOT(ISNUMBER('Price History'!K24)),NOT(ISNUMBER('Price History'!K23)),'Price History'!K23=0),"",'Price History'!K24/'Price History'!K23-1),"")</f>
        <v>-0.0693069306930694</v>
      </c>
      <c r="L23" s="137" t="n">
        <f aca="false">IFERROR(IF(OR(NOT(ISNUMBER('Price History'!L24)),NOT(ISNUMBER('Price History'!L23)),'Price History'!L23=0),"",'Price History'!L24/'Price History'!L23-1),"")</f>
        <v>-0.0422115384615385</v>
      </c>
      <c r="M23" s="137" t="n">
        <f aca="false">IFERROR(IF(OR(NOT(ISNUMBER('Price History'!M24)),NOT(ISNUMBER('Price History'!M23)),'Price History'!M23=0),"",'Price History'!M24/'Price History'!M23-1),"")</f>
        <v>-0.0358109514886529</v>
      </c>
      <c r="N23" s="137" t="n">
        <f aca="false">IFERROR(IF(OR(NOT(ISNUMBER('Price History'!N24)),NOT(ISNUMBER('Price History'!N23)),'Price History'!N23=0),"",'Price History'!N24/'Price History'!N23-1),"")</f>
        <v>0.0236181769028485</v>
      </c>
      <c r="O23" s="137" t="n">
        <f aca="false">IFERROR(IF(OR(NOT(ISNUMBER('Price History'!O24)),NOT(ISNUMBER('Price History'!O23)),'Price History'!O23=0),"",'Price History'!O24/'Price History'!O23-1),"")</f>
        <v>-0.025946547884187</v>
      </c>
      <c r="P23" s="137" t="str">
        <f aca="false">IFERROR(IF(OR(NOT(ISNUMBER('Price History'!P24)),NOT(ISNUMBER('Price History'!P23)),'Price History'!P23=0),"",'Price History'!P24/'Price History'!P23-1),"")</f>
        <v/>
      </c>
      <c r="Q23" s="137" t="n">
        <f aca="false">IFERROR(IF(OR(NOT(ISNUMBER('Price History'!Q24)),NOT(ISNUMBER('Price History'!Q23)),'Price History'!Q23=0),"",'Price History'!Q24/'Price History'!Q23-1),"")</f>
        <v>0.0075201760821717</v>
      </c>
      <c r="R23" s="137" t="n">
        <f aca="false">IFERROR(IF(OR(NOT(ISNUMBER('Price History'!R24)),NOT(ISNUMBER('Price History'!R23)),'Price History'!R23=0),"",'Price History'!R24/'Price History'!R23-1),"")</f>
        <v>-0.0156218706188664</v>
      </c>
      <c r="S23" s="137" t="n">
        <f aca="false">IFERROR(IF(OR(NOT(ISNUMBER('Price History'!S24)),NOT(ISNUMBER('Price History'!S23)),'Price History'!S23=0),"",'Price History'!S24/'Price History'!S23-1),"")</f>
        <v>-0.0103816793893131</v>
      </c>
      <c r="T23" s="137" t="n">
        <f aca="false">IFERROR(IF(OR(NOT(ISNUMBER('Price History'!T24)),NOT(ISNUMBER('Price History'!T23)),'Price History'!T23=0),"",'Price History'!T24/'Price History'!T23-1),"")</f>
        <v>0.00105857445307</v>
      </c>
      <c r="U23" s="137" t="str">
        <f aca="false">IFERROR(IF(OR(NOT(ISNUMBER('Price History'!U24)),NOT(ISNUMBER('Price History'!U23)),'Price History'!U23=0),"",'Price History'!U24/'Price History'!U23-1),"")</f>
        <v/>
      </c>
      <c r="W23" s="138" t="n">
        <f aca="false">'Price History'!B3+('Price History'!B158-'Price History'!B3)*0.12987012987013</f>
        <v>474.938311688312</v>
      </c>
      <c r="X23" s="138" t="n">
        <f aca="false">'Price History'!C3+('Price History'!C158-'Price History'!C3)*0.12987012987013</f>
        <v>61.4815584415585</v>
      </c>
      <c r="Y23" s="138" t="n">
        <f aca="false">'Price History'!D3+('Price History'!D158-'Price History'!D3)*0.12987012987013</f>
        <v>787.392987012987</v>
      </c>
      <c r="Z23" s="138" t="n">
        <f aca="false">'Price History'!E3+('Price History'!E158-'Price History'!E3)*0.12987012987013</f>
        <v>122.759220779221</v>
      </c>
      <c r="AA23" s="138" t="n">
        <f aca="false">'Price History'!F3+('Price History'!F158-'Price History'!F3)*0.12987012987013</f>
        <v>57.034025974026</v>
      </c>
      <c r="AB23" s="138" t="n">
        <f aca="false">'Price History'!G3+('Price History'!G158-'Price History'!G3)*0.12987012987013</f>
        <v>65.4220779220779</v>
      </c>
      <c r="AC23" s="138" t="n">
        <f aca="false">'Price History'!H3+('Price History'!H158-'Price History'!H3)*0.12987012987013</f>
        <v>162.897272727273</v>
      </c>
      <c r="AD23" s="138" t="n">
        <f aca="false">'Price History'!I3+('Price History'!I158-'Price History'!I3)*0.12987012987013</f>
        <v>61.6162337662338</v>
      </c>
      <c r="AE23" s="138" t="n">
        <f aca="false">'Price History'!J3+('Price History'!J158-'Price History'!J3)*0.12987012987013</f>
        <v>126.25025974026</v>
      </c>
      <c r="AF23" s="138" t="n">
        <f aca="false">'Price History'!K3+('Price History'!K158-'Price History'!K3)*0.12987012987013</f>
        <v>29.3905194805195</v>
      </c>
      <c r="AG23" s="138" t="n">
        <f aca="false">'Price History'!L3+('Price History'!L158-'Price History'!L3)*0.12987012987013</f>
        <v>132.543246753247</v>
      </c>
      <c r="AH23" s="138" t="n">
        <f aca="false">'Price History'!M3+('Price History'!M158-'Price History'!M3)*0.12987012987013</f>
        <v>60.5307792207792</v>
      </c>
      <c r="AI23" s="138" t="n">
        <f aca="false">'Price History'!N3+('Price History'!N158-'Price History'!N3)*0.12987012987013</f>
        <v>366.384675324675</v>
      </c>
      <c r="AJ23" s="138" t="n">
        <f aca="false">'Price History'!O3+('Price History'!O158-'Price History'!O3)*0.12987012987013</f>
        <v>88.3603896103896</v>
      </c>
      <c r="AK23" s="138" t="n">
        <f aca="false">'Price History'!Q3+('Price History'!Q151-'Price History'!Q3)*0.12987012987013</f>
        <v>52.2568831168831</v>
      </c>
      <c r="AL23" s="138" t="n">
        <f aca="false">'Price History'!R3+('Price History'!R158-'Price History'!R3)*0.12987012987013</f>
        <v>49.1745454545455</v>
      </c>
      <c r="AM23" s="138" t="n">
        <f aca="false">'Price History'!S3+('Price History'!S158-'Price History'!S3)*0.12987012987013</f>
        <v>69.6166233766234</v>
      </c>
      <c r="AN23" s="138" t="n">
        <f aca="false">'Price History'!T3+('Price History'!T158-'Price History'!T3)*0.12987012987013</f>
        <v>29.8749350649351</v>
      </c>
    </row>
    <row r="24" customFormat="false" ht="15" hidden="false" customHeight="true" outlineLevel="0" collapsed="false">
      <c r="A24" s="136" t="n">
        <f aca="false">IF('Price History'!A25="","",'Price History'!A25)</f>
        <v>45303</v>
      </c>
      <c r="B24" s="137" t="n">
        <f aca="false">IFERROR(IF(OR(NOT(ISNUMBER('Price History'!B25)),NOT(ISNUMBER('Price History'!B24)),'Price History'!B24=0),"",'Price History'!B25/'Price History'!B24-1),"")</f>
        <v>0.0565710237336166</v>
      </c>
      <c r="C24" s="137" t="n">
        <f aca="false">IFERROR(IF(OR(NOT(ISNUMBER('Price History'!C25)),NOT(ISNUMBER('Price History'!C24)),'Price History'!C24=0),"",'Price History'!C25/'Price History'!C24-1),"")</f>
        <v>0.0914602459726313</v>
      </c>
      <c r="D24" s="137" t="n">
        <f aca="false">IFERROR(IF(OR(NOT(ISNUMBER('Price History'!D25)),NOT(ISNUMBER('Price History'!D24)),'Price History'!D24=0),"",'Price History'!D25/'Price History'!D24-1),"")</f>
        <v>0.014047260215543</v>
      </c>
      <c r="E24" s="137" t="n">
        <f aca="false">IFERROR(IF(OR(NOT(ISNUMBER('Price History'!E25)),NOT(ISNUMBER('Price History'!E24)),'Price History'!E24=0),"",'Price History'!E25/'Price History'!E24-1),"")</f>
        <v>0.0556561517201943</v>
      </c>
      <c r="F24" s="137" t="n">
        <f aca="false">IFERROR(IF(OR(NOT(ISNUMBER('Price History'!F25)),NOT(ISNUMBER('Price History'!F24)),'Price History'!F24=0),"",'Price History'!F25/'Price History'!F24-1),"")</f>
        <v>0.144981412639405</v>
      </c>
      <c r="G24" s="137" t="n">
        <f aca="false">IFERROR(IF(OR(NOT(ISNUMBER('Price History'!G25)),NOT(ISNUMBER('Price History'!G24)),'Price History'!G24=0),"",'Price History'!G25/'Price History'!G24-1),"")</f>
        <v>0.0299467205585156</v>
      </c>
      <c r="H24" s="137" t="n">
        <f aca="false">IFERROR(IF(OR(NOT(ISNUMBER('Price History'!H25)),NOT(ISNUMBER('Price History'!H24)),'Price History'!H24=0),"",'Price History'!H25/'Price History'!H24-1),"")</f>
        <v>-0.0127022168963451</v>
      </c>
      <c r="I24" s="137" t="n">
        <f aca="false">IFERROR(IF(OR(NOT(ISNUMBER('Price History'!I25)),NOT(ISNUMBER('Price History'!I24)),'Price History'!I24=0),"",'Price History'!I25/'Price History'!I24-1),"")</f>
        <v>0.114256619144603</v>
      </c>
      <c r="J24" s="137" t="n">
        <f aca="false">IFERROR(IF(OR(NOT(ISNUMBER('Price History'!J25)),NOT(ISNUMBER('Price History'!J24)),'Price History'!J24=0),"",'Price History'!J25/'Price History'!J24-1),"")</f>
        <v>0.00758272058823528</v>
      </c>
      <c r="K24" s="137" t="n">
        <f aca="false">IFERROR(IF(OR(NOT(ISNUMBER('Price History'!K25)),NOT(ISNUMBER('Price History'!K24)),'Price History'!K24=0),"",'Price History'!K25/'Price History'!K24-1),"")</f>
        <v>0.0488110137672091</v>
      </c>
      <c r="L24" s="137" t="n">
        <f aca="false">IFERROR(IF(OR(NOT(ISNUMBER('Price History'!L25)),NOT(ISNUMBER('Price History'!L24)),'Price History'!L24=0),"",'Price History'!L25/'Price History'!L24-1),"")</f>
        <v>0.0163638188936854</v>
      </c>
      <c r="M24" s="137" t="n">
        <f aca="false">IFERROR(IF(OR(NOT(ISNUMBER('Price History'!M25)),NOT(ISNUMBER('Price History'!M24)),'Price History'!M24=0),"",'Price History'!M25/'Price History'!M24-1),"")</f>
        <v>0.0693154826171454</v>
      </c>
      <c r="N24" s="137" t="n">
        <f aca="false">IFERROR(IF(OR(NOT(ISNUMBER('Price History'!N25)),NOT(ISNUMBER('Price History'!N24)),'Price History'!N24=0),"",'Price History'!N25/'Price History'!N24-1),"")</f>
        <v>0.0405762304921968</v>
      </c>
      <c r="O24" s="137" t="n">
        <f aca="false">IFERROR(IF(OR(NOT(ISNUMBER('Price History'!O25)),NOT(ISNUMBER('Price History'!O24)),'Price History'!O24=0),"",'Price History'!O25/'Price History'!O24-1),"")</f>
        <v>-0.0113181662284211</v>
      </c>
      <c r="P24" s="137" t="str">
        <f aca="false">IFERROR(IF(OR(NOT(ISNUMBER('Price History'!P25)),NOT(ISNUMBER('Price History'!P24)),'Price History'!P24=0),"",'Price History'!P25/'Price History'!P24-1),"")</f>
        <v/>
      </c>
      <c r="Q24" s="137" t="n">
        <f aca="false">IFERROR(IF(OR(NOT(ISNUMBER('Price History'!Q25)),NOT(ISNUMBER('Price History'!Q24)),'Price History'!Q24=0),"",'Price History'!Q25/'Price History'!Q24-1),"")</f>
        <v>0.00618969597669761</v>
      </c>
      <c r="R24" s="137" t="n">
        <f aca="false">IFERROR(IF(OR(NOT(ISNUMBER('Price History'!R25)),NOT(ISNUMBER('Price History'!R24)),'Price History'!R24=0),"",'Price History'!R25/'Price History'!R24-1),"")</f>
        <v>0.0272634791454731</v>
      </c>
      <c r="S24" s="137" t="n">
        <f aca="false">IFERROR(IF(OR(NOT(ISNUMBER('Price History'!S25)),NOT(ISNUMBER('Price History'!S24)),'Price History'!S24=0),"",'Price History'!S25/'Price History'!S24-1),"")</f>
        <v>0.0311632212280162</v>
      </c>
      <c r="T24" s="137" t="n">
        <f aca="false">IFERROR(IF(OR(NOT(ISNUMBER('Price History'!T25)),NOT(ISNUMBER('Price History'!T24)),'Price History'!T24=0),"",'Price History'!T25/'Price History'!T24-1),"")</f>
        <v>-0.00281988015509349</v>
      </c>
      <c r="U24" s="137" t="str">
        <f aca="false">IFERROR(IF(OR(NOT(ISNUMBER('Price History'!U25)),NOT(ISNUMBER('Price History'!U24)),'Price History'!U24=0),"",'Price History'!U25/'Price History'!U24-1),"")</f>
        <v/>
      </c>
      <c r="W24" s="138" t="n">
        <f aca="false">'Price History'!B3+('Price History'!B158-'Price History'!B3)*0.136363636363636</f>
        <v>473.262727272727</v>
      </c>
      <c r="X24" s="138" t="n">
        <f aca="false">'Price History'!C3+('Price History'!C158-'Price History'!C3)*0.136363636363636</f>
        <v>62.3686363636363</v>
      </c>
      <c r="Y24" s="138" t="n">
        <f aca="false">'Price History'!D3+('Price History'!D158-'Price History'!D3)*0.136363636363636</f>
        <v>793.673636363636</v>
      </c>
      <c r="Z24" s="138" t="n">
        <f aca="false">'Price History'!E3+('Price History'!E158-'Price History'!E3)*0.136363636363636</f>
        <v>124.748181818182</v>
      </c>
      <c r="AA24" s="138" t="n">
        <f aca="false">'Price History'!F3+('Price History'!F158-'Price History'!F3)*0.136363636363636</f>
        <v>58.0327272727272</v>
      </c>
      <c r="AB24" s="138" t="n">
        <f aca="false">'Price History'!G3+('Price History'!G158-'Price History'!G3)*0.136363636363636</f>
        <v>66.2981818181818</v>
      </c>
      <c r="AC24" s="138" t="n">
        <f aca="false">'Price History'!H3+('Price History'!H158-'Price History'!H3)*0.136363636363636</f>
        <v>167.823636363636</v>
      </c>
      <c r="AD24" s="138" t="n">
        <f aca="false">'Price History'!I3+('Price History'!I158-'Price History'!I3)*0.136363636363636</f>
        <v>62.6545454545454</v>
      </c>
      <c r="AE24" s="138" t="n">
        <f aca="false">'Price History'!J3+('Price History'!J158-'Price History'!J3)*0.136363636363636</f>
        <v>126.387272727273</v>
      </c>
      <c r="AF24" s="138" t="n">
        <f aca="false">'Price History'!K3+('Price History'!K158-'Price History'!K3)*0.136363636363636</f>
        <v>30.0895454545454</v>
      </c>
      <c r="AG24" s="138" t="n">
        <f aca="false">'Price History'!L3+('Price History'!L158-'Price History'!L3)*0.136363636363636</f>
        <v>134.570909090909</v>
      </c>
      <c r="AH24" s="138" t="n">
        <f aca="false">'Price History'!M3+('Price History'!M158-'Price History'!M3)*0.136363636363636</f>
        <v>61.8818181818181</v>
      </c>
      <c r="AI24" s="138" t="n">
        <f aca="false">'Price History'!N3+('Price History'!N158-'Price History'!N3)*0.136363636363636</f>
        <v>367.210909090909</v>
      </c>
      <c r="AJ24" s="138" t="n">
        <f aca="false">'Price History'!O3+('Price History'!O158-'Price History'!O3)*0.136363636363636</f>
        <v>88.6359090909091</v>
      </c>
      <c r="AK24" s="138" t="n">
        <f aca="false">'Price History'!Q3+('Price History'!Q151-'Price History'!Q3)*0.136363636363636</f>
        <v>52.3777272727273</v>
      </c>
      <c r="AL24" s="138" t="n">
        <f aca="false">'Price History'!R3+('Price History'!R158-'Price History'!R3)*0.136363636363636</f>
        <v>49.2422727272727</v>
      </c>
      <c r="AM24" s="138" t="n">
        <f aca="false">'Price History'!S3+('Price History'!S158-'Price History'!S3)*0.136363636363636</f>
        <v>70.1704545454545</v>
      </c>
      <c r="AN24" s="138" t="n">
        <f aca="false">'Price History'!T3+('Price History'!T158-'Price History'!T3)*0.136363636363636</f>
        <v>30.0231818181818</v>
      </c>
    </row>
    <row r="25" customFormat="false" ht="15" hidden="false" customHeight="true" outlineLevel="0" collapsed="false">
      <c r="A25" s="136" t="n">
        <f aca="false">IF('Price History'!A26="","",'Price History'!A26)</f>
        <v>45310</v>
      </c>
      <c r="B25" s="137" t="n">
        <f aca="false">IFERROR(IF(OR(NOT(ISNUMBER('Price History'!B26)),NOT(ISNUMBER('Price History'!B25)),'Price History'!B25=0),"",'Price History'!B26/'Price History'!B25-1),"")</f>
        <v>0.0251617661850001</v>
      </c>
      <c r="C25" s="137" t="n">
        <f aca="false">IFERROR(IF(OR(NOT(ISNUMBER('Price History'!C26)),NOT(ISNUMBER('Price History'!C25)),'Price History'!C25=0),"",'Price History'!C26/'Price History'!C25-1),"")</f>
        <v>0.0455483256625933</v>
      </c>
      <c r="D25" s="137" t="n">
        <f aca="false">IFERROR(IF(OR(NOT(ISNUMBER('Price History'!D26)),NOT(ISNUMBER('Price History'!D25)),'Price History'!D25=0),"",'Price History'!D26/'Price History'!D25-1),"")</f>
        <v>0.0625473206023388</v>
      </c>
      <c r="E25" s="137" t="n">
        <f aca="false">IFERROR(IF(OR(NOT(ISNUMBER('Price History'!E26)),NOT(ISNUMBER('Price History'!E25)),'Price History'!E25=0),"",'Price History'!E26/'Price History'!E25-1),"")</f>
        <v>0.0934368511329784</v>
      </c>
      <c r="F25" s="137" t="n">
        <f aca="false">IFERROR(IF(OR(NOT(ISNUMBER('Price History'!F26)),NOT(ISNUMBER('Price History'!F25)),'Price History'!F25=0),"",'Price History'!F26/'Price History'!F25-1),"")</f>
        <v>0.0254093732354601</v>
      </c>
      <c r="G25" s="137" t="n">
        <f aca="false">IFERROR(IF(OR(NOT(ISNUMBER('Price History'!G26)),NOT(ISNUMBER('Price History'!G25)),'Price History'!G25=0),"",'Price History'!G26/'Price History'!G25-1),"")</f>
        <v>0.0934712807706029</v>
      </c>
      <c r="H25" s="137" t="n">
        <f aca="false">IFERROR(IF(OR(NOT(ISNUMBER('Price History'!H26)),NOT(ISNUMBER('Price History'!H25)),'Price History'!H25=0),"",'Price History'!H26/'Price History'!H25-1),"")</f>
        <v>0.0621434640126231</v>
      </c>
      <c r="I25" s="137" t="n">
        <f aca="false">IFERROR(IF(OR(NOT(ISNUMBER('Price History'!I26)),NOT(ISNUMBER('Price History'!I25)),'Price History'!I25=0),"",'Price History'!I26/'Price History'!I25-1),"")</f>
        <v>0.0873697678669347</v>
      </c>
      <c r="J25" s="137" t="n">
        <f aca="false">IFERROR(IF(OR(NOT(ISNUMBER('Price History'!J26)),NOT(ISNUMBER('Price History'!J25)),'Price History'!J25=0),"",'Price History'!J26/'Price History'!J25-1),"")</f>
        <v>-0.0236412010642343</v>
      </c>
      <c r="K25" s="137" t="n">
        <f aca="false">IFERROR(IF(OR(NOT(ISNUMBER('Price History'!K26)),NOT(ISNUMBER('Price History'!K25)),'Price History'!K25=0),"",'Price History'!K26/'Price History'!K25-1),"")</f>
        <v>0.00119331742243434</v>
      </c>
      <c r="L25" s="137" t="n">
        <f aca="false">IFERROR(IF(OR(NOT(ISNUMBER('Price History'!L26)),NOT(ISNUMBER('Price History'!L25)),'Price History'!L25=0),"",'Price History'!L26/'Price History'!L25-1),"")</f>
        <v>0.128012643224022</v>
      </c>
      <c r="M25" s="137" t="n">
        <f aca="false">IFERROR(IF(OR(NOT(ISNUMBER('Price History'!M26)),NOT(ISNUMBER('Price History'!M25)),'Price History'!M25=0),"",'Price History'!M26/'Price History'!M25-1),"")</f>
        <v>0.0838045234248788</v>
      </c>
      <c r="N25" s="137" t="n">
        <f aca="false">IFERROR(IF(OR(NOT(ISNUMBER('Price History'!N26)),NOT(ISNUMBER('Price History'!N25)),'Price History'!N25=0),"",'Price History'!N26/'Price History'!N25-1),"")</f>
        <v>0.00373788647900319</v>
      </c>
      <c r="O25" s="137" t="n">
        <f aca="false">IFERROR(IF(OR(NOT(ISNUMBER('Price History'!O26)),NOT(ISNUMBER('Price History'!O25)),'Price History'!O25=0),"",'Price History'!O26/'Price History'!O25-1),"")</f>
        <v>0.00300647548566135</v>
      </c>
      <c r="P25" s="137" t="str">
        <f aca="false">IFERROR(IF(OR(NOT(ISNUMBER('Price History'!P26)),NOT(ISNUMBER('Price History'!P25)),'Price History'!P25=0),"",'Price History'!P26/'Price History'!P25-1),"")</f>
        <v/>
      </c>
      <c r="Q25" s="137" t="n">
        <f aca="false">IFERROR(IF(OR(NOT(ISNUMBER('Price History'!Q26)),NOT(ISNUMBER('Price History'!Q25)),'Price History'!Q25=0),"",'Price History'!Q26/'Price History'!Q25-1),"")</f>
        <v>0.000723719920390886</v>
      </c>
      <c r="R25" s="137" t="n">
        <f aca="false">IFERROR(IF(OR(NOT(ISNUMBER('Price History'!R26)),NOT(ISNUMBER('Price History'!R25)),'Price History'!R25=0),"",'Price History'!R26/'Price History'!R25-1),"")</f>
        <v>0.017825311942959</v>
      </c>
      <c r="S25" s="137" t="n">
        <f aca="false">IFERROR(IF(OR(NOT(ISNUMBER('Price History'!S26)),NOT(ISNUMBER('Price History'!S25)),'Price History'!S25=0),"",'Price History'!S26/'Price History'!S25-1),"")</f>
        <v>0.0210951526032315</v>
      </c>
      <c r="T25" s="137" t="n">
        <f aca="false">IFERROR(IF(OR(NOT(ISNUMBER('Price History'!T26)),NOT(ISNUMBER('Price History'!T25)),'Price History'!T25=0),"",'Price History'!T26/'Price History'!T25-1),"")</f>
        <v>-0.00954400848356307</v>
      </c>
      <c r="U25" s="137" t="str">
        <f aca="false">IFERROR(IF(OR(NOT(ISNUMBER('Price History'!U26)),NOT(ISNUMBER('Price History'!U25)),'Price History'!U25=0),"",'Price History'!U26/'Price History'!U25-1),"")</f>
        <v/>
      </c>
      <c r="W25" s="138" t="n">
        <f aca="false">'Price History'!B3+('Price History'!B158-'Price History'!B3)*0.142857142857143</f>
        <v>471.587142857143</v>
      </c>
      <c r="X25" s="138" t="n">
        <f aca="false">'Price History'!C3+('Price History'!C158-'Price History'!C3)*0.142857142857143</f>
        <v>63.2557142857143</v>
      </c>
      <c r="Y25" s="138" t="n">
        <f aca="false">'Price History'!D3+('Price History'!D158-'Price History'!D3)*0.142857142857143</f>
        <v>799.954285714286</v>
      </c>
      <c r="Z25" s="138" t="n">
        <f aca="false">'Price History'!E3+('Price History'!E158-'Price History'!E3)*0.142857142857143</f>
        <v>126.737142857143</v>
      </c>
      <c r="AA25" s="138" t="n">
        <f aca="false">'Price History'!F3+('Price History'!F158-'Price History'!F3)*0.142857142857143</f>
        <v>59.0314285714286</v>
      </c>
      <c r="AB25" s="138" t="n">
        <f aca="false">'Price History'!G3+('Price History'!G158-'Price History'!G3)*0.142857142857143</f>
        <v>67.1742857142857</v>
      </c>
      <c r="AC25" s="138" t="n">
        <f aca="false">'Price History'!H3+('Price History'!H158-'Price History'!H3)*0.142857142857143</f>
        <v>172.75</v>
      </c>
      <c r="AD25" s="138" t="n">
        <f aca="false">'Price History'!I3+('Price History'!I158-'Price History'!I3)*0.142857142857143</f>
        <v>63.6928571428572</v>
      </c>
      <c r="AE25" s="138" t="n">
        <f aca="false">'Price History'!J3+('Price History'!J158-'Price History'!J3)*0.142857142857143</f>
        <v>126.524285714286</v>
      </c>
      <c r="AF25" s="138" t="n">
        <f aca="false">'Price History'!K3+('Price History'!K158-'Price History'!K3)*0.142857142857143</f>
        <v>30.7885714285714</v>
      </c>
      <c r="AG25" s="138" t="n">
        <f aca="false">'Price History'!L3+('Price History'!L158-'Price History'!L3)*0.142857142857143</f>
        <v>136.598571428571</v>
      </c>
      <c r="AH25" s="138" t="n">
        <f aca="false">'Price History'!M3+('Price History'!M158-'Price History'!M3)*0.142857142857143</f>
        <v>63.2328571428572</v>
      </c>
      <c r="AI25" s="138" t="n">
        <f aca="false">'Price History'!N3+('Price History'!N158-'Price History'!N3)*0.142857142857143</f>
        <v>368.037142857143</v>
      </c>
      <c r="AJ25" s="138" t="n">
        <f aca="false">'Price History'!O3+('Price History'!O158-'Price History'!O3)*0.142857142857143</f>
        <v>88.9114285714286</v>
      </c>
      <c r="AK25" s="138" t="n">
        <f aca="false">'Price History'!Q3+('Price History'!Q151-'Price History'!Q3)*0.142857142857143</f>
        <v>52.4985714285714</v>
      </c>
      <c r="AL25" s="138" t="n">
        <f aca="false">'Price History'!R3+('Price History'!R158-'Price History'!R3)*0.142857142857143</f>
        <v>49.31</v>
      </c>
      <c r="AM25" s="138" t="n">
        <f aca="false">'Price History'!S3+('Price History'!S158-'Price History'!S3)*0.142857142857143</f>
        <v>70.7242857142857</v>
      </c>
      <c r="AN25" s="138" t="n">
        <f aca="false">'Price History'!T3+('Price History'!T158-'Price History'!T3)*0.142857142857143</f>
        <v>30.1714285714286</v>
      </c>
    </row>
    <row r="26" customFormat="false" ht="15" hidden="false" customHeight="true" outlineLevel="0" collapsed="false">
      <c r="A26" s="136" t="n">
        <f aca="false">IF('Price History'!A27="","",'Price History'!A27)</f>
        <v>45317</v>
      </c>
      <c r="B26" s="137" t="n">
        <f aca="false">IFERROR(IF(OR(NOT(ISNUMBER('Price History'!B27)),NOT(ISNUMBER('Price History'!B26)),'Price History'!B26=0),"",'Price History'!B27/'Price History'!B26-1),"")</f>
        <v>0.00389175047011681</v>
      </c>
      <c r="C26" s="137" t="n">
        <f aca="false">IFERROR(IF(OR(NOT(ISNUMBER('Price History'!C27)),NOT(ISNUMBER('Price History'!C26)),'Price History'!C26=0),"",'Price History'!C27/'Price History'!C26-1),"")</f>
        <v>0.00333940497874918</v>
      </c>
      <c r="D26" s="137" t="n">
        <f aca="false">IFERROR(IF(OR(NOT(ISNUMBER('Price History'!D27)),NOT(ISNUMBER('Price History'!D26)),'Price History'!D26=0),"",'Price History'!D27/'Price History'!D26-1),"")</f>
        <v>0.145045722655477</v>
      </c>
      <c r="E26" s="137" t="n">
        <f aca="false">IFERROR(IF(OR(NOT(ISNUMBER('Price History'!E27)),NOT(ISNUMBER('Price History'!E26)),'Price History'!E26=0),"",'Price History'!E27/'Price History'!E26-1),"")</f>
        <v>-0.00520145310435938</v>
      </c>
      <c r="F26" s="137" t="n">
        <f aca="false">IFERROR(IF(OR(NOT(ISNUMBER('Price History'!F27)),NOT(ISNUMBER('Price History'!F26)),'Price History'!F26=0),"",'Price History'!F27/'Price History'!F26-1),"")</f>
        <v>-0.000825991189427389</v>
      </c>
      <c r="G26" s="137" t="n">
        <f aca="false">IFERROR(IF(OR(NOT(ISNUMBER('Price History'!G27)),NOT(ISNUMBER('Price History'!G26)),'Price History'!G26=0),"",'Price History'!G27/'Price History'!G26-1),"")</f>
        <v>-0.0221859706362153</v>
      </c>
      <c r="H26" s="137" t="n">
        <f aca="false">IFERROR(IF(OR(NOT(ISNUMBER('Price History'!H27)),NOT(ISNUMBER('Price History'!H26)),'Price History'!H26=0),"",'Price History'!H27/'Price History'!H26-1),"")</f>
        <v>0.00617072334590318</v>
      </c>
      <c r="I26" s="137" t="n">
        <f aca="false">IFERROR(IF(OR(NOT(ISNUMBER('Price History'!I27)),NOT(ISNUMBER('Price History'!I26)),'Price History'!I26=0),"",'Price History'!I27/'Price History'!I26-1),"")</f>
        <v>0.0258867036476718</v>
      </c>
      <c r="J26" s="137" t="n">
        <f aca="false">IFERROR(IF(OR(NOT(ISNUMBER('Price History'!J27)),NOT(ISNUMBER('Price History'!J26)),'Price History'!J26=0),"",'Price History'!J27/'Price History'!J26-1),"")</f>
        <v>-0.012223606353161</v>
      </c>
      <c r="K26" s="137" t="n">
        <f aca="false">IFERROR(IF(OR(NOT(ISNUMBER('Price History'!K27)),NOT(ISNUMBER('Price History'!K26)),'Price History'!K26=0),"",'Price History'!K27/'Price History'!K26-1),"")</f>
        <v>-0.0256257449344458</v>
      </c>
      <c r="L26" s="137" t="n">
        <f aca="false">IFERROR(IF(OR(NOT(ISNUMBER('Price History'!L27)),NOT(ISNUMBER('Price History'!L26)),'Price History'!L26=0),"",'Price History'!L27/'Price History'!L26-1),"")</f>
        <v>0.0267950963222416</v>
      </c>
      <c r="M26" s="137" t="n">
        <f aca="false">IFERROR(IF(OR(NOT(ISNUMBER('Price History'!M27)),NOT(ISNUMBER('Price History'!M26)),'Price History'!M26=0),"",'Price History'!M27/'Price History'!M26-1),"")</f>
        <v>-0.00391280044717723</v>
      </c>
      <c r="N26" s="137" t="n">
        <f aca="false">IFERROR(IF(OR(NOT(ISNUMBER('Price History'!N27)),NOT(ISNUMBER('Price History'!N26)),'Price History'!N26=0),"",'Price History'!N27/'Price History'!N26-1),"")</f>
        <v>-0.0111489126936691</v>
      </c>
      <c r="O26" s="137" t="n">
        <f aca="false">IFERROR(IF(OR(NOT(ISNUMBER('Price History'!O27)),NOT(ISNUMBER('Price History'!O26)),'Price History'!O26=0),"",'Price History'!O27/'Price History'!O26-1),"")</f>
        <v>0.0235185612174316</v>
      </c>
      <c r="P26" s="137" t="str">
        <f aca="false">IFERROR(IF(OR(NOT(ISNUMBER('Price History'!P27)),NOT(ISNUMBER('Price History'!P26)),'Price History'!P26=0),"",'Price History'!P27/'Price History'!P26-1),"")</f>
        <v/>
      </c>
      <c r="Q26" s="137" t="n">
        <f aca="false">IFERROR(IF(OR(NOT(ISNUMBER('Price History'!Q27)),NOT(ISNUMBER('Price History'!Q26)),'Price History'!Q26=0),"",'Price History'!Q27/'Price History'!Q26-1),"")</f>
        <v>0.000180799132164067</v>
      </c>
      <c r="R26" s="137" t="n">
        <f aca="false">IFERROR(IF(OR(NOT(ISNUMBER('Price History'!R27)),NOT(ISNUMBER('Price History'!R26)),'Price History'!R26=0),"",'Price History'!R27/'Price History'!R26-1),"")</f>
        <v>0.00778361548939488</v>
      </c>
      <c r="S26" s="137" t="n">
        <f aca="false">IFERROR(IF(OR(NOT(ISNUMBER('Price History'!S27)),NOT(ISNUMBER('Price History'!S26)),'Price History'!S26=0),"",'Price History'!S27/'Price History'!S26-1),"")</f>
        <v>0.0161172161172161</v>
      </c>
      <c r="T26" s="137" t="n">
        <f aca="false">IFERROR(IF(OR(NOT(ISNUMBER('Price History'!T27)),NOT(ISNUMBER('Price History'!T26)),'Price History'!T26=0),"",'Price History'!T27/'Price History'!T26-1),"")</f>
        <v>0.00820842255531762</v>
      </c>
      <c r="U26" s="137" t="str">
        <f aca="false">IFERROR(IF(OR(NOT(ISNUMBER('Price History'!U27)),NOT(ISNUMBER('Price History'!U26)),'Price History'!U26=0),"",'Price History'!U27/'Price History'!U26-1),"")</f>
        <v/>
      </c>
      <c r="W26" s="138" t="n">
        <f aca="false">'Price History'!B3+('Price History'!B158-'Price History'!B3)*0.149350649350649</f>
        <v>469.911558441559</v>
      </c>
      <c r="X26" s="138" t="n">
        <f aca="false">'Price History'!C3+('Price History'!C158-'Price History'!C3)*0.149350649350649</f>
        <v>64.1427922077922</v>
      </c>
      <c r="Y26" s="138" t="n">
        <f aca="false">'Price History'!D3+('Price History'!D158-'Price History'!D3)*0.149350649350649</f>
        <v>806.234935064935</v>
      </c>
      <c r="Z26" s="138" t="n">
        <f aca="false">'Price History'!E3+('Price History'!E158-'Price History'!E3)*0.149350649350649</f>
        <v>128.726103896104</v>
      </c>
      <c r="AA26" s="138" t="n">
        <f aca="false">'Price History'!F3+('Price History'!F158-'Price History'!F3)*0.149350649350649</f>
        <v>60.0301298701298</v>
      </c>
      <c r="AB26" s="138" t="n">
        <f aca="false">'Price History'!G3+('Price History'!G158-'Price History'!G3)*0.149350649350649</f>
        <v>68.0503896103896</v>
      </c>
      <c r="AC26" s="138" t="n">
        <f aca="false">'Price History'!H3+('Price History'!H158-'Price History'!H3)*0.149350649350649</f>
        <v>177.676363636363</v>
      </c>
      <c r="AD26" s="138" t="n">
        <f aca="false">'Price History'!I3+('Price History'!I158-'Price History'!I3)*0.149350649350649</f>
        <v>64.7311688311688</v>
      </c>
      <c r="AE26" s="138" t="n">
        <f aca="false">'Price History'!J3+('Price History'!J158-'Price History'!J3)*0.149350649350649</f>
        <v>126.661298701299</v>
      </c>
      <c r="AF26" s="138" t="n">
        <f aca="false">'Price History'!K3+('Price History'!K158-'Price History'!K3)*0.149350649350649</f>
        <v>31.4875974025974</v>
      </c>
      <c r="AG26" s="138" t="n">
        <f aca="false">'Price History'!L3+('Price History'!L158-'Price History'!L3)*0.149350649350649</f>
        <v>138.626233766234</v>
      </c>
      <c r="AH26" s="138" t="n">
        <f aca="false">'Price History'!M3+('Price History'!M158-'Price History'!M3)*0.149350649350649</f>
        <v>64.583896103896</v>
      </c>
      <c r="AI26" s="138" t="n">
        <f aca="false">'Price History'!N3+('Price History'!N158-'Price History'!N3)*0.149350649350649</f>
        <v>368.863376623377</v>
      </c>
      <c r="AJ26" s="138" t="n">
        <f aca="false">'Price History'!O3+('Price History'!O158-'Price History'!O3)*0.149350649350649</f>
        <v>89.186948051948</v>
      </c>
      <c r="AK26" s="138" t="n">
        <f aca="false">'Price History'!Q3+('Price History'!Q151-'Price History'!Q3)*0.149350649350649</f>
        <v>52.6194155844156</v>
      </c>
      <c r="AL26" s="138" t="n">
        <f aca="false">'Price History'!R3+('Price History'!R158-'Price History'!R3)*0.149350649350649</f>
        <v>49.3777272727273</v>
      </c>
      <c r="AM26" s="138" t="n">
        <f aca="false">'Price History'!S3+('Price History'!S158-'Price History'!S3)*0.149350649350649</f>
        <v>71.2781168831169</v>
      </c>
      <c r="AN26" s="138" t="n">
        <f aca="false">'Price History'!T3+('Price History'!T158-'Price History'!T3)*0.149350649350649</f>
        <v>30.3196753246753</v>
      </c>
    </row>
    <row r="27" customFormat="false" ht="15" hidden="false" customHeight="true" outlineLevel="0" collapsed="false">
      <c r="A27" s="136" t="n">
        <f aca="false">IF('Price History'!A28="","",'Price History'!A28)</f>
        <v>45324</v>
      </c>
      <c r="B27" s="137" t="n">
        <f aca="false">IFERROR(IF(OR(NOT(ISNUMBER('Price History'!B28)),NOT(ISNUMBER('Price History'!B27)),'Price History'!B27=0),"",'Price History'!B28/'Price History'!B27-1),"")</f>
        <v>0.0339289495545096</v>
      </c>
      <c r="C27" s="137" t="n">
        <f aca="false">IFERROR(IF(OR(NOT(ISNUMBER('Price History'!C28)),NOT(ISNUMBER('Price History'!C27)),'Price History'!C27=0),"",'Price History'!C28/'Price History'!C27-1),"")</f>
        <v>0.032980332829047</v>
      </c>
      <c r="D27" s="137" t="n">
        <f aca="false">IFERROR(IF(OR(NOT(ISNUMBER('Price History'!D28)),NOT(ISNUMBER('Price History'!D27)),'Price History'!D27=0),"",'Price History'!D28/'Price History'!D27-1),"")</f>
        <v>0.0264016133679055</v>
      </c>
      <c r="E27" s="137" t="n">
        <f aca="false">IFERROR(IF(OR(NOT(ISNUMBER('Price History'!E28)),NOT(ISNUMBER('Price History'!E27)),'Price History'!E27=0),"",'Price History'!E28/'Price History'!E27-1),"")</f>
        <v>0.0161009212382772</v>
      </c>
      <c r="F27" s="137" t="n">
        <f aca="false">IFERROR(IF(OR(NOT(ISNUMBER('Price History'!F28)),NOT(ISNUMBER('Price History'!F27)),'Price History'!F27=0),"",'Price History'!F28/'Price History'!F27-1),"")</f>
        <v>0.0456048498208874</v>
      </c>
      <c r="G27" s="137" t="n">
        <f aca="false">IFERROR(IF(OR(NOT(ISNUMBER('Price History'!G28)),NOT(ISNUMBER('Price History'!G27)),'Price History'!G27=0),"",'Price History'!G28/'Price History'!G27-1),"")</f>
        <v>0.00817484150817482</v>
      </c>
      <c r="H27" s="137" t="n">
        <f aca="false">IFERROR(IF(OR(NOT(ISNUMBER('Price History'!H28)),NOT(ISNUMBER('Price History'!H27)),'Price History'!H27=0),"",'Price History'!H28/'Price History'!H27-1),"")</f>
        <v>-0.0178307779670641</v>
      </c>
      <c r="I27" s="137" t="n">
        <f aca="false">IFERROR(IF(OR(NOT(ISNUMBER('Price History'!I28)),NOT(ISNUMBER('Price History'!I27)),'Price History'!I27=0),"",'Price History'!I28/'Price History'!I27-1),"")</f>
        <v>0.0840570211371456</v>
      </c>
      <c r="J27" s="137" t="n">
        <f aca="false">IFERROR(IF(OR(NOT(ISNUMBER('Price History'!J28)),NOT(ISNUMBER('Price History'!J27)),'Price History'!J27=0),"",'Price History'!J28/'Price History'!J27-1),"")</f>
        <v>0.0187593599747773</v>
      </c>
      <c r="K27" s="137" t="n">
        <f aca="false">IFERROR(IF(OR(NOT(ISNUMBER('Price History'!K28)),NOT(ISNUMBER('Price History'!K27)),'Price History'!K27=0),"",'Price History'!K28/'Price History'!K27-1),"")</f>
        <v>0.0409785932721711</v>
      </c>
      <c r="L27" s="137" t="n">
        <f aca="false">IFERROR(IF(OR(NOT(ISNUMBER('Price History'!L28)),NOT(ISNUMBER('Price History'!L27)),'Price History'!L27=0),"",'Price History'!L28/'Price History'!L27-1),"")</f>
        <v>-0.0128773665359032</v>
      </c>
      <c r="M27" s="137" t="n">
        <f aca="false">IFERROR(IF(OR(NOT(ISNUMBER('Price History'!M28)),NOT(ISNUMBER('Price History'!M27)),'Price History'!M27=0),"",'Price History'!M28/'Price History'!M27-1),"")</f>
        <v>0.14983164983165</v>
      </c>
      <c r="N27" s="137" t="n">
        <f aca="false">IFERROR(IF(OR(NOT(ISNUMBER('Price History'!N28)),NOT(ISNUMBER('Price History'!N27)),'Price History'!N27=0),"",'Price History'!N28/'Price History'!N27-1),"")</f>
        <v>-0.012762396261943</v>
      </c>
      <c r="O27" s="137" t="n">
        <f aca="false">IFERROR(IF(OR(NOT(ISNUMBER('Price History'!O28)),NOT(ISNUMBER('Price History'!O27)),'Price History'!O27=0),"",'Price History'!O28/'Price History'!O27-1),"")</f>
        <v>-0.0186979049335435</v>
      </c>
      <c r="P27" s="137" t="str">
        <f aca="false">IFERROR(IF(OR(NOT(ISNUMBER('Price History'!P28)),NOT(ISNUMBER('Price History'!P27)),'Price History'!P27=0),"",'Price History'!P28/'Price History'!P27-1),"")</f>
        <v/>
      </c>
      <c r="Q27" s="137" t="n">
        <f aca="false">IFERROR(IF(OR(NOT(ISNUMBER('Price History'!Q28)),NOT(ISNUMBER('Price History'!Q27)),'Price History'!Q27=0),"",'Price History'!Q28/'Price History'!Q27-1),"")</f>
        <v>0.0110267534345625</v>
      </c>
      <c r="R27" s="137" t="n">
        <f aca="false">IFERROR(IF(OR(NOT(ISNUMBER('Price History'!R28)),NOT(ISNUMBER('Price History'!R27)),'Price History'!R27=0),"",'Price History'!R28/'Price History'!R27-1),"")</f>
        <v>0.00289631202934926</v>
      </c>
      <c r="S27" s="137" t="n">
        <f aca="false">IFERROR(IF(OR(NOT(ISNUMBER('Price History'!S28)),NOT(ISNUMBER('Price History'!S27)),'Price History'!S27=0),"",'Price History'!S28/'Price History'!S27-1),"")</f>
        <v>0.0457101658255228</v>
      </c>
      <c r="T27" s="137" t="n">
        <f aca="false">IFERROR(IF(OR(NOT(ISNUMBER('Price History'!T28)),NOT(ISNUMBER('Price History'!T27)),'Price History'!T27=0),"",'Price History'!T28/'Price History'!T27-1),"")</f>
        <v>0.00955752212389371</v>
      </c>
      <c r="U27" s="137" t="str">
        <f aca="false">IFERROR(IF(OR(NOT(ISNUMBER('Price History'!U28)),NOT(ISNUMBER('Price History'!U27)),'Price History'!U27=0),"",'Price History'!U28/'Price History'!U27-1),"")</f>
        <v/>
      </c>
      <c r="W27" s="138" t="n">
        <f aca="false">'Price History'!B3+('Price History'!B158-'Price History'!B3)*0.155844155844156</f>
        <v>468.235974025974</v>
      </c>
      <c r="X27" s="138" t="n">
        <f aca="false">'Price History'!C3+('Price History'!C158-'Price History'!C3)*0.155844155844156</f>
        <v>65.0298701298702</v>
      </c>
      <c r="Y27" s="138" t="n">
        <f aca="false">'Price History'!D3+('Price History'!D158-'Price History'!D3)*0.155844155844156</f>
        <v>812.515584415585</v>
      </c>
      <c r="Z27" s="138" t="n">
        <f aca="false">'Price History'!E3+('Price History'!E158-'Price History'!E3)*0.155844155844156</f>
        <v>130.715064935065</v>
      </c>
      <c r="AA27" s="138" t="n">
        <f aca="false">'Price History'!F3+('Price History'!F158-'Price History'!F3)*0.155844155844156</f>
        <v>61.0288311688312</v>
      </c>
      <c r="AB27" s="138" t="n">
        <f aca="false">'Price History'!G3+('Price History'!G158-'Price History'!G3)*0.155844155844156</f>
        <v>68.9264935064935</v>
      </c>
      <c r="AC27" s="138" t="n">
        <f aca="false">'Price History'!H3+('Price History'!H158-'Price History'!H3)*0.155844155844156</f>
        <v>182.602727272727</v>
      </c>
      <c r="AD27" s="138" t="n">
        <f aca="false">'Price History'!I3+('Price History'!I158-'Price History'!I3)*0.155844155844156</f>
        <v>65.7694805194806</v>
      </c>
      <c r="AE27" s="138" t="n">
        <f aca="false">'Price History'!J3+('Price History'!J158-'Price History'!J3)*0.155844155844156</f>
        <v>126.798311688312</v>
      </c>
      <c r="AF27" s="138" t="n">
        <f aca="false">'Price History'!K3+('Price History'!K158-'Price History'!K3)*0.155844155844156</f>
        <v>32.1866233766234</v>
      </c>
      <c r="AG27" s="138" t="n">
        <f aca="false">'Price History'!L3+('Price History'!L158-'Price History'!L3)*0.155844155844156</f>
        <v>140.653896103896</v>
      </c>
      <c r="AH27" s="138" t="n">
        <f aca="false">'Price History'!M3+('Price History'!M158-'Price History'!M3)*0.155844155844156</f>
        <v>65.9349350649351</v>
      </c>
      <c r="AI27" s="138" t="n">
        <f aca="false">'Price History'!N3+('Price History'!N158-'Price History'!N3)*0.155844155844156</f>
        <v>369.68961038961</v>
      </c>
      <c r="AJ27" s="138" t="n">
        <f aca="false">'Price History'!O3+('Price History'!O158-'Price History'!O3)*0.155844155844156</f>
        <v>89.4624675324675</v>
      </c>
      <c r="AK27" s="138" t="n">
        <f aca="false">'Price History'!Q3+('Price History'!Q151-'Price History'!Q3)*0.155844155844156</f>
        <v>52.7402597402597</v>
      </c>
      <c r="AL27" s="138" t="n">
        <f aca="false">'Price History'!R3+('Price History'!R158-'Price History'!R3)*0.155844155844156</f>
        <v>49.4454545454545</v>
      </c>
      <c r="AM27" s="138" t="n">
        <f aca="false">'Price History'!S3+('Price History'!S158-'Price History'!S3)*0.155844155844156</f>
        <v>71.8319480519481</v>
      </c>
      <c r="AN27" s="138" t="n">
        <f aca="false">'Price History'!T3+('Price History'!T158-'Price History'!T3)*0.155844155844156</f>
        <v>30.4679220779221</v>
      </c>
    </row>
    <row r="28" customFormat="false" ht="15" hidden="false" customHeight="true" outlineLevel="0" collapsed="false">
      <c r="A28" s="136" t="n">
        <f aca="false">IF('Price History'!A29="","",'Price History'!A29)</f>
        <v>45331</v>
      </c>
      <c r="B28" s="137" t="n">
        <f aca="false">IFERROR(IF(OR(NOT(ISNUMBER('Price History'!B29)),NOT(ISNUMBER('Price History'!B28)),'Price History'!B28=0),"",'Price History'!B29/'Price History'!B28-1),"")</f>
        <v>-0.0118942592475896</v>
      </c>
      <c r="C28" s="137" t="n">
        <f aca="false">IFERROR(IF(OR(NOT(ISNUMBER('Price History'!C29)),NOT(ISNUMBER('Price History'!C28)),'Price History'!C28=0),"",'Price History'!C29/'Price History'!C28-1),"")</f>
        <v>0.0341241944932631</v>
      </c>
      <c r="D28" s="137" t="n">
        <f aca="false">IFERROR(IF(OR(NOT(ISNUMBER('Price History'!D29)),NOT(ISNUMBER('Price History'!D28)),'Price History'!D28=0),"",'Price History'!D29/'Price History'!D28-1),"")</f>
        <v>0.0661756450272832</v>
      </c>
      <c r="E28" s="137" t="n">
        <f aca="false">IFERROR(IF(OR(NOT(ISNUMBER('Price History'!E29)),NOT(ISNUMBER('Price History'!E28)),'Price History'!E28=0),"",'Price History'!E29/'Price History'!E28-1),"")</f>
        <v>0.0482724822347465</v>
      </c>
      <c r="F28" s="137" t="n">
        <f aca="false">IFERROR(IF(OR(NOT(ISNUMBER('Price History'!F29)),NOT(ISNUMBER('Price History'!F28)),'Price History'!F28=0),"",'Price History'!F29/'Price History'!F28-1),"")</f>
        <v>0.0849914349716696</v>
      </c>
      <c r="G28" s="137" t="n">
        <f aca="false">IFERROR(IF(OR(NOT(ISNUMBER('Price History'!G29)),NOT(ISNUMBER('Price History'!G28)),'Price History'!G28=0),"",'Price History'!G29/'Price History'!G28-1),"")</f>
        <v>0.0752937282806554</v>
      </c>
      <c r="H28" s="137" t="n">
        <f aca="false">IFERROR(IF(OR(NOT(ISNUMBER('Price History'!H29)),NOT(ISNUMBER('Price History'!H28)),'Price History'!H28=0),"",'Price History'!H29/'Price History'!H28-1),"")</f>
        <v>-0.0106382978723405</v>
      </c>
      <c r="I28" s="137" t="n">
        <f aca="false">IFERROR(IF(OR(NOT(ISNUMBER('Price History'!I29)),NOT(ISNUMBER('Price History'!I28)),'Price History'!I28=0),"",'Price History'!I29/'Price History'!I28-1),"")</f>
        <v>0.0902357920193471</v>
      </c>
      <c r="J28" s="137" t="n">
        <f aca="false">IFERROR(IF(OR(NOT(ISNUMBER('Price History'!J29)),NOT(ISNUMBER('Price History'!J28)),'Price History'!J28=0),"",'Price History'!J29/'Price History'!J28-1),"")</f>
        <v>0.0249903288201159</v>
      </c>
      <c r="K28" s="137" t="n">
        <f aca="false">IFERROR(IF(OR(NOT(ISNUMBER('Price History'!K29)),NOT(ISNUMBER('Price History'!K28)),'Price History'!K28=0),"",'Price History'!K29/'Price History'!K28-1),"")</f>
        <v>0.432432432432432</v>
      </c>
      <c r="L28" s="137" t="n">
        <f aca="false">IFERROR(IF(OR(NOT(ISNUMBER('Price History'!L29)),NOT(ISNUMBER('Price History'!L28)),'Price History'!L28=0),"",'Price History'!L29/'Price History'!L28-1),"")</f>
        <v>0.149978401727862</v>
      </c>
      <c r="M28" s="137" t="n">
        <f aca="false">IFERROR(IF(OR(NOT(ISNUMBER('Price History'!M29)),NOT(ISNUMBER('Price History'!M28)),'Price History'!M28=0),"",'Price History'!M29/'Price History'!M28-1),"")</f>
        <v>0.0333496014315928</v>
      </c>
      <c r="N28" s="137" t="n">
        <f aca="false">IFERROR(IF(OR(NOT(ISNUMBER('Price History'!N29)),NOT(ISNUMBER('Price History'!N28)),'Price History'!N28=0),"",'Price History'!N29/'Price History'!N28-1),"")</f>
        <v>-0.00416784402373549</v>
      </c>
      <c r="O28" s="137" t="n">
        <f aca="false">IFERROR(IF(OR(NOT(ISNUMBER('Price History'!O29)),NOT(ISNUMBER('Price History'!O28)),'Price History'!O28=0),"",'Price History'!O29/'Price History'!O28-1),"")</f>
        <v>0.00906795224977031</v>
      </c>
      <c r="P28" s="137" t="str">
        <f aca="false">IFERROR(IF(OR(NOT(ISNUMBER('Price History'!P29)),NOT(ISNUMBER('Price History'!P28)),'Price History'!P28=0),"",'Price History'!P29/'Price History'!P28-1),"")</f>
        <v/>
      </c>
      <c r="Q28" s="137" t="n">
        <f aca="false">IFERROR(IF(OR(NOT(ISNUMBER('Price History'!Q29)),NOT(ISNUMBER('Price History'!Q28)),'Price History'!Q28=0),"",'Price History'!Q29/'Price History'!Q28-1),"")</f>
        <v>0.000715179688896894</v>
      </c>
      <c r="R28" s="137" t="n">
        <f aca="false">IFERROR(IF(OR(NOT(ISNUMBER('Price History'!R29)),NOT(ISNUMBER('Price History'!R28)),'Price History'!R28=0),"",'Price History'!R29/'Price History'!R28-1),"")</f>
        <v>0.0105891413169041</v>
      </c>
      <c r="S28" s="137" t="n">
        <f aca="false">IFERROR(IF(OR(NOT(ISNUMBER('Price History'!S29)),NOT(ISNUMBER('Price History'!S28)),'Price History'!S28=0),"",'Price History'!S29/'Price History'!S28-1),"")</f>
        <v>0.0238554881412025</v>
      </c>
      <c r="T28" s="137" t="n">
        <f aca="false">IFERROR(IF(OR(NOT(ISNUMBER('Price History'!T29)),NOT(ISNUMBER('Price History'!T28)),'Price History'!T28=0),"",'Price History'!T29/'Price History'!T28-1),"")</f>
        <v>0.0038569424964936</v>
      </c>
      <c r="U28" s="137" t="str">
        <f aca="false">IFERROR(IF(OR(NOT(ISNUMBER('Price History'!U29)),NOT(ISNUMBER('Price History'!U28)),'Price History'!U28=0),"",'Price History'!U29/'Price History'!U28-1),"")</f>
        <v/>
      </c>
      <c r="W28" s="138" t="n">
        <f aca="false">'Price History'!B3+('Price History'!B158-'Price History'!B3)*0.162337662337662</f>
        <v>466.56038961039</v>
      </c>
      <c r="X28" s="138" t="n">
        <f aca="false">'Price History'!C3+('Price History'!C158-'Price History'!C3)*0.162337662337662</f>
        <v>65.916948051948</v>
      </c>
      <c r="Y28" s="138" t="n">
        <f aca="false">'Price History'!D3+('Price History'!D158-'Price History'!D3)*0.162337662337662</f>
        <v>818.796233766233</v>
      </c>
      <c r="Z28" s="138" t="n">
        <f aca="false">'Price History'!E3+('Price History'!E158-'Price History'!E3)*0.162337662337662</f>
        <v>132.704025974026</v>
      </c>
      <c r="AA28" s="138" t="n">
        <f aca="false">'Price History'!F3+('Price History'!F158-'Price History'!F3)*0.162337662337662</f>
        <v>62.0275324675324</v>
      </c>
      <c r="AB28" s="138" t="n">
        <f aca="false">'Price History'!G3+('Price History'!G158-'Price History'!G3)*0.162337662337662</f>
        <v>69.8025974025974</v>
      </c>
      <c r="AC28" s="138" t="n">
        <f aca="false">'Price History'!H3+('Price History'!H158-'Price History'!H3)*0.162337662337662</f>
        <v>187.529090909091</v>
      </c>
      <c r="AD28" s="138" t="n">
        <f aca="false">'Price History'!I3+('Price History'!I158-'Price History'!I3)*0.162337662337662</f>
        <v>66.8077922077922</v>
      </c>
      <c r="AE28" s="138" t="n">
        <f aca="false">'Price History'!J3+('Price History'!J158-'Price History'!J3)*0.162337662337662</f>
        <v>126.935324675325</v>
      </c>
      <c r="AF28" s="138" t="n">
        <f aca="false">'Price History'!K3+('Price History'!K158-'Price History'!K3)*0.162337662337662</f>
        <v>32.8856493506493</v>
      </c>
      <c r="AG28" s="138" t="n">
        <f aca="false">'Price History'!L3+('Price History'!L158-'Price History'!L3)*0.162337662337662</f>
        <v>142.681558441558</v>
      </c>
      <c r="AH28" s="138" t="n">
        <f aca="false">'Price History'!M3+('Price History'!M158-'Price History'!M3)*0.162337662337662</f>
        <v>67.285974025974</v>
      </c>
      <c r="AI28" s="138" t="n">
        <f aca="false">'Price History'!N3+('Price History'!N158-'Price History'!N3)*0.162337662337662</f>
        <v>370.515844155844</v>
      </c>
      <c r="AJ28" s="138" t="n">
        <f aca="false">'Price History'!O3+('Price History'!O158-'Price History'!O3)*0.162337662337662</f>
        <v>89.737987012987</v>
      </c>
      <c r="AK28" s="138" t="n">
        <f aca="false">'Price History'!Q3+('Price History'!Q151-'Price History'!Q3)*0.162337662337662</f>
        <v>52.8611038961039</v>
      </c>
      <c r="AL28" s="138" t="n">
        <f aca="false">'Price History'!R3+('Price History'!R158-'Price History'!R3)*0.162337662337662</f>
        <v>49.5131818181818</v>
      </c>
      <c r="AM28" s="138" t="n">
        <f aca="false">'Price History'!S3+('Price History'!S158-'Price History'!S3)*0.162337662337662</f>
        <v>72.3857792207792</v>
      </c>
      <c r="AN28" s="138" t="n">
        <f aca="false">'Price History'!T3+('Price History'!T158-'Price History'!T3)*0.162337662337662</f>
        <v>30.6161688311688</v>
      </c>
    </row>
    <row r="29" customFormat="false" ht="15" hidden="false" customHeight="true" outlineLevel="0" collapsed="false">
      <c r="A29" s="136" t="n">
        <f aca="false">IF('Price History'!A30="","",'Price History'!A30)</f>
        <v>45338</v>
      </c>
      <c r="B29" s="137" t="n">
        <f aca="false">IFERROR(IF(OR(NOT(ISNUMBER('Price History'!B30)),NOT(ISNUMBER('Price History'!B29)),'Price History'!B29=0),"",'Price History'!B30/'Price History'!B29-1),"")</f>
        <v>-0.128425886066868</v>
      </c>
      <c r="C29" s="137" t="n">
        <f aca="false">IFERROR(IF(OR(NOT(ISNUMBER('Price History'!C30)),NOT(ISNUMBER('Price History'!C29)),'Price History'!C29=0),"",'Price History'!C30/'Price History'!C29-1),"")</f>
        <v>-0.0732190907803427</v>
      </c>
      <c r="D29" s="137" t="n">
        <f aca="false">IFERROR(IF(OR(NOT(ISNUMBER('Price History'!D30)),NOT(ISNUMBER('Price History'!D29)),'Price History'!D29=0),"",'Price History'!D30/'Price History'!D29-1),"")</f>
        <v>-0.0217565290648694</v>
      </c>
      <c r="E29" s="137" t="n">
        <f aca="false">IFERROR(IF(OR(NOT(ISNUMBER('Price History'!E30)),NOT(ISNUMBER('Price History'!E29)),'Price History'!E29=0),"",'Price History'!E30/'Price History'!E29-1),"")</f>
        <v>-0.0295309334580023</v>
      </c>
      <c r="F29" s="137" t="n">
        <f aca="false">IFERROR(IF(OR(NOT(ISNUMBER('Price History'!F30)),NOT(ISNUMBER('Price History'!F29)),'Price History'!F29=0),"",'Price History'!F30/'Price History'!F29-1),"")</f>
        <v>-0.000364342968180775</v>
      </c>
      <c r="G29" s="137" t="n">
        <f aca="false">IFERROR(IF(OR(NOT(ISNUMBER('Price History'!G30)),NOT(ISNUMBER('Price History'!G29)),'Price History'!G29=0),"",'Price History'!G30/'Price History'!G29-1),"")</f>
        <v>0.017851646660511</v>
      </c>
      <c r="H29" s="137" t="n">
        <f aca="false">IFERROR(IF(OR(NOT(ISNUMBER('Price History'!H30)),NOT(ISNUMBER('Price History'!H29)),'Price History'!H29=0),"",'Price History'!H30/'Price History'!H29-1),"")</f>
        <v>-0.070827489481066</v>
      </c>
      <c r="I29" s="137" t="n">
        <f aca="false">IFERROR(IF(OR(NOT(ISNUMBER('Price History'!I30)),NOT(ISNUMBER('Price History'!I29)),'Price History'!I29=0),"",'Price History'!I30/'Price History'!I29-1),"")</f>
        <v>0.00665465132399845</v>
      </c>
      <c r="J29" s="137" t="n">
        <f aca="false">IFERROR(IF(OR(NOT(ISNUMBER('Price History'!J30)),NOT(ISNUMBER('Price History'!J29)),'Price History'!J29=0),"",'Price History'!J30/'Price History'!J29-1),"")</f>
        <v>0.00686896135265691</v>
      </c>
      <c r="K29" s="137" t="n">
        <f aca="false">IFERROR(IF(OR(NOT(ISNUMBER('Price History'!K30)),NOT(ISNUMBER('Price History'!K29)),'Price History'!K29=0),"",'Price History'!K30/'Price History'!K29-1),"")</f>
        <v>0.00246103363412642</v>
      </c>
      <c r="L29" s="137" t="n">
        <f aca="false">IFERROR(IF(OR(NOT(ISNUMBER('Price History'!L30)),NOT(ISNUMBER('Price History'!L29)),'Price History'!L29=0),"",'Price History'!L30/'Price History'!L29-1),"")</f>
        <v>-0.0482307865675007</v>
      </c>
      <c r="M29" s="137" t="n">
        <f aca="false">IFERROR(IF(OR(NOT(ISNUMBER('Price History'!M30)),NOT(ISNUMBER('Price History'!M29)),'Price History'!M29=0),"",'Price History'!M30/'Price History'!M29-1),"")</f>
        <v>-0.00865869017632248</v>
      </c>
      <c r="N29" s="137" t="n">
        <f aca="false">IFERROR(IF(OR(NOT(ISNUMBER('Price History'!N30)),NOT(ISNUMBER('Price History'!N29)),'Price History'!N29=0),"",'Price History'!N30/'Price History'!N29-1),"")</f>
        <v>-0.00167884419852937</v>
      </c>
      <c r="O29" s="137" t="n">
        <f aca="false">IFERROR(IF(OR(NOT(ISNUMBER('Price History'!O30)),NOT(ISNUMBER('Price History'!O29)),'Price History'!O29=0),"",'Price History'!O30/'Price History'!O29-1),"")</f>
        <v>0.00705266750085309</v>
      </c>
      <c r="P29" s="137" t="str">
        <f aca="false">IFERROR(IF(OR(NOT(ISNUMBER('Price History'!P30)),NOT(ISNUMBER('Price History'!P29)),'Price History'!P29=0),"",'Price History'!P30/'Price History'!P29-1),"")</f>
        <v/>
      </c>
      <c r="Q29" s="137" t="n">
        <f aca="false">IFERROR(IF(OR(NOT(ISNUMBER('Price History'!Q30)),NOT(ISNUMBER('Price History'!Q29)),'Price History'!Q29=0),"",'Price History'!Q30/'Price History'!Q29-1),"")</f>
        <v>-0.00375201000536007</v>
      </c>
      <c r="R29" s="137" t="n">
        <f aca="false">IFERROR(IF(OR(NOT(ISNUMBER('Price History'!R30)),NOT(ISNUMBER('Price History'!R29)),'Price History'!R29=0),"",'Price History'!R30/'Price History'!R29-1),"")</f>
        <v>-0.00323871213564497</v>
      </c>
      <c r="S29" s="137" t="n">
        <f aca="false">IFERROR(IF(OR(NOT(ISNUMBER('Price History'!S30)),NOT(ISNUMBER('Price History'!S29)),'Price History'!S29=0),"",'Price History'!S30/'Price History'!S29-1),"")</f>
        <v>0.00835016835016833</v>
      </c>
      <c r="T29" s="137" t="n">
        <f aca="false">IFERROR(IF(OR(NOT(ISNUMBER('Price History'!T30)),NOT(ISNUMBER('Price History'!T29)),'Price History'!T29=0),"",'Price History'!T30/'Price History'!T29-1),"")</f>
        <v>0.00838281522878104</v>
      </c>
      <c r="U29" s="137" t="str">
        <f aca="false">IFERROR(IF(OR(NOT(ISNUMBER('Price History'!U30)),NOT(ISNUMBER('Price History'!U29)),'Price History'!U29=0),"",'Price History'!U30/'Price History'!U29-1),"")</f>
        <v/>
      </c>
      <c r="W29" s="138" t="n">
        <f aca="false">'Price History'!B3+('Price History'!B158-'Price History'!B3)*0.168831168831169</f>
        <v>464.884805194805</v>
      </c>
      <c r="X29" s="138" t="n">
        <f aca="false">'Price History'!C3+('Price History'!C158-'Price History'!C3)*0.168831168831169</f>
        <v>66.804025974026</v>
      </c>
      <c r="Y29" s="138" t="n">
        <f aca="false">'Price History'!D3+('Price History'!D158-'Price History'!D3)*0.168831168831169</f>
        <v>825.076883116883</v>
      </c>
      <c r="Z29" s="138" t="n">
        <f aca="false">'Price History'!E3+('Price History'!E158-'Price History'!E3)*0.168831168831169</f>
        <v>134.692987012987</v>
      </c>
      <c r="AA29" s="138" t="n">
        <f aca="false">'Price History'!F3+('Price History'!F158-'Price History'!F3)*0.168831168831169</f>
        <v>63.0262337662338</v>
      </c>
      <c r="AB29" s="138" t="n">
        <f aca="false">'Price History'!G3+('Price History'!G158-'Price History'!G3)*0.168831168831169</f>
        <v>70.6787012987013</v>
      </c>
      <c r="AC29" s="138" t="n">
        <f aca="false">'Price History'!H3+('Price History'!H158-'Price History'!H3)*0.168831168831169</f>
        <v>192.455454545455</v>
      </c>
      <c r="AD29" s="138" t="n">
        <f aca="false">'Price History'!I3+('Price History'!I158-'Price History'!I3)*0.168831168831169</f>
        <v>67.8461038961039</v>
      </c>
      <c r="AE29" s="138" t="n">
        <f aca="false">'Price History'!J3+('Price History'!J158-'Price History'!J3)*0.168831168831169</f>
        <v>127.072337662338</v>
      </c>
      <c r="AF29" s="138" t="n">
        <f aca="false">'Price History'!K3+('Price History'!K158-'Price History'!K3)*0.168831168831169</f>
        <v>33.5846753246753</v>
      </c>
      <c r="AG29" s="138" t="n">
        <f aca="false">'Price History'!L3+('Price History'!L158-'Price History'!L3)*0.168831168831169</f>
        <v>144.709220779221</v>
      </c>
      <c r="AH29" s="138" t="n">
        <f aca="false">'Price History'!M3+('Price History'!M158-'Price History'!M3)*0.168831168831169</f>
        <v>68.637012987013</v>
      </c>
      <c r="AI29" s="138" t="n">
        <f aca="false">'Price History'!N3+('Price History'!N158-'Price History'!N3)*0.168831168831169</f>
        <v>371.342077922078</v>
      </c>
      <c r="AJ29" s="138" t="n">
        <f aca="false">'Price History'!O3+('Price History'!O158-'Price History'!O3)*0.168831168831169</f>
        <v>90.0135064935065</v>
      </c>
      <c r="AK29" s="138" t="n">
        <f aca="false">'Price History'!Q3+('Price History'!Q151-'Price History'!Q3)*0.168831168831169</f>
        <v>52.9819480519481</v>
      </c>
      <c r="AL29" s="138" t="n">
        <f aca="false">'Price History'!R3+('Price History'!R158-'Price History'!R3)*0.168831168831169</f>
        <v>49.5809090909091</v>
      </c>
      <c r="AM29" s="138" t="n">
        <f aca="false">'Price History'!S3+('Price History'!S158-'Price History'!S3)*0.168831168831169</f>
        <v>72.9396103896104</v>
      </c>
      <c r="AN29" s="138" t="n">
        <f aca="false">'Price History'!T3+('Price History'!T158-'Price History'!T3)*0.168831168831169</f>
        <v>30.7644155844156</v>
      </c>
    </row>
    <row r="30" customFormat="false" ht="15" hidden="false" customHeight="true" outlineLevel="0" collapsed="false">
      <c r="A30" s="136" t="n">
        <f aca="false">IF('Price History'!A31="","",'Price History'!A31)</f>
        <v>45345</v>
      </c>
      <c r="B30" s="137" t="n">
        <f aca="false">IFERROR(IF(OR(NOT(ISNUMBER('Price History'!B31)),NOT(ISNUMBER('Price History'!B30)),'Price History'!B30=0),"",'Price History'!B31/'Price History'!B30-1),"")</f>
        <v>0.0124025902754914</v>
      </c>
      <c r="C30" s="137" t="n">
        <f aca="false">IFERROR(IF(OR(NOT(ISNUMBER('Price History'!C31)),NOT(ISNUMBER('Price History'!C30)),'Price History'!C30=0),"",'Price History'!C31/'Price History'!C30-1),"")</f>
        <v>0.0226161369193154</v>
      </c>
      <c r="D30" s="137" t="n">
        <f aca="false">IFERROR(IF(OR(NOT(ISNUMBER('Price History'!D31)),NOT(ISNUMBER('Price History'!D30)),'Price History'!D30=0),"",'Price History'!D31/'Price History'!D30-1),"")</f>
        <v>0.00463969685878518</v>
      </c>
      <c r="E30" s="137" t="n">
        <f aca="false">IFERROR(IF(OR(NOT(ISNUMBER('Price History'!E31)),NOT(ISNUMBER('Price History'!E30)),'Price History'!E30=0),"",'Price History'!E31/'Price History'!E30-1),"")</f>
        <v>0.0408671216378964</v>
      </c>
      <c r="F30" s="137" t="n">
        <f aca="false">IFERROR(IF(OR(NOT(ISNUMBER('Price History'!F31)),NOT(ISNUMBER('Price History'!F30)),'Price History'!F30=0),"",'Price History'!F31/'Price History'!F30-1),"")</f>
        <v>-0.0539424128295468</v>
      </c>
      <c r="G30" s="137" t="n">
        <f aca="false">IFERROR(IF(OR(NOT(ISNUMBER('Price History'!G31)),NOT(ISNUMBER('Price History'!G30)),'Price History'!G30=0),"",'Price History'!G31/'Price History'!G30-1),"")</f>
        <v>0.0111883882673116</v>
      </c>
      <c r="H30" s="137" t="n">
        <f aca="false">IFERROR(IF(OR(NOT(ISNUMBER('Price History'!H31)),NOT(ISNUMBER('Price History'!H30)),'Price History'!H30=0),"",'Price History'!H31/'Price History'!H30-1),"")</f>
        <v>0.0817610062893082</v>
      </c>
      <c r="I30" s="137" t="n">
        <f aca="false">IFERROR(IF(OR(NOT(ISNUMBER('Price History'!I31)),NOT(ISNUMBER('Price History'!I30)),'Price History'!I30=0),"",'Price History'!I31/'Price History'!I30-1),"")</f>
        <v>0.0855254097231786</v>
      </c>
      <c r="J30" s="137" t="n">
        <f aca="false">IFERROR(IF(OR(NOT(ISNUMBER('Price History'!J31)),NOT(ISNUMBER('Price History'!J30)),'Price History'!J30=0),"",'Price History'!J31/'Price History'!J30-1),"")</f>
        <v>-0.00134942649374004</v>
      </c>
      <c r="K30" s="137" t="n">
        <f aca="false">IFERROR(IF(OR(NOT(ISNUMBER('Price History'!K31)),NOT(ISNUMBER('Price History'!K30)),'Price History'!K30=0),"",'Price History'!K31/'Price History'!K30-1),"")</f>
        <v>-0.0601472995090018</v>
      </c>
      <c r="L30" s="137" t="n">
        <f aca="false">IFERROR(IF(OR(NOT(ISNUMBER('Price History'!L31)),NOT(ISNUMBER('Price History'!L30)),'Price History'!L30=0),"",'Price History'!L31/'Price History'!L30-1),"")</f>
        <v>0.0224169231983582</v>
      </c>
      <c r="M30" s="137" t="n">
        <f aca="false">IFERROR(IF(OR(NOT(ISNUMBER('Price History'!M31)),NOT(ISNUMBER('Price History'!M30)),'Price History'!M30=0),"",'Price History'!M31/'Price History'!M30-1),"")</f>
        <v>-0.00428775607432108</v>
      </c>
      <c r="N30" s="137" t="n">
        <f aca="false">IFERROR(IF(OR(NOT(ISNUMBER('Price History'!N31)),NOT(ISNUMBER('Price History'!N30)),'Price History'!N30=0),"",'Price History'!N31/'Price History'!N30-1),"")</f>
        <v>0.0187351965892941</v>
      </c>
      <c r="O30" s="137" t="n">
        <f aca="false">IFERROR(IF(OR(NOT(ISNUMBER('Price History'!O31)),NOT(ISNUMBER('Price History'!O30)),'Price History'!O30=0),"",'Price History'!O31/'Price History'!O30-1),"")</f>
        <v>-0.0032757257426862</v>
      </c>
      <c r="P30" s="137" t="str">
        <f aca="false">IFERROR(IF(OR(NOT(ISNUMBER('Price History'!P31)),NOT(ISNUMBER('Price History'!P30)),'Price History'!P30=0),"",'Price History'!P31/'Price History'!P30-1),"")</f>
        <v/>
      </c>
      <c r="Q30" s="137" t="n">
        <f aca="false">IFERROR(IF(OR(NOT(ISNUMBER('Price History'!Q31)),NOT(ISNUMBER('Price History'!Q30)),'Price History'!Q30=0),"",'Price History'!Q31/'Price History'!Q30-1),"")</f>
        <v>-0.00627690100430423</v>
      </c>
      <c r="R30" s="137" t="n">
        <f aca="false">IFERROR(IF(OR(NOT(ISNUMBER('Price History'!R31)),NOT(ISNUMBER('Price History'!R30)),'Price History'!R30=0),"",'Price History'!R31/'Price History'!R30-1),"")</f>
        <v>0.0126146788990824</v>
      </c>
      <c r="S30" s="137" t="n">
        <f aca="false">IFERROR(IF(OR(NOT(ISNUMBER('Price History'!S31)),NOT(ISNUMBER('Price History'!S30)),'Price History'!S30=0),"",'Price History'!S31/'Price History'!S30-1),"")</f>
        <v>0.0224388940830773</v>
      </c>
      <c r="T30" s="137" t="n">
        <f aca="false">IFERROR(IF(OR(NOT(ISNUMBER('Price History'!T31)),NOT(ISNUMBER('Price History'!T30)),'Price History'!T30=0),"",'Price History'!T31/'Price History'!T30-1),"")</f>
        <v>0.0218219605126428</v>
      </c>
      <c r="U30" s="137" t="str">
        <f aca="false">IFERROR(IF(OR(NOT(ISNUMBER('Price History'!U31)),NOT(ISNUMBER('Price History'!U30)),'Price History'!U30=0),"",'Price History'!U31/'Price History'!U30-1),"")</f>
        <v/>
      </c>
      <c r="W30" s="138" t="n">
        <f aca="false">'Price History'!B3+('Price History'!B158-'Price History'!B3)*0.175324675324675</f>
        <v>463.209220779221</v>
      </c>
      <c r="X30" s="138" t="n">
        <f aca="false">'Price History'!C3+('Price History'!C158-'Price History'!C3)*0.175324675324675</f>
        <v>67.6911038961039</v>
      </c>
      <c r="Y30" s="138" t="n">
        <f aca="false">'Price History'!D3+('Price History'!D158-'Price History'!D3)*0.175324675324675</f>
        <v>831.357532467532</v>
      </c>
      <c r="Z30" s="138" t="n">
        <f aca="false">'Price History'!E3+('Price History'!E158-'Price History'!E3)*0.175324675324675</f>
        <v>136.681948051948</v>
      </c>
      <c r="AA30" s="138" t="n">
        <f aca="false">'Price History'!F3+('Price History'!F158-'Price History'!F3)*0.175324675324675</f>
        <v>64.024935064935</v>
      </c>
      <c r="AB30" s="138" t="n">
        <f aca="false">'Price History'!G3+('Price History'!G158-'Price History'!G3)*0.175324675324675</f>
        <v>71.5548051948051</v>
      </c>
      <c r="AC30" s="138" t="n">
        <f aca="false">'Price History'!H3+('Price History'!H158-'Price History'!H3)*0.175324675324675</f>
        <v>197.381818181818</v>
      </c>
      <c r="AD30" s="138" t="n">
        <f aca="false">'Price History'!I3+('Price History'!I158-'Price History'!I3)*0.175324675324675</f>
        <v>68.8844155844155</v>
      </c>
      <c r="AE30" s="138" t="n">
        <f aca="false">'Price History'!J3+('Price History'!J158-'Price History'!J3)*0.175324675324675</f>
        <v>127.209350649351</v>
      </c>
      <c r="AF30" s="138" t="n">
        <f aca="false">'Price History'!K3+('Price History'!K158-'Price History'!K3)*0.175324675324675</f>
        <v>34.2837012987013</v>
      </c>
      <c r="AG30" s="138" t="n">
        <f aca="false">'Price History'!L3+('Price History'!L158-'Price History'!L3)*0.175324675324675</f>
        <v>146.736883116883</v>
      </c>
      <c r="AH30" s="138" t="n">
        <f aca="false">'Price History'!M3+('Price History'!M158-'Price History'!M3)*0.175324675324675</f>
        <v>69.9880519480519</v>
      </c>
      <c r="AI30" s="138" t="n">
        <f aca="false">'Price History'!N3+('Price History'!N158-'Price History'!N3)*0.175324675324675</f>
        <v>372.168311688312</v>
      </c>
      <c r="AJ30" s="138" t="n">
        <f aca="false">'Price History'!O3+('Price History'!O158-'Price History'!O3)*0.175324675324675</f>
        <v>90.289025974026</v>
      </c>
      <c r="AK30" s="138" t="n">
        <f aca="false">'Price History'!Q3+('Price History'!Q151-'Price History'!Q3)*0.175324675324675</f>
        <v>53.1027922077922</v>
      </c>
      <c r="AL30" s="138" t="n">
        <f aca="false">'Price History'!R3+('Price History'!R158-'Price History'!R3)*0.175324675324675</f>
        <v>49.6486363636364</v>
      </c>
      <c r="AM30" s="138" t="n">
        <f aca="false">'Price History'!S3+('Price History'!S158-'Price History'!S3)*0.175324675324675</f>
        <v>73.4934415584415</v>
      </c>
      <c r="AN30" s="138" t="n">
        <f aca="false">'Price History'!T3+('Price History'!T158-'Price History'!T3)*0.175324675324675</f>
        <v>30.9126623376623</v>
      </c>
    </row>
    <row r="31" customFormat="false" ht="15" hidden="false" customHeight="true" outlineLevel="0" collapsed="false">
      <c r="A31" s="136" t="n">
        <f aca="false">IF('Price History'!A32="","",'Price History'!A32)</f>
        <v>45352</v>
      </c>
      <c r="B31" s="137" t="n">
        <f aca="false">IFERROR(IF(OR(NOT(ISNUMBER('Price History'!B32)),NOT(ISNUMBER('Price History'!B31)),'Price History'!B31=0),"",'Price History'!B32/'Price History'!B31-1),"")</f>
        <v>0.0316023417172591</v>
      </c>
      <c r="C31" s="137" t="n">
        <f aca="false">IFERROR(IF(OR(NOT(ISNUMBER('Price History'!C32)),NOT(ISNUMBER('Price History'!C31)),'Price History'!C31=0),"",'Price History'!C32/'Price History'!C31-1),"")</f>
        <v>0.0750149432157801</v>
      </c>
      <c r="D31" s="137" t="n">
        <f aca="false">IFERROR(IF(OR(NOT(ISNUMBER('Price History'!D32)),NOT(ISNUMBER('Price History'!D31)),'Price History'!D31=0),"",'Price History'!D32/'Price History'!D31-1),"")</f>
        <v>0.0618162335922852</v>
      </c>
      <c r="E31" s="137" t="n">
        <f aca="false">IFERROR(IF(OR(NOT(ISNUMBER('Price History'!E32)),NOT(ISNUMBER('Price History'!E31)),'Price History'!E31=0),"",'Price History'!E32/'Price History'!E31-1),"")</f>
        <v>0.0792965134217833</v>
      </c>
      <c r="F31" s="137" t="n">
        <f aca="false">IFERROR(IF(OR(NOT(ISNUMBER('Price History'!F32)),NOT(ISNUMBER('Price History'!F31)),'Price History'!F31=0),"",'Price History'!F32/'Price History'!F31-1),"")</f>
        <v>0.010016694490818</v>
      </c>
      <c r="G31" s="137" t="n">
        <f aca="false">IFERROR(IF(OR(NOT(ISNUMBER('Price History'!G32)),NOT(ISNUMBER('Price History'!G31)),'Price History'!G31=0),"",'Price History'!G32/'Price History'!G31-1),"")</f>
        <v>0.0729665071770336</v>
      </c>
      <c r="H31" s="137" t="n">
        <f aca="false">IFERROR(IF(OR(NOT(ISNUMBER('Price History'!H32)),NOT(ISNUMBER('Price History'!H31)),'Price History'!H31=0),"",'Price History'!H32/'Price History'!H31-1),"")</f>
        <v>0.106395348837209</v>
      </c>
      <c r="I31" s="137" t="n">
        <f aca="false">IFERROR(IF(OR(NOT(ISNUMBER('Price History'!I32)),NOT(ISNUMBER('Price History'!I31)),'Price History'!I31=0),"",'Price History'!I32/'Price History'!I31-1),"")</f>
        <v>0.0438974879472216</v>
      </c>
      <c r="J31" s="137" t="n">
        <f aca="false">IFERROR(IF(OR(NOT(ISNUMBER('Price History'!J32)),NOT(ISNUMBER('Price History'!J31)),'Price History'!J31=0),"",'Price History'!J32/'Price History'!J31-1),"")</f>
        <v>0.0104346520531491</v>
      </c>
      <c r="K31" s="137" t="n">
        <f aca="false">IFERROR(IF(OR(NOT(ISNUMBER('Price History'!K32)),NOT(ISNUMBER('Price History'!K31)),'Price History'!K31=0),"",'Price History'!K32/'Price History'!K31-1),"")</f>
        <v>0.0853286895951242</v>
      </c>
      <c r="L31" s="137" t="n">
        <f aca="false">IFERROR(IF(OR(NOT(ISNUMBER('Price History'!L32)),NOT(ISNUMBER('Price History'!L31)),'Price History'!L31=0),"",'Price History'!L32/'Price History'!L31-1),"")</f>
        <v>0.0337373581409712</v>
      </c>
      <c r="M31" s="137" t="n">
        <f aca="false">IFERROR(IF(OR(NOT(ISNUMBER('Price History'!M32)),NOT(ISNUMBER('Price History'!M31)),'Price History'!M31=0),"",'Price History'!M32/'Price History'!M31-1),"")</f>
        <v>0.125518341307815</v>
      </c>
      <c r="N31" s="137" t="n">
        <f aca="false">IFERROR(IF(OR(NOT(ISNUMBER('Price History'!N32)),NOT(ISNUMBER('Price History'!N31)),'Price History'!N31=0),"",'Price History'!N32/'Price History'!N31-1),"")</f>
        <v>0.00616121457301611</v>
      </c>
      <c r="O31" s="137" t="n">
        <f aca="false">IFERROR(IF(OR(NOT(ISNUMBER('Price History'!O32)),NOT(ISNUMBER('Price History'!O31)),'Price History'!O31=0),"",'Price History'!O32/'Price History'!O31-1),"")</f>
        <v>0.0157524932003628</v>
      </c>
      <c r="P31" s="137" t="str">
        <f aca="false">IFERROR(IF(OR(NOT(ISNUMBER('Price History'!P32)),NOT(ISNUMBER('Price History'!P31)),'Price History'!P31=0),"",'Price History'!P32/'Price History'!P31-1),"")</f>
        <v/>
      </c>
      <c r="Q31" s="137" t="n">
        <f aca="false">IFERROR(IF(OR(NOT(ISNUMBER('Price History'!Q32)),NOT(ISNUMBER('Price History'!Q31)),'Price History'!Q31=0),"",'Price History'!Q32/'Price History'!Q31-1),"")</f>
        <v>-0.0194910665944775</v>
      </c>
      <c r="R31" s="137" t="n">
        <f aca="false">IFERROR(IF(OR(NOT(ISNUMBER('Price History'!R32)),NOT(ISNUMBER('Price History'!R31)),'Price History'!R31=0),"",'Price History'!R32/'Price History'!R31-1),"")</f>
        <v>0.00528501321253305</v>
      </c>
      <c r="S31" s="137" t="n">
        <f aca="false">IFERROR(IF(OR(NOT(ISNUMBER('Price History'!S32)),NOT(ISNUMBER('Price History'!S31)),'Price History'!S31=0),"",'Price History'!S32/'Price History'!S31-1),"")</f>
        <v>0.0280862181580668</v>
      </c>
      <c r="T31" s="137" t="n">
        <f aca="false">IFERROR(IF(OR(NOT(ISNUMBER('Price History'!T32)),NOT(ISNUMBER('Price History'!T31)),'Price History'!T31=0),"",'Price History'!T32/'Price History'!T31-1),"")</f>
        <v>0.0220338983050847</v>
      </c>
      <c r="U31" s="137" t="str">
        <f aca="false">IFERROR(IF(OR(NOT(ISNUMBER('Price History'!U32)),NOT(ISNUMBER('Price History'!U31)),'Price History'!U31=0),"",'Price History'!U32/'Price History'!U31-1),"")</f>
        <v/>
      </c>
      <c r="W31" s="138" t="n">
        <f aca="false">'Price History'!B3+('Price History'!B158-'Price History'!B3)*0.181818181818182</f>
        <v>461.533636363636</v>
      </c>
      <c r="X31" s="138" t="n">
        <f aca="false">'Price History'!C3+('Price History'!C158-'Price History'!C3)*0.181818181818182</f>
        <v>68.5781818181818</v>
      </c>
      <c r="Y31" s="138" t="n">
        <f aca="false">'Price History'!D3+('Price History'!D158-'Price History'!D3)*0.181818181818182</f>
        <v>837.638181818182</v>
      </c>
      <c r="Z31" s="138" t="n">
        <f aca="false">'Price History'!E3+('Price History'!E158-'Price History'!E3)*0.181818181818182</f>
        <v>138.670909090909</v>
      </c>
      <c r="AA31" s="138" t="n">
        <f aca="false">'Price History'!F3+('Price History'!F158-'Price History'!F3)*0.181818181818182</f>
        <v>65.0236363636364</v>
      </c>
      <c r="AB31" s="138" t="n">
        <f aca="false">'Price History'!G3+('Price History'!G158-'Price History'!G3)*0.181818181818182</f>
        <v>72.4309090909091</v>
      </c>
      <c r="AC31" s="138" t="n">
        <f aca="false">'Price History'!H3+('Price History'!H158-'Price History'!H3)*0.181818181818182</f>
        <v>202.308181818182</v>
      </c>
      <c r="AD31" s="138" t="n">
        <f aca="false">'Price History'!I3+('Price History'!I158-'Price History'!I3)*0.181818181818182</f>
        <v>69.9227272727273</v>
      </c>
      <c r="AE31" s="138" t="n">
        <f aca="false">'Price History'!J3+('Price History'!J158-'Price History'!J3)*0.181818181818182</f>
        <v>127.346363636364</v>
      </c>
      <c r="AF31" s="138" t="n">
        <f aca="false">'Price History'!K3+('Price History'!K158-'Price History'!K3)*0.181818181818182</f>
        <v>34.9827272727273</v>
      </c>
      <c r="AG31" s="138" t="n">
        <f aca="false">'Price History'!L3+('Price History'!L158-'Price History'!L3)*0.181818181818182</f>
        <v>148.764545454546</v>
      </c>
      <c r="AH31" s="138" t="n">
        <f aca="false">'Price History'!M3+('Price History'!M158-'Price History'!M3)*0.181818181818182</f>
        <v>71.3390909090909</v>
      </c>
      <c r="AI31" s="138" t="n">
        <f aca="false">'Price History'!N3+('Price History'!N158-'Price History'!N3)*0.181818181818182</f>
        <v>372.994545454546</v>
      </c>
      <c r="AJ31" s="138" t="n">
        <f aca="false">'Price History'!O3+('Price History'!O158-'Price History'!O3)*0.181818181818182</f>
        <v>90.5645454545455</v>
      </c>
      <c r="AK31" s="138" t="n">
        <f aca="false">'Price History'!Q3+('Price History'!Q151-'Price History'!Q3)*0.181818181818182</f>
        <v>53.2236363636364</v>
      </c>
      <c r="AL31" s="138" t="n">
        <f aca="false">'Price History'!R3+('Price History'!R158-'Price History'!R3)*0.181818181818182</f>
        <v>49.7163636363636</v>
      </c>
      <c r="AM31" s="138" t="n">
        <f aca="false">'Price History'!S3+('Price History'!S158-'Price History'!S3)*0.181818181818182</f>
        <v>74.0472727272727</v>
      </c>
      <c r="AN31" s="138" t="n">
        <f aca="false">'Price History'!T3+('Price History'!T158-'Price History'!T3)*0.181818181818182</f>
        <v>31.0609090909091</v>
      </c>
    </row>
    <row r="32" customFormat="false" ht="15" hidden="false" customHeight="true" outlineLevel="0" collapsed="false">
      <c r="A32" s="136" t="n">
        <f aca="false">IF('Price History'!A33="","",'Price History'!A33)</f>
        <v>45359</v>
      </c>
      <c r="B32" s="137" t="n">
        <f aca="false">IFERROR(IF(OR(NOT(ISNUMBER('Price History'!B33)),NOT(ISNUMBER('Price History'!B32)),'Price History'!B32=0),"",'Price History'!B33/'Price History'!B32-1),"")</f>
        <v>-0.0336994027288807</v>
      </c>
      <c r="C32" s="137" t="n">
        <f aca="false">IFERROR(IF(OR(NOT(ISNUMBER('Price History'!C33)),NOT(ISNUMBER('Price History'!C32)),'Price History'!C32=0),"",'Price History'!C33/'Price History'!C32-1),"")</f>
        <v>-0.0508757297748123</v>
      </c>
      <c r="D32" s="137" t="n">
        <f aca="false">IFERROR(IF(OR(NOT(ISNUMBER('Price History'!D33)),NOT(ISNUMBER('Price History'!D32)),'Price History'!D32=0),"",'Price History'!D33/'Price History'!D32-1),"")</f>
        <v>0.00342099420752007</v>
      </c>
      <c r="E32" s="137" t="n">
        <f aca="false">IFERROR(IF(OR(NOT(ISNUMBER('Price History'!E33)),NOT(ISNUMBER('Price History'!E32)),'Price History'!E32=0),"",'Price History'!E33/'Price History'!E32-1),"")</f>
        <v>-0.0646798170383075</v>
      </c>
      <c r="F32" s="137" t="n">
        <f aca="false">IFERROR(IF(OR(NOT(ISNUMBER('Price History'!F33)),NOT(ISNUMBER('Price History'!F32)),'Price History'!F32=0),"",'Price History'!F33/'Price History'!F32-1),"")</f>
        <v>0.0261919898283534</v>
      </c>
      <c r="G32" s="137" t="n">
        <f aca="false">IFERROR(IF(OR(NOT(ISNUMBER('Price History'!G33)),NOT(ISNUMBER('Price History'!G32)),'Price History'!G32=0),"",'Price History'!G33/'Price History'!G32-1),"")</f>
        <v>-0.0256410256410257</v>
      </c>
      <c r="H32" s="137" t="n">
        <f aca="false">IFERROR(IF(OR(NOT(ISNUMBER('Price History'!H33)),NOT(ISNUMBER('Price History'!H32)),'Price History'!H32=0),"",'Price History'!H33/'Price History'!H32-1),"")</f>
        <v>0.0259590120861797</v>
      </c>
      <c r="I32" s="137" t="n">
        <f aca="false">IFERROR(IF(OR(NOT(ISNUMBER('Price History'!I33)),NOT(ISNUMBER('Price History'!I32)),'Price History'!I32=0),"",'Price History'!I33/'Price History'!I32-1),"")</f>
        <v>0.0638065143412736</v>
      </c>
      <c r="J32" s="137" t="n">
        <f aca="false">IFERROR(IF(OR(NOT(ISNUMBER('Price History'!J33)),NOT(ISNUMBER('Price History'!J32)),'Price History'!J32=0),"",'Price History'!J33/'Price History'!J32-1),"")</f>
        <v>0.00349182763744427</v>
      </c>
      <c r="K32" s="137" t="n">
        <f aca="false">IFERROR(IF(OR(NOT(ISNUMBER('Price History'!K33)),NOT(ISNUMBER('Price History'!K32)),'Price History'!K32=0),"",'Price History'!K33/'Price History'!K32-1),"")</f>
        <v>0.0445246690734056</v>
      </c>
      <c r="L32" s="137" t="n">
        <f aca="false">IFERROR(IF(OR(NOT(ISNUMBER('Price History'!L33)),NOT(ISNUMBER('Price History'!L32)),'Price History'!L32=0),"",'Price History'!L33/'Price History'!L32-1),"")</f>
        <v>0.0931292008961913</v>
      </c>
      <c r="M32" s="137" t="n">
        <f aca="false">IFERROR(IF(OR(NOT(ISNUMBER('Price History'!M33)),NOT(ISNUMBER('Price History'!M32)),'Price History'!M32=0),"",'Price History'!M33/'Price History'!M32-1),"")</f>
        <v>-0.0170043928014736</v>
      </c>
      <c r="N32" s="137" t="n">
        <f aca="false">IFERROR(IF(OR(NOT(ISNUMBER('Price History'!N33)),NOT(ISNUMBER('Price History'!N32)),'Price History'!N32=0),"",'Price History'!N33/'Price History'!N32-1),"")</f>
        <v>-0.0442970699694981</v>
      </c>
      <c r="O32" s="137" t="n">
        <f aca="false">IFERROR(IF(OR(NOT(ISNUMBER('Price History'!O33)),NOT(ISNUMBER('Price History'!O32)),'Price History'!O32=0),"",'Price History'!O33/'Price History'!O32-1),"")</f>
        <v>0.00111569786901722</v>
      </c>
      <c r="P32" s="137" t="str">
        <f aca="false">IFERROR(IF(OR(NOT(ISNUMBER('Price History'!P33)),NOT(ISNUMBER('Price History'!P32)),'Price History'!P32=0),"",'Price History'!P33/'Price History'!P32-1),"")</f>
        <v/>
      </c>
      <c r="Q32" s="137" t="n">
        <f aca="false">IFERROR(IF(OR(NOT(ISNUMBER('Price History'!Q33)),NOT(ISNUMBER('Price History'!Q32)),'Price History'!Q32=0),"",'Price History'!Q33/'Price History'!Q32-1),"")</f>
        <v>0.0206147616418186</v>
      </c>
      <c r="R32" s="137" t="n">
        <f aca="false">IFERROR(IF(OR(NOT(ISNUMBER('Price History'!R33)),NOT(ISNUMBER('Price History'!R32)),'Price History'!R32=0),"",'Price History'!R33/'Price History'!R32-1),"")</f>
        <v>-0.00131430717236203</v>
      </c>
      <c r="S32" s="137" t="n">
        <f aca="false">IFERROR(IF(OR(NOT(ISNUMBER('Price History'!S33)),NOT(ISNUMBER('Price History'!S32)),'Price History'!S32=0),"",'Price History'!S33/'Price History'!S32-1),"")</f>
        <v>0.00381194409148655</v>
      </c>
      <c r="T32" s="137" t="n">
        <f aca="false">IFERROR(IF(OR(NOT(ISNUMBER('Price History'!T33)),NOT(ISNUMBER('Price History'!T32)),'Price History'!T32=0),"",'Price History'!T33/'Price History'!T32-1),"")</f>
        <v>0.0195688225538972</v>
      </c>
      <c r="U32" s="137" t="str">
        <f aca="false">IFERROR(IF(OR(NOT(ISNUMBER('Price History'!U33)),NOT(ISNUMBER('Price History'!U32)),'Price History'!U32=0),"",'Price History'!U33/'Price History'!U32-1),"")</f>
        <v/>
      </c>
      <c r="W32" s="138" t="n">
        <f aca="false">'Price History'!B3+('Price History'!B158-'Price History'!B3)*0.188311688311688</f>
        <v>459.858051948052</v>
      </c>
      <c r="X32" s="138" t="n">
        <f aca="false">'Price History'!C3+('Price History'!C158-'Price History'!C3)*0.188311688311688</f>
        <v>69.4652597402597</v>
      </c>
      <c r="Y32" s="138" t="n">
        <f aca="false">'Price History'!D3+('Price History'!D158-'Price History'!D3)*0.188311688311688</f>
        <v>843.918831168831</v>
      </c>
      <c r="Z32" s="138" t="n">
        <f aca="false">'Price History'!E3+('Price History'!E158-'Price History'!E3)*0.188311688311688</f>
        <v>140.65987012987</v>
      </c>
      <c r="AA32" s="138" t="n">
        <f aca="false">'Price History'!F3+('Price History'!F158-'Price History'!F3)*0.188311688311688</f>
        <v>66.0223376623376</v>
      </c>
      <c r="AB32" s="138" t="n">
        <f aca="false">'Price History'!G3+('Price History'!G158-'Price History'!G3)*0.188311688311688</f>
        <v>73.3070129870129</v>
      </c>
      <c r="AC32" s="138" t="n">
        <f aca="false">'Price History'!H3+('Price History'!H158-'Price History'!H3)*0.188311688311688</f>
        <v>207.234545454545</v>
      </c>
      <c r="AD32" s="138" t="n">
        <f aca="false">'Price History'!I3+('Price History'!I158-'Price History'!I3)*0.188311688311688</f>
        <v>70.9610389610389</v>
      </c>
      <c r="AE32" s="138" t="n">
        <f aca="false">'Price History'!J3+('Price History'!J158-'Price History'!J3)*0.188311688311688</f>
        <v>127.483376623377</v>
      </c>
      <c r="AF32" s="138" t="n">
        <f aca="false">'Price History'!K3+('Price History'!K158-'Price History'!K3)*0.188311688311688</f>
        <v>35.6817532467532</v>
      </c>
      <c r="AG32" s="138" t="n">
        <f aca="false">'Price History'!L3+('Price History'!L158-'Price History'!L3)*0.188311688311688</f>
        <v>150.792207792208</v>
      </c>
      <c r="AH32" s="138" t="n">
        <f aca="false">'Price History'!M3+('Price History'!M158-'Price History'!M3)*0.188311688311688</f>
        <v>72.6901298701298</v>
      </c>
      <c r="AI32" s="138" t="n">
        <f aca="false">'Price History'!N3+('Price History'!N158-'Price History'!N3)*0.188311688311688</f>
        <v>373.820779220779</v>
      </c>
      <c r="AJ32" s="138" t="n">
        <f aca="false">'Price History'!O3+('Price History'!O158-'Price History'!O3)*0.188311688311688</f>
        <v>90.8400649350649</v>
      </c>
      <c r="AK32" s="138" t="n">
        <f aca="false">'Price History'!Q3+('Price History'!Q151-'Price History'!Q3)*0.188311688311688</f>
        <v>53.3444805194805</v>
      </c>
      <c r="AL32" s="138" t="n">
        <f aca="false">'Price History'!R3+('Price History'!R158-'Price History'!R3)*0.188311688311688</f>
        <v>49.7840909090909</v>
      </c>
      <c r="AM32" s="138" t="n">
        <f aca="false">'Price History'!S3+('Price History'!S158-'Price History'!S3)*0.188311688311688</f>
        <v>74.6011038961039</v>
      </c>
      <c r="AN32" s="138" t="n">
        <f aca="false">'Price History'!T3+('Price History'!T158-'Price History'!T3)*0.188311688311688</f>
        <v>31.2091558441558</v>
      </c>
    </row>
    <row r="33" customFormat="false" ht="15" hidden="false" customHeight="true" outlineLevel="0" collapsed="false">
      <c r="A33" s="136" t="n">
        <f aca="false">IF('Price History'!A34="","",'Price History'!A34)</f>
        <v>45366</v>
      </c>
      <c r="B33" s="137" t="n">
        <f aca="false">IFERROR(IF(OR(NOT(ISNUMBER('Price History'!B34)),NOT(ISNUMBER('Price History'!B33)),'Price History'!B33=0),"",'Price History'!B34/'Price History'!B33-1),"")</f>
        <v>-0.107361017962987</v>
      </c>
      <c r="C33" s="137" t="n">
        <f aca="false">IFERROR(IF(OR(NOT(ISNUMBER('Price History'!C34)),NOT(ISNUMBER('Price History'!C33)),'Price History'!C33=0),"",'Price History'!C34/'Price History'!C33-1),"")</f>
        <v>0.0168424135910956</v>
      </c>
      <c r="D33" s="137" t="n">
        <f aca="false">IFERROR(IF(OR(NOT(ISNUMBER('Price History'!D34)),NOT(ISNUMBER('Price History'!D33)),'Price History'!D33=0),"",'Price History'!D34/'Price History'!D33-1),"")</f>
        <v>-0.0544286102199471</v>
      </c>
      <c r="E33" s="137" t="n">
        <f aca="false">IFERROR(IF(OR(NOT(ISNUMBER('Price History'!E34)),NOT(ISNUMBER('Price History'!E33)),'Price History'!E33=0),"",'Price History'!E34/'Price History'!E33-1),"")</f>
        <v>-0.0559333689921296</v>
      </c>
      <c r="F33" s="137" t="n">
        <f aca="false">IFERROR(IF(OR(NOT(ISNUMBER('Price History'!F34)),NOT(ISNUMBER('Price History'!F33)),'Price History'!F33=0),"",'Price History'!F34/'Price History'!F33-1),"")</f>
        <v>-0.0223020691364143</v>
      </c>
      <c r="G33" s="137" t="n">
        <f aca="false">IFERROR(IF(OR(NOT(ISNUMBER('Price History'!G34)),NOT(ISNUMBER('Price History'!G33)),'Price History'!G33=0),"",'Price History'!G34/'Price History'!G33-1),"")</f>
        <v>-0.0218821510297483</v>
      </c>
      <c r="H33" s="137" t="n">
        <f aca="false">IFERROR(IF(OR(NOT(ISNUMBER('Price History'!H34)),NOT(ISNUMBER('Price History'!H33)),'Price History'!H33=0),"",'Price History'!H34/'Price History'!H33-1),"")</f>
        <v>-0.0447654169227618</v>
      </c>
      <c r="I33" s="137" t="n">
        <f aca="false">IFERROR(IF(OR(NOT(ISNUMBER('Price History'!I34)),NOT(ISNUMBER('Price History'!I33)),'Price History'!I33=0),"",'Price History'!I34/'Price History'!I33-1),"")</f>
        <v>0.00354164286530345</v>
      </c>
      <c r="J33" s="137" t="n">
        <f aca="false">IFERROR(IF(OR(NOT(ISNUMBER('Price History'!J34)),NOT(ISNUMBER('Price History'!J33)),'Price History'!J33=0),"",'Price History'!J34/'Price History'!J33-1),"")</f>
        <v>-0.0447915895461611</v>
      </c>
      <c r="K33" s="137" t="n">
        <f aca="false">IFERROR(IF(OR(NOT(ISNUMBER('Price History'!K34)),NOT(ISNUMBER('Price History'!K33)),'Price History'!K33=0),"",'Price History'!K34/'Price History'!K33-1),"")</f>
        <v>-0.097926267281106</v>
      </c>
      <c r="L33" s="137" t="n">
        <f aca="false">IFERROR(IF(OR(NOT(ISNUMBER('Price History'!L34)),NOT(ISNUMBER('Price History'!L33)),'Price History'!L33=0),"",'Price History'!L34/'Price History'!L33-1),"")</f>
        <v>-0.0641524902643985</v>
      </c>
      <c r="M33" s="137" t="n">
        <f aca="false">IFERROR(IF(OR(NOT(ISNUMBER('Price History'!M34)),NOT(ISNUMBER('Price History'!M33)),'Price History'!M33=0),"",'Price History'!M34/'Price History'!M33-1),"")</f>
        <v>0.06905002162318</v>
      </c>
      <c r="N33" s="137" t="n">
        <f aca="false">IFERROR(IF(OR(NOT(ISNUMBER('Price History'!N34)),NOT(ISNUMBER('Price History'!N33)),'Price History'!N33=0),"",'Price History'!N34/'Price History'!N33-1),"")</f>
        <v>-0.014265335235378</v>
      </c>
      <c r="O33" s="137" t="n">
        <f aca="false">IFERROR(IF(OR(NOT(ISNUMBER('Price History'!O34)),NOT(ISNUMBER('Price History'!O33)),'Price History'!O33=0),"",'Price History'!O34/'Price History'!O33-1),"")</f>
        <v>-0.00846985400646394</v>
      </c>
      <c r="P33" s="137" t="str">
        <f aca="false">IFERROR(IF(OR(NOT(ISNUMBER('Price History'!P34)),NOT(ISNUMBER('Price History'!P33)),'Price History'!P33=0),"",'Price History'!P34/'Price History'!P33-1),"")</f>
        <v/>
      </c>
      <c r="Q33" s="137" t="n">
        <f aca="false">IFERROR(IF(OR(NOT(ISNUMBER('Price History'!Q34)),NOT(ISNUMBER('Price History'!Q33)),'Price History'!Q33=0),"",'Price History'!Q34/'Price History'!Q33-1),"")</f>
        <v>0.00414788097385022</v>
      </c>
      <c r="R33" s="137" t="n">
        <f aca="false">IFERROR(IF(OR(NOT(ISNUMBER('Price History'!R34)),NOT(ISNUMBER('Price History'!R33)),'Price History'!R33=0),"",'Price History'!R34/'Price History'!R33-1),"")</f>
        <v>-0.00526414739612713</v>
      </c>
      <c r="S33" s="137" t="n">
        <f aca="false">IFERROR(IF(OR(NOT(ISNUMBER('Price History'!S34)),NOT(ISNUMBER('Price History'!S33)),'Price History'!S33=0),"",'Price History'!S34/'Price History'!S33-1),"")</f>
        <v>-0.00518987341772148</v>
      </c>
      <c r="T33" s="137" t="n">
        <f aca="false">IFERROR(IF(OR(NOT(ISNUMBER('Price History'!T34)),NOT(ISNUMBER('Price History'!T33)),'Price History'!T33=0),"",'Price History'!T34/'Price History'!T33-1),"")</f>
        <v>0.0136629798308394</v>
      </c>
      <c r="U33" s="137" t="str">
        <f aca="false">IFERROR(IF(OR(NOT(ISNUMBER('Price History'!U34)),NOT(ISNUMBER('Price History'!U33)),'Price History'!U33=0),"",'Price History'!U34/'Price History'!U33-1),"")</f>
        <v/>
      </c>
      <c r="W33" s="138" t="n">
        <f aca="false">'Price History'!B3+('Price History'!B158-'Price History'!B3)*0.194805194805195</f>
        <v>458.182467532467</v>
      </c>
      <c r="X33" s="138" t="n">
        <f aca="false">'Price History'!C3+('Price History'!C158-'Price History'!C3)*0.194805194805195</f>
        <v>70.3523376623377</v>
      </c>
      <c r="Y33" s="138" t="n">
        <f aca="false">'Price History'!D3+('Price History'!D158-'Price History'!D3)*0.194805194805195</f>
        <v>850.199480519481</v>
      </c>
      <c r="Z33" s="138" t="n">
        <f aca="false">'Price History'!E3+('Price History'!E158-'Price History'!E3)*0.194805194805195</f>
        <v>142.648831168831</v>
      </c>
      <c r="AA33" s="138" t="n">
        <f aca="false">'Price History'!F3+('Price History'!F158-'Price History'!F3)*0.194805194805195</f>
        <v>67.021038961039</v>
      </c>
      <c r="AB33" s="138" t="n">
        <f aca="false">'Price History'!G3+('Price History'!G158-'Price History'!G3)*0.194805194805195</f>
        <v>74.1831168831169</v>
      </c>
      <c r="AC33" s="138" t="n">
        <f aca="false">'Price History'!H3+('Price History'!H158-'Price History'!H3)*0.194805194805195</f>
        <v>212.160909090909</v>
      </c>
      <c r="AD33" s="138" t="n">
        <f aca="false">'Price History'!I3+('Price History'!I158-'Price History'!I3)*0.194805194805195</f>
        <v>71.9993506493507</v>
      </c>
      <c r="AE33" s="138" t="n">
        <f aca="false">'Price History'!J3+('Price History'!J158-'Price History'!J3)*0.194805194805195</f>
        <v>127.62038961039</v>
      </c>
      <c r="AF33" s="138" t="n">
        <f aca="false">'Price History'!K3+('Price History'!K158-'Price History'!K3)*0.194805194805195</f>
        <v>36.3807792207792</v>
      </c>
      <c r="AG33" s="138" t="n">
        <f aca="false">'Price History'!L3+('Price History'!L158-'Price History'!L3)*0.194805194805195</f>
        <v>152.81987012987</v>
      </c>
      <c r="AH33" s="138" t="n">
        <f aca="false">'Price History'!M3+('Price History'!M158-'Price History'!M3)*0.194805194805195</f>
        <v>74.0411688311689</v>
      </c>
      <c r="AI33" s="138" t="n">
        <f aca="false">'Price History'!N3+('Price History'!N158-'Price History'!N3)*0.194805194805195</f>
        <v>374.647012987013</v>
      </c>
      <c r="AJ33" s="138" t="n">
        <f aca="false">'Price History'!O3+('Price History'!O158-'Price History'!O3)*0.194805194805195</f>
        <v>91.1155844155844</v>
      </c>
      <c r="AK33" s="138" t="n">
        <f aca="false">'Price History'!Q3+('Price History'!Q151-'Price History'!Q3)*0.194805194805195</f>
        <v>53.4653246753247</v>
      </c>
      <c r="AL33" s="138" t="n">
        <f aca="false">'Price History'!R3+('Price History'!R158-'Price History'!R3)*0.194805194805195</f>
        <v>49.8518181818182</v>
      </c>
      <c r="AM33" s="138" t="n">
        <f aca="false">'Price History'!S3+('Price History'!S158-'Price History'!S3)*0.194805194805195</f>
        <v>75.1549350649351</v>
      </c>
      <c r="AN33" s="138" t="n">
        <f aca="false">'Price History'!T3+('Price History'!T158-'Price History'!T3)*0.194805194805195</f>
        <v>31.3574025974026</v>
      </c>
    </row>
    <row r="34" customFormat="false" ht="15" hidden="false" customHeight="true" outlineLevel="0" collapsed="false">
      <c r="A34" s="136" t="n">
        <f aca="false">IF('Price History'!A35="","",'Price History'!A35)</f>
        <v>45373</v>
      </c>
      <c r="B34" s="137" t="n">
        <f aca="false">IFERROR(IF(OR(NOT(ISNUMBER('Price History'!B35)),NOT(ISNUMBER('Price History'!B34)),'Price History'!B34=0),"",'Price History'!B35/'Price History'!B34-1),"")</f>
        <v>0.0143361897412988</v>
      </c>
      <c r="C34" s="137" t="n">
        <f aca="false">IFERROR(IF(OR(NOT(ISNUMBER('Price History'!C35)),NOT(ISNUMBER('Price History'!C34)),'Price History'!C34=0),"",'Price History'!C35/'Price History'!C34-1),"")</f>
        <v>0.103413510010082</v>
      </c>
      <c r="D34" s="137" t="n">
        <f aca="false">IFERROR(IF(OR(NOT(ISNUMBER('Price History'!D35)),NOT(ISNUMBER('Price History'!D34)),'Price History'!D34=0),"",'Price History'!D35/'Price History'!D34-1),"")</f>
        <v>0.042277789004584</v>
      </c>
      <c r="E34" s="137" t="n">
        <f aca="false">IFERROR(IF(OR(NOT(ISNUMBER('Price History'!E35)),NOT(ISNUMBER('Price History'!E34)),'Price History'!E34=0),"",'Price History'!E35/'Price History'!E34-1),"")</f>
        <v>0.0955078915418859</v>
      </c>
      <c r="F34" s="137" t="n">
        <f aca="false">IFERROR(IF(OR(NOT(ISNUMBER('Price History'!F35)),NOT(ISNUMBER('Price History'!F34)),'Price History'!F34=0),"",'Price History'!F35/'Price History'!F34-1),"")</f>
        <v>0.0378912685337727</v>
      </c>
      <c r="G34" s="137" t="n">
        <f aca="false">IFERROR(IF(OR(NOT(ISNUMBER('Price History'!G35)),NOT(ISNUMBER('Price History'!G34)),'Price History'!G34=0),"",'Price History'!G35/'Price History'!G34-1),"")</f>
        <v>0.0390407954379295</v>
      </c>
      <c r="H34" s="137" t="n">
        <f aca="false">IFERROR(IF(OR(NOT(ISNUMBER('Price History'!H35)),NOT(ISNUMBER('Price History'!H34)),'Price History'!H34=0),"",'Price History'!H35/'Price History'!H34-1),"")</f>
        <v>0.181876675603217</v>
      </c>
      <c r="I34" s="137" t="n">
        <f aca="false">IFERROR(IF(OR(NOT(ISNUMBER('Price History'!I35)),NOT(ISNUMBER('Price History'!I34)),'Price History'!I34=0),"",'Price History'!I35/'Price History'!I34-1),"")</f>
        <v>0.0734289617486339</v>
      </c>
      <c r="J34" s="137" t="n">
        <f aca="false">IFERROR(IF(OR(NOT(ISNUMBER('Price History'!J35)),NOT(ISNUMBER('Price History'!J34)),'Price History'!J34=0),"",'Price History'!J35/'Price History'!J34-1),"")</f>
        <v>-0.00310029452798022</v>
      </c>
      <c r="K34" s="137" t="n">
        <f aca="false">IFERROR(IF(OR(NOT(ISNUMBER('Price History'!K35)),NOT(ISNUMBER('Price History'!K34)),'Price History'!K34=0),"",'Price History'!K35/'Price History'!K34-1),"")</f>
        <v>0.029374201787995</v>
      </c>
      <c r="L34" s="137" t="n">
        <f aca="false">IFERROR(IF(OR(NOT(ISNUMBER('Price History'!L35)),NOT(ISNUMBER('Price History'!L34)),'Price History'!L34=0),"",'Price History'!L35/'Price History'!L34-1),"")</f>
        <v>0.0259891955029932</v>
      </c>
      <c r="M34" s="137" t="n">
        <f aca="false">IFERROR(IF(OR(NOT(ISNUMBER('Price History'!M35)),NOT(ISNUMBER('Price History'!M34)),'Price History'!M34=0),"",'Price History'!M35/'Price History'!M34-1),"")</f>
        <v>0.112459546925566</v>
      </c>
      <c r="N34" s="137" t="n">
        <f aca="false">IFERROR(IF(OR(NOT(ISNUMBER('Price History'!N35)),NOT(ISNUMBER('Price History'!N34)),'Price History'!N34=0),"",'Price History'!N35/'Price History'!N34-1),"")</f>
        <v>0.0195491672594375</v>
      </c>
      <c r="O34" s="137" t="n">
        <f aca="false">IFERROR(IF(OR(NOT(ISNUMBER('Price History'!O35)),NOT(ISNUMBER('Price History'!O34)),'Price History'!O34=0),"",'Price History'!O35/'Price History'!O34-1),"")</f>
        <v>0.0239406541530853</v>
      </c>
      <c r="P34" s="137" t="str">
        <f aca="false">IFERROR(IF(OR(NOT(ISNUMBER('Price History'!P35)),NOT(ISNUMBER('Price History'!P34)),'Price History'!P34=0),"",'Price History'!P35/'Price History'!P34-1),"")</f>
        <v/>
      </c>
      <c r="Q34" s="137" t="n">
        <f aca="false">IFERROR(IF(OR(NOT(ISNUMBER('Price History'!Q35)),NOT(ISNUMBER('Price History'!Q34)),'Price History'!Q34=0),"",'Price History'!Q35/'Price History'!Q34-1),"")</f>
        <v>0.0154454022988506</v>
      </c>
      <c r="R34" s="137" t="n">
        <f aca="false">IFERROR(IF(OR(NOT(ISNUMBER('Price History'!R35)),NOT(ISNUMBER('Price History'!R34)),'Price History'!R34=0),"",'Price History'!R35/'Price History'!R34-1),"")</f>
        <v>0.0255150255150256</v>
      </c>
      <c r="S34" s="137" t="n">
        <f aca="false">IFERROR(IF(OR(NOT(ISNUMBER('Price History'!S35)),NOT(ISNUMBER('Price History'!S34)),'Price History'!S34=0),"",'Price History'!S35/'Price History'!S34-1),"")</f>
        <v>0.028502353989057</v>
      </c>
      <c r="T34" s="137" t="n">
        <f aca="false">IFERROR(IF(OR(NOT(ISNUMBER('Price History'!T35)),NOT(ISNUMBER('Price History'!T34)),'Price History'!T34=0),"",'Price History'!T35/'Price History'!T34-1),"")</f>
        <v>0.0240693196405648</v>
      </c>
      <c r="U34" s="137" t="str">
        <f aca="false">IFERROR(IF(OR(NOT(ISNUMBER('Price History'!U35)),NOT(ISNUMBER('Price History'!U34)),'Price History'!U34=0),"",'Price History'!U35/'Price History'!U34-1),"")</f>
        <v/>
      </c>
      <c r="W34" s="138" t="n">
        <f aca="false">'Price History'!B3+('Price History'!B158-'Price History'!B3)*0.201298701298701</f>
        <v>456.506883116883</v>
      </c>
      <c r="X34" s="138" t="n">
        <f aca="false">'Price History'!C3+('Price History'!C158-'Price History'!C3)*0.201298701298701</f>
        <v>71.2394155844155</v>
      </c>
      <c r="Y34" s="138" t="n">
        <f aca="false">'Price History'!D3+('Price History'!D158-'Price History'!D3)*0.201298701298701</f>
        <v>856.48012987013</v>
      </c>
      <c r="Z34" s="138" t="n">
        <f aca="false">'Price History'!E3+('Price History'!E158-'Price History'!E3)*0.201298701298701</f>
        <v>144.637792207792</v>
      </c>
      <c r="AA34" s="138" t="n">
        <f aca="false">'Price History'!F3+('Price History'!F158-'Price History'!F3)*0.201298701298701</f>
        <v>68.0197402597402</v>
      </c>
      <c r="AB34" s="138" t="n">
        <f aca="false">'Price History'!G3+('Price History'!G158-'Price History'!G3)*0.201298701298701</f>
        <v>75.0592207792207</v>
      </c>
      <c r="AC34" s="138" t="n">
        <f aca="false">'Price History'!H3+('Price History'!H158-'Price History'!H3)*0.201298701298701</f>
        <v>217.087272727273</v>
      </c>
      <c r="AD34" s="138" t="n">
        <f aca="false">'Price History'!I3+('Price History'!I158-'Price History'!I3)*0.201298701298701</f>
        <v>73.0376623376623</v>
      </c>
      <c r="AE34" s="138" t="n">
        <f aca="false">'Price History'!J3+('Price History'!J158-'Price History'!J3)*0.201298701298701</f>
        <v>127.757402597403</v>
      </c>
      <c r="AF34" s="138" t="n">
        <f aca="false">'Price History'!K3+('Price History'!K158-'Price History'!K3)*0.201298701298701</f>
        <v>37.0798051948052</v>
      </c>
      <c r="AG34" s="138" t="n">
        <f aca="false">'Price History'!L3+('Price History'!L158-'Price History'!L3)*0.201298701298701</f>
        <v>154.847532467532</v>
      </c>
      <c r="AH34" s="138" t="n">
        <f aca="false">'Price History'!M3+('Price History'!M158-'Price History'!M3)*0.201298701298701</f>
        <v>75.3922077922077</v>
      </c>
      <c r="AI34" s="138" t="n">
        <f aca="false">'Price History'!N3+('Price History'!N158-'Price History'!N3)*0.201298701298701</f>
        <v>375.473246753247</v>
      </c>
      <c r="AJ34" s="138" t="n">
        <f aca="false">'Price History'!O3+('Price History'!O158-'Price History'!O3)*0.201298701298701</f>
        <v>91.3911038961039</v>
      </c>
      <c r="AK34" s="138" t="n">
        <f aca="false">'Price History'!Q3+('Price History'!Q151-'Price History'!Q3)*0.201298701298701</f>
        <v>53.5861688311688</v>
      </c>
      <c r="AL34" s="138" t="n">
        <f aca="false">'Price History'!R3+('Price History'!R158-'Price History'!R3)*0.201298701298701</f>
        <v>49.9195454545455</v>
      </c>
      <c r="AM34" s="138" t="n">
        <f aca="false">'Price History'!S3+('Price History'!S158-'Price History'!S3)*0.201298701298701</f>
        <v>75.7087662337662</v>
      </c>
      <c r="AN34" s="138" t="n">
        <f aca="false">'Price History'!T3+('Price History'!T158-'Price History'!T3)*0.201298701298701</f>
        <v>31.5056493506493</v>
      </c>
    </row>
    <row r="35" customFormat="false" ht="15" hidden="false" customHeight="true" outlineLevel="0" collapsed="false">
      <c r="A35" s="136" t="n">
        <f aca="false">IF('Price History'!A36="","",'Price History'!A36)</f>
        <v>45379</v>
      </c>
      <c r="B35" s="137" t="n">
        <f aca="false">IFERROR(IF(OR(NOT(ISNUMBER('Price History'!B36)),NOT(ISNUMBER('Price History'!B35)),'Price History'!B35=0),"",'Price History'!B36/'Price History'!B35-1),"")</f>
        <v>0.0101697629724535</v>
      </c>
      <c r="C35" s="137" t="n">
        <f aca="false">IFERROR(IF(OR(NOT(ISNUMBER('Price History'!C36)),NOT(ISNUMBER('Price History'!C35)),'Price History'!C35=0),"",'Price History'!C36/'Price History'!C35-1),"")</f>
        <v>-0.0536483487795327</v>
      </c>
      <c r="D35" s="137" t="n">
        <f aca="false">IFERROR(IF(OR(NOT(ISNUMBER('Price History'!D36)),NOT(ISNUMBER('Price History'!D35)),'Price History'!D35=0),"",'Price History'!D36/'Price History'!D35-1),"")</f>
        <v>-0.0096840687374995</v>
      </c>
      <c r="E35" s="137" t="n">
        <f aca="false">IFERROR(IF(OR(NOT(ISNUMBER('Price History'!E36)),NOT(ISNUMBER('Price History'!E35)),'Price History'!E35=0),"",'Price History'!E36/'Price History'!E35-1),"")</f>
        <v>-0.0207609900258589</v>
      </c>
      <c r="F35" s="137" t="n">
        <f aca="false">IFERROR(IF(OR(NOT(ISNUMBER('Price History'!F36)),NOT(ISNUMBER('Price History'!F35)),'Price History'!F35=0),"",'Price History'!F36/'Price History'!F35-1),"")</f>
        <v>-0.0213675213675214</v>
      </c>
      <c r="G35" s="137" t="n">
        <f aca="false">IFERROR(IF(OR(NOT(ISNUMBER('Price History'!G36)),NOT(ISNUMBER('Price History'!G35)),'Price History'!G35=0),"",'Price History'!G36/'Price History'!G35-1),"")</f>
        <v>-0.0168871376301717</v>
      </c>
      <c r="H35" s="137" t="n">
        <f aca="false">IFERROR(IF(OR(NOT(ISNUMBER('Price History'!H36)),NOT(ISNUMBER('Price History'!H35)),'Price History'!H35=0),"",'Price History'!H36/'Price History'!H35-1),"")</f>
        <v>0.0696851465384267</v>
      </c>
      <c r="I35" s="137" t="n">
        <f aca="false">IFERROR(IF(OR(NOT(ISNUMBER('Price History'!I36)),NOT(ISNUMBER('Price History'!I35)),'Price History'!I35=0),"",'Price History'!I36/'Price History'!I35-1),"")</f>
        <v>-0.0416799236398346</v>
      </c>
      <c r="J35" s="137" t="n">
        <f aca="false">IFERROR(IF(OR(NOT(ISNUMBER('Price History'!J36)),NOT(ISNUMBER('Price History'!J35)),'Price History'!J35=0),"",'Price History'!J36/'Price History'!J35-1),"")</f>
        <v>0.0124397449852278</v>
      </c>
      <c r="K35" s="137" t="n">
        <f aca="false">IFERROR(IF(OR(NOT(ISNUMBER('Price History'!K36)),NOT(ISNUMBER('Price History'!K35)),'Price History'!K35=0),"",'Price History'!K36/'Price History'!K35-1),"")</f>
        <v>-0.0483870967741935</v>
      </c>
      <c r="L35" s="137" t="n">
        <f aca="false">IFERROR(IF(OR(NOT(ISNUMBER('Price History'!L36)),NOT(ISNUMBER('Price History'!L35)),'Price History'!L35=0),"",'Price History'!L36/'Price History'!L35-1),"")</f>
        <v>-0.0319481998007684</v>
      </c>
      <c r="M35" s="137" t="n">
        <f aca="false">IFERROR(IF(OR(NOT(ISNUMBER('Price History'!M36)),NOT(ISNUMBER('Price History'!M35)),'Price History'!M35=0),"",'Price History'!M36/'Price History'!M35-1),"")</f>
        <v>-0.010060606060606</v>
      </c>
      <c r="N35" s="137" t="n">
        <f aca="false">IFERROR(IF(OR(NOT(ISNUMBER('Price History'!N36)),NOT(ISNUMBER('Price History'!N35)),'Price History'!N35=0),"",'Price History'!N36/'Price History'!N35-1),"")</f>
        <v>0.00565365924072547</v>
      </c>
      <c r="O35" s="137" t="n">
        <f aca="false">IFERROR(IF(OR(NOT(ISNUMBER('Price History'!O36)),NOT(ISNUMBER('Price History'!O35)),'Price History'!O35=0),"",'Price History'!O36/'Price History'!O35-1),"")</f>
        <v>0.0286498353457738</v>
      </c>
      <c r="P35" s="137" t="str">
        <f aca="false">IFERROR(IF(OR(NOT(ISNUMBER('Price History'!P36)),NOT(ISNUMBER('Price History'!P35)),'Price History'!P35=0),"",'Price History'!P36/'Price History'!P35-1),"")</f>
        <v/>
      </c>
      <c r="Q35" s="137" t="n">
        <f aca="false">IFERROR(IF(OR(NOT(ISNUMBER('Price History'!Q36)),NOT(ISNUMBER('Price History'!Q35)),'Price History'!Q35=0),"",'Price History'!Q36/'Price History'!Q35-1),"")</f>
        <v>0.0107888220728687</v>
      </c>
      <c r="R35" s="137" t="n">
        <f aca="false">IFERROR(IF(OR(NOT(ISNUMBER('Price History'!R36)),NOT(ISNUMBER('Price History'!R35)),'Price History'!R35=0),"",'Price History'!R36/'Price History'!R35-1),"")</f>
        <v>-0.000368595650571235</v>
      </c>
      <c r="S35" s="137" t="n">
        <f aca="false">IFERROR(IF(OR(NOT(ISNUMBER('Price History'!S36)),NOT(ISNUMBER('Price History'!S35)),'Price History'!S35=0),"",'Price History'!S36/'Price History'!S35-1),"")</f>
        <v>-0.00754670295682292</v>
      </c>
      <c r="T35" s="137" t="n">
        <f aca="false">IFERROR(IF(OR(NOT(ISNUMBER('Price History'!T36)),NOT(ISNUMBER('Price History'!T35)),'Price History'!T35=0),"",'Price History'!T36/'Price History'!T35-1),"")</f>
        <v>0.0156690692572861</v>
      </c>
      <c r="U35" s="137" t="str">
        <f aca="false">IFERROR(IF(OR(NOT(ISNUMBER('Price History'!U36)),NOT(ISNUMBER('Price History'!U35)),'Price History'!U35=0),"",'Price History'!U36/'Price History'!U35-1),"")</f>
        <v/>
      </c>
      <c r="W35" s="138" t="n">
        <f aca="false">'Price History'!B3+('Price History'!B158-'Price History'!B3)*0.207792207792208</f>
        <v>454.831298701299</v>
      </c>
      <c r="X35" s="138" t="n">
        <f aca="false">'Price History'!C3+('Price History'!C158-'Price History'!C3)*0.207792207792208</f>
        <v>72.1264935064935</v>
      </c>
      <c r="Y35" s="138" t="n">
        <f aca="false">'Price History'!D3+('Price History'!D158-'Price History'!D3)*0.207792207792208</f>
        <v>862.760779220779</v>
      </c>
      <c r="Z35" s="138" t="n">
        <f aca="false">'Price History'!E3+('Price History'!E158-'Price History'!E3)*0.207792207792208</f>
        <v>146.626753246753</v>
      </c>
      <c r="AA35" s="138" t="n">
        <f aca="false">'Price History'!F3+('Price History'!F158-'Price History'!F3)*0.207792207792208</f>
        <v>69.0184415584416</v>
      </c>
      <c r="AB35" s="138" t="n">
        <f aca="false">'Price History'!G3+('Price History'!G158-'Price History'!G3)*0.207792207792208</f>
        <v>75.9353246753247</v>
      </c>
      <c r="AC35" s="138" t="n">
        <f aca="false">'Price History'!H3+('Price History'!H158-'Price History'!H3)*0.207792207792208</f>
        <v>222.013636363637</v>
      </c>
      <c r="AD35" s="138" t="n">
        <f aca="false">'Price History'!I3+('Price History'!I158-'Price History'!I3)*0.207792207792208</f>
        <v>74.0759740259741</v>
      </c>
      <c r="AE35" s="138" t="n">
        <f aca="false">'Price History'!J3+('Price History'!J158-'Price History'!J3)*0.207792207792208</f>
        <v>127.894415584416</v>
      </c>
      <c r="AF35" s="138" t="n">
        <f aca="false">'Price History'!K3+('Price History'!K158-'Price History'!K3)*0.207792207792208</f>
        <v>37.7788311688312</v>
      </c>
      <c r="AG35" s="138" t="n">
        <f aca="false">'Price History'!L3+('Price History'!L158-'Price History'!L3)*0.207792207792208</f>
        <v>156.875194805195</v>
      </c>
      <c r="AH35" s="138" t="n">
        <f aca="false">'Price History'!M3+('Price History'!M158-'Price History'!M3)*0.207792207792208</f>
        <v>76.7432467532468</v>
      </c>
      <c r="AI35" s="138" t="n">
        <f aca="false">'Price History'!N3+('Price History'!N158-'Price History'!N3)*0.207792207792208</f>
        <v>376.299480519481</v>
      </c>
      <c r="AJ35" s="138" t="n">
        <f aca="false">'Price History'!O3+('Price History'!O158-'Price History'!O3)*0.207792207792208</f>
        <v>91.6666233766234</v>
      </c>
      <c r="AK35" s="138" t="n">
        <f aca="false">'Price History'!Q3+('Price History'!Q151-'Price History'!Q3)*0.207792207792208</f>
        <v>53.707012987013</v>
      </c>
      <c r="AL35" s="138" t="n">
        <f aca="false">'Price History'!R3+('Price History'!R158-'Price History'!R3)*0.207792207792208</f>
        <v>49.9872727272727</v>
      </c>
      <c r="AM35" s="138" t="n">
        <f aca="false">'Price History'!S3+('Price History'!S158-'Price History'!S3)*0.207792207792208</f>
        <v>76.2625974025974</v>
      </c>
      <c r="AN35" s="138" t="n">
        <f aca="false">'Price History'!T3+('Price History'!T158-'Price History'!T3)*0.207792207792208</f>
        <v>31.6538961038961</v>
      </c>
    </row>
    <row r="36" customFormat="false" ht="15" hidden="false" customHeight="true" outlineLevel="0" collapsed="false">
      <c r="A36" s="136" t="n">
        <f aca="false">IF('Price History'!A37="","",'Price History'!A37)</f>
        <v>45387</v>
      </c>
      <c r="B36" s="137" t="n">
        <f aca="false">IFERROR(IF(OR(NOT(ISNUMBER('Price History'!B37)),NOT(ISNUMBER('Price History'!B36)),'Price History'!B36=0),"",'Price History'!B37/'Price History'!B36-1),"")</f>
        <v>-0.0386048355132779</v>
      </c>
      <c r="C36" s="137" t="n">
        <f aca="false">IFERROR(IF(OR(NOT(ISNUMBER('Price History'!C37)),NOT(ISNUMBER('Price History'!C36)),'Price History'!C36=0),"",'Price History'!C37/'Price History'!C36-1),"")</f>
        <v>0.0262068965517241</v>
      </c>
      <c r="D36" s="137" t="n">
        <f aca="false">IFERROR(IF(OR(NOT(ISNUMBER('Price History'!D37)),NOT(ISNUMBER('Price History'!D36)),'Price History'!D36=0),"",'Price History'!D37/'Price History'!D36-1),"")</f>
        <v>0.00935629128154392</v>
      </c>
      <c r="E36" s="137" t="n">
        <f aca="false">IFERROR(IF(OR(NOT(ISNUMBER('Price History'!E37)),NOT(ISNUMBER('Price History'!E36)),'Price History'!E36=0),"",'Price History'!E37/'Price History'!E36-1),"")</f>
        <v>0.0105628489512601</v>
      </c>
      <c r="F36" s="137" t="n">
        <f aca="false">IFERROR(IF(OR(NOT(ISNUMBER('Price History'!F37)),NOT(ISNUMBER('Price History'!F36)),'Price History'!F36=0),"",'Price History'!F37/'Price History'!F36-1),"")</f>
        <v>-0.015845290081098</v>
      </c>
      <c r="G36" s="137" t="n">
        <f aca="false">IFERROR(IF(OR(NOT(ISNUMBER('Price History'!G37)),NOT(ISNUMBER('Price History'!G36)),'Price History'!G36=0),"",'Price History'!G37/'Price History'!G36-1),"")</f>
        <v>-0.0226166618952189</v>
      </c>
      <c r="H36" s="137" t="n">
        <f aca="false">IFERROR(IF(OR(NOT(ISNUMBER('Price History'!H37)),NOT(ISNUMBER('Price History'!H36)),'Price History'!H36=0),"",'Price History'!H37/'Price History'!H36-1),"")</f>
        <v>0.0482653320892357</v>
      </c>
      <c r="I36" s="137" t="n">
        <f aca="false">IFERROR(IF(OR(NOT(ISNUMBER('Price History'!I37)),NOT(ISNUMBER('Price History'!I36)),'Price History'!I36=0),"",'Price History'!I37/'Price History'!I36-1),"")</f>
        <v>-0.0260070827799911</v>
      </c>
      <c r="J36" s="137" t="n">
        <f aca="false">IFERROR(IF(OR(NOT(ISNUMBER('Price History'!J37)),NOT(ISNUMBER('Price History'!J36)),'Price History'!J36=0),"",'Price History'!J37/'Price History'!J36-1),"")</f>
        <v>-0.0420826293964062</v>
      </c>
      <c r="K36" s="137" t="n">
        <f aca="false">IFERROR(IF(OR(NOT(ISNUMBER('Price History'!K37)),NOT(ISNUMBER('Price History'!K36)),'Price History'!K36=0),"",'Price History'!K37/'Price History'!K36-1),"")</f>
        <v>-0.00217296827466318</v>
      </c>
      <c r="L36" s="137" t="n">
        <f aca="false">IFERROR(IF(OR(NOT(ISNUMBER('Price History'!L37)),NOT(ISNUMBER('Price History'!L36)),'Price History'!L36=0),"",'Price History'!L37/'Price History'!L36-1),"")</f>
        <v>0.0390297684674752</v>
      </c>
      <c r="M36" s="137" t="n">
        <f aca="false">IFERROR(IF(OR(NOT(ISNUMBER('Price History'!M37)),NOT(ISNUMBER('Price History'!M36)),'Price History'!M36=0),"",'Price History'!M37/'Price History'!M36-1),"")</f>
        <v>0.0449369413493328</v>
      </c>
      <c r="N36" s="137" t="n">
        <f aca="false">IFERROR(IF(OR(NOT(ISNUMBER('Price History'!N37)),NOT(ISNUMBER('Price History'!N36)),'Price History'!N36=0),"",'Price History'!N37/'Price History'!N36-1),"")</f>
        <v>-0.0271285375947943</v>
      </c>
      <c r="O36" s="137" t="n">
        <f aca="false">IFERROR(IF(OR(NOT(ISNUMBER('Price History'!O37)),NOT(ISNUMBER('Price History'!O36)),'Price History'!O36=0),"",'Price History'!O37/'Price History'!O36-1),"")</f>
        <v>-0.0215558638352363</v>
      </c>
      <c r="P36" s="137" t="str">
        <f aca="false">IFERROR(IF(OR(NOT(ISNUMBER('Price History'!P37)),NOT(ISNUMBER('Price History'!P36)),'Price History'!P36=0),"",'Price History'!P37/'Price History'!P36-1),"")</f>
        <v/>
      </c>
      <c r="Q36" s="137" t="n">
        <f aca="false">IFERROR(IF(OR(NOT(ISNUMBER('Price History'!Q37)),NOT(ISNUMBER('Price History'!Q36)),'Price History'!Q36=0),"",'Price History'!Q37/'Price History'!Q36-1),"")</f>
        <v>0.00104986876640423</v>
      </c>
      <c r="R36" s="137" t="n">
        <f aca="false">IFERROR(IF(OR(NOT(ISNUMBER('Price History'!R37)),NOT(ISNUMBER('Price History'!R36)),'Price History'!R36=0),"",'Price History'!R37/'Price History'!R36-1),"")</f>
        <v>-0.0119837758112095</v>
      </c>
      <c r="S36" s="137" t="n">
        <f aca="false">IFERROR(IF(OR(NOT(ISNUMBER('Price History'!S37)),NOT(ISNUMBER('Price History'!S36)),'Price History'!S36=0),"",'Price History'!S37/'Price History'!S36-1),"")</f>
        <v>0.00286711543256057</v>
      </c>
      <c r="T36" s="137" t="n">
        <f aca="false">IFERROR(IF(OR(NOT(ISNUMBER('Price History'!T37)),NOT(ISNUMBER('Price History'!T36)),'Price History'!T36=0),"",'Price History'!T37/'Price History'!T36-1),"")</f>
        <v>-0.00246837395865474</v>
      </c>
      <c r="U36" s="137" t="str">
        <f aca="false">IFERROR(IF(OR(NOT(ISNUMBER('Price History'!U37)),NOT(ISNUMBER('Price History'!U36)),'Price History'!U36=0),"",'Price History'!U37/'Price History'!U36-1),"")</f>
        <v/>
      </c>
      <c r="W36" s="138" t="n">
        <f aca="false">'Price History'!B3+('Price History'!B158-'Price History'!B3)*0.214285714285714</f>
        <v>453.155714285714</v>
      </c>
      <c r="X36" s="138" t="n">
        <f aca="false">'Price History'!C3+('Price History'!C158-'Price History'!C3)*0.214285714285714</f>
        <v>73.0135714285714</v>
      </c>
      <c r="Y36" s="138" t="n">
        <f aca="false">'Price History'!D3+('Price History'!D158-'Price History'!D3)*0.214285714285714</f>
        <v>869.041428571428</v>
      </c>
      <c r="Z36" s="138" t="n">
        <f aca="false">'Price History'!E3+('Price History'!E158-'Price History'!E3)*0.214285714285714</f>
        <v>148.615714285714</v>
      </c>
      <c r="AA36" s="138" t="n">
        <f aca="false">'Price History'!F3+('Price History'!F158-'Price History'!F3)*0.214285714285714</f>
        <v>70.0171428571428</v>
      </c>
      <c r="AB36" s="138" t="n">
        <f aca="false">'Price History'!G3+('Price History'!G158-'Price History'!G3)*0.214285714285714</f>
        <v>76.8114285714285</v>
      </c>
      <c r="AC36" s="138" t="n">
        <f aca="false">'Price History'!H3+('Price History'!H158-'Price History'!H3)*0.214285714285714</f>
        <v>226.94</v>
      </c>
      <c r="AD36" s="138" t="n">
        <f aca="false">'Price History'!I3+('Price History'!I158-'Price History'!I3)*0.214285714285714</f>
        <v>75.1142857142857</v>
      </c>
      <c r="AE36" s="138" t="n">
        <f aca="false">'Price History'!J3+('Price History'!J158-'Price History'!J3)*0.214285714285714</f>
        <v>128.031428571429</v>
      </c>
      <c r="AF36" s="138" t="n">
        <f aca="false">'Price History'!K3+('Price History'!K158-'Price History'!K3)*0.214285714285714</f>
        <v>38.4778571428571</v>
      </c>
      <c r="AG36" s="138" t="n">
        <f aca="false">'Price History'!L3+('Price History'!L158-'Price History'!L3)*0.214285714285714</f>
        <v>158.902857142857</v>
      </c>
      <c r="AH36" s="138" t="n">
        <f aca="false">'Price History'!M3+('Price History'!M158-'Price History'!M3)*0.214285714285714</f>
        <v>78.0942857142857</v>
      </c>
      <c r="AI36" s="138" t="n">
        <f aca="false">'Price History'!N3+('Price History'!N158-'Price History'!N3)*0.214285714285714</f>
        <v>377.125714285714</v>
      </c>
      <c r="AJ36" s="138" t="n">
        <f aca="false">'Price History'!O3+('Price History'!O158-'Price History'!O3)*0.214285714285714</f>
        <v>91.9421428571428</v>
      </c>
      <c r="AK36" s="138" t="n">
        <f aca="false">'Price History'!Q3+('Price History'!Q151-'Price History'!Q3)*0.214285714285714</f>
        <v>53.8278571428571</v>
      </c>
      <c r="AL36" s="138" t="n">
        <f aca="false">'Price History'!R3+('Price History'!R158-'Price History'!R3)*0.214285714285714</f>
        <v>50.055</v>
      </c>
      <c r="AM36" s="138" t="n">
        <f aca="false">'Price History'!S3+('Price History'!S158-'Price History'!S3)*0.214285714285714</f>
        <v>76.8164285714286</v>
      </c>
      <c r="AN36" s="138" t="n">
        <f aca="false">'Price History'!T3+('Price History'!T158-'Price History'!T3)*0.214285714285714</f>
        <v>31.8021428571429</v>
      </c>
    </row>
    <row r="37" customFormat="false" ht="15" hidden="false" customHeight="true" outlineLevel="0" collapsed="false">
      <c r="A37" s="136" t="n">
        <f aca="false">IF('Price History'!A38="","",'Price History'!A38)</f>
        <v>45394</v>
      </c>
      <c r="B37" s="137" t="n">
        <f aca="false">IFERROR(IF(OR(NOT(ISNUMBER('Price History'!B38)),NOT(ISNUMBER('Price History'!B37)),'Price History'!B37=0),"",'Price History'!B38/'Price History'!B37-1),"")</f>
        <v>-0.0227366424802111</v>
      </c>
      <c r="C37" s="137" t="n">
        <f aca="false">IFERROR(IF(OR(NOT(ISNUMBER('Price History'!C38)),NOT(ISNUMBER('Price History'!C37)),'Price History'!C37=0),"",'Price History'!C38/'Price History'!C37-1),"")</f>
        <v>-0.0885752688172043</v>
      </c>
      <c r="D37" s="137" t="n">
        <f aca="false">IFERROR(IF(OR(NOT(ISNUMBER('Price History'!D38)),NOT(ISNUMBER('Price History'!D37)),'Price History'!D37=0),"",'Price History'!D38/'Price History'!D37-1),"")</f>
        <v>-0.0180797304884895</v>
      </c>
      <c r="E37" s="137" t="n">
        <f aca="false">IFERROR(IF(OR(NOT(ISNUMBER('Price History'!E38)),NOT(ISNUMBER('Price History'!E37)),'Price History'!E37=0),"",'Price History'!E38/'Price History'!E37-1),"")</f>
        <v>0.00350903389577417</v>
      </c>
      <c r="F37" s="137" t="n">
        <f aca="false">IFERROR(IF(OR(NOT(ISNUMBER('Price History'!F38)),NOT(ISNUMBER('Price History'!F37)),'Price History'!F37=0),"",'Price History'!F38/'Price History'!F37-1),"")</f>
        <v>-0.0205375253549694</v>
      </c>
      <c r="G37" s="137" t="n">
        <f aca="false">IFERROR(IF(OR(NOT(ISNUMBER('Price History'!G38)),NOT(ISNUMBER('Price History'!G37)),'Price History'!G37=0),"",'Price History'!G38/'Price History'!G37-1),"")</f>
        <v>-0.00292911540714713</v>
      </c>
      <c r="H37" s="137" t="n">
        <f aca="false">IFERROR(IF(OR(NOT(ISNUMBER('Price History'!H38)),NOT(ISNUMBER('Price History'!H37)),'Price History'!H37=0),"",'Price History'!H38/'Price History'!H37-1),"")</f>
        <v>-0.00857743971516434</v>
      </c>
      <c r="I37" s="137" t="n">
        <f aca="false">IFERROR(IF(OR(NOT(ISNUMBER('Price History'!I38)),NOT(ISNUMBER('Price History'!I37)),'Price History'!I37=0),"",'Price History'!I38/'Price History'!I37-1),"")</f>
        <v>0.00204522213384828</v>
      </c>
      <c r="J37" s="137" t="n">
        <f aca="false">IFERROR(IF(OR(NOT(ISNUMBER('Price History'!J38)),NOT(ISNUMBER('Price History'!J37)),'Price History'!J37=0),"",'Price History'!J38/'Price History'!J37-1),"")</f>
        <v>-0.0460157126823794</v>
      </c>
      <c r="K37" s="137" t="n">
        <f aca="false">IFERROR(IF(OR(NOT(ISNUMBER('Price History'!K38)),NOT(ISNUMBER('Price History'!K37)),'Price History'!K37=0),"",'Price History'!K38/'Price History'!K37-1),"")</f>
        <v>-0.0126306620209059</v>
      </c>
      <c r="L37" s="137" t="n">
        <f aca="false">IFERROR(IF(OR(NOT(ISNUMBER('Price History'!L38)),NOT(ISNUMBER('Price History'!L37)),'Price History'!L37=0),"",'Price History'!L38/'Price History'!L37-1),"")</f>
        <v>0.008205998868138</v>
      </c>
      <c r="M37" s="137" t="n">
        <f aca="false">IFERROR(IF(OR(NOT(ISNUMBER('Price History'!M38)),NOT(ISNUMBER('Price History'!M37)),'Price History'!M37=0),"",'Price History'!M38/'Price History'!M37-1),"")</f>
        <v>-0.0169908600890556</v>
      </c>
      <c r="N37" s="137" t="n">
        <f aca="false">IFERROR(IF(OR(NOT(ISNUMBER('Price History'!N38)),NOT(ISNUMBER('Price History'!N37)),'Price History'!N37=0),"",'Price History'!N38/'Price History'!N37-1),"")</f>
        <v>-0.0248850419258858</v>
      </c>
      <c r="O37" s="137" t="n">
        <f aca="false">IFERROR(IF(OR(NOT(ISNUMBER('Price History'!O38)),NOT(ISNUMBER('Price History'!O37)),'Price History'!O37=0),"",'Price History'!O38/'Price History'!O37-1),"")</f>
        <v>-0.0308648707601701</v>
      </c>
      <c r="P37" s="137" t="str">
        <f aca="false">IFERROR(IF(OR(NOT(ISNUMBER('Price History'!P38)),NOT(ISNUMBER('Price History'!P37)),'Price History'!P37=0),"",'Price History'!P38/'Price History'!P37-1),"")</f>
        <v/>
      </c>
      <c r="Q37" s="137" t="n">
        <f aca="false">IFERROR(IF(OR(NOT(ISNUMBER('Price History'!Q38)),NOT(ISNUMBER('Price History'!Q37)),'Price History'!Q37=0),"",'Price History'!Q38/'Price History'!Q37-1),"")</f>
        <v>-0.00262191924488719</v>
      </c>
      <c r="R37" s="137" t="n">
        <f aca="false">IFERROR(IF(OR(NOT(ISNUMBER('Price History'!R38)),NOT(ISNUMBER('Price History'!R37)),'Price History'!R37=0),"",'Price History'!R38/'Price History'!R37-1),"")</f>
        <v>-0.0035454375816385</v>
      </c>
      <c r="S37" s="137" t="n">
        <f aca="false">IFERROR(IF(OR(NOT(ISNUMBER('Price History'!S38)),NOT(ISNUMBER('Price History'!S37)),'Price History'!S37=0),"",'Price History'!S38/'Price History'!S37-1),"")</f>
        <v>-0.0140459912989436</v>
      </c>
      <c r="T37" s="137" t="n">
        <f aca="false">IFERROR(IF(OR(NOT(ISNUMBER('Price History'!T38)),NOT(ISNUMBER('Price History'!T37)),'Price History'!T37=0),"",'Price History'!T38/'Price History'!T37-1),"")</f>
        <v>-0.0259820600061862</v>
      </c>
      <c r="U37" s="137" t="str">
        <f aca="false">IFERROR(IF(OR(NOT(ISNUMBER('Price History'!U38)),NOT(ISNUMBER('Price History'!U37)),'Price History'!U37=0),"",'Price History'!U38/'Price History'!U37-1),"")</f>
        <v/>
      </c>
      <c r="W37" s="138" t="n">
        <f aca="false">'Price History'!B3+('Price History'!B158-'Price History'!B3)*0.220779220779221</f>
        <v>451.48012987013</v>
      </c>
      <c r="X37" s="138" t="n">
        <f aca="false">'Price History'!C3+('Price History'!C158-'Price History'!C3)*0.220779220779221</f>
        <v>73.9006493506494</v>
      </c>
      <c r="Y37" s="138" t="n">
        <f aca="false">'Price History'!D3+('Price History'!D158-'Price History'!D3)*0.220779220779221</f>
        <v>875.322077922078</v>
      </c>
      <c r="Z37" s="138" t="n">
        <f aca="false">'Price History'!E3+('Price History'!E158-'Price History'!E3)*0.220779220779221</f>
        <v>150.604675324675</v>
      </c>
      <c r="AA37" s="138" t="n">
        <f aca="false">'Price History'!F3+('Price History'!F158-'Price History'!F3)*0.220779220779221</f>
        <v>71.0158441558442</v>
      </c>
      <c r="AB37" s="138" t="n">
        <f aca="false">'Price History'!G3+('Price History'!G158-'Price History'!G3)*0.220779220779221</f>
        <v>77.6875324675325</v>
      </c>
      <c r="AC37" s="138" t="n">
        <f aca="false">'Price History'!H3+('Price History'!H158-'Price History'!H3)*0.220779220779221</f>
        <v>231.866363636364</v>
      </c>
      <c r="AD37" s="138" t="n">
        <f aca="false">'Price History'!I3+('Price History'!I158-'Price History'!I3)*0.220779220779221</f>
        <v>76.1525974025974</v>
      </c>
      <c r="AE37" s="138" t="n">
        <f aca="false">'Price History'!J3+('Price History'!J158-'Price History'!J3)*0.220779220779221</f>
        <v>128.168441558442</v>
      </c>
      <c r="AF37" s="138" t="n">
        <f aca="false">'Price History'!K3+('Price History'!K158-'Price History'!K3)*0.220779220779221</f>
        <v>39.1768831168831</v>
      </c>
      <c r="AG37" s="138" t="n">
        <f aca="false">'Price History'!L3+('Price History'!L158-'Price History'!L3)*0.220779220779221</f>
        <v>160.93051948052</v>
      </c>
      <c r="AH37" s="138" t="n">
        <f aca="false">'Price History'!M3+('Price History'!M158-'Price History'!M3)*0.220779220779221</f>
        <v>79.4453246753247</v>
      </c>
      <c r="AI37" s="138" t="n">
        <f aca="false">'Price History'!N3+('Price History'!N158-'Price History'!N3)*0.220779220779221</f>
        <v>377.951948051948</v>
      </c>
      <c r="AJ37" s="138" t="n">
        <f aca="false">'Price History'!O3+('Price History'!O158-'Price History'!O3)*0.220779220779221</f>
        <v>92.2176623376624</v>
      </c>
      <c r="AK37" s="138" t="n">
        <f aca="false">'Price History'!Q3+('Price History'!Q151-'Price History'!Q3)*0.220779220779221</f>
        <v>53.9487012987013</v>
      </c>
      <c r="AL37" s="138" t="n">
        <f aca="false">'Price History'!R3+('Price History'!R158-'Price History'!R3)*0.220779220779221</f>
        <v>50.1227272727273</v>
      </c>
      <c r="AM37" s="138" t="n">
        <f aca="false">'Price History'!S3+('Price History'!S158-'Price History'!S3)*0.220779220779221</f>
        <v>77.3702597402598</v>
      </c>
      <c r="AN37" s="138" t="n">
        <f aca="false">'Price History'!T3+('Price History'!T158-'Price History'!T3)*0.220779220779221</f>
        <v>31.9503896103896</v>
      </c>
    </row>
    <row r="38" customFormat="false" ht="15" hidden="false" customHeight="true" outlineLevel="0" collapsed="false">
      <c r="A38" s="136" t="n">
        <f aca="false">IF('Price History'!A39="","",'Price History'!A39)</f>
        <v>45401</v>
      </c>
      <c r="B38" s="137" t="n">
        <f aca="false">IFERROR(IF(OR(NOT(ISNUMBER('Price History'!B39)),NOT(ISNUMBER('Price History'!B38)),'Price History'!B38=0),"",'Price History'!B39/'Price History'!B38-1),"")</f>
        <v>-0.0191313885549157</v>
      </c>
      <c r="C38" s="137" t="n">
        <f aca="false">IFERROR(IF(OR(NOT(ISNUMBER('Price History'!C39)),NOT(ISNUMBER('Price History'!C38)),'Price History'!C38=0),"",'Price History'!C39/'Price History'!C38-1),"")</f>
        <v>-0.0927591800619377</v>
      </c>
      <c r="D38" s="137" t="n">
        <f aca="false">IFERROR(IF(OR(NOT(ISNUMBER('Price History'!D39)),NOT(ISNUMBER('Price History'!D38)),'Price History'!D38=0),"",'Price History'!D39/'Price History'!D38-1),"")</f>
        <v>-0.106358645928637</v>
      </c>
      <c r="E38" s="137" t="n">
        <f aca="false">IFERROR(IF(OR(NOT(ISNUMBER('Price History'!E39)),NOT(ISNUMBER('Price History'!E38)),'Price History'!E38=0),"",'Price History'!E39/'Price History'!E38-1),"")</f>
        <v>-0.103712521389777</v>
      </c>
      <c r="F38" s="137" t="n">
        <f aca="false">IFERROR(IF(OR(NOT(ISNUMBER('Price History'!F39)),NOT(ISNUMBER('Price History'!F38)),'Price History'!F38=0),"",'Price History'!F39/'Price History'!F38-1),"")</f>
        <v>-0.0854258348433861</v>
      </c>
      <c r="G38" s="137" t="n">
        <f aca="false">IFERROR(IF(OR(NOT(ISNUMBER('Price History'!G39)),NOT(ISNUMBER('Price History'!G38)),'Price History'!G38=0),"",'Price History'!G39/'Price History'!G38-1),"")</f>
        <v>-0.077262044653349</v>
      </c>
      <c r="H38" s="137" t="n">
        <f aca="false">IFERROR(IF(OR(NOT(ISNUMBER('Price History'!H39)),NOT(ISNUMBER('Price History'!H38)),'Price History'!H38=0),"",'Price History'!H39/'Price History'!H38-1),"")</f>
        <v>-0.128550440744368</v>
      </c>
      <c r="I38" s="137" t="n">
        <f aca="false">IFERROR(IF(OR(NOT(ISNUMBER('Price History'!I39)),NOT(ISNUMBER('Price History'!I38)),'Price History'!I38=0),"",'Price History'!I39/'Price History'!I38-1),"")</f>
        <v>-0.135956457648259</v>
      </c>
      <c r="J38" s="137" t="n">
        <f aca="false">IFERROR(IF(OR(NOT(ISNUMBER('Price History'!J39)),NOT(ISNUMBER('Price History'!J38)),'Price History'!J38=0),"",'Price History'!J39/'Price History'!J38-1),"")</f>
        <v>-0.130336134453782</v>
      </c>
      <c r="K38" s="137" t="n">
        <f aca="false">IFERROR(IF(OR(NOT(ISNUMBER('Price History'!K39)),NOT(ISNUMBER('Price History'!K38)),'Price History'!K38=0),"",'Price History'!K39/'Price History'!K38-1),"")</f>
        <v>-0.0970445522717248</v>
      </c>
      <c r="L38" s="137" t="n">
        <f aca="false">IFERROR(IF(OR(NOT(ISNUMBER('Price History'!L39)),NOT(ISNUMBER('Price History'!L38)),'Price History'!L38=0),"",'Price History'!L39/'Price History'!L38-1),"")</f>
        <v>-0.103985405557115</v>
      </c>
      <c r="M38" s="137" t="n">
        <f aca="false">IFERROR(IF(OR(NOT(ISNUMBER('Price History'!M39)),NOT(ISNUMBER('Price History'!M38)),'Price History'!M38=0),"",'Price History'!M39/'Price History'!M38-1),"")</f>
        <v>-0.105852902610561</v>
      </c>
      <c r="N38" s="137" t="n">
        <f aca="false">IFERROR(IF(OR(NOT(ISNUMBER('Price History'!N39)),NOT(ISNUMBER('Price History'!N38)),'Price History'!N38=0),"",'Price History'!N39/'Price History'!N38-1),"")</f>
        <v>-0.00572437271466408</v>
      </c>
      <c r="O38" s="137" t="n">
        <f aca="false">IFERROR(IF(OR(NOT(ISNUMBER('Price History'!O39)),NOT(ISNUMBER('Price History'!O38)),'Price History'!O38=0),"",'Price History'!O39/'Price History'!O38-1),"")</f>
        <v>-0.00900292595093399</v>
      </c>
      <c r="P38" s="137" t="str">
        <f aca="false">IFERROR(IF(OR(NOT(ISNUMBER('Price History'!P39)),NOT(ISNUMBER('Price History'!P38)),'Price History'!P38=0),"",'Price History'!P39/'Price History'!P38-1),"")</f>
        <v/>
      </c>
      <c r="Q38" s="137" t="n">
        <f aca="false">IFERROR(IF(OR(NOT(ISNUMBER('Price History'!Q39)),NOT(ISNUMBER('Price History'!Q38)),'Price History'!Q38=0),"",'Price History'!Q39/'Price History'!Q38-1),"")</f>
        <v>0.0110410094637223</v>
      </c>
      <c r="R38" s="137" t="n">
        <f aca="false">IFERROR(IF(OR(NOT(ISNUMBER('Price History'!R39)),NOT(ISNUMBER('Price History'!R38)),'Price History'!R38=0),"",'Price History'!R39/'Price History'!R38-1),"")</f>
        <v>-0.047940074906367</v>
      </c>
      <c r="S38" s="137" t="n">
        <f aca="false">IFERROR(IF(OR(NOT(ISNUMBER('Price History'!S39)),NOT(ISNUMBER('Price History'!S38)),'Price History'!S38=0),"",'Price History'!S39/'Price History'!S38-1),"")</f>
        <v>-0.0568582955118506</v>
      </c>
      <c r="T38" s="137" t="n">
        <f aca="false">IFERROR(IF(OR(NOT(ISNUMBER('Price History'!T39)),NOT(ISNUMBER('Price History'!T38)),'Price History'!T38=0),"",'Price History'!T39/'Price History'!T38-1),"")</f>
        <v>-0.017783423308987</v>
      </c>
      <c r="U38" s="137" t="str">
        <f aca="false">IFERROR(IF(OR(NOT(ISNUMBER('Price History'!U39)),NOT(ISNUMBER('Price History'!U38)),'Price History'!U38=0),"",'Price History'!U39/'Price History'!U38-1),"")</f>
        <v/>
      </c>
      <c r="W38" s="138" t="n">
        <f aca="false">'Price History'!B3+('Price History'!B158-'Price History'!B3)*0.227272727272727</f>
        <v>449.804545454546</v>
      </c>
      <c r="X38" s="138" t="n">
        <f aca="false">'Price History'!C3+('Price History'!C158-'Price History'!C3)*0.227272727272727</f>
        <v>74.7877272727272</v>
      </c>
      <c r="Y38" s="138" t="n">
        <f aca="false">'Price History'!D3+('Price History'!D158-'Price History'!D3)*0.227272727272727</f>
        <v>881.602727272727</v>
      </c>
      <c r="Z38" s="138" t="n">
        <f aca="false">'Price History'!E3+('Price History'!E158-'Price History'!E3)*0.227272727272727</f>
        <v>152.593636363636</v>
      </c>
      <c r="AA38" s="138" t="n">
        <f aca="false">'Price History'!F3+('Price History'!F158-'Price History'!F3)*0.227272727272727</f>
        <v>72.0145454545454</v>
      </c>
      <c r="AB38" s="138" t="n">
        <f aca="false">'Price History'!G3+('Price History'!G158-'Price History'!G3)*0.227272727272727</f>
        <v>78.5636363636363</v>
      </c>
      <c r="AC38" s="138" t="n">
        <f aca="false">'Price History'!H3+('Price History'!H158-'Price History'!H3)*0.227272727272727</f>
        <v>236.792727272727</v>
      </c>
      <c r="AD38" s="138" t="n">
        <f aca="false">'Price History'!I3+('Price History'!I158-'Price History'!I3)*0.227272727272727</f>
        <v>77.1909090909091</v>
      </c>
      <c r="AE38" s="138" t="n">
        <f aca="false">'Price History'!J3+('Price History'!J158-'Price History'!J3)*0.227272727272727</f>
        <v>128.305454545455</v>
      </c>
      <c r="AF38" s="138" t="n">
        <f aca="false">'Price History'!K3+('Price History'!K158-'Price History'!K3)*0.227272727272727</f>
        <v>39.8759090909091</v>
      </c>
      <c r="AG38" s="138" t="n">
        <f aca="false">'Price History'!L3+('Price History'!L158-'Price History'!L3)*0.227272727272727</f>
        <v>162.958181818182</v>
      </c>
      <c r="AH38" s="138" t="n">
        <f aca="false">'Price History'!M3+('Price History'!M158-'Price History'!M3)*0.227272727272727</f>
        <v>80.7963636363636</v>
      </c>
      <c r="AI38" s="138" t="n">
        <f aca="false">'Price History'!N3+('Price History'!N158-'Price History'!N3)*0.227272727272727</f>
        <v>378.778181818182</v>
      </c>
      <c r="AJ38" s="138" t="n">
        <f aca="false">'Price History'!O3+('Price History'!O158-'Price History'!O3)*0.227272727272727</f>
        <v>92.4931818181818</v>
      </c>
      <c r="AK38" s="138" t="n">
        <f aca="false">'Price History'!Q3+('Price History'!Q151-'Price History'!Q3)*0.227272727272727</f>
        <v>54.0695454545455</v>
      </c>
      <c r="AL38" s="138" t="n">
        <f aca="false">'Price History'!R3+('Price History'!R158-'Price History'!R3)*0.227272727272727</f>
        <v>50.1904545454545</v>
      </c>
      <c r="AM38" s="138" t="n">
        <f aca="false">'Price History'!S3+('Price History'!S158-'Price History'!S3)*0.227272727272727</f>
        <v>77.9240909090909</v>
      </c>
      <c r="AN38" s="138" t="n">
        <f aca="false">'Price History'!T3+('Price History'!T158-'Price History'!T3)*0.227272727272727</f>
        <v>32.0986363636364</v>
      </c>
    </row>
    <row r="39" customFormat="false" ht="15" hidden="false" customHeight="true" outlineLevel="0" collapsed="false">
      <c r="A39" s="136" t="n">
        <f aca="false">IF('Price History'!A40="","",'Price History'!A40)</f>
        <v>45408</v>
      </c>
      <c r="B39" s="137" t="n">
        <f aca="false">IFERROR(IF(OR(NOT(ISNUMBER('Price History'!B40)),NOT(ISNUMBER('Price History'!B39)),'Price History'!B39=0),"",'Price History'!B40/'Price History'!B39-1),"")</f>
        <v>0.0269665820824911</v>
      </c>
      <c r="C39" s="137" t="n">
        <f aca="false">IFERROR(IF(OR(NOT(ISNUMBER('Price History'!C40)),NOT(ISNUMBER('Price History'!C39)),'Price History'!C39=0),"",'Price History'!C40/'Price History'!C39-1),"")</f>
        <v>0.0757477243172953</v>
      </c>
      <c r="D39" s="137" t="n">
        <f aca="false">IFERROR(IF(OR(NOT(ISNUMBER('Price History'!D40)),NOT(ISNUMBER('Price History'!D39)),'Price History'!D39=0),"",'Price History'!D40/'Price History'!D39-1),"")</f>
        <v>0.0691416338972009</v>
      </c>
      <c r="E39" s="137" t="n">
        <f aca="false">IFERROR(IF(OR(NOT(ISNUMBER('Price History'!E40)),NOT(ISNUMBER('Price History'!E39)),'Price History'!E39=0),"",'Price History'!E40/'Price History'!E39-1),"")</f>
        <v>0.115713455632108</v>
      </c>
      <c r="F39" s="137" t="n">
        <f aca="false">IFERROR(IF(OR(NOT(ISNUMBER('Price History'!F40)),NOT(ISNUMBER('Price History'!F39)),'Price History'!F39=0),"",'Price History'!F40/'Price History'!F39-1),"")</f>
        <v>0.0758562128502689</v>
      </c>
      <c r="G39" s="137" t="n">
        <f aca="false">IFERROR(IF(OR(NOT(ISNUMBER('Price History'!G40)),NOT(ISNUMBER('Price History'!G39)),'Price History'!G39=0),"",'Price History'!G40/'Price History'!G39-1),"")</f>
        <v>0.124323463865011</v>
      </c>
      <c r="H39" s="137" t="n">
        <f aca="false">IFERROR(IF(OR(NOT(ISNUMBER('Price History'!H40)),NOT(ISNUMBER('Price History'!H39)),'Price History'!H39=0),"",'Price History'!H40/'Price History'!H39-1),"")</f>
        <v>0.0755830289407138</v>
      </c>
      <c r="I39" s="137" t="n">
        <f aca="false">IFERROR(IF(OR(NOT(ISNUMBER('Price History'!I40)),NOT(ISNUMBER('Price History'!I39)),'Price History'!I39=0),"",'Price History'!I40/'Price History'!I39-1),"")</f>
        <v>0.151443569553806</v>
      </c>
      <c r="J39" s="137" t="n">
        <f aca="false">IFERROR(IF(OR(NOT(ISNUMBER('Price History'!J40)),NOT(ISNUMBER('Price History'!J39)),'Price History'!J39=0),"",'Price History'!J40/'Price History'!J39-1),"")</f>
        <v>0.00550777852932649</v>
      </c>
      <c r="K39" s="137" t="n">
        <f aca="false">IFERROR(IF(OR(NOT(ISNUMBER('Price History'!K40)),NOT(ISNUMBER('Price History'!K39)),'Price History'!K39=0),"",'Price History'!K40/'Price History'!K39-1),"")</f>
        <v>0.100146555935515</v>
      </c>
      <c r="L39" s="137" t="n">
        <f aca="false">IFERROR(IF(OR(NOT(ISNUMBER('Price History'!L40)),NOT(ISNUMBER('Price History'!L39)),'Price History'!L39=0),"",'Price History'!L40/'Price History'!L39-1),"")</f>
        <v>0.0830070477682068</v>
      </c>
      <c r="M39" s="137" t="n">
        <f aca="false">IFERROR(IF(OR(NOT(ISNUMBER('Price History'!M40)),NOT(ISNUMBER('Price History'!M39)),'Price History'!M39=0),"",'Price History'!M40/'Price History'!M39-1),"")</f>
        <v>0.246367151046527</v>
      </c>
      <c r="N39" s="137" t="n">
        <f aca="false">IFERROR(IF(OR(NOT(ISNUMBER('Price History'!N40)),NOT(ISNUMBER('Price History'!N39)),'Price History'!N39=0),"",'Price History'!N40/'Price History'!N39-1),"")</f>
        <v>0.00811605965303852</v>
      </c>
      <c r="O39" s="137" t="n">
        <f aca="false">IFERROR(IF(OR(NOT(ISNUMBER('Price History'!O40)),NOT(ISNUMBER('Price History'!O39)),'Price History'!O39=0),"",'Price History'!O40/'Price History'!O39-1),"")</f>
        <v>0.0247558482852599</v>
      </c>
      <c r="P39" s="137" t="str">
        <f aca="false">IFERROR(IF(OR(NOT(ISNUMBER('Price History'!P40)),NOT(ISNUMBER('Price History'!P39)),'Price History'!P39=0),"",'Price History'!P40/'Price History'!P39-1),"")</f>
        <v/>
      </c>
      <c r="Q39" s="137" t="n">
        <f aca="false">IFERROR(IF(OR(NOT(ISNUMBER('Price History'!Q40)),NOT(ISNUMBER('Price History'!Q39)),'Price History'!Q39=0),"",'Price History'!Q40/'Price History'!Q39-1),"")</f>
        <v>0.00901369388108853</v>
      </c>
      <c r="R39" s="137" t="n">
        <f aca="false">IFERROR(IF(OR(NOT(ISNUMBER('Price History'!R40)),NOT(ISNUMBER('Price History'!R39)),'Price History'!R39=0),"",'Price History'!R40/'Price History'!R39-1),"")</f>
        <v>0.0357985837922894</v>
      </c>
      <c r="S39" s="137" t="n">
        <f aca="false">IFERROR(IF(OR(NOT(ISNUMBER('Price History'!S40)),NOT(ISNUMBER('Price History'!S39)),'Price History'!S39=0),"",'Price History'!S40/'Price History'!S39-1),"")</f>
        <v>0.0300761930223232</v>
      </c>
      <c r="T39" s="137" t="n">
        <f aca="false">IFERROR(IF(OR(NOT(ISNUMBER('Price History'!T40)),NOT(ISNUMBER('Price History'!T39)),'Price History'!T39=0),"",'Price History'!T40/'Price History'!T39-1),"")</f>
        <v>0.0126091173617846</v>
      </c>
      <c r="U39" s="137" t="str">
        <f aca="false">IFERROR(IF(OR(NOT(ISNUMBER('Price History'!U40)),NOT(ISNUMBER('Price History'!U39)),'Price History'!U39=0),"",'Price History'!U40/'Price History'!U39-1),"")</f>
        <v/>
      </c>
      <c r="W39" s="138" t="n">
        <f aca="false">'Price History'!B3+('Price History'!B158-'Price History'!B3)*0.233766233766234</f>
        <v>448.128961038961</v>
      </c>
      <c r="X39" s="138" t="n">
        <f aca="false">'Price History'!C3+('Price History'!C158-'Price History'!C3)*0.233766233766234</f>
        <v>75.6748051948052</v>
      </c>
      <c r="Y39" s="138" t="n">
        <f aca="false">'Price History'!D3+('Price History'!D158-'Price History'!D3)*0.233766233766234</f>
        <v>887.883376623377</v>
      </c>
      <c r="Z39" s="138" t="n">
        <f aca="false">'Price History'!E3+('Price History'!E158-'Price History'!E3)*0.233766233766234</f>
        <v>154.582597402597</v>
      </c>
      <c r="AA39" s="138" t="n">
        <f aca="false">'Price History'!F3+('Price History'!F158-'Price History'!F3)*0.233766233766234</f>
        <v>73.0132467532468</v>
      </c>
      <c r="AB39" s="138" t="n">
        <f aca="false">'Price History'!G3+('Price History'!G158-'Price History'!G3)*0.233766233766234</f>
        <v>79.4397402597403</v>
      </c>
      <c r="AC39" s="138" t="n">
        <f aca="false">'Price History'!H3+('Price History'!H158-'Price History'!H3)*0.233766233766234</f>
        <v>241.719090909091</v>
      </c>
      <c r="AD39" s="138" t="n">
        <f aca="false">'Price History'!I3+('Price History'!I158-'Price History'!I3)*0.233766233766234</f>
        <v>78.2292207792208</v>
      </c>
      <c r="AE39" s="138" t="n">
        <f aca="false">'Price History'!J3+('Price History'!J158-'Price History'!J3)*0.233766233766234</f>
        <v>128.442467532468</v>
      </c>
      <c r="AF39" s="138" t="n">
        <f aca="false">'Price History'!K3+('Price History'!K158-'Price History'!K3)*0.233766233766234</f>
        <v>40.5749350649351</v>
      </c>
      <c r="AG39" s="138" t="n">
        <f aca="false">'Price History'!L3+('Price History'!L158-'Price History'!L3)*0.233766233766234</f>
        <v>164.985844155844</v>
      </c>
      <c r="AH39" s="138" t="n">
        <f aca="false">'Price History'!M3+('Price History'!M158-'Price History'!M3)*0.233766233766234</f>
        <v>82.1474025974027</v>
      </c>
      <c r="AI39" s="138" t="n">
        <f aca="false">'Price History'!N3+('Price History'!N158-'Price History'!N3)*0.233766233766234</f>
        <v>379.604415584416</v>
      </c>
      <c r="AJ39" s="138" t="n">
        <f aca="false">'Price History'!O3+('Price History'!O158-'Price History'!O3)*0.233766233766234</f>
        <v>92.7687012987013</v>
      </c>
      <c r="AK39" s="138" t="n">
        <f aca="false">'Price History'!Q3+('Price History'!Q151-'Price History'!Q3)*0.233766233766234</f>
        <v>54.1903896103896</v>
      </c>
      <c r="AL39" s="138" t="n">
        <f aca="false">'Price History'!R3+('Price History'!R158-'Price History'!R3)*0.233766233766234</f>
        <v>50.2581818181818</v>
      </c>
      <c r="AM39" s="138" t="n">
        <f aca="false">'Price History'!S3+('Price History'!S158-'Price History'!S3)*0.233766233766234</f>
        <v>78.4779220779221</v>
      </c>
      <c r="AN39" s="138" t="n">
        <f aca="false">'Price History'!T3+('Price History'!T158-'Price History'!T3)*0.233766233766234</f>
        <v>32.2468831168831</v>
      </c>
    </row>
    <row r="40" customFormat="false" ht="15" hidden="false" customHeight="true" outlineLevel="0" collapsed="false">
      <c r="A40" s="136" t="n">
        <f aca="false">IF('Price History'!A41="","",'Price History'!A41)</f>
        <v>45415</v>
      </c>
      <c r="B40" s="137" t="n">
        <f aca="false">IFERROR(IF(OR(NOT(ISNUMBER('Price History'!B41)),NOT(ISNUMBER('Price History'!B40)),'Price History'!B40=0),"",'Price History'!B41/'Price History'!B40-1),"")</f>
        <v>0.0180500879470642</v>
      </c>
      <c r="C40" s="137" t="n">
        <f aca="false">IFERROR(IF(OR(NOT(ISNUMBER('Price History'!C41)),NOT(ISNUMBER('Price History'!C40)),'Price History'!C40=0),"",'Price History'!C41/'Price History'!C40-1),"")</f>
        <v>0.0365669386521605</v>
      </c>
      <c r="D40" s="137" t="n">
        <f aca="false">IFERROR(IF(OR(NOT(ISNUMBER('Price History'!D41)),NOT(ISNUMBER('Price History'!D40)),'Price History'!D40=0),"",'Price History'!D41/'Price History'!D40-1),"")</f>
        <v>-0.0188689511083061</v>
      </c>
      <c r="E40" s="137" t="n">
        <f aca="false">IFERROR(IF(OR(NOT(ISNUMBER('Price History'!E41)),NOT(ISNUMBER('Price History'!E40)),'Price History'!E40=0),"",'Price History'!E41/'Price History'!E40-1),"")</f>
        <v>-0.049103489323711</v>
      </c>
      <c r="F40" s="137" t="n">
        <f aca="false">IFERROR(IF(OR(NOT(ISNUMBER('Price History'!F41)),NOT(ISNUMBER('Price History'!F40)),'Price History'!F40=0),"",'Price History'!F41/'Price History'!F40-1),"")</f>
        <v>0.0201262825572217</v>
      </c>
      <c r="G40" s="137" t="n">
        <f aca="false">IFERROR(IF(OR(NOT(ISNUMBER('Price History'!G41)),NOT(ISNUMBER('Price History'!G40)),'Price History'!G40=0),"",'Price History'!G41/'Price History'!G40-1),"")</f>
        <v>-0.0137335409882486</v>
      </c>
      <c r="H40" s="137" t="n">
        <f aca="false">IFERROR(IF(OR(NOT(ISNUMBER('Price History'!H41)),NOT(ISNUMBER('Price History'!H40)),'Price History'!H40=0),"",'Price History'!H41/'Price History'!H40-1),"")</f>
        <v>-0.00121908742598398</v>
      </c>
      <c r="I40" s="137" t="n">
        <f aca="false">IFERROR(IF(OR(NOT(ISNUMBER('Price History'!I41)),NOT(ISNUMBER('Price History'!I40)),'Price History'!I40=0),"",'Price History'!I41/'Price History'!I40-1),"")</f>
        <v>0.0119671757465241</v>
      </c>
      <c r="J40" s="137" t="n">
        <f aca="false">IFERROR(IF(OR(NOT(ISNUMBER('Price History'!J41)),NOT(ISNUMBER('Price History'!J40)),'Price History'!J40=0),"",'Price History'!J41/'Price History'!J40-1),"")</f>
        <v>0.0175860080722661</v>
      </c>
      <c r="K40" s="137" t="n">
        <f aca="false">IFERROR(IF(OR(NOT(ISNUMBER('Price History'!K41)),NOT(ISNUMBER('Price History'!K40)),'Price History'!K40=0),"",'Price History'!K41/'Price History'!K40-1),"")</f>
        <v>0.0359680284191828</v>
      </c>
      <c r="L40" s="137" t="n">
        <f aca="false">IFERROR(IF(OR(NOT(ISNUMBER('Price History'!L41)),NOT(ISNUMBER('Price History'!L40)),'Price History'!L40=0),"",'Price History'!L41/'Price History'!L40-1),"")</f>
        <v>0.0235719450469991</v>
      </c>
      <c r="M40" s="137" t="n">
        <f aca="false">IFERROR(IF(OR(NOT(ISNUMBER('Price History'!M41)),NOT(ISNUMBER('Price History'!M40)),'Price History'!M40=0),"",'Price History'!M41/'Price History'!M40-1),"")</f>
        <v>-0.00513423895603793</v>
      </c>
      <c r="N40" s="137" t="n">
        <f aca="false">IFERROR(IF(OR(NOT(ISNUMBER('Price History'!N41)),NOT(ISNUMBER('Price History'!N40)),'Price History'!N40=0),"",'Price History'!N41/'Price History'!N40-1),"")</f>
        <v>0.00905705947469038</v>
      </c>
      <c r="O40" s="137" t="n">
        <f aca="false">IFERROR(IF(OR(NOT(ISNUMBER('Price History'!O41)),NOT(ISNUMBER('Price History'!O40)),'Price History'!O40=0),"",'Price History'!O41/'Price History'!O40-1),"")</f>
        <v>0.00687056737588665</v>
      </c>
      <c r="P40" s="137" t="str">
        <f aca="false">IFERROR(IF(OR(NOT(ISNUMBER('Price History'!P41)),NOT(ISNUMBER('Price History'!P40)),'Price History'!P40=0),"",'Price History'!P41/'Price History'!P40-1),"")</f>
        <v/>
      </c>
      <c r="Q40" s="137" t="n">
        <f aca="false">IFERROR(IF(OR(NOT(ISNUMBER('Price History'!Q41)),NOT(ISNUMBER('Price History'!Q40)),'Price History'!Q40=0),"",'Price History'!Q41/'Price History'!Q40-1),"")</f>
        <v>0.00326404397869773</v>
      </c>
      <c r="R40" s="137" t="n">
        <f aca="false">IFERROR(IF(OR(NOT(ISNUMBER('Price History'!R41)),NOT(ISNUMBER('Price History'!R40)),'Price History'!R40=0),"",'Price History'!R41/'Price History'!R40-1),"")</f>
        <v>0.00170907709836698</v>
      </c>
      <c r="S40" s="137" t="n">
        <f aca="false">IFERROR(IF(OR(NOT(ISNUMBER('Price History'!S41)),NOT(ISNUMBER('Price History'!S40)),'Price History'!S40=0),"",'Price History'!S41/'Price History'!S40-1),"")</f>
        <v>0.00986244484817012</v>
      </c>
      <c r="T40" s="137" t="n">
        <f aca="false">IFERROR(IF(OR(NOT(ISNUMBER('Price History'!T41)),NOT(ISNUMBER('Price History'!T40)),'Price History'!T40=0),"",'Price History'!T41/'Price History'!T40-1),"")</f>
        <v>-0.0156449553001278</v>
      </c>
      <c r="U40" s="137" t="str">
        <f aca="false">IFERROR(IF(OR(NOT(ISNUMBER('Price History'!U41)),NOT(ISNUMBER('Price History'!U40)),'Price History'!U40=0),"",'Price History'!U41/'Price History'!U40-1),"")</f>
        <v/>
      </c>
      <c r="W40" s="138" t="n">
        <f aca="false">'Price History'!B3+('Price History'!B158-'Price History'!B3)*0.24025974025974</f>
        <v>446.453376623377</v>
      </c>
      <c r="X40" s="138" t="n">
        <f aca="false">'Price History'!C3+('Price History'!C158-'Price History'!C3)*0.24025974025974</f>
        <v>76.5618831168831</v>
      </c>
      <c r="Y40" s="138" t="n">
        <f aca="false">'Price History'!D3+('Price History'!D158-'Price History'!D3)*0.24025974025974</f>
        <v>894.164025974026</v>
      </c>
      <c r="Z40" s="138" t="n">
        <f aca="false">'Price History'!E3+('Price History'!E158-'Price History'!E3)*0.24025974025974</f>
        <v>156.571558441558</v>
      </c>
      <c r="AA40" s="138" t="n">
        <f aca="false">'Price History'!F3+('Price History'!F158-'Price History'!F3)*0.24025974025974</f>
        <v>74.011948051948</v>
      </c>
      <c r="AB40" s="138" t="n">
        <f aca="false">'Price History'!G3+('Price History'!G158-'Price History'!G3)*0.24025974025974</f>
        <v>80.3158441558441</v>
      </c>
      <c r="AC40" s="138" t="n">
        <f aca="false">'Price History'!H3+('Price History'!H158-'Price History'!H3)*0.24025974025974</f>
        <v>246.645454545454</v>
      </c>
      <c r="AD40" s="138" t="n">
        <f aca="false">'Price History'!I3+('Price History'!I158-'Price History'!I3)*0.24025974025974</f>
        <v>79.2675324675324</v>
      </c>
      <c r="AE40" s="138" t="n">
        <f aca="false">'Price History'!J3+('Price History'!J158-'Price History'!J3)*0.24025974025974</f>
        <v>128.579480519481</v>
      </c>
      <c r="AF40" s="138" t="n">
        <f aca="false">'Price History'!K3+('Price History'!K158-'Price History'!K3)*0.24025974025974</f>
        <v>41.273961038961</v>
      </c>
      <c r="AG40" s="138" t="n">
        <f aca="false">'Price History'!L3+('Price History'!L158-'Price History'!L3)*0.24025974025974</f>
        <v>167.013506493506</v>
      </c>
      <c r="AH40" s="138" t="n">
        <f aca="false">'Price History'!M3+('Price History'!M158-'Price History'!M3)*0.24025974025974</f>
        <v>83.4984415584415</v>
      </c>
      <c r="AI40" s="138" t="n">
        <f aca="false">'Price History'!N3+('Price History'!N158-'Price History'!N3)*0.24025974025974</f>
        <v>380.430649350649</v>
      </c>
      <c r="AJ40" s="138" t="n">
        <f aca="false">'Price History'!O3+('Price History'!O158-'Price History'!O3)*0.24025974025974</f>
        <v>93.0442207792208</v>
      </c>
      <c r="AK40" s="138" t="n">
        <f aca="false">'Price History'!Q3+('Price History'!Q151-'Price History'!Q3)*0.24025974025974</f>
        <v>54.3112337662338</v>
      </c>
      <c r="AL40" s="138" t="n">
        <f aca="false">'Price History'!R3+('Price History'!R158-'Price History'!R3)*0.24025974025974</f>
        <v>50.3259090909091</v>
      </c>
      <c r="AM40" s="138" t="n">
        <f aca="false">'Price History'!S3+('Price History'!S158-'Price History'!S3)*0.24025974025974</f>
        <v>79.0317532467532</v>
      </c>
      <c r="AN40" s="138" t="n">
        <f aca="false">'Price History'!T3+('Price History'!T158-'Price History'!T3)*0.24025974025974</f>
        <v>32.3951298701299</v>
      </c>
    </row>
    <row r="41" customFormat="false" ht="15" hidden="false" customHeight="true" outlineLevel="0" collapsed="false">
      <c r="A41" s="136" t="n">
        <f aca="false">IF('Price History'!A42="","",'Price History'!A42)</f>
        <v>45422</v>
      </c>
      <c r="B41" s="137" t="n">
        <f aca="false">IFERROR(IF(OR(NOT(ISNUMBER('Price History'!B42)),NOT(ISNUMBER('Price History'!B41)),'Price History'!B41=0),"",'Price History'!B42/'Price History'!B41-1),"")</f>
        <v>-0.00800115183676819</v>
      </c>
      <c r="C41" s="137" t="n">
        <f aca="false">IFERROR(IF(OR(NOT(ISNUMBER('Price History'!C42)),NOT(ISNUMBER('Price History'!C41)),'Price History'!C41=0),"",'Price History'!C42/'Price History'!C41-1),"")</f>
        <v>0.144460641399417</v>
      </c>
      <c r="D41" s="137" t="n">
        <f aca="false">IFERROR(IF(OR(NOT(ISNUMBER('Price History'!D42)),NOT(ISNUMBER('Price History'!D41)),'Price History'!D41=0),"",'Price History'!D42/'Price History'!D41-1),"")</f>
        <v>0.0317868748821579</v>
      </c>
      <c r="E41" s="137" t="n">
        <f aca="false">IFERROR(IF(OR(NOT(ISNUMBER('Price History'!E42)),NOT(ISNUMBER('Price History'!E41)),'Price History'!E41=0),"",'Price History'!E42/'Price History'!E41-1),"")</f>
        <v>0.0427979031374697</v>
      </c>
      <c r="F41" s="137" t="n">
        <f aca="false">IFERROR(IF(OR(NOT(ISNUMBER('Price History'!F42)),NOT(ISNUMBER('Price History'!F41)),'Price History'!F41=0),"",'Price History'!F42/'Price History'!F41-1),"")</f>
        <v>0.0340425531914894</v>
      </c>
      <c r="G41" s="137" t="n">
        <f aca="false">IFERROR(IF(OR(NOT(ISNUMBER('Price History'!G42)),NOT(ISNUMBER('Price History'!G41)),'Price History'!G41=0),"",'Price History'!G42/'Price History'!G41-1),"")</f>
        <v>0.0311513063451048</v>
      </c>
      <c r="H41" s="137" t="n">
        <f aca="false">IFERROR(IF(OR(NOT(ISNUMBER('Price History'!H42)),NOT(ISNUMBER('Price History'!H41)),'Price History'!H41=0),"",'Price History'!H42/'Price History'!H41-1),"")</f>
        <v>0.0570183086312117</v>
      </c>
      <c r="I41" s="137" t="n">
        <f aca="false">IFERROR(IF(OR(NOT(ISNUMBER('Price History'!I42)),NOT(ISNUMBER('Price History'!I41)),'Price History'!I41=0),"",'Price History'!I42/'Price History'!I41-1),"")</f>
        <v>0.0122761572249126</v>
      </c>
      <c r="J41" s="137" t="n">
        <f aca="false">IFERROR(IF(OR(NOT(ISNUMBER('Price History'!J42)),NOT(ISNUMBER('Price History'!J41)),'Price History'!J41=0),"",'Price History'!J42/'Price History'!J41-1),"")</f>
        <v>0.015110019831901</v>
      </c>
      <c r="K41" s="137" t="n">
        <f aca="false">IFERROR(IF(OR(NOT(ISNUMBER('Price History'!K42)),NOT(ISNUMBER('Price History'!K41)),'Price History'!K41=0),"",'Price History'!K42/'Price History'!K41-1),"")</f>
        <v>-0.11701671667381</v>
      </c>
      <c r="L41" s="137" t="n">
        <f aca="false">IFERROR(IF(OR(NOT(ISNUMBER('Price History'!L42)),NOT(ISNUMBER('Price History'!L41)),'Price History'!L41=0),"",'Price History'!L42/'Price History'!L41-1),"")</f>
        <v>0.054393896580955</v>
      </c>
      <c r="M41" s="137" t="n">
        <f aca="false">IFERROR(IF(OR(NOT(ISNUMBER('Price History'!M42)),NOT(ISNUMBER('Price History'!M41)),'Price History'!M41=0),"",'Price History'!M42/'Price History'!M41-1),"")</f>
        <v>0.0256961617030427</v>
      </c>
      <c r="N41" s="137" t="n">
        <f aca="false">IFERROR(IF(OR(NOT(ISNUMBER('Price History'!N42)),NOT(ISNUMBER('Price History'!N41)),'Price History'!N41=0),"",'Price History'!N42/'Price History'!N41-1),"")</f>
        <v>0.0541039194175725</v>
      </c>
      <c r="O41" s="137" t="n">
        <f aca="false">IFERROR(IF(OR(NOT(ISNUMBER('Price History'!O42)),NOT(ISNUMBER('Price History'!O41)),'Price History'!O41=0),"",'Price History'!O42/'Price History'!O41-1),"")</f>
        <v>0.017279330838653</v>
      </c>
      <c r="P41" s="137" t="str">
        <f aca="false">IFERROR(IF(OR(NOT(ISNUMBER('Price History'!P42)),NOT(ISNUMBER('Price History'!P41)),'Price History'!P41=0),"",'Price History'!P42/'Price History'!P41-1),"")</f>
        <v/>
      </c>
      <c r="Q41" s="137" t="n">
        <f aca="false">IFERROR(IF(OR(NOT(ISNUMBER('Price History'!Q42)),NOT(ISNUMBER('Price History'!Q41)),'Price History'!Q41=0),"",'Price History'!Q42/'Price History'!Q41-1),"")</f>
        <v>0.00273972602739736</v>
      </c>
      <c r="R41" s="137" t="n">
        <f aca="false">IFERROR(IF(OR(NOT(ISNUMBER('Price History'!R42)),NOT(ISNUMBER('Price History'!R41)),'Price History'!R41=0),"",'Price History'!R42/'Price History'!R41-1),"")</f>
        <v>0.0138388625592416</v>
      </c>
      <c r="S41" s="137" t="n">
        <f aca="false">IFERROR(IF(OR(NOT(ISNUMBER('Price History'!S42)),NOT(ISNUMBER('Price History'!S41)),'Price History'!S41=0),"",'Price History'!S42/'Price History'!S41-1),"")</f>
        <v>0.0222307890002571</v>
      </c>
      <c r="T41" s="137" t="n">
        <f aca="false">IFERROR(IF(OR(NOT(ISNUMBER('Price History'!T42)),NOT(ISNUMBER('Price History'!T41)),'Price History'!T41=0),"",'Price History'!T42/'Price History'!T41-1),"")</f>
        <v>0.0220564385338957</v>
      </c>
      <c r="U41" s="137" t="str">
        <f aca="false">IFERROR(IF(OR(NOT(ISNUMBER('Price History'!U42)),NOT(ISNUMBER('Price History'!U41)),'Price History'!U41=0),"",'Price History'!U42/'Price History'!U41-1),"")</f>
        <v/>
      </c>
      <c r="W41" s="138" t="n">
        <f aca="false">'Price History'!B3+('Price History'!B158-'Price History'!B3)*0.246753246753247</f>
        <v>444.777792207792</v>
      </c>
      <c r="X41" s="138" t="n">
        <f aca="false">'Price History'!C3+('Price History'!C158-'Price History'!C3)*0.246753246753247</f>
        <v>77.4489610389611</v>
      </c>
      <c r="Y41" s="138" t="n">
        <f aca="false">'Price History'!D3+('Price History'!D158-'Price History'!D3)*0.246753246753247</f>
        <v>900.444675324676</v>
      </c>
      <c r="Z41" s="138" t="n">
        <f aca="false">'Price History'!E3+('Price History'!E158-'Price History'!E3)*0.246753246753247</f>
        <v>158.56051948052</v>
      </c>
      <c r="AA41" s="138" t="n">
        <f aca="false">'Price History'!F3+('Price History'!F158-'Price History'!F3)*0.246753246753247</f>
        <v>75.0106493506494</v>
      </c>
      <c r="AB41" s="138" t="n">
        <f aca="false">'Price History'!G3+('Price History'!G158-'Price History'!G3)*0.246753246753247</f>
        <v>81.1919480519481</v>
      </c>
      <c r="AC41" s="138" t="n">
        <f aca="false">'Price History'!H3+('Price History'!H158-'Price History'!H3)*0.246753246753247</f>
        <v>251.571818181818</v>
      </c>
      <c r="AD41" s="138" t="n">
        <f aca="false">'Price History'!I3+('Price History'!I158-'Price History'!I3)*0.246753246753247</f>
        <v>80.3058441558442</v>
      </c>
      <c r="AE41" s="138" t="n">
        <f aca="false">'Price History'!J3+('Price History'!J158-'Price History'!J3)*0.246753246753247</f>
        <v>128.716493506494</v>
      </c>
      <c r="AF41" s="138" t="n">
        <f aca="false">'Price History'!K3+('Price History'!K158-'Price History'!K3)*0.246753246753247</f>
        <v>41.972987012987</v>
      </c>
      <c r="AG41" s="138" t="n">
        <f aca="false">'Price History'!L3+('Price History'!L158-'Price History'!L3)*0.246753246753247</f>
        <v>169.041168831169</v>
      </c>
      <c r="AH41" s="138" t="n">
        <f aca="false">'Price History'!M3+('Price History'!M158-'Price History'!M3)*0.246753246753247</f>
        <v>84.8494805194806</v>
      </c>
      <c r="AI41" s="138" t="n">
        <f aca="false">'Price History'!N3+('Price History'!N158-'Price History'!N3)*0.246753246753247</f>
        <v>381.256883116883</v>
      </c>
      <c r="AJ41" s="138" t="n">
        <f aca="false">'Price History'!O3+('Price History'!O158-'Price History'!O3)*0.246753246753247</f>
        <v>93.3197402597403</v>
      </c>
      <c r="AK41" s="138" t="n">
        <f aca="false">'Price History'!Q3+('Price History'!Q151-'Price History'!Q3)*0.246753246753247</f>
        <v>54.4320779220779</v>
      </c>
      <c r="AL41" s="138" t="n">
        <f aca="false">'Price History'!R3+('Price History'!R158-'Price History'!R3)*0.246753246753247</f>
        <v>50.3936363636364</v>
      </c>
      <c r="AM41" s="138" t="n">
        <f aca="false">'Price History'!S3+('Price History'!S158-'Price History'!S3)*0.246753246753247</f>
        <v>79.5855844155844</v>
      </c>
      <c r="AN41" s="138" t="n">
        <f aca="false">'Price History'!T3+('Price History'!T158-'Price History'!T3)*0.246753246753247</f>
        <v>32.5433766233766</v>
      </c>
    </row>
    <row r="42" customFormat="false" ht="15" hidden="false" customHeight="true" outlineLevel="0" collapsed="false">
      <c r="A42" s="136" t="n">
        <f aca="false">IF('Price History'!A43="","",'Price History'!A43)</f>
        <v>45429</v>
      </c>
      <c r="B42" s="137" t="n">
        <f aca="false">IFERROR(IF(OR(NOT(ISNUMBER('Price History'!B43)),NOT(ISNUMBER('Price History'!B42)),'Price History'!B42=0),"",'Price History'!B43/'Price History'!B42-1),"")</f>
        <v>0.00236372307118127</v>
      </c>
      <c r="C42" s="137" t="n">
        <f aca="false">IFERROR(IF(OR(NOT(ISNUMBER('Price History'!C43)),NOT(ISNUMBER('Price History'!C42)),'Price History'!C42=0),"",'Price History'!C43/'Price History'!C42-1),"")</f>
        <v>0.0185963571519552</v>
      </c>
      <c r="D42" s="137" t="n">
        <f aca="false">IFERROR(IF(OR(NOT(ISNUMBER('Price History'!D43)),NOT(ISNUMBER('Price History'!D42)),'Price History'!D42=0),"",'Price History'!D43/'Price History'!D42-1),"")</f>
        <v>-0.0057186468735555</v>
      </c>
      <c r="E42" s="137" t="n">
        <f aca="false">IFERROR(IF(OR(NOT(ISNUMBER('Price History'!E43)),NOT(ISNUMBER('Price History'!E42)),'Price History'!E42=0),"",'Price History'!E43/'Price History'!E42-1),"")</f>
        <v>0.0468937575030013</v>
      </c>
      <c r="F42" s="137" t="n">
        <f aca="false">IFERROR(IF(OR(NOT(ISNUMBER('Price History'!F43)),NOT(ISNUMBER('Price History'!F42)),'Price History'!F42=0),"",'Price History'!F43/'Price History'!F42-1),"")</f>
        <v>0.0784387080683378</v>
      </c>
      <c r="G42" s="137" t="n">
        <f aca="false">IFERROR(IF(OR(NOT(ISNUMBER('Price History'!G43)),NOT(ISNUMBER('Price History'!G42)),'Price History'!G42=0),"",'Price History'!G43/'Price History'!G42-1),"")</f>
        <v>0.0409299735486566</v>
      </c>
      <c r="H42" s="137" t="n">
        <f aca="false">IFERROR(IF(OR(NOT(ISNUMBER('Price History'!H43)),NOT(ISNUMBER('Price History'!H42)),'Price History'!H42=0),"",'Price History'!H43/'Price History'!H42-1),"")</f>
        <v>0.0334048168921148</v>
      </c>
      <c r="I42" s="137" t="n">
        <f aca="false">IFERROR(IF(OR(NOT(ISNUMBER('Price History'!I43)),NOT(ISNUMBER('Price History'!I42)),'Price History'!I42=0),"",'Price History'!I43/'Price History'!I42-1),"")</f>
        <v>0.0289274588340009</v>
      </c>
      <c r="J42" s="137" t="n">
        <f aca="false">IFERROR(IF(OR(NOT(ISNUMBER('Price History'!J43)),NOT(ISNUMBER('Price History'!J42)),'Price History'!J42=0),"",'Price History'!J43/'Price History'!J42-1),"")</f>
        <v>0.0373057958879897</v>
      </c>
      <c r="K42" s="137" t="n">
        <f aca="false">IFERROR(IF(OR(NOT(ISNUMBER('Price History'!K43)),NOT(ISNUMBER('Price History'!K42)),'Price History'!K42=0),"",'Price History'!K43/'Price History'!K42-1),"")</f>
        <v>0.0563106796116506</v>
      </c>
      <c r="L42" s="137" t="n">
        <f aca="false">IFERROR(IF(OR(NOT(ISNUMBER('Price History'!L43)),NOT(ISNUMBER('Price History'!L42)),'Price History'!L42=0),"",'Price History'!L43/'Price History'!L42-1),"")</f>
        <v>0.0162133190406004</v>
      </c>
      <c r="M42" s="137" t="n">
        <f aca="false">IFERROR(IF(OR(NOT(ISNUMBER('Price History'!M43)),NOT(ISNUMBER('Price History'!M42)),'Price History'!M42=0),"",'Price History'!M43/'Price History'!M42-1),"")</f>
        <v>0.0147798742138365</v>
      </c>
      <c r="N42" s="137" t="n">
        <f aca="false">IFERROR(IF(OR(NOT(ISNUMBER('Price History'!N43)),NOT(ISNUMBER('Price History'!N42)),'Price History'!N42=0),"",'Price History'!N43/'Price History'!N42-1),"")</f>
        <v>0.0530535976157813</v>
      </c>
      <c r="O42" s="137" t="n">
        <f aca="false">IFERROR(IF(OR(NOT(ISNUMBER('Price History'!O43)),NOT(ISNUMBER('Price History'!O42)),'Price History'!O42=0),"",'Price History'!O43/'Price History'!O42-1),"")</f>
        <v>0.0110353781239856</v>
      </c>
      <c r="P42" s="137" t="str">
        <f aca="false">IFERROR(IF(OR(NOT(ISNUMBER('Price History'!P43)),NOT(ISNUMBER('Price History'!P42)),'Price History'!P42=0),"",'Price History'!P43/'Price History'!P42-1),"")</f>
        <v/>
      </c>
      <c r="Q42" s="137" t="n">
        <f aca="false">IFERROR(IF(OR(NOT(ISNUMBER('Price History'!Q43)),NOT(ISNUMBER('Price History'!Q42)),'Price History'!Q42=0),"",'Price History'!Q43/'Price History'!Q42-1),"")</f>
        <v>0.00717213114754078</v>
      </c>
      <c r="R42" s="137" t="n">
        <f aca="false">IFERROR(IF(OR(NOT(ISNUMBER('Price History'!R43)),NOT(ISNUMBER('Price History'!R42)),'Price History'!R42=0),"",'Price History'!R43/'Price History'!R42-1),"")</f>
        <v>0.011967090501122</v>
      </c>
      <c r="S42" s="137" t="n">
        <f aca="false">IFERROR(IF(OR(NOT(ISNUMBER('Price History'!S43)),NOT(ISNUMBER('Price History'!S42)),'Price History'!S42=0),"",'Price History'!S43/'Price History'!S42-1),"")</f>
        <v>0.0150848522941547</v>
      </c>
      <c r="T42" s="137" t="n">
        <f aca="false">IFERROR(IF(OR(NOT(ISNUMBER('Price History'!T43)),NOT(ISNUMBER('Price History'!T42)),'Price History'!T42=0),"",'Price History'!T43/'Price History'!T42-1),"")</f>
        <v>0.00920342748333858</v>
      </c>
      <c r="U42" s="137" t="str">
        <f aca="false">IFERROR(IF(OR(NOT(ISNUMBER('Price History'!U43)),NOT(ISNUMBER('Price History'!U42)),'Price History'!U42=0),"",'Price History'!U43/'Price History'!U42-1),"")</f>
        <v/>
      </c>
      <c r="W42" s="138" t="n">
        <f aca="false">'Price History'!B3+('Price History'!B158-'Price History'!B3)*0.253246753246753</f>
        <v>443.102207792208</v>
      </c>
      <c r="X42" s="138" t="n">
        <f aca="false">'Price History'!C3+('Price History'!C158-'Price History'!C3)*0.253246753246753</f>
        <v>78.3360389610389</v>
      </c>
      <c r="Y42" s="138" t="n">
        <f aca="false">'Price History'!D3+('Price History'!D158-'Price History'!D3)*0.253246753246753</f>
        <v>906.725324675324</v>
      </c>
      <c r="Z42" s="138" t="n">
        <f aca="false">'Price History'!E3+('Price History'!E158-'Price History'!E3)*0.253246753246753</f>
        <v>160.54948051948</v>
      </c>
      <c r="AA42" s="138" t="n">
        <f aca="false">'Price History'!F3+('Price History'!F158-'Price History'!F3)*0.253246753246753</f>
        <v>76.0093506493506</v>
      </c>
      <c r="AB42" s="138" t="n">
        <f aca="false">'Price History'!G3+('Price History'!G158-'Price History'!G3)*0.253246753246753</f>
        <v>82.0680519480519</v>
      </c>
      <c r="AC42" s="138" t="n">
        <f aca="false">'Price History'!H3+('Price History'!H158-'Price History'!H3)*0.253246753246753</f>
        <v>256.498181818182</v>
      </c>
      <c r="AD42" s="138" t="n">
        <f aca="false">'Price History'!I3+('Price History'!I158-'Price History'!I3)*0.253246753246753</f>
        <v>81.3441558441558</v>
      </c>
      <c r="AE42" s="138" t="n">
        <f aca="false">'Price History'!J3+('Price History'!J158-'Price History'!J3)*0.253246753246753</f>
        <v>128.853506493507</v>
      </c>
      <c r="AF42" s="138" t="n">
        <f aca="false">'Price History'!K3+('Price History'!K158-'Price History'!K3)*0.253246753246753</f>
        <v>42.672012987013</v>
      </c>
      <c r="AG42" s="138" t="n">
        <f aca="false">'Price History'!L3+('Price History'!L158-'Price History'!L3)*0.253246753246753</f>
        <v>171.068831168831</v>
      </c>
      <c r="AH42" s="138" t="n">
        <f aca="false">'Price History'!M3+('Price History'!M158-'Price History'!M3)*0.253246753246753</f>
        <v>86.2005194805194</v>
      </c>
      <c r="AI42" s="138" t="n">
        <f aca="false">'Price History'!N3+('Price History'!N158-'Price History'!N3)*0.253246753246753</f>
        <v>382.083116883117</v>
      </c>
      <c r="AJ42" s="138" t="n">
        <f aca="false">'Price History'!O3+('Price History'!O158-'Price History'!O3)*0.253246753246753</f>
        <v>93.5952597402597</v>
      </c>
      <c r="AK42" s="138" t="n">
        <f aca="false">'Price History'!Q3+('Price History'!Q151-'Price History'!Q3)*0.253246753246753</f>
        <v>54.5529220779221</v>
      </c>
      <c r="AL42" s="138" t="n">
        <f aca="false">'Price History'!R3+('Price History'!R158-'Price History'!R3)*0.253246753246753</f>
        <v>50.4613636363636</v>
      </c>
      <c r="AM42" s="138" t="n">
        <f aca="false">'Price History'!S3+('Price History'!S158-'Price History'!S3)*0.253246753246753</f>
        <v>80.1394155844156</v>
      </c>
      <c r="AN42" s="138" t="n">
        <f aca="false">'Price History'!T3+('Price History'!T158-'Price History'!T3)*0.253246753246753</f>
        <v>32.6916233766234</v>
      </c>
    </row>
    <row r="43" customFormat="false" ht="15" hidden="false" customHeight="true" outlineLevel="0" collapsed="false">
      <c r="A43" s="136" t="n">
        <f aca="false">IF('Price History'!A44="","",'Price History'!A44)</f>
        <v>45436</v>
      </c>
      <c r="B43" s="137" t="n">
        <f aca="false">IFERROR(IF(OR(NOT(ISNUMBER('Price History'!B44)),NOT(ISNUMBER('Price History'!B43)),'Price History'!B43=0),"",'Price History'!B44/'Price History'!B43-1),"")</f>
        <v>-0.0165484144550401</v>
      </c>
      <c r="C43" s="137" t="n">
        <f aca="false">IFERROR(IF(OR(NOT(ISNUMBER('Price History'!C44)),NOT(ISNUMBER('Price History'!C43)),'Price History'!C43=0),"",'Price History'!C44/'Price History'!C43-1),"")</f>
        <v>-0.0416406152307115</v>
      </c>
      <c r="D43" s="137" t="n">
        <f aca="false">IFERROR(IF(OR(NOT(ISNUMBER('Price History'!D44)),NOT(ISNUMBER('Price History'!D43)),'Price History'!D43=0),"",'Price History'!D44/'Price History'!D43-1),"")</f>
        <v>0.0337848795096056</v>
      </c>
      <c r="E43" s="137" t="n">
        <f aca="false">IFERROR(IF(OR(NOT(ISNUMBER('Price History'!E44)),NOT(ISNUMBER('Price History'!E43)),'Price History'!E43=0),"",'Price History'!E44/'Price History'!E43-1),"")</f>
        <v>0.00895864688597436</v>
      </c>
      <c r="F43" s="137" t="n">
        <f aca="false">IFERROR(IF(OR(NOT(ISNUMBER('Price History'!F44)),NOT(ISNUMBER('Price History'!F43)),'Price History'!F43=0),"",'Price History'!F44/'Price History'!F43-1),"")</f>
        <v>0.0160730804810361</v>
      </c>
      <c r="G43" s="137" t="n">
        <f aca="false">IFERROR(IF(OR(NOT(ISNUMBER('Price History'!G44)),NOT(ISNUMBER('Price History'!G43)),'Price History'!G43=0),"",'Price History'!G44/'Price History'!G43-1),"")</f>
        <v>0.0419954527216799</v>
      </c>
      <c r="H43" s="137" t="n">
        <f aca="false">IFERROR(IF(OR(NOT(ISNUMBER('Price History'!H44)),NOT(ISNUMBER('Price History'!H43)),'Price History'!H43=0),"",'Price History'!H44/'Price History'!H43-1),"")</f>
        <v>0.0335222284300423</v>
      </c>
      <c r="I43" s="137" t="n">
        <f aca="false">IFERROR(IF(OR(NOT(ISNUMBER('Price History'!I44)),NOT(ISNUMBER('Price History'!I43)),'Price History'!I43=0),"",'Price History'!I44/'Price History'!I43-1),"")</f>
        <v>0.151275951557093</v>
      </c>
      <c r="J43" s="137" t="n">
        <f aca="false">IFERROR(IF(OR(NOT(ISNUMBER('Price History'!J44)),NOT(ISNUMBER('Price History'!J43)),'Price History'!J43=0),"",'Price History'!J44/'Price History'!J43-1),"")</f>
        <v>-0.0605381165919282</v>
      </c>
      <c r="K43" s="137" t="n">
        <f aca="false">IFERROR(IF(OR(NOT(ISNUMBER('Price History'!K44)),NOT(ISNUMBER('Price History'!K43)),'Price History'!K43=0),"",'Price History'!K44/'Price History'!K43-1),"")</f>
        <v>-0.0344669117647058</v>
      </c>
      <c r="L43" s="137" t="n">
        <f aca="false">IFERROR(IF(OR(NOT(ISNUMBER('Price History'!L44)),NOT(ISNUMBER('Price History'!L43)),'Price History'!L43=0),"",'Price History'!L44/'Price History'!L43-1),"")</f>
        <v>0.0548523206751055</v>
      </c>
      <c r="M43" s="137" t="n">
        <f aca="false">IFERROR(IF(OR(NOT(ISNUMBER('Price History'!M44)),NOT(ISNUMBER('Price History'!M43)),'Price History'!M43=0),"",'Price History'!M44/'Price History'!M43-1),"")</f>
        <v>0.0966842268360706</v>
      </c>
      <c r="N43" s="137" t="n">
        <f aca="false">IFERROR(IF(OR(NOT(ISNUMBER('Price History'!N44)),NOT(ISNUMBER('Price History'!N43)),'Price History'!N43=0),"",'Price History'!N44/'Price History'!N43-1),"")</f>
        <v>0.0263695784012039</v>
      </c>
      <c r="O43" s="137" t="n">
        <f aca="false">IFERROR(IF(OR(NOT(ISNUMBER('Price History'!O44)),NOT(ISNUMBER('Price History'!O43)),'Price History'!O43=0),"",'Price History'!O44/'Price History'!O43-1),"")</f>
        <v>-0.0148742643124665</v>
      </c>
      <c r="P43" s="137" t="str">
        <f aca="false">IFERROR(IF(OR(NOT(ISNUMBER('Price History'!P44)),NOT(ISNUMBER('Price History'!P43)),'Price History'!P43=0),"",'Price History'!P44/'Price History'!P43-1),"")</f>
        <v/>
      </c>
      <c r="Q43" s="137" t="n">
        <f aca="false">IFERROR(IF(OR(NOT(ISNUMBER('Price History'!Q44)),NOT(ISNUMBER('Price History'!Q43)),'Price History'!Q43=0),"",'Price History'!Q44/'Price History'!Q43-1),"")</f>
        <v>0.00339097999321814</v>
      </c>
      <c r="R43" s="137" t="n">
        <f aca="false">IFERROR(IF(OR(NOT(ISNUMBER('Price History'!R44)),NOT(ISNUMBER('Price History'!R43)),'Price History'!R43=0),"",'Price History'!R44/'Price History'!R43-1),"")</f>
        <v>0.00480413895048049</v>
      </c>
      <c r="S43" s="137" t="n">
        <f aca="false">IFERROR(IF(OR(NOT(ISNUMBER('Price History'!S44)),NOT(ISNUMBER('Price History'!S43)),'Price History'!S43=0),"",'Price History'!S44/'Price History'!S43-1),"")</f>
        <v>0.0194427244582043</v>
      </c>
      <c r="T43" s="137" t="n">
        <f aca="false">IFERROR(IF(OR(NOT(ISNUMBER('Price History'!T44)),NOT(ISNUMBER('Price History'!T43)),'Price History'!T43=0),"",'Price History'!T44/'Price History'!T43-1),"")</f>
        <v>-0.0169811320754717</v>
      </c>
      <c r="U43" s="137" t="str">
        <f aca="false">IFERROR(IF(OR(NOT(ISNUMBER('Price History'!U44)),NOT(ISNUMBER('Price History'!U43)),'Price History'!U43=0),"",'Price History'!U44/'Price History'!U43-1),"")</f>
        <v/>
      </c>
      <c r="W43" s="138" t="n">
        <f aca="false">'Price History'!B3+('Price History'!B158-'Price History'!B3)*0.25974025974026</f>
        <v>441.426623376623</v>
      </c>
      <c r="X43" s="138" t="n">
        <f aca="false">'Price History'!C3+('Price History'!C158-'Price History'!C3)*0.25974025974026</f>
        <v>79.2231168831169</v>
      </c>
      <c r="Y43" s="138" t="n">
        <f aca="false">'Price History'!D3+('Price History'!D158-'Price History'!D3)*0.25974025974026</f>
        <v>913.005974025974</v>
      </c>
      <c r="Z43" s="138" t="n">
        <f aca="false">'Price History'!E3+('Price History'!E158-'Price History'!E3)*0.25974025974026</f>
        <v>162.538441558442</v>
      </c>
      <c r="AA43" s="138" t="n">
        <f aca="false">'Price History'!F3+('Price History'!F158-'Price History'!F3)*0.25974025974026</f>
        <v>77.008051948052</v>
      </c>
      <c r="AB43" s="138" t="n">
        <f aca="false">'Price History'!G3+('Price History'!G158-'Price History'!G3)*0.25974025974026</f>
        <v>82.9441558441559</v>
      </c>
      <c r="AC43" s="138" t="n">
        <f aca="false">'Price History'!H3+('Price History'!H158-'Price History'!H3)*0.25974025974026</f>
        <v>261.424545454546</v>
      </c>
      <c r="AD43" s="138" t="n">
        <f aca="false">'Price History'!I3+('Price History'!I158-'Price History'!I3)*0.25974025974026</f>
        <v>82.3824675324676</v>
      </c>
      <c r="AE43" s="138" t="n">
        <f aca="false">'Price History'!J3+('Price History'!J158-'Price History'!J3)*0.25974025974026</f>
        <v>128.990519480519</v>
      </c>
      <c r="AF43" s="138" t="n">
        <f aca="false">'Price History'!K3+('Price History'!K158-'Price History'!K3)*0.25974025974026</f>
        <v>43.371038961039</v>
      </c>
      <c r="AG43" s="138" t="n">
        <f aca="false">'Price History'!L3+('Price History'!L158-'Price History'!L3)*0.25974025974026</f>
        <v>173.096493506494</v>
      </c>
      <c r="AH43" s="138" t="n">
        <f aca="false">'Price History'!M3+('Price History'!M158-'Price History'!M3)*0.25974025974026</f>
        <v>87.5515584415585</v>
      </c>
      <c r="AI43" s="138" t="n">
        <f aca="false">'Price History'!N3+('Price History'!N158-'Price History'!N3)*0.25974025974026</f>
        <v>382.909350649351</v>
      </c>
      <c r="AJ43" s="138" t="n">
        <f aca="false">'Price History'!O3+('Price History'!O158-'Price History'!O3)*0.25974025974026</f>
        <v>93.8707792207792</v>
      </c>
      <c r="AK43" s="138" t="n">
        <f aca="false">'Price History'!Q3+('Price History'!Q151-'Price History'!Q3)*0.25974025974026</f>
        <v>54.6737662337662</v>
      </c>
      <c r="AL43" s="138" t="n">
        <f aca="false">'Price History'!R3+('Price History'!R158-'Price History'!R3)*0.25974025974026</f>
        <v>50.5290909090909</v>
      </c>
      <c r="AM43" s="138" t="n">
        <f aca="false">'Price History'!S3+('Price History'!S158-'Price History'!S3)*0.25974025974026</f>
        <v>80.6932467532468</v>
      </c>
      <c r="AN43" s="138" t="n">
        <f aca="false">'Price History'!T3+('Price History'!T158-'Price History'!T3)*0.25974025974026</f>
        <v>32.8398701298701</v>
      </c>
    </row>
    <row r="44" customFormat="false" ht="15" hidden="false" customHeight="true" outlineLevel="0" collapsed="false">
      <c r="A44" s="136" t="n">
        <f aca="false">IF('Price History'!A45="","",'Price History'!A45)</f>
        <v>45443</v>
      </c>
      <c r="B44" s="137" t="n">
        <f aca="false">IFERROR(IF(OR(NOT(ISNUMBER('Price History'!B45)),NOT(ISNUMBER('Price History'!B44)),'Price History'!B44=0),"",'Price History'!B45/'Price History'!B44-1),"")</f>
        <v>-0.0645100225059421</v>
      </c>
      <c r="C44" s="137" t="n">
        <f aca="false">IFERROR(IF(OR(NOT(ISNUMBER('Price History'!C45)),NOT(ISNUMBER('Price History'!C44)),'Price History'!C44=0),"",'Price History'!C45/'Price History'!C44-1),"")</f>
        <v>-0.0290970772442589</v>
      </c>
      <c r="D44" s="137" t="n">
        <f aca="false">IFERROR(IF(OR(NOT(ISNUMBER('Price History'!D45)),NOT(ISNUMBER('Price History'!D44)),'Price History'!D44=0),"",'Price History'!D45/'Price History'!D44-1),"")</f>
        <v>0.00431908974922091</v>
      </c>
      <c r="E44" s="137" t="n">
        <f aca="false">IFERROR(IF(OR(NOT(ISNUMBER('Price History'!E45)),NOT(ISNUMBER('Price History'!E44)),'Price History'!E44=0),"",'Price History'!E45/'Price History'!E44-1),"")</f>
        <v>-0.0563290240090922</v>
      </c>
      <c r="F44" s="137" t="n">
        <f aca="false">IFERROR(IF(OR(NOT(ISNUMBER('Price History'!F45)),NOT(ISNUMBER('Price History'!F44)),'Price History'!F44=0),"",'Price History'!F45/'Price History'!F44-1),"")</f>
        <v>-0.107545237282349</v>
      </c>
      <c r="G44" s="137" t="n">
        <f aca="false">IFERROR(IF(OR(NOT(ISNUMBER('Price History'!G45)),NOT(ISNUMBER('Price History'!G44)),'Price History'!G44=0),"",'Price History'!G45/'Price History'!G44-1),"")</f>
        <v>-0.0251572327044024</v>
      </c>
      <c r="H44" s="137" t="n">
        <f aca="false">IFERROR(IF(OR(NOT(ISNUMBER('Price History'!H45)),NOT(ISNUMBER('Price History'!H44)),'Price History'!H44=0),"",'Price History'!H45/'Price History'!H44-1),"")</f>
        <v>-0.0346744922387829</v>
      </c>
      <c r="I44" s="137" t="n">
        <f aca="false">IFERROR(IF(OR(NOT(ISNUMBER('Price History'!I45)),NOT(ISNUMBER('Price History'!I44)),'Price History'!I44=0),"",'Price History'!I45/'Price History'!I44-1),"")</f>
        <v>0.0296797219874143</v>
      </c>
      <c r="J44" s="137" t="n">
        <f aca="false">IFERROR(IF(OR(NOT(ISNUMBER('Price History'!J45)),NOT(ISNUMBER('Price History'!J44)),'Price History'!J44=0),"",'Price History'!J45/'Price History'!J44-1),"")</f>
        <v>0.054797136038186</v>
      </c>
      <c r="K44" s="137" t="n">
        <f aca="false">IFERROR(IF(OR(NOT(ISNUMBER('Price History'!K45)),NOT(ISNUMBER('Price History'!K44)),'Price History'!K44=0),"",'Price History'!K45/'Price History'!K44-1),"")</f>
        <v>0.031889576392194</v>
      </c>
      <c r="L44" s="137" t="n">
        <f aca="false">IFERROR(IF(OR(NOT(ISNUMBER('Price History'!L45)),NOT(ISNUMBER('Price History'!L44)),'Price History'!L44=0),"",'Price History'!L45/'Price History'!L44-1),"")</f>
        <v>-0.0560000000000001</v>
      </c>
      <c r="M44" s="137" t="n">
        <f aca="false">IFERROR(IF(OR(NOT(ISNUMBER('Price History'!M45)),NOT(ISNUMBER('Price History'!M44)),'Price History'!M44=0),"",'Price History'!M45/'Price History'!M44-1),"")</f>
        <v>-0.0762927380615994</v>
      </c>
      <c r="N44" s="137" t="n">
        <f aca="false">IFERROR(IF(OR(NOT(ISNUMBER('Price History'!N45)),NOT(ISNUMBER('Price History'!N44)),'Price History'!N44=0),"",'Price History'!N45/'Price History'!N44-1),"")</f>
        <v>-0.00352336141809828</v>
      </c>
      <c r="O44" s="137" t="n">
        <f aca="false">IFERROR(IF(OR(NOT(ISNUMBER('Price History'!O45)),NOT(ISNUMBER('Price History'!O44)),'Price History'!O44=0),"",'Price History'!O45/'Price History'!O44-1),"")</f>
        <v>0.0107538561807516</v>
      </c>
      <c r="P44" s="137" t="str">
        <f aca="false">IFERROR(IF(OR(NOT(ISNUMBER('Price History'!P45)),NOT(ISNUMBER('Price History'!P44)),'Price History'!P44=0),"",'Price History'!P45/'Price History'!P44-1),"")</f>
        <v/>
      </c>
      <c r="Q44" s="137" t="n">
        <f aca="false">IFERROR(IF(OR(NOT(ISNUMBER('Price History'!Q45)),NOT(ISNUMBER('Price History'!Q44)),'Price History'!Q44=0),"",'Price History'!Q45/'Price History'!Q44-1),"")</f>
        <v>-0.00659006421088204</v>
      </c>
      <c r="R44" s="137" t="n">
        <f aca="false">IFERROR(IF(OR(NOT(ISNUMBER('Price History'!R45)),NOT(ISNUMBER('Price History'!R44)),'Price History'!R44=0),"",'Price History'!R45/'Price History'!R44-1),"")</f>
        <v>-0.00349393159249733</v>
      </c>
      <c r="S44" s="137" t="n">
        <f aca="false">IFERROR(IF(OR(NOT(ISNUMBER('Price History'!S45)),NOT(ISNUMBER('Price History'!S44)),'Price History'!S44=0),"",'Price History'!S45/'Price History'!S44-1),"")</f>
        <v>-0.0109329446064139</v>
      </c>
      <c r="T44" s="137" t="n">
        <f aca="false">IFERROR(IF(OR(NOT(ISNUMBER('Price History'!T45)),NOT(ISNUMBER('Price History'!T44)),'Price History'!T44=0),"",'Price History'!T45/'Price History'!T44-1),"")</f>
        <v>0.0115163147792705</v>
      </c>
      <c r="U44" s="137" t="str">
        <f aca="false">IFERROR(IF(OR(NOT(ISNUMBER('Price History'!U45)),NOT(ISNUMBER('Price History'!U44)),'Price History'!U44=0),"",'Price History'!U45/'Price History'!U44-1),"")</f>
        <v/>
      </c>
      <c r="W44" s="138" t="n">
        <f aca="false">'Price History'!B3+('Price History'!B158-'Price History'!B3)*0.266233766233766</f>
        <v>439.751038961039</v>
      </c>
      <c r="X44" s="138" t="n">
        <f aca="false">'Price History'!C3+('Price History'!C158-'Price History'!C3)*0.266233766233766</f>
        <v>80.1101948051948</v>
      </c>
      <c r="Y44" s="138" t="n">
        <f aca="false">'Price History'!D3+('Price History'!D158-'Price History'!D3)*0.266233766233766</f>
        <v>919.286623376623</v>
      </c>
      <c r="Z44" s="138" t="n">
        <f aca="false">'Price History'!E3+('Price History'!E158-'Price History'!E3)*0.266233766233766</f>
        <v>164.527402597403</v>
      </c>
      <c r="AA44" s="138" t="n">
        <f aca="false">'Price History'!F3+('Price History'!F158-'Price History'!F3)*0.266233766233766</f>
        <v>78.0067532467532</v>
      </c>
      <c r="AB44" s="138" t="n">
        <f aca="false">'Price History'!G3+('Price History'!G158-'Price History'!G3)*0.266233766233766</f>
        <v>83.8202597402597</v>
      </c>
      <c r="AC44" s="138" t="n">
        <f aca="false">'Price History'!H3+('Price History'!H158-'Price History'!H3)*0.266233766233766</f>
        <v>266.350909090909</v>
      </c>
      <c r="AD44" s="138" t="n">
        <f aca="false">'Price History'!I3+('Price History'!I158-'Price History'!I3)*0.266233766233766</f>
        <v>83.4207792207792</v>
      </c>
      <c r="AE44" s="138" t="n">
        <f aca="false">'Price History'!J3+('Price History'!J158-'Price History'!J3)*0.266233766233766</f>
        <v>129.127532467532</v>
      </c>
      <c r="AF44" s="138" t="n">
        <f aca="false">'Price History'!K3+('Price History'!K158-'Price History'!K3)*0.266233766233766</f>
        <v>44.0700649350649</v>
      </c>
      <c r="AG44" s="138" t="n">
        <f aca="false">'Price History'!L3+('Price History'!L158-'Price History'!L3)*0.266233766233766</f>
        <v>175.124155844156</v>
      </c>
      <c r="AH44" s="138" t="n">
        <f aca="false">'Price History'!M3+('Price History'!M158-'Price History'!M3)*0.266233766233766</f>
        <v>88.9025974025974</v>
      </c>
      <c r="AI44" s="138" t="n">
        <f aca="false">'Price History'!N3+('Price History'!N158-'Price History'!N3)*0.266233766233766</f>
        <v>383.735584415584</v>
      </c>
      <c r="AJ44" s="138" t="n">
        <f aca="false">'Price History'!O3+('Price History'!O158-'Price History'!O3)*0.266233766233766</f>
        <v>94.1462987012987</v>
      </c>
      <c r="AK44" s="138" t="n">
        <f aca="false">'Price History'!Q3+('Price History'!Q151-'Price History'!Q3)*0.266233766233766</f>
        <v>54.7946103896104</v>
      </c>
      <c r="AL44" s="138" t="n">
        <f aca="false">'Price History'!R3+('Price History'!R158-'Price History'!R3)*0.266233766233766</f>
        <v>50.5968181818182</v>
      </c>
      <c r="AM44" s="138" t="n">
        <f aca="false">'Price History'!S3+('Price History'!S158-'Price History'!S3)*0.266233766233766</f>
        <v>81.2470779220779</v>
      </c>
      <c r="AN44" s="138" t="n">
        <f aca="false">'Price History'!T3+('Price History'!T158-'Price History'!T3)*0.266233766233766</f>
        <v>32.9881168831169</v>
      </c>
    </row>
    <row r="45" customFormat="false" ht="15" hidden="false" customHeight="true" outlineLevel="0" collapsed="false">
      <c r="A45" s="136" t="n">
        <f aca="false">IF('Price History'!A46="","",'Price History'!A46)</f>
        <v>45450</v>
      </c>
      <c r="B45" s="137" t="n">
        <f aca="false">IFERROR(IF(OR(NOT(ISNUMBER('Price History'!B46)),NOT(ISNUMBER('Price History'!B45)),'Price History'!B45=0),"",'Price History'!B46/'Price History'!B45-1),"")</f>
        <v>0.0464745031027971</v>
      </c>
      <c r="C45" s="137" t="n">
        <f aca="false">IFERROR(IF(OR(NOT(ISNUMBER('Price History'!C46)),NOT(ISNUMBER('Price History'!C45)),'Price History'!C45=0),"",'Price History'!C46/'Price History'!C45-1),"")</f>
        <v>-0.00282220131702715</v>
      </c>
      <c r="D45" s="137" t="n">
        <f aca="false">IFERROR(IF(OR(NOT(ISNUMBER('Price History'!D46)),NOT(ISNUMBER('Price History'!D45)),'Price History'!D45=0),"",'Price History'!D46/'Price History'!D45-1),"")</f>
        <v>0.070880408184516</v>
      </c>
      <c r="E45" s="137" t="n">
        <f aca="false">IFERROR(IF(OR(NOT(ISNUMBER('Price History'!E46)),NOT(ISNUMBER('Price History'!E45)),'Price History'!E45=0),"",'Price History'!E46/'Price History'!E45-1),"")</f>
        <v>0.0587881068874672</v>
      </c>
      <c r="F45" s="137" t="n">
        <f aca="false">IFERROR(IF(OR(NOT(ISNUMBER('Price History'!F46)),NOT(ISNUMBER('Price History'!F45)),'Price History'!F45=0),"",'Price History'!F46/'Price History'!F45-1),"")</f>
        <v>0.112981382300434</v>
      </c>
      <c r="G45" s="137" t="n">
        <f aca="false">IFERROR(IF(OR(NOT(ISNUMBER('Price History'!G46)),NOT(ISNUMBER('Price History'!G45)),'Price History'!G45=0),"",'Price History'!G46/'Price History'!G45-1),"")</f>
        <v>0.0125082290980909</v>
      </c>
      <c r="H45" s="137" t="n">
        <f aca="false">IFERROR(IF(OR(NOT(ISNUMBER('Price History'!H46)),NOT(ISNUMBER('Price History'!H45)),'Price History'!H45=0),"",'Price History'!H46/'Price History'!H45-1),"")</f>
        <v>0.04752</v>
      </c>
      <c r="I45" s="137" t="n">
        <f aca="false">IFERROR(IF(OR(NOT(ISNUMBER('Price History'!I46)),NOT(ISNUMBER('Price History'!I45)),'Price History'!I45=0),"",'Price History'!I46/'Price History'!I45-1),"")</f>
        <v>0.102709112469215</v>
      </c>
      <c r="J45" s="137" t="n">
        <f aca="false">IFERROR(IF(OR(NOT(ISNUMBER('Price History'!J46)),NOT(ISNUMBER('Price History'!J45)),'Price History'!J45=0),"",'Price History'!J46/'Price History'!J45-1),"")</f>
        <v>-0.00262467191601046</v>
      </c>
      <c r="K45" s="137" t="n">
        <f aca="false">IFERROR(IF(OR(NOT(ISNUMBER('Price History'!K46)),NOT(ISNUMBER('Price History'!K45)),'Price History'!K45=0),"",'Price History'!K46/'Price History'!K45-1),"")</f>
        <v>0.0751845018450184</v>
      </c>
      <c r="L45" s="137" t="n">
        <f aca="false">IFERROR(IF(OR(NOT(ISNUMBER('Price History'!L46)),NOT(ISNUMBER('Price History'!L45)),'Price History'!L45=0),"",'Price History'!L46/'Price History'!L45-1),"")</f>
        <v>0.0883871822033897</v>
      </c>
      <c r="M45" s="137" t="n">
        <f aca="false">IFERROR(IF(OR(NOT(ISNUMBER('Price History'!M46)),NOT(ISNUMBER('Price History'!M45)),'Price History'!M45=0),"",'Price History'!M46/'Price History'!M45-1),"")</f>
        <v>-0.105944733353727</v>
      </c>
      <c r="N45" s="137" t="n">
        <f aca="false">IFERROR(IF(OR(NOT(ISNUMBER('Price History'!N46)),NOT(ISNUMBER('Price History'!N45)),'Price History'!N45=0),"",'Price History'!N46/'Price History'!N45-1),"")</f>
        <v>0.0608336627574999</v>
      </c>
      <c r="O45" s="137" t="n">
        <f aca="false">IFERROR(IF(OR(NOT(ISNUMBER('Price History'!O46)),NOT(ISNUMBER('Price History'!O45)),'Price History'!O45=0),"",'Price History'!O46/'Price History'!O45-1),"")</f>
        <v>-0.0340677055346588</v>
      </c>
      <c r="P45" s="137" t="str">
        <f aca="false">IFERROR(IF(OR(NOT(ISNUMBER('Price History'!P46)),NOT(ISNUMBER('Price History'!P45)),'Price History'!P45=0),"",'Price History'!P46/'Price History'!P45-1),"")</f>
        <v/>
      </c>
      <c r="Q45" s="137" t="n">
        <f aca="false">IFERROR(IF(OR(NOT(ISNUMBER('Price History'!Q46)),NOT(ISNUMBER('Price History'!Q45)),'Price History'!Q45=0),"",'Price History'!Q46/'Price History'!Q45-1),"")</f>
        <v>-0.00425242388161251</v>
      </c>
      <c r="R45" s="137" t="n">
        <f aca="false">IFERROR(IF(OR(NOT(ISNUMBER('Price History'!R46)),NOT(ISNUMBER('Price History'!R45)),'Price History'!R45=0),"",'Price History'!R46/'Price History'!R45-1),"")</f>
        <v>0.00553607676693124</v>
      </c>
      <c r="S45" s="137" t="n">
        <f aca="false">IFERROR(IF(OR(NOT(ISNUMBER('Price History'!S46)),NOT(ISNUMBER('Price History'!S45)),'Price History'!S45=0),"",'Price History'!S46/'Price History'!S45-1),"")</f>
        <v>0.0303365266519282</v>
      </c>
      <c r="T45" s="137" t="n">
        <f aca="false">IFERROR(IF(OR(NOT(ISNUMBER('Price History'!T46)),NOT(ISNUMBER('Price History'!T45)),'Price History'!T45=0),"",'Price History'!T46/'Price History'!T45-1),"")</f>
        <v>-0.0211891208096142</v>
      </c>
      <c r="U45" s="137" t="str">
        <f aca="false">IFERROR(IF(OR(NOT(ISNUMBER('Price History'!U46)),NOT(ISNUMBER('Price History'!U45)),'Price History'!U45=0),"",'Price History'!U46/'Price History'!U45-1),"")</f>
        <v/>
      </c>
      <c r="W45" s="138" t="n">
        <f aca="false">'Price History'!B3+('Price History'!B158-'Price History'!B3)*0.272727272727273</f>
        <v>438.075454545455</v>
      </c>
      <c r="X45" s="138" t="n">
        <f aca="false">'Price History'!C3+('Price History'!C158-'Price History'!C3)*0.272727272727273</f>
        <v>80.9972727272728</v>
      </c>
      <c r="Y45" s="138" t="n">
        <f aca="false">'Price History'!D3+('Price History'!D158-'Price History'!D3)*0.272727272727273</f>
        <v>925.567272727273</v>
      </c>
      <c r="Z45" s="138" t="n">
        <f aca="false">'Price History'!E3+('Price History'!E158-'Price History'!E3)*0.272727272727273</f>
        <v>166.516363636364</v>
      </c>
      <c r="AA45" s="138" t="n">
        <f aca="false">'Price History'!F3+('Price History'!F158-'Price History'!F3)*0.272727272727273</f>
        <v>79.0054545454546</v>
      </c>
      <c r="AB45" s="138" t="n">
        <f aca="false">'Price History'!G3+('Price History'!G158-'Price History'!G3)*0.272727272727273</f>
        <v>84.6963636363637</v>
      </c>
      <c r="AC45" s="138" t="n">
        <f aca="false">'Price History'!H3+('Price History'!H158-'Price History'!H3)*0.272727272727273</f>
        <v>271.277272727273</v>
      </c>
      <c r="AD45" s="138" t="n">
        <f aca="false">'Price History'!I3+('Price History'!I158-'Price History'!I3)*0.272727272727273</f>
        <v>84.459090909091</v>
      </c>
      <c r="AE45" s="138" t="n">
        <f aca="false">'Price History'!J3+('Price History'!J158-'Price History'!J3)*0.272727272727273</f>
        <v>129.264545454545</v>
      </c>
      <c r="AF45" s="138" t="n">
        <f aca="false">'Price History'!K3+('Price History'!K158-'Price History'!K3)*0.272727272727273</f>
        <v>44.7690909090909</v>
      </c>
      <c r="AG45" s="138" t="n">
        <f aca="false">'Price History'!L3+('Price History'!L158-'Price History'!L3)*0.272727272727273</f>
        <v>177.151818181818</v>
      </c>
      <c r="AH45" s="138" t="n">
        <f aca="false">'Price History'!M3+('Price History'!M158-'Price History'!M3)*0.272727272727273</f>
        <v>90.2536363636364</v>
      </c>
      <c r="AI45" s="138" t="n">
        <f aca="false">'Price History'!N3+('Price History'!N158-'Price History'!N3)*0.272727272727273</f>
        <v>384.561818181818</v>
      </c>
      <c r="AJ45" s="138" t="n">
        <f aca="false">'Price History'!O3+('Price History'!O158-'Price History'!O3)*0.272727272727273</f>
        <v>94.4218181818182</v>
      </c>
      <c r="AK45" s="138" t="n">
        <f aca="false">'Price History'!Q3+('Price History'!Q151-'Price History'!Q3)*0.272727272727273</f>
        <v>54.9154545454546</v>
      </c>
      <c r="AL45" s="138" t="n">
        <f aca="false">'Price History'!R3+('Price History'!R158-'Price History'!R3)*0.272727272727273</f>
        <v>50.6645454545455</v>
      </c>
      <c r="AM45" s="138" t="n">
        <f aca="false">'Price History'!S3+('Price History'!S158-'Price History'!S3)*0.272727272727273</f>
        <v>81.8009090909091</v>
      </c>
      <c r="AN45" s="138" t="n">
        <f aca="false">'Price History'!T3+('Price History'!T158-'Price History'!T3)*0.272727272727273</f>
        <v>33.1363636363636</v>
      </c>
    </row>
    <row r="46" customFormat="false" ht="15" hidden="false" customHeight="true" outlineLevel="0" collapsed="false">
      <c r="A46" s="136" t="n">
        <f aca="false">IF('Price History'!A47="","",'Price History'!A47)</f>
        <v>45457</v>
      </c>
      <c r="B46" s="137" t="n">
        <f aca="false">IFERROR(IF(OR(NOT(ISNUMBER('Price History'!B47)),NOT(ISNUMBER('Price History'!B46)),'Price History'!B46=0),"",'Price History'!B47/'Price History'!B46-1),"")</f>
        <v>0.128655222052725</v>
      </c>
      <c r="C46" s="137" t="n">
        <f aca="false">IFERROR(IF(OR(NOT(ISNUMBER('Price History'!C47)),NOT(ISNUMBER('Price History'!C46)),'Price History'!C46=0),"",'Price History'!C47/'Price History'!C46-1),"")</f>
        <v>0.106873315363881</v>
      </c>
      <c r="D46" s="137" t="n">
        <f aca="false">IFERROR(IF(OR(NOT(ISNUMBER('Price History'!D47)),NOT(ISNUMBER('Price History'!D46)),'Price History'!D46=0),"",'Price History'!D47/'Price History'!D46-1),"")</f>
        <v>-0.000505629995527057</v>
      </c>
      <c r="E46" s="137" t="n">
        <f aca="false">IFERROR(IF(OR(NOT(ISNUMBER('Price History'!E47)),NOT(ISNUMBER('Price History'!E46)),'Price History'!E46=0),"",'Price History'!E47/'Price History'!E46-1),"")</f>
        <v>0.233470780605716</v>
      </c>
      <c r="F46" s="137" t="n">
        <f aca="false">IFERROR(IF(OR(NOT(ISNUMBER('Price History'!F47)),NOT(ISNUMBER('Price History'!F46)),'Price History'!F46=0),"",'Price History'!F47/'Price History'!F46-1),"")</f>
        <v>0.104032997250229</v>
      </c>
      <c r="G46" s="137" t="n">
        <f aca="false">IFERROR(IF(OR(NOT(ISNUMBER('Price History'!G47)),NOT(ISNUMBER('Price History'!G46)),'Price History'!G46=0),"",'Price History'!G47/'Price History'!G46-1),"")</f>
        <v>0.0725617685305591</v>
      </c>
      <c r="H46" s="137" t="n">
        <f aca="false">IFERROR(IF(OR(NOT(ISNUMBER('Price History'!H47)),NOT(ISNUMBER('Price History'!H46)),'Price History'!H46=0),"",'Price History'!H47/'Price History'!H46-1),"")</f>
        <v>0.0795784328700169</v>
      </c>
      <c r="I46" s="137" t="n">
        <f aca="false">IFERROR(IF(OR(NOT(ISNUMBER('Price History'!I47)),NOT(ISNUMBER('Price History'!I46)),'Price History'!I46=0),"",'Price History'!I47/'Price History'!I46-1),"")</f>
        <v>0.0909090909090908</v>
      </c>
      <c r="J46" s="137" t="n">
        <f aca="false">IFERROR(IF(OR(NOT(ISNUMBER('Price History'!J47)),NOT(ISNUMBER('Price History'!J46)),'Price History'!J46=0),"",'Price History'!J47/'Price History'!J46-1),"")</f>
        <v>0.0189655172413794</v>
      </c>
      <c r="K46" s="137" t="n">
        <f aca="false">IFERROR(IF(OR(NOT(ISNUMBER('Price History'!K47)),NOT(ISNUMBER('Price History'!K46)),'Price History'!K46=0),"",'Price History'!K47/'Price History'!K46-1),"")</f>
        <v>0.0111540111540112</v>
      </c>
      <c r="L46" s="137" t="n">
        <f aca="false">IFERROR(IF(OR(NOT(ISNUMBER('Price History'!L47)),NOT(ISNUMBER('Price History'!L46)),'Price History'!L46=0),"",'Price History'!L47/'Price History'!L46-1),"")</f>
        <v>0.0493947320396617</v>
      </c>
      <c r="M46" s="137" t="n">
        <f aca="false">IFERROR(IF(OR(NOT(ISNUMBER('Price History'!M47)),NOT(ISNUMBER('Price History'!M46)),'Price History'!M46=0),"",'Price History'!M47/'Price History'!M46-1),"")</f>
        <v>0.0433394160583942</v>
      </c>
      <c r="N46" s="137" t="n">
        <f aca="false">IFERROR(IF(OR(NOT(ISNUMBER('Price History'!N47)),NOT(ISNUMBER('Price History'!N46)),'Price History'!N46=0),"",'Price History'!N47/'Price History'!N46-1),"")</f>
        <v>-0.00478221265319645</v>
      </c>
      <c r="O46" s="137" t="n">
        <f aca="false">IFERROR(IF(OR(NOT(ISNUMBER('Price History'!O47)),NOT(ISNUMBER('Price History'!O46)),'Price History'!O46=0),"",'Price History'!O47/'Price History'!O46-1),"")</f>
        <v>-0.0239207832665775</v>
      </c>
      <c r="P46" s="137" t="str">
        <f aca="false">IFERROR(IF(OR(NOT(ISNUMBER('Price History'!P47)),NOT(ISNUMBER('Price History'!P46)),'Price History'!P46=0),"",'Price History'!P47/'Price History'!P46-1),"")</f>
        <v/>
      </c>
      <c r="Q46" s="137" t="n">
        <f aca="false">IFERROR(IF(OR(NOT(ISNUMBER('Price History'!Q47)),NOT(ISNUMBER('Price History'!Q46)),'Price History'!Q46=0),"",'Price History'!Q47/'Price History'!Q46-1),"")</f>
        <v>-0.0107618722241203</v>
      </c>
      <c r="R46" s="137" t="n">
        <f aca="false">IFERROR(IF(OR(NOT(ISNUMBER('Price History'!R47)),NOT(ISNUMBER('Price History'!R46)),'Price History'!R46=0),"",'Price History'!R47/'Price History'!R46-1),"")</f>
        <v>0.0126628739218204</v>
      </c>
      <c r="S46" s="137" t="n">
        <f aca="false">IFERROR(IF(OR(NOT(ISNUMBER('Price History'!S47)),NOT(ISNUMBER('Price History'!S46)),'Price History'!S46=0),"",'Price History'!S47/'Price History'!S46-1),"")</f>
        <v>0.0421981165812375</v>
      </c>
      <c r="T46" s="137" t="n">
        <f aca="false">IFERROR(IF(OR(NOT(ISNUMBER('Price History'!T47)),NOT(ISNUMBER('Price History'!T46)),'Price History'!T46=0),"",'Price History'!T47/'Price History'!T46-1),"")</f>
        <v>-0.00420032310177698</v>
      </c>
      <c r="U46" s="137" t="str">
        <f aca="false">IFERROR(IF(OR(NOT(ISNUMBER('Price History'!U47)),NOT(ISNUMBER('Price History'!U46)),'Price History'!U46=0),"",'Price History'!U47/'Price History'!U46-1),"")</f>
        <v/>
      </c>
      <c r="W46" s="138" t="n">
        <f aca="false">'Price History'!B3+('Price History'!B158-'Price History'!B3)*0.279220779220779</f>
        <v>436.39987012987</v>
      </c>
      <c r="X46" s="138" t="n">
        <f aca="false">'Price History'!C3+('Price History'!C158-'Price History'!C3)*0.279220779220779</f>
        <v>81.8843506493506</v>
      </c>
      <c r="Y46" s="138" t="n">
        <f aca="false">'Price History'!D3+('Price History'!D158-'Price History'!D3)*0.279220779220779</f>
        <v>931.847922077922</v>
      </c>
      <c r="Z46" s="138" t="n">
        <f aca="false">'Price History'!E3+('Price History'!E158-'Price History'!E3)*0.279220779220779</f>
        <v>168.505324675325</v>
      </c>
      <c r="AA46" s="138" t="n">
        <f aca="false">'Price History'!F3+('Price History'!F158-'Price History'!F3)*0.279220779220779</f>
        <v>80.0041558441558</v>
      </c>
      <c r="AB46" s="138" t="n">
        <f aca="false">'Price History'!G3+('Price History'!G158-'Price History'!G3)*0.279220779220779</f>
        <v>85.5724675324675</v>
      </c>
      <c r="AC46" s="138" t="n">
        <f aca="false">'Price History'!H3+('Price History'!H158-'Price History'!H3)*0.279220779220779</f>
        <v>276.203636363636</v>
      </c>
      <c r="AD46" s="138" t="n">
        <f aca="false">'Price History'!I3+('Price History'!I158-'Price History'!I3)*0.279220779220779</f>
        <v>85.4974025974026</v>
      </c>
      <c r="AE46" s="138" t="n">
        <f aca="false">'Price History'!J3+('Price History'!J158-'Price History'!J3)*0.279220779220779</f>
        <v>129.401558441558</v>
      </c>
      <c r="AF46" s="138" t="n">
        <f aca="false">'Price History'!K3+('Price History'!K158-'Price History'!K3)*0.279220779220779</f>
        <v>45.4681168831169</v>
      </c>
      <c r="AG46" s="138" t="n">
        <f aca="false">'Price History'!L3+('Price History'!L158-'Price History'!L3)*0.279220779220779</f>
        <v>179.17948051948</v>
      </c>
      <c r="AH46" s="138" t="n">
        <f aca="false">'Price History'!M3+('Price History'!M158-'Price History'!M3)*0.279220779220779</f>
        <v>91.6046753246753</v>
      </c>
      <c r="AI46" s="138" t="n">
        <f aca="false">'Price History'!N3+('Price History'!N158-'Price History'!N3)*0.279220779220779</f>
        <v>385.388051948052</v>
      </c>
      <c r="AJ46" s="138" t="n">
        <f aca="false">'Price History'!O3+('Price History'!O158-'Price History'!O3)*0.279220779220779</f>
        <v>94.6973376623377</v>
      </c>
      <c r="AK46" s="138" t="n">
        <f aca="false">'Price History'!Q3+('Price History'!Q151-'Price History'!Q3)*0.279220779220779</f>
        <v>55.0362987012987</v>
      </c>
      <c r="AL46" s="138" t="n">
        <f aca="false">'Price History'!R3+('Price History'!R158-'Price History'!R3)*0.279220779220779</f>
        <v>50.7322727272727</v>
      </c>
      <c r="AM46" s="138" t="n">
        <f aca="false">'Price History'!S3+('Price History'!S158-'Price History'!S3)*0.279220779220779</f>
        <v>82.3547402597402</v>
      </c>
      <c r="AN46" s="138" t="n">
        <f aca="false">'Price History'!T3+('Price History'!T158-'Price History'!T3)*0.279220779220779</f>
        <v>33.2846103896104</v>
      </c>
    </row>
    <row r="47" customFormat="false" ht="15" hidden="false" customHeight="true" outlineLevel="0" collapsed="false">
      <c r="A47" s="136" t="n">
        <f aca="false">IF('Price History'!A48="","",'Price History'!A48)</f>
        <v>45464</v>
      </c>
      <c r="B47" s="137" t="n">
        <f aca="false">IFERROR(IF(OR(NOT(ISNUMBER('Price History'!B48)),NOT(ISNUMBER('Price History'!B47)),'Price History'!B47=0),"",'Price History'!B48/'Price History'!B47-1),"")</f>
        <v>0.0154765757362321</v>
      </c>
      <c r="C47" s="137" t="n">
        <f aca="false">IFERROR(IF(OR(NOT(ISNUMBER('Price History'!C48)),NOT(ISNUMBER('Price History'!C47)),'Price History'!C47=0),"",'Price History'!C48/'Price History'!C47-1),"")</f>
        <v>0.0269085596006333</v>
      </c>
      <c r="D47" s="137" t="n">
        <f aca="false">IFERROR(IF(OR(NOT(ISNUMBER('Price History'!D48)),NOT(ISNUMBER('Price History'!D47)),'Price History'!D47=0),"",'Price History'!D48/'Price History'!D47-1),"")</f>
        <v>0.0084638583519796</v>
      </c>
      <c r="E47" s="137" t="n">
        <f aca="false">IFERROR(IF(OR(NOT(ISNUMBER('Price History'!E48)),NOT(ISNUMBER('Price History'!E47)),'Price History'!E47=0),"",'Price History'!E48/'Price History'!E47-1),"")</f>
        <v>-0.0440345821325647</v>
      </c>
      <c r="F47" s="137" t="n">
        <f aca="false">IFERROR(IF(OR(NOT(ISNUMBER('Price History'!F48)),NOT(ISNUMBER('Price History'!F47)),'Price History'!F47=0),"",'Price History'!F48/'Price History'!F47-1),"")</f>
        <v>-0.0124533001245331</v>
      </c>
      <c r="G47" s="137" t="n">
        <f aca="false">IFERROR(IF(OR(NOT(ISNUMBER('Price History'!G48)),NOT(ISNUMBER('Price History'!G47)),'Price History'!G47=0),"",'Price History'!G48/'Price History'!G47-1),"")</f>
        <v>-0.00994180407371492</v>
      </c>
      <c r="H47" s="137" t="n">
        <f aca="false">IFERROR(IF(OR(NOT(ISNUMBER('Price History'!H48)),NOT(ISNUMBER('Price History'!H47)),'Price History'!H47=0),"",'Price History'!H48/'Price History'!H47-1),"")</f>
        <v>-0.0128749292586307</v>
      </c>
      <c r="I47" s="137" t="n">
        <f aca="false">IFERROR(IF(OR(NOT(ISNUMBER('Price History'!I48)),NOT(ISNUMBER('Price History'!I47)),'Price History'!I47=0),"",'Price History'!I48/'Price History'!I47-1),"")</f>
        <v>-0.0402638762511374</v>
      </c>
      <c r="J47" s="137" t="n">
        <f aca="false">IFERROR(IF(OR(NOT(ISNUMBER('Price History'!J48)),NOT(ISNUMBER('Price History'!J47)),'Price History'!J47=0),"",'Price History'!J48/'Price History'!J47-1),"")</f>
        <v>-0.0257369311603883</v>
      </c>
      <c r="K47" s="137" t="n">
        <f aca="false">IFERROR(IF(OR(NOT(ISNUMBER('Price History'!K48)),NOT(ISNUMBER('Price History'!K47)),'Price History'!K47=0),"",'Price History'!K48/'Price History'!K47-1),"")</f>
        <v>0.0114552397114978</v>
      </c>
      <c r="L47" s="137" t="n">
        <f aca="false">IFERROR(IF(OR(NOT(ISNUMBER('Price History'!L48)),NOT(ISNUMBER('Price History'!L47)),'Price History'!L47=0),"",'Price History'!L48/'Price History'!L47-1),"")</f>
        <v>0.00840530983711108</v>
      </c>
      <c r="M47" s="137" t="n">
        <f aca="false">IFERROR(IF(OR(NOT(ISNUMBER('Price History'!M48)),NOT(ISNUMBER('Price History'!M47)),'Price History'!M47=0),"",'Price History'!M48/'Price History'!M47-1),"")</f>
        <v>-0.00940096195889817</v>
      </c>
      <c r="N47" s="137" t="n">
        <f aca="false">IFERROR(IF(OR(NOT(ISNUMBER('Price History'!N48)),NOT(ISNUMBER('Price History'!N47)),'Price History'!N47=0),"",'Price History'!N48/'Price History'!N47-1),"")</f>
        <v>-0.0250036402970483</v>
      </c>
      <c r="O47" s="137" t="n">
        <f aca="false">IFERROR(IF(OR(NOT(ISNUMBER('Price History'!O48)),NOT(ISNUMBER('Price History'!O47)),'Price History'!O47=0),"",'Price History'!O48/'Price History'!O47-1),"")</f>
        <v>0.010828678901174</v>
      </c>
      <c r="P47" s="137" t="str">
        <f aca="false">IFERROR(IF(OR(NOT(ISNUMBER('Price History'!P48)),NOT(ISNUMBER('Price History'!P47)),'Price History'!P47=0),"",'Price History'!P48/'Price History'!P47-1),"")</f>
        <v/>
      </c>
      <c r="Q47" s="137" t="n">
        <f aca="false">IFERROR(IF(OR(NOT(ISNUMBER('Price History'!Q48)),NOT(ISNUMBER('Price History'!Q47)),'Price History'!Q47=0),"",'Price History'!Q48/'Price History'!Q47-1),"")</f>
        <v>0.000690726990157264</v>
      </c>
      <c r="R47" s="137" t="n">
        <f aca="false">IFERROR(IF(OR(NOT(ISNUMBER('Price History'!R48)),NOT(ISNUMBER('Price History'!R47)),'Price History'!R47=0),"",'Price History'!R48/'Price History'!R47-1),"")</f>
        <v>0.00108735048930786</v>
      </c>
      <c r="S47" s="137" t="n">
        <f aca="false">IFERROR(IF(OR(NOT(ISNUMBER('Price History'!S48)),NOT(ISNUMBER('Price History'!S47)),'Price History'!S47=0),"",'Price History'!S48/'Price History'!S47-1),"")</f>
        <v>-0.000800640512410022</v>
      </c>
      <c r="T47" s="137" t="n">
        <f aca="false">IFERROR(IF(OR(NOT(ISNUMBER('Price History'!T48)),NOT(ISNUMBER('Price History'!T47)),'Price History'!T47=0),"",'Price History'!T48/'Price History'!T47-1),"")</f>
        <v>0.00973393900064901</v>
      </c>
      <c r="U47" s="137" t="str">
        <f aca="false">IFERROR(IF(OR(NOT(ISNUMBER('Price History'!U48)),NOT(ISNUMBER('Price History'!U47)),'Price History'!U47=0),"",'Price History'!U48/'Price History'!U47-1),"")</f>
        <v/>
      </c>
      <c r="W47" s="138" t="n">
        <f aca="false">'Price History'!B3+('Price History'!B158-'Price History'!B3)*0.285714285714286</f>
        <v>434.724285714286</v>
      </c>
      <c r="X47" s="138" t="n">
        <f aca="false">'Price History'!C3+('Price History'!C158-'Price History'!C3)*0.285714285714286</f>
        <v>82.7714285714286</v>
      </c>
      <c r="Y47" s="138" t="n">
        <f aca="false">'Price History'!D3+('Price History'!D158-'Price History'!D3)*0.285714285714286</f>
        <v>938.128571428572</v>
      </c>
      <c r="Z47" s="138" t="n">
        <f aca="false">'Price History'!E3+('Price History'!E158-'Price History'!E3)*0.285714285714286</f>
        <v>170.494285714286</v>
      </c>
      <c r="AA47" s="138" t="n">
        <f aca="false">'Price History'!F3+('Price History'!F158-'Price History'!F3)*0.285714285714286</f>
        <v>81.0028571428572</v>
      </c>
      <c r="AB47" s="138" t="n">
        <f aca="false">'Price History'!G3+('Price History'!G158-'Price History'!G3)*0.285714285714286</f>
        <v>86.4485714285715</v>
      </c>
      <c r="AC47" s="138" t="n">
        <f aca="false">'Price History'!H3+('Price History'!H158-'Price History'!H3)*0.285714285714286</f>
        <v>281.13</v>
      </c>
      <c r="AD47" s="138" t="n">
        <f aca="false">'Price History'!I3+('Price History'!I158-'Price History'!I3)*0.285714285714286</f>
        <v>86.5357142857143</v>
      </c>
      <c r="AE47" s="138" t="n">
        <f aca="false">'Price History'!J3+('Price History'!J158-'Price History'!J3)*0.285714285714286</f>
        <v>129.538571428571</v>
      </c>
      <c r="AF47" s="138" t="n">
        <f aca="false">'Price History'!K3+('Price History'!K158-'Price History'!K3)*0.285714285714286</f>
        <v>46.1671428571429</v>
      </c>
      <c r="AG47" s="138" t="n">
        <f aca="false">'Price History'!L3+('Price History'!L158-'Price History'!L3)*0.285714285714286</f>
        <v>181.207142857143</v>
      </c>
      <c r="AH47" s="138" t="n">
        <f aca="false">'Price History'!M3+('Price History'!M158-'Price History'!M3)*0.285714285714286</f>
        <v>92.9557142857143</v>
      </c>
      <c r="AI47" s="138" t="n">
        <f aca="false">'Price History'!N3+('Price History'!N158-'Price History'!N3)*0.285714285714286</f>
        <v>386.214285714286</v>
      </c>
      <c r="AJ47" s="138" t="n">
        <f aca="false">'Price History'!O3+('Price History'!O158-'Price History'!O3)*0.285714285714286</f>
        <v>94.9728571428572</v>
      </c>
      <c r="AK47" s="138" t="n">
        <f aca="false">'Price History'!Q3+('Price History'!Q151-'Price History'!Q3)*0.285714285714286</f>
        <v>55.1571428571429</v>
      </c>
      <c r="AL47" s="138" t="n">
        <f aca="false">'Price History'!R3+('Price History'!R158-'Price History'!R3)*0.285714285714286</f>
        <v>50.8</v>
      </c>
      <c r="AM47" s="138" t="n">
        <f aca="false">'Price History'!S3+('Price History'!S158-'Price History'!S3)*0.285714285714286</f>
        <v>82.9085714285715</v>
      </c>
      <c r="AN47" s="138" t="n">
        <f aca="false">'Price History'!T3+('Price History'!T158-'Price History'!T3)*0.285714285714286</f>
        <v>33.4328571428572</v>
      </c>
    </row>
    <row r="48" customFormat="false" ht="15" hidden="false" customHeight="true" outlineLevel="0" collapsed="false">
      <c r="A48" s="136" t="n">
        <f aca="false">IF('Price History'!A49="","",'Price History'!A49)</f>
        <v>45471</v>
      </c>
      <c r="B48" s="137" t="n">
        <f aca="false">IFERROR(IF(OR(NOT(ISNUMBER('Price History'!B49)),NOT(ISNUMBER('Price History'!B48)),'Price History'!B48=0),"",'Price History'!B49/'Price History'!B48-1),"")</f>
        <v>0.0414292141571684</v>
      </c>
      <c r="C48" s="137" t="n">
        <f aca="false">IFERROR(IF(OR(NOT(ISNUMBER('Price History'!C49)),NOT(ISNUMBER('Price History'!C48)),'Price History'!C48=0),"",'Price History'!C49/'Price History'!C48-1),"")</f>
        <v>0.0388902063078018</v>
      </c>
      <c r="D48" s="137" t="n">
        <f aca="false">IFERROR(IF(OR(NOT(ISNUMBER('Price History'!D49)),NOT(ISNUMBER('Price History'!D48)),'Price History'!D48=0),"",'Price History'!D49/'Price History'!D48-1),"")</f>
        <v>-0.0133802816901407</v>
      </c>
      <c r="E48" s="137" t="n">
        <f aca="false">IFERROR(IF(OR(NOT(ISNUMBER('Price History'!E49)),NOT(ISNUMBER('Price History'!E48)),'Price History'!E48=0),"",'Price History'!E49/'Price History'!E48-1),"")</f>
        <v>-0.0320149523694683</v>
      </c>
      <c r="F48" s="137" t="n">
        <f aca="false">IFERROR(IF(OR(NOT(ISNUMBER('Price History'!F49)),NOT(ISNUMBER('Price History'!F48)),'Price History'!F48=0),"",'Price History'!F49/'Price History'!F48-1),"")</f>
        <v>0.00672551492223628</v>
      </c>
      <c r="G48" s="137" t="n">
        <f aca="false">IFERROR(IF(OR(NOT(ISNUMBER('Price History'!G49)),NOT(ISNUMBER('Price History'!G48)),'Price History'!G48=0),"",'Price History'!G49/'Price History'!G48-1),"")</f>
        <v>0.00967425912319375</v>
      </c>
      <c r="H48" s="137" t="n">
        <f aca="false">IFERROR(IF(OR(NOT(ISNUMBER('Price History'!H49)),NOT(ISNUMBER('Price History'!H48)),'Price History'!H48=0),"",'Price History'!H49/'Price History'!H48-1),"")</f>
        <v>-0.0574028952271749</v>
      </c>
      <c r="I48" s="137" t="n">
        <f aca="false">IFERROR(IF(OR(NOT(ISNUMBER('Price History'!I49)),NOT(ISNUMBER('Price History'!I48)),'Price History'!I48=0),"",'Price History'!I49/'Price History'!I48-1),"")</f>
        <v>-0.023939322114245</v>
      </c>
      <c r="J48" s="137" t="n">
        <f aca="false">IFERROR(IF(OR(NOT(ISNUMBER('Price History'!J49)),NOT(ISNUMBER('Price History'!J48)),'Price History'!J48=0),"",'Price History'!J49/'Price History'!J48-1),"")</f>
        <v>0.0265996343692869</v>
      </c>
      <c r="K48" s="137" t="n">
        <f aca="false">IFERROR(IF(OR(NOT(ISNUMBER('Price History'!K49)),NOT(ISNUMBER('Price History'!K48)),'Price History'!K48=0),"",'Price History'!K49/'Price History'!K48-1),"")</f>
        <v>0.0625</v>
      </c>
      <c r="L48" s="137" t="n">
        <f aca="false">IFERROR(IF(OR(NOT(ISNUMBER('Price History'!L49)),NOT(ISNUMBER('Price History'!L48)),'Price History'!L48=0),"",'Price History'!L49/'Price History'!L48-1),"")</f>
        <v>-0.000862267187859311</v>
      </c>
      <c r="M48" s="137" t="n">
        <f aca="false">IFERROR(IF(OR(NOT(ISNUMBER('Price History'!M49)),NOT(ISNUMBER('Price History'!M48)),'Price History'!M48=0),"",'Price History'!M49/'Price History'!M48-1),"")</f>
        <v>-0.044692120944604</v>
      </c>
      <c r="N48" s="137" t="n">
        <f aca="false">IFERROR(IF(OR(NOT(ISNUMBER('Price History'!N49)),NOT(ISNUMBER('Price History'!N48)),'Price History'!N48=0),"",'Price History'!N49/'Price History'!N48-1),"")</f>
        <v>2.13351539333218E-005</v>
      </c>
      <c r="O48" s="137" t="n">
        <f aca="false">IFERROR(IF(OR(NOT(ISNUMBER('Price History'!O49)),NOT(ISNUMBER('Price History'!O48)),'Price History'!O48=0),"",'Price History'!O49/'Price History'!O48-1),"")</f>
        <v>0.0117275597654487</v>
      </c>
      <c r="P48" s="137" t="str">
        <f aca="false">IFERROR(IF(OR(NOT(ISNUMBER('Price History'!P49)),NOT(ISNUMBER('Price History'!P48)),'Price History'!P48=0),"",'Price History'!P49/'Price History'!P48-1),"")</f>
        <v/>
      </c>
      <c r="Q48" s="137" t="n">
        <f aca="false">IFERROR(IF(OR(NOT(ISNUMBER('Price History'!Q49)),NOT(ISNUMBER('Price History'!Q48)),'Price History'!Q48=0),"",'Price History'!Q49/'Price History'!Q48-1),"")</f>
        <v>0.0262295081967212</v>
      </c>
      <c r="R48" s="137" t="n">
        <f aca="false">IFERROR(IF(OR(NOT(ISNUMBER('Price History'!R49)),NOT(ISNUMBER('Price History'!R48)),'Price History'!R48=0),"",'Price History'!R49/'Price History'!R48-1),"")</f>
        <v>0.00470673425054313</v>
      </c>
      <c r="S48" s="137" t="n">
        <f aca="false">IFERROR(IF(OR(NOT(ISNUMBER('Price History'!S49)),NOT(ISNUMBER('Price History'!S48)),'Price History'!S48=0),"",'Price History'!S49/'Price History'!S48-1),"")</f>
        <v>0.00114468864468864</v>
      </c>
      <c r="T48" s="137" t="n">
        <f aca="false">IFERROR(IF(OR(NOT(ISNUMBER('Price History'!T49)),NOT(ISNUMBER('Price History'!T48)),'Price History'!T48=0),"",'Price History'!T49/'Price History'!T48-1),"")</f>
        <v>-0.00642673521850901</v>
      </c>
      <c r="U48" s="137" t="str">
        <f aca="false">IFERROR(IF(OR(NOT(ISNUMBER('Price History'!U49)),NOT(ISNUMBER('Price History'!U48)),'Price History'!U48=0),"",'Price History'!U49/'Price History'!U48-1),"")</f>
        <v/>
      </c>
      <c r="W48" s="138" t="n">
        <f aca="false">'Price History'!B3+('Price History'!B158-'Price History'!B3)*0.292207792207792</f>
        <v>433.048701298701</v>
      </c>
      <c r="X48" s="138" t="n">
        <f aca="false">'Price History'!C3+('Price History'!C158-'Price History'!C3)*0.292207792207792</f>
        <v>83.6585064935065</v>
      </c>
      <c r="Y48" s="138" t="n">
        <f aca="false">'Price History'!D3+('Price History'!D158-'Price History'!D3)*0.292207792207792</f>
        <v>944.409220779221</v>
      </c>
      <c r="Z48" s="138" t="n">
        <f aca="false">'Price History'!E3+('Price History'!E158-'Price History'!E3)*0.292207792207792</f>
        <v>172.483246753247</v>
      </c>
      <c r="AA48" s="138" t="n">
        <f aca="false">'Price History'!F3+('Price History'!F158-'Price History'!F3)*0.292207792207792</f>
        <v>82.0015584415584</v>
      </c>
      <c r="AB48" s="138" t="n">
        <f aca="false">'Price History'!G3+('Price History'!G158-'Price History'!G3)*0.292207792207792</f>
        <v>87.3246753246753</v>
      </c>
      <c r="AC48" s="138" t="n">
        <f aca="false">'Price History'!H3+('Price History'!H158-'Price History'!H3)*0.292207792207792</f>
        <v>286.056363636363</v>
      </c>
      <c r="AD48" s="138" t="n">
        <f aca="false">'Price History'!I3+('Price History'!I158-'Price History'!I3)*0.292207792207792</f>
        <v>87.5740259740259</v>
      </c>
      <c r="AE48" s="138" t="n">
        <f aca="false">'Price History'!J3+('Price History'!J158-'Price History'!J3)*0.292207792207792</f>
        <v>129.675584415584</v>
      </c>
      <c r="AF48" s="138" t="n">
        <f aca="false">'Price History'!K3+('Price History'!K158-'Price History'!K3)*0.292207792207792</f>
        <v>46.8661688311688</v>
      </c>
      <c r="AG48" s="138" t="n">
        <f aca="false">'Price History'!L3+('Price History'!L158-'Price History'!L3)*0.292207792207792</f>
        <v>183.234805194805</v>
      </c>
      <c r="AH48" s="138" t="n">
        <f aca="false">'Price History'!M3+('Price History'!M158-'Price History'!M3)*0.292207792207792</f>
        <v>94.3067532467532</v>
      </c>
      <c r="AI48" s="138" t="n">
        <f aca="false">'Price History'!N3+('Price History'!N158-'Price History'!N3)*0.292207792207792</f>
        <v>387.04051948052</v>
      </c>
      <c r="AJ48" s="138" t="n">
        <f aca="false">'Price History'!O3+('Price History'!O158-'Price History'!O3)*0.292207792207792</f>
        <v>95.2483766233766</v>
      </c>
      <c r="AK48" s="138" t="n">
        <f aca="false">'Price History'!Q3+('Price History'!Q151-'Price History'!Q3)*0.292207792207792</f>
        <v>55.277987012987</v>
      </c>
      <c r="AL48" s="138" t="n">
        <f aca="false">'Price History'!R3+('Price History'!R158-'Price History'!R3)*0.292207792207792</f>
        <v>50.8677272727273</v>
      </c>
      <c r="AM48" s="138" t="n">
        <f aca="false">'Price History'!S3+('Price History'!S158-'Price History'!S3)*0.292207792207792</f>
        <v>83.4624025974026</v>
      </c>
      <c r="AN48" s="138" t="n">
        <f aca="false">'Price History'!T3+('Price History'!T158-'Price History'!T3)*0.292207792207792</f>
        <v>33.5811038961039</v>
      </c>
    </row>
    <row r="49" customFormat="false" ht="15" hidden="false" customHeight="true" outlineLevel="0" collapsed="false">
      <c r="A49" s="136" t="n">
        <f aca="false">IF('Price History'!A50="","",'Price History'!A50)</f>
        <v>45478</v>
      </c>
      <c r="B49" s="137" t="n">
        <f aca="false">IFERROR(IF(OR(NOT(ISNUMBER('Price History'!B50)),NOT(ISNUMBER('Price History'!B49)),'Price History'!B49=0),"",'Price History'!B50/'Price History'!B49-1),"")</f>
        <v>0.0410411491521765</v>
      </c>
      <c r="C49" s="137" t="n">
        <f aca="false">IFERROR(IF(OR(NOT(ISNUMBER('Price History'!C50)),NOT(ISNUMBER('Price History'!C49)),'Price History'!C49=0),"",'Price History'!C50/'Price History'!C49-1),"")</f>
        <v>0.0447386441451723</v>
      </c>
      <c r="D49" s="137" t="n">
        <f aca="false">IFERROR(IF(OR(NOT(ISNUMBER('Price History'!D50)),NOT(ISNUMBER('Price History'!D49)),'Price History'!D49=0),"",'Price History'!D50/'Price History'!D49-1),"")</f>
        <v>0.0505998650670265</v>
      </c>
      <c r="E49" s="137" t="n">
        <f aca="false">IFERROR(IF(OR(NOT(ISNUMBER('Price History'!E50)),NOT(ISNUMBER('Price History'!E49)),'Price History'!E49=0),"",'Price History'!E50/'Price History'!E49-1),"")</f>
        <v>0.0609156026160074</v>
      </c>
      <c r="F49" s="137" t="n">
        <f aca="false">IFERROR(IF(OR(NOT(ISNUMBER('Price History'!F50)),NOT(ISNUMBER('Price History'!F49)),'Price History'!F49=0),"",'Price History'!F50/'Price History'!F49-1),"")</f>
        <v>0.016910229645094</v>
      </c>
      <c r="G49" s="137" t="n">
        <f aca="false">IFERROR(IF(OR(NOT(ISNUMBER('Price History'!G50)),NOT(ISNUMBER('Price History'!G49)),'Price History'!G49=0),"",'Price History'!G50/'Price History'!G49-1),"")</f>
        <v>0.0372346876895087</v>
      </c>
      <c r="H49" s="137" t="n">
        <f aca="false">IFERROR(IF(OR(NOT(ISNUMBER('Price History'!H50)),NOT(ISNUMBER('Price History'!H49)),'Price History'!H49=0),"",'Price History'!H50/'Price History'!H49-1),"")</f>
        <v>0.000532197977647586</v>
      </c>
      <c r="I49" s="137" t="n">
        <f aca="false">IFERROR(IF(OR(NOT(ISNUMBER('Price History'!I50)),NOT(ISNUMBER('Price History'!I49)),'Price History'!I49=0),"",'Price History'!I50/'Price History'!I49-1),"")</f>
        <v>0.0185365063946898</v>
      </c>
      <c r="J49" s="137" t="n">
        <f aca="false">IFERROR(IF(OR(NOT(ISNUMBER('Price History'!J50)),NOT(ISNUMBER('Price History'!J49)),'Price History'!J49=0),"",'Price History'!J50/'Price History'!J49-1),"")</f>
        <v>0.0191434422580357</v>
      </c>
      <c r="K49" s="137" t="n">
        <f aca="false">IFERROR(IF(OR(NOT(ISNUMBER('Price History'!K50)),NOT(ISNUMBER('Price History'!K49)),'Price History'!K49=0),"",'Price History'!K50/'Price History'!K49-1),"")</f>
        <v>0.0750098697197001</v>
      </c>
      <c r="L49" s="137" t="n">
        <f aca="false">IFERROR(IF(OR(NOT(ISNUMBER('Price History'!L50)),NOT(ISNUMBER('Price History'!L49)),'Price History'!L49=0),"",'Price History'!L50/'Price History'!L49-1),"")</f>
        <v>0.0585697025487602</v>
      </c>
      <c r="M49" s="137" t="n">
        <f aca="false">IFERROR(IF(OR(NOT(ISNUMBER('Price History'!M50)),NOT(ISNUMBER('Price History'!M49)),'Price History'!M49=0),"",'Price History'!M50/'Price History'!M49-1),"")</f>
        <v>0.0601825112625622</v>
      </c>
      <c r="N49" s="137" t="n">
        <f aca="false">IFERROR(IF(OR(NOT(ISNUMBER('Price History'!N50)),NOT(ISNUMBER('Price History'!N49)),'Price History'!N49=0),"",'Price History'!N50/'Price History'!N49-1),"")</f>
        <v>0.0124807987711213</v>
      </c>
      <c r="O49" s="137" t="n">
        <f aca="false">IFERROR(IF(OR(NOT(ISNUMBER('Price History'!O50)),NOT(ISNUMBER('Price History'!O49)),'Price History'!O49=0),"",'Price History'!O50/'Price History'!O49-1),"")</f>
        <v>-0.0164957646009809</v>
      </c>
      <c r="P49" s="137" t="str">
        <f aca="false">IFERROR(IF(OR(NOT(ISNUMBER('Price History'!P50)),NOT(ISNUMBER('Price History'!P49)),'Price History'!P49=0),"",'Price History'!P50/'Price History'!P49-1),"")</f>
        <v/>
      </c>
      <c r="Q49" s="137" t="n">
        <f aca="false">IFERROR(IF(OR(NOT(ISNUMBER('Price History'!Q50)),NOT(ISNUMBER('Price History'!Q49)),'Price History'!Q49=0),"",'Price History'!Q50/'Price History'!Q49-1),"")</f>
        <v>0.00874390448965867</v>
      </c>
      <c r="R49" s="137" t="n">
        <f aca="false">IFERROR(IF(OR(NOT(ISNUMBER('Price History'!R50)),NOT(ISNUMBER('Price History'!R49)),'Price History'!R49=0),"",'Price History'!R50/'Price History'!R49-1),"")</f>
        <v>0.006846846846847</v>
      </c>
      <c r="S49" s="137" t="n">
        <f aca="false">IFERROR(IF(OR(NOT(ISNUMBER('Price History'!S50)),NOT(ISNUMBER('Price History'!S49)),'Price History'!S49=0),"",'Price History'!S50/'Price History'!S49-1),"")</f>
        <v>0.0309855934141323</v>
      </c>
      <c r="T49" s="137" t="n">
        <f aca="false">IFERROR(IF(OR(NOT(ISNUMBER('Price History'!T50)),NOT(ISNUMBER('Price History'!T49)),'Price History'!T49=0),"",'Price History'!T50/'Price History'!T49-1),"")</f>
        <v>-0.0200517464424321</v>
      </c>
      <c r="U49" s="137" t="str">
        <f aca="false">IFERROR(IF(OR(NOT(ISNUMBER('Price History'!U50)),NOT(ISNUMBER('Price History'!U49)),'Price History'!U49=0),"",'Price History'!U50/'Price History'!U49-1),"")</f>
        <v/>
      </c>
      <c r="W49" s="138" t="n">
        <f aca="false">'Price History'!B3+('Price History'!B158-'Price History'!B3)*0.298701298701299</f>
        <v>431.373116883117</v>
      </c>
      <c r="X49" s="138" t="n">
        <f aca="false">'Price History'!C3+('Price History'!C158-'Price History'!C3)*0.298701298701299</f>
        <v>84.5455844155845</v>
      </c>
      <c r="Y49" s="138" t="n">
        <f aca="false">'Price History'!D3+('Price History'!D158-'Price History'!D3)*0.298701298701299</f>
        <v>950.68987012987</v>
      </c>
      <c r="Z49" s="138" t="n">
        <f aca="false">'Price History'!E3+('Price History'!E158-'Price History'!E3)*0.298701298701299</f>
        <v>174.472207792208</v>
      </c>
      <c r="AA49" s="138" t="n">
        <f aca="false">'Price History'!F3+('Price History'!F158-'Price History'!F3)*0.298701298701299</f>
        <v>83.0002597402598</v>
      </c>
      <c r="AB49" s="138" t="n">
        <f aca="false">'Price History'!G3+('Price History'!G158-'Price History'!G3)*0.298701298701299</f>
        <v>88.2007792207793</v>
      </c>
      <c r="AC49" s="138" t="n">
        <f aca="false">'Price History'!H3+('Price History'!H158-'Price History'!H3)*0.298701298701299</f>
        <v>290.982727272728</v>
      </c>
      <c r="AD49" s="138" t="n">
        <f aca="false">'Price History'!I3+('Price History'!I158-'Price History'!I3)*0.298701298701299</f>
        <v>88.6123376623377</v>
      </c>
      <c r="AE49" s="138" t="n">
        <f aca="false">'Price History'!J3+('Price History'!J158-'Price History'!J3)*0.298701298701299</f>
        <v>129.812597402597</v>
      </c>
      <c r="AF49" s="138" t="n">
        <f aca="false">'Price History'!K3+('Price History'!K158-'Price History'!K3)*0.298701298701299</f>
        <v>47.5651948051948</v>
      </c>
      <c r="AG49" s="138" t="n">
        <f aca="false">'Price History'!L3+('Price History'!L158-'Price History'!L3)*0.298701298701299</f>
        <v>185.262467532468</v>
      </c>
      <c r="AH49" s="138" t="n">
        <f aca="false">'Price History'!M3+('Price History'!M158-'Price History'!M3)*0.298701298701299</f>
        <v>95.6577922077923</v>
      </c>
      <c r="AI49" s="138" t="n">
        <f aca="false">'Price History'!N3+('Price History'!N158-'Price History'!N3)*0.298701298701299</f>
        <v>387.866753246753</v>
      </c>
      <c r="AJ49" s="138" t="n">
        <f aca="false">'Price History'!O3+('Price History'!O158-'Price History'!O3)*0.298701298701299</f>
        <v>95.5238961038961</v>
      </c>
      <c r="AK49" s="138" t="n">
        <f aca="false">'Price History'!Q3+('Price History'!Q151-'Price History'!Q3)*0.298701298701299</f>
        <v>55.3988311688312</v>
      </c>
      <c r="AL49" s="138" t="n">
        <f aca="false">'Price History'!R3+('Price History'!R158-'Price History'!R3)*0.298701298701299</f>
        <v>50.9354545454546</v>
      </c>
      <c r="AM49" s="138" t="n">
        <f aca="false">'Price History'!S3+('Price History'!S158-'Price History'!S3)*0.298701298701299</f>
        <v>84.0162337662338</v>
      </c>
      <c r="AN49" s="138" t="n">
        <f aca="false">'Price History'!T3+('Price History'!T158-'Price History'!T3)*0.298701298701299</f>
        <v>33.7293506493507</v>
      </c>
    </row>
    <row r="50" customFormat="false" ht="15" hidden="false" customHeight="true" outlineLevel="0" collapsed="false">
      <c r="A50" s="136" t="n">
        <f aca="false">IF('Price History'!A51="","",'Price History'!A51)</f>
        <v>45485</v>
      </c>
      <c r="B50" s="137" t="n">
        <f aca="false">IFERROR(IF(OR(NOT(ISNUMBER('Price History'!B51)),NOT(ISNUMBER('Price History'!B50)),'Price History'!B50=0),"",'Price History'!B51/'Price History'!B50-1),"")</f>
        <v>-0.0333540823736903</v>
      </c>
      <c r="C50" s="137" t="n">
        <f aca="false">IFERROR(IF(OR(NOT(ISNUMBER('Price History'!C51)),NOT(ISNUMBER('Price History'!C50)),'Price History'!C50=0),"",'Price History'!C51/'Price History'!C50-1),"")</f>
        <v>-0.0115796373170199</v>
      </c>
      <c r="D50" s="137" t="n">
        <f aca="false">IFERROR(IF(OR(NOT(ISNUMBER('Price History'!D51)),NOT(ISNUMBER('Price History'!D50)),'Price History'!D50=0),"",'Price History'!D51/'Price History'!D50-1),"")</f>
        <v>0.0100327600327601</v>
      </c>
      <c r="E50" s="137" t="n">
        <f aca="false">IFERROR(IF(OR(NOT(ISNUMBER('Price History'!E51)),NOT(ISNUMBER('Price History'!E50)),'Price History'!E50=0),"",'Price History'!E51/'Price History'!E50-1),"")</f>
        <v>-0.00152644865848661</v>
      </c>
      <c r="F50" s="137" t="n">
        <f aca="false">IFERROR(IF(OR(NOT(ISNUMBER('Price History'!F51)),NOT(ISNUMBER('Price History'!F50)),'Price History'!F50=0),"",'Price History'!F51/'Price History'!F50-1),"")</f>
        <v>-0.0471155820160132</v>
      </c>
      <c r="G50" s="137" t="n">
        <f aca="false">IFERROR(IF(OR(NOT(ISNUMBER('Price History'!G51)),NOT(ISNUMBER('Price History'!G50)),'Price History'!G50=0),"",'Price History'!G51/'Price History'!G50-1),"")</f>
        <v>0.00292329279700665</v>
      </c>
      <c r="H50" s="137" t="n">
        <f aca="false">IFERROR(IF(OR(NOT(ISNUMBER('Price History'!H51)),NOT(ISNUMBER('Price History'!H50)),'Price History'!H50=0),"",'Price History'!H51/'Price History'!H50-1),"")</f>
        <v>0.0148176291793314</v>
      </c>
      <c r="I50" s="137" t="n">
        <f aca="false">IFERROR(IF(OR(NOT(ISNUMBER('Price History'!I51)),NOT(ISNUMBER('Price History'!I50)),'Price History'!I50=0),"",'Price History'!I51/'Price History'!I50-1),"")</f>
        <v>0.0271000556306129</v>
      </c>
      <c r="J50" s="137" t="n">
        <f aca="false">IFERROR(IF(OR(NOT(ISNUMBER('Price History'!J51)),NOT(ISNUMBER('Price History'!J50)),'Price History'!J50=0),"",'Price History'!J51/'Price History'!J50-1),"")</f>
        <v>0.0497116896732484</v>
      </c>
      <c r="K50" s="137" t="n">
        <f aca="false">IFERROR(IF(OR(NOT(ISNUMBER('Price History'!K51)),NOT(ISNUMBER('Price History'!K50)),'Price History'!K50=0),"",'Price History'!K51/'Price History'!K50-1),"")</f>
        <v>0.0308483290488433</v>
      </c>
      <c r="L50" s="137" t="n">
        <f aca="false">IFERROR(IF(OR(NOT(ISNUMBER('Price History'!L51)),NOT(ISNUMBER('Price History'!L50)),'Price History'!L50=0),"",'Price History'!L51/'Price History'!L50-1),"")</f>
        <v>0.0182618620577204</v>
      </c>
      <c r="M50" s="137" t="n">
        <f aca="false">IFERROR(IF(OR(NOT(ISNUMBER('Price History'!M51)),NOT(ISNUMBER('Price History'!M50)),'Price History'!M50=0),"",'Price History'!M51/'Price History'!M50-1),"")</f>
        <v>-0.0229897581172369</v>
      </c>
      <c r="N50" s="137" t="n">
        <f aca="false">IFERROR(IF(OR(NOT(ISNUMBER('Price History'!N51)),NOT(ISNUMBER('Price History'!N50)),'Price History'!N50=0),"",'Price History'!N51/'Price History'!N50-1),"")</f>
        <v>0.0298586088459027</v>
      </c>
      <c r="O50" s="137" t="n">
        <f aca="false">IFERROR(IF(OR(NOT(ISNUMBER('Price History'!O51)),NOT(ISNUMBER('Price History'!O50)),'Price History'!O50=0),"",'Price History'!O51/'Price History'!O50-1),"")</f>
        <v>0.0557570262919311</v>
      </c>
      <c r="P50" s="137" t="str">
        <f aca="false">IFERROR(IF(OR(NOT(ISNUMBER('Price History'!P51)),NOT(ISNUMBER('Price History'!P50)),'Price History'!P50=0),"",'Price History'!P51/'Price History'!P50-1),"")</f>
        <v/>
      </c>
      <c r="Q50" s="137" t="n">
        <f aca="false">IFERROR(IF(OR(NOT(ISNUMBER('Price History'!Q51)),NOT(ISNUMBER('Price History'!Q50)),'Price History'!Q50=0),"",'Price History'!Q51/'Price History'!Q50-1),"")</f>
        <v>0.00366727787964649</v>
      </c>
      <c r="R50" s="137" t="n">
        <f aca="false">IFERROR(IF(OR(NOT(ISNUMBER('Price History'!R51)),NOT(ISNUMBER('Price History'!R50)),'Price History'!R50=0),"",'Price History'!R51/'Price History'!R50-1),"")</f>
        <v>-0.000715819613457347</v>
      </c>
      <c r="S50" s="137" t="n">
        <f aca="false">IFERROR(IF(OR(NOT(ISNUMBER('Price History'!S51)),NOT(ISNUMBER('Price History'!S50)),'Price History'!S50=0),"",'Price History'!S51/'Price History'!S50-1),"")</f>
        <v>-0.00199622934457144</v>
      </c>
      <c r="T50" s="137" t="n">
        <f aca="false">IFERROR(IF(OR(NOT(ISNUMBER('Price History'!T51)),NOT(ISNUMBER('Price History'!T50)),'Price History'!T50=0),"",'Price History'!T51/'Price History'!T50-1),"")</f>
        <v>0.0382838283828384</v>
      </c>
      <c r="U50" s="137" t="str">
        <f aca="false">IFERROR(IF(OR(NOT(ISNUMBER('Price History'!U51)),NOT(ISNUMBER('Price History'!U50)),'Price History'!U50=0),"",'Price History'!U51/'Price History'!U50-1),"")</f>
        <v/>
      </c>
      <c r="W50" s="138" t="n">
        <f aca="false">'Price History'!B3+('Price History'!B158-'Price History'!B3)*0.305194805194805</f>
        <v>429.697532467533</v>
      </c>
      <c r="X50" s="138" t="n">
        <f aca="false">'Price History'!C3+('Price History'!C158-'Price History'!C3)*0.305194805194805</f>
        <v>85.4326623376623</v>
      </c>
      <c r="Y50" s="138" t="n">
        <f aca="false">'Price History'!D3+('Price History'!D158-'Price History'!D3)*0.305194805194805</f>
        <v>956.970519480519</v>
      </c>
      <c r="Z50" s="138" t="n">
        <f aca="false">'Price History'!E3+('Price History'!E158-'Price History'!E3)*0.305194805194805</f>
        <v>176.461168831169</v>
      </c>
      <c r="AA50" s="138" t="n">
        <f aca="false">'Price History'!F3+('Price History'!F158-'Price History'!F3)*0.305194805194805</f>
        <v>83.998961038961</v>
      </c>
      <c r="AB50" s="138" t="n">
        <f aca="false">'Price History'!G3+('Price History'!G158-'Price History'!G3)*0.305194805194805</f>
        <v>89.0768831168831</v>
      </c>
      <c r="AC50" s="138" t="n">
        <f aca="false">'Price History'!H3+('Price History'!H158-'Price History'!H3)*0.305194805194805</f>
        <v>295.909090909091</v>
      </c>
      <c r="AD50" s="138" t="n">
        <f aca="false">'Price History'!I3+('Price History'!I158-'Price History'!I3)*0.305194805194805</f>
        <v>89.6506493506493</v>
      </c>
      <c r="AE50" s="138" t="n">
        <f aca="false">'Price History'!J3+('Price History'!J158-'Price History'!J3)*0.305194805194805</f>
        <v>129.94961038961</v>
      </c>
      <c r="AF50" s="138" t="n">
        <f aca="false">'Price History'!K3+('Price History'!K158-'Price History'!K3)*0.305194805194805</f>
        <v>48.2642207792208</v>
      </c>
      <c r="AG50" s="138" t="n">
        <f aca="false">'Price History'!L3+('Price History'!L158-'Price History'!L3)*0.305194805194805</f>
        <v>187.29012987013</v>
      </c>
      <c r="AH50" s="138" t="n">
        <f aca="false">'Price History'!M3+('Price History'!M158-'Price History'!M3)*0.305194805194805</f>
        <v>97.0088311688311</v>
      </c>
      <c r="AI50" s="138" t="n">
        <f aca="false">'Price History'!N3+('Price History'!N158-'Price History'!N3)*0.305194805194805</f>
        <v>388.692987012987</v>
      </c>
      <c r="AJ50" s="138" t="n">
        <f aca="false">'Price History'!O3+('Price History'!O158-'Price History'!O3)*0.305194805194805</f>
        <v>95.7994155844156</v>
      </c>
      <c r="AK50" s="138" t="n">
        <f aca="false">'Price History'!Q3+('Price History'!Q151-'Price History'!Q3)*0.305194805194805</f>
        <v>55.5196753246753</v>
      </c>
      <c r="AL50" s="138" t="n">
        <f aca="false">'Price History'!R3+('Price History'!R158-'Price History'!R3)*0.305194805194805</f>
        <v>51.0031818181818</v>
      </c>
      <c r="AM50" s="138" t="n">
        <f aca="false">'Price History'!S3+('Price History'!S158-'Price History'!S3)*0.305194805194805</f>
        <v>84.5700649350649</v>
      </c>
      <c r="AN50" s="138" t="n">
        <f aca="false">'Price History'!T3+('Price History'!T158-'Price History'!T3)*0.305194805194805</f>
        <v>33.8775974025974</v>
      </c>
    </row>
    <row r="51" customFormat="false" ht="15" hidden="false" customHeight="true" outlineLevel="0" collapsed="false">
      <c r="A51" s="136" t="n">
        <f aca="false">IF('Price History'!A52="","",'Price History'!A52)</f>
        <v>45492</v>
      </c>
      <c r="B51" s="137" t="n">
        <f aca="false">IFERROR(IF(OR(NOT(ISNUMBER('Price History'!B52)),NOT(ISNUMBER('Price History'!B51)),'Price History'!B51=0),"",'Price History'!B52/'Price History'!B51-1),"")</f>
        <v>-0.0143994276003935</v>
      </c>
      <c r="C51" s="137" t="n">
        <f aca="false">IFERROR(IF(OR(NOT(ISNUMBER('Price History'!C52)),NOT(ISNUMBER('Price History'!C51)),'Price History'!C51=0),"",'Price History'!C52/'Price History'!C51-1),"")</f>
        <v>-0.0866489832007074</v>
      </c>
      <c r="D51" s="137" t="n">
        <f aca="false">IFERROR(IF(OR(NOT(ISNUMBER('Price History'!D52)),NOT(ISNUMBER('Price History'!D51)),'Price History'!D51=0),"",'Price History'!D52/'Price History'!D51-1),"")</f>
        <v>-0.174971896135488</v>
      </c>
      <c r="E51" s="137" t="n">
        <f aca="false">IFERROR(IF(OR(NOT(ISNUMBER('Price History'!E52)),NOT(ISNUMBER('Price History'!E51)),'Price History'!E51=0),"",'Price History'!E52/'Price History'!E51-1),"")</f>
        <v>-0.0747927324043041</v>
      </c>
      <c r="F51" s="137" t="n">
        <f aca="false">IFERROR(IF(OR(NOT(ISNUMBER('Price History'!F52)),NOT(ISNUMBER('Price History'!F51)),'Price History'!F51=0),"",'Price History'!F52/'Price History'!F51-1),"")</f>
        <v>-0.178713777873532</v>
      </c>
      <c r="G51" s="137" t="n">
        <f aca="false">IFERROR(IF(OR(NOT(ISNUMBER('Price History'!G52)),NOT(ISNUMBER('Price History'!G51)),'Price History'!G51=0),"",'Price History'!G52/'Price History'!G51-1),"")</f>
        <v>-0.110877929345925</v>
      </c>
      <c r="H51" s="137" t="n">
        <f aca="false">IFERROR(IF(OR(NOT(ISNUMBER('Price History'!H52)),NOT(ISNUMBER('Price History'!H51)),'Price History'!H51=0),"",'Price History'!H52/'Price History'!H51-1),"")</f>
        <v>-0.144440284537626</v>
      </c>
      <c r="I51" s="137" t="n">
        <f aca="false">IFERROR(IF(OR(NOT(ISNUMBER('Price History'!I52)),NOT(ISNUMBER('Price History'!I51)),'Price History'!I51=0),"",'Price History'!I52/'Price History'!I51-1),"")</f>
        <v>-0.0875116063138347</v>
      </c>
      <c r="J51" s="137" t="n">
        <f aca="false">IFERROR(IF(OR(NOT(ISNUMBER('Price History'!J52)),NOT(ISNUMBER('Price History'!J51)),'Price History'!J51=0),"",'Price History'!J52/'Price History'!J51-1),"")</f>
        <v>0.0299625468164793</v>
      </c>
      <c r="K51" s="137" t="n">
        <f aca="false">IFERROR(IF(OR(NOT(ISNUMBER('Price History'!K52)),NOT(ISNUMBER('Price History'!K51)),'Price History'!K51=0),"",'Price History'!K52/'Price History'!K51-1),"")</f>
        <v>0.0181688635553972</v>
      </c>
      <c r="L51" s="137" t="n">
        <f aca="false">IFERROR(IF(OR(NOT(ISNUMBER('Price History'!L52)),NOT(ISNUMBER('Price History'!L51)),'Price History'!L51=0),"",'Price History'!L52/'Price History'!L51-1),"")</f>
        <v>-0.115185481718708</v>
      </c>
      <c r="M51" s="137" t="n">
        <f aca="false">IFERROR(IF(OR(NOT(ISNUMBER('Price History'!M52)),NOT(ISNUMBER('Price History'!M51)),'Price History'!M51=0),"",'Price History'!M52/'Price History'!M51-1),"")</f>
        <v>-0.0486227277796364</v>
      </c>
      <c r="N51" s="137" t="n">
        <f aca="false">IFERROR(IF(OR(NOT(ISNUMBER('Price History'!N52)),NOT(ISNUMBER('Price History'!N51)),'Price History'!N51=0),"",'Price History'!N52/'Price History'!N51-1),"")</f>
        <v>0.00579039980357643</v>
      </c>
      <c r="O51" s="137" t="n">
        <f aca="false">IFERROR(IF(OR(NOT(ISNUMBER('Price History'!O52)),NOT(ISNUMBER('Price History'!O51)),'Price History'!O51=0),"",'Price History'!O52/'Price History'!O51-1),"")</f>
        <v>0.0264061829111208</v>
      </c>
      <c r="P51" s="137" t="str">
        <f aca="false">IFERROR(IF(OR(NOT(ISNUMBER('Price History'!P52)),NOT(ISNUMBER('Price History'!P51)),'Price History'!P51=0),"",'Price History'!P52/'Price History'!P51-1),"")</f>
        <v/>
      </c>
      <c r="Q51" s="137" t="n">
        <f aca="false">IFERROR(IF(OR(NOT(ISNUMBER('Price History'!Q52)),NOT(ISNUMBER('Price History'!Q51)),'Price History'!Q51=0),"",'Price History'!Q52/'Price History'!Q51-1),"")</f>
        <v>-0.0270719149642917</v>
      </c>
      <c r="R51" s="137" t="n">
        <f aca="false">IFERROR(IF(OR(NOT(ISNUMBER('Price History'!R52)),NOT(ISNUMBER('Price History'!R51)),'Price History'!R51=0),"",'Price History'!R52/'Price History'!R51-1),"")</f>
        <v>-0.0295487106017193</v>
      </c>
      <c r="S51" s="137" t="n">
        <f aca="false">IFERROR(IF(OR(NOT(ISNUMBER('Price History'!S52)),NOT(ISNUMBER('Price History'!S51)),'Price History'!S51=0),"",'Price History'!S52/'Price History'!S51-1),"")</f>
        <v>-0.0404489387709746</v>
      </c>
      <c r="T51" s="137" t="n">
        <f aca="false">IFERROR(IF(OR(NOT(ISNUMBER('Price History'!T52)),NOT(ISNUMBER('Price History'!T51)),'Price History'!T51=0),"",'Price History'!T52/'Price History'!T51-1),"")</f>
        <v>0.0152574698029244</v>
      </c>
      <c r="U51" s="137" t="str">
        <f aca="false">IFERROR(IF(OR(NOT(ISNUMBER('Price History'!U52)),NOT(ISNUMBER('Price History'!U51)),'Price History'!U51=0),"",'Price History'!U52/'Price History'!U51-1),"")</f>
        <v/>
      </c>
      <c r="W51" s="138" t="n">
        <f aca="false">'Price History'!B3+('Price History'!B158-'Price History'!B3)*0.311688311688312</f>
        <v>428.021948051948</v>
      </c>
      <c r="X51" s="138" t="n">
        <f aca="false">'Price History'!C3+('Price History'!C158-'Price History'!C3)*0.311688311688312</f>
        <v>86.3197402597403</v>
      </c>
      <c r="Y51" s="138" t="n">
        <f aca="false">'Price History'!D3+('Price History'!D158-'Price History'!D3)*0.311688311688312</f>
        <v>963.251168831169</v>
      </c>
      <c r="Z51" s="138" t="n">
        <f aca="false">'Price History'!E3+('Price History'!E158-'Price History'!E3)*0.311688311688312</f>
        <v>178.45012987013</v>
      </c>
      <c r="AA51" s="138" t="n">
        <f aca="false">'Price History'!F3+('Price History'!F158-'Price History'!F3)*0.311688311688312</f>
        <v>84.9976623376624</v>
      </c>
      <c r="AB51" s="138" t="n">
        <f aca="false">'Price History'!G3+('Price History'!G158-'Price History'!G3)*0.311688311688312</f>
        <v>89.9529870129871</v>
      </c>
      <c r="AC51" s="138" t="n">
        <f aca="false">'Price History'!H3+('Price History'!H158-'Price History'!H3)*0.311688311688312</f>
        <v>300.835454545455</v>
      </c>
      <c r="AD51" s="138" t="n">
        <f aca="false">'Price History'!I3+('Price History'!I158-'Price History'!I3)*0.311688311688312</f>
        <v>90.6889610389611</v>
      </c>
      <c r="AE51" s="138" t="n">
        <f aca="false">'Price History'!J3+('Price History'!J158-'Price History'!J3)*0.311688311688312</f>
        <v>130.086623376623</v>
      </c>
      <c r="AF51" s="138" t="n">
        <f aca="false">'Price History'!K3+('Price History'!K158-'Price History'!K3)*0.311688311688312</f>
        <v>48.9632467532468</v>
      </c>
      <c r="AG51" s="138" t="n">
        <f aca="false">'Price History'!L3+('Price History'!L158-'Price History'!L3)*0.311688311688312</f>
        <v>189.317792207792</v>
      </c>
      <c r="AH51" s="138" t="n">
        <f aca="false">'Price History'!M3+('Price History'!M158-'Price History'!M3)*0.311688311688312</f>
        <v>98.3598701298702</v>
      </c>
      <c r="AI51" s="138" t="n">
        <f aca="false">'Price History'!N3+('Price History'!N158-'Price History'!N3)*0.311688311688312</f>
        <v>389.519220779221</v>
      </c>
      <c r="AJ51" s="138" t="n">
        <f aca="false">'Price History'!O3+('Price History'!O158-'Price History'!O3)*0.311688311688312</f>
        <v>96.0749350649351</v>
      </c>
      <c r="AK51" s="138" t="n">
        <f aca="false">'Price History'!Q3+('Price History'!Q151-'Price History'!Q3)*0.311688311688312</f>
        <v>55.6405194805195</v>
      </c>
      <c r="AL51" s="138" t="n">
        <f aca="false">'Price History'!R3+('Price History'!R158-'Price History'!R3)*0.311688311688312</f>
        <v>51.0709090909091</v>
      </c>
      <c r="AM51" s="138" t="n">
        <f aca="false">'Price History'!S3+('Price History'!S158-'Price History'!S3)*0.311688311688312</f>
        <v>85.1238961038961</v>
      </c>
      <c r="AN51" s="138" t="n">
        <f aca="false">'Price History'!T3+('Price History'!T158-'Price History'!T3)*0.311688311688312</f>
        <v>34.0258441558442</v>
      </c>
    </row>
    <row r="52" customFormat="false" ht="15" hidden="false" customHeight="true" outlineLevel="0" collapsed="false">
      <c r="A52" s="136" t="n">
        <f aca="false">IF('Price History'!A53="","",'Price History'!A53)</f>
        <v>45499</v>
      </c>
      <c r="B52" s="137" t="n">
        <f aca="false">IFERROR(IF(OR(NOT(ISNUMBER('Price History'!B53)),NOT(ISNUMBER('Price History'!B52)),'Price History'!B52=0),"",'Price History'!B53/'Price History'!B52-1),"")</f>
        <v>-0.0155353901996369</v>
      </c>
      <c r="C52" s="137" t="n">
        <f aca="false">IFERROR(IF(OR(NOT(ISNUMBER('Price History'!C53)),NOT(ISNUMBER('Price History'!C52)),'Price History'!C52=0),"",'Price History'!C53/'Price History'!C52-1),"")</f>
        <v>-0.0343659244917716</v>
      </c>
      <c r="D52" s="137" t="n">
        <f aca="false">IFERROR(IF(OR(NOT(ISNUMBER('Price History'!D53)),NOT(ISNUMBER('Price History'!D52)),'Price History'!D52=0),"",'Price History'!D53/'Price History'!D52-1),"")</f>
        <v>-0.00779565989479214</v>
      </c>
      <c r="E52" s="137" t="n">
        <f aca="false">IFERROR(IF(OR(NOT(ISNUMBER('Price History'!E53)),NOT(ISNUMBER('Price History'!E52)),'Price History'!E52=0),"",'Price History'!E53/'Price History'!E52-1),"")</f>
        <v>-0.0363520813473149</v>
      </c>
      <c r="F52" s="137" t="n">
        <f aca="false">IFERROR(IF(OR(NOT(ISNUMBER('Price History'!F53)),NOT(ISNUMBER('Price History'!F52)),'Price History'!F52=0),"",'Price History'!F53/'Price History'!F52-1),"")</f>
        <v>-0.160020986358867</v>
      </c>
      <c r="G52" s="137" t="n">
        <f aca="false">IFERROR(IF(OR(NOT(ISNUMBER('Price History'!G53)),NOT(ISNUMBER('Price History'!G52)),'Price History'!G52=0),"",'Price History'!G53/'Price History'!G52-1),"")</f>
        <v>0.032520325203252</v>
      </c>
      <c r="H52" s="137" t="n">
        <f aca="false">IFERROR(IF(OR(NOT(ISNUMBER('Price History'!H53)),NOT(ISNUMBER('Price History'!H52)),'Price History'!H52=0),"",'Price History'!H53/'Price History'!H52-1),"")</f>
        <v>-0.042447050586382</v>
      </c>
      <c r="I52" s="137" t="n">
        <f aca="false">IFERROR(IF(OR(NOT(ISNUMBER('Price History'!I53)),NOT(ISNUMBER('Price History'!I52)),'Price History'!I52=0),"",'Price History'!I53/'Price History'!I52-1),"")</f>
        <v>-0.0412956838802679</v>
      </c>
      <c r="J52" s="137" t="n">
        <f aca="false">IFERROR(IF(OR(NOT(ISNUMBER('Price History'!J53)),NOT(ISNUMBER('Price History'!J52)),'Price History'!J52=0),"",'Price History'!J53/'Price History'!J52-1),"")</f>
        <v>-0.00864646464646457</v>
      </c>
      <c r="K52" s="137" t="n">
        <f aca="false">IFERROR(IF(OR(NOT(ISNUMBER('Price History'!K53)),NOT(ISNUMBER('Price History'!K52)),'Price History'!K52=0),"",'Price History'!K53/'Price History'!K52-1),"")</f>
        <v>-0.0489853044086773</v>
      </c>
      <c r="L52" s="137" t="n">
        <f aca="false">IFERROR(IF(OR(NOT(ISNUMBER('Price History'!L53)),NOT(ISNUMBER('Price History'!L52)),'Price History'!L52=0),"",'Price History'!L53/'Price History'!L52-1),"")</f>
        <v>-0.023104301140134</v>
      </c>
      <c r="M52" s="137" t="n">
        <f aca="false">IFERROR(IF(OR(NOT(ISNUMBER('Price History'!M53)),NOT(ISNUMBER('Price History'!M52)),'Price History'!M52=0),"",'Price History'!M53/'Price History'!M52-1),"")</f>
        <v>-0.0960028132692533</v>
      </c>
      <c r="N52" s="137" t="n">
        <f aca="false">IFERROR(IF(OR(NOT(ISNUMBER('Price History'!N53)),NOT(ISNUMBER('Price History'!N52)),'Price History'!N52=0),"",'Price History'!N53/'Price History'!N52-1),"")</f>
        <v>0.0075065606119169</v>
      </c>
      <c r="O52" s="137" t="n">
        <f aca="false">IFERROR(IF(OR(NOT(ISNUMBER('Price History'!O53)),NOT(ISNUMBER('Price History'!O52)),'Price History'!O52=0),"",'Price History'!O53/'Price History'!O52-1),"")</f>
        <v>0.0362894791884543</v>
      </c>
      <c r="P52" s="137" t="str">
        <f aca="false">IFERROR(IF(OR(NOT(ISNUMBER('Price History'!P53)),NOT(ISNUMBER('Price History'!P52)),'Price History'!P52=0),"",'Price History'!P53/'Price History'!P52-1),"")</f>
        <v/>
      </c>
      <c r="Q52" s="137" t="n">
        <f aca="false">IFERROR(IF(OR(NOT(ISNUMBER('Price History'!Q53)),NOT(ISNUMBER('Price History'!Q52)),'Price History'!Q52=0),"",'Price History'!Q53/'Price History'!Q52-1),"")</f>
        <v>0.0259474223284397</v>
      </c>
      <c r="R52" s="137" t="n">
        <f aca="false">IFERROR(IF(OR(NOT(ISNUMBER('Price History'!R53)),NOT(ISNUMBER('Price History'!R52)),'Price History'!R52=0),"",'Price History'!R53/'Price History'!R52-1),"")</f>
        <v>-0.0226979147444177</v>
      </c>
      <c r="S52" s="137" t="n">
        <f aca="false">IFERROR(IF(OR(NOT(ISNUMBER('Price History'!S53)),NOT(ISNUMBER('Price History'!S52)),'Price History'!S52=0),"",'Price History'!S53/'Price History'!S52-1),"")</f>
        <v>-0.0188766647365373</v>
      </c>
      <c r="T52" s="137" t="n">
        <f aca="false">IFERROR(IF(OR(NOT(ISNUMBER('Price History'!T53)),NOT(ISNUMBER('Price History'!T52)),'Price History'!T52=0),"",'Price History'!T53/'Price History'!T52-1),"")</f>
        <v>0.0178459611772073</v>
      </c>
      <c r="U52" s="137" t="str">
        <f aca="false">IFERROR(IF(OR(NOT(ISNUMBER('Price History'!U53)),NOT(ISNUMBER('Price History'!U52)),'Price History'!U52=0),"",'Price History'!U53/'Price History'!U52-1),"")</f>
        <v/>
      </c>
      <c r="W52" s="138" t="n">
        <f aca="false">'Price History'!B3+('Price History'!B158-'Price History'!B3)*0.318181818181818</f>
        <v>426.346363636364</v>
      </c>
      <c r="X52" s="138" t="n">
        <f aca="false">'Price History'!C3+('Price History'!C158-'Price History'!C3)*0.318181818181818</f>
        <v>87.2068181818182</v>
      </c>
      <c r="Y52" s="138" t="n">
        <f aca="false">'Price History'!D3+('Price History'!D158-'Price History'!D3)*0.318181818181818</f>
        <v>969.531818181818</v>
      </c>
      <c r="Z52" s="138" t="n">
        <f aca="false">'Price History'!E3+('Price History'!E158-'Price History'!E3)*0.318181818181818</f>
        <v>180.439090909091</v>
      </c>
      <c r="AA52" s="138" t="n">
        <f aca="false">'Price History'!F3+('Price History'!F158-'Price History'!F3)*0.318181818181818</f>
        <v>85.9963636363636</v>
      </c>
      <c r="AB52" s="138" t="n">
        <f aca="false">'Price History'!G3+('Price History'!G158-'Price History'!G3)*0.318181818181818</f>
        <v>90.8290909090909</v>
      </c>
      <c r="AC52" s="138" t="n">
        <f aca="false">'Price History'!H3+('Price History'!H158-'Price History'!H3)*0.318181818181818</f>
        <v>305.761818181818</v>
      </c>
      <c r="AD52" s="138" t="n">
        <f aca="false">'Price History'!I3+('Price History'!I158-'Price History'!I3)*0.318181818181818</f>
        <v>91.7272727272727</v>
      </c>
      <c r="AE52" s="138" t="n">
        <f aca="false">'Price History'!J3+('Price History'!J158-'Price History'!J3)*0.318181818181818</f>
        <v>130.223636363636</v>
      </c>
      <c r="AF52" s="138" t="n">
        <f aca="false">'Price History'!K3+('Price History'!K158-'Price History'!K3)*0.318181818181818</f>
        <v>49.6622727272727</v>
      </c>
      <c r="AG52" s="138" t="n">
        <f aca="false">'Price History'!L3+('Price History'!L158-'Price History'!L3)*0.318181818181818</f>
        <v>191.345454545455</v>
      </c>
      <c r="AH52" s="138" t="n">
        <f aca="false">'Price History'!M3+('Price History'!M158-'Price History'!M3)*0.318181818181818</f>
        <v>99.710909090909</v>
      </c>
      <c r="AI52" s="138" t="n">
        <f aca="false">'Price History'!N3+('Price History'!N158-'Price History'!N3)*0.318181818181818</f>
        <v>390.345454545455</v>
      </c>
      <c r="AJ52" s="138" t="n">
        <f aca="false">'Price History'!O3+('Price History'!O158-'Price History'!O3)*0.318181818181818</f>
        <v>96.3504545454545</v>
      </c>
      <c r="AK52" s="138" t="n">
        <f aca="false">'Price History'!Q3+('Price History'!Q151-'Price History'!Q3)*0.318181818181818</f>
        <v>55.7613636363636</v>
      </c>
      <c r="AL52" s="138" t="n">
        <f aca="false">'Price History'!R3+('Price History'!R158-'Price History'!R3)*0.318181818181818</f>
        <v>51.1386363636364</v>
      </c>
      <c r="AM52" s="138" t="n">
        <f aca="false">'Price History'!S3+('Price History'!S158-'Price History'!S3)*0.318181818181818</f>
        <v>85.6777272727273</v>
      </c>
      <c r="AN52" s="138" t="n">
        <f aca="false">'Price History'!T3+('Price History'!T158-'Price History'!T3)*0.318181818181818</f>
        <v>34.1740909090909</v>
      </c>
    </row>
    <row r="53" customFormat="false" ht="15" hidden="false" customHeight="true" outlineLevel="0" collapsed="false">
      <c r="A53" s="136" t="n">
        <f aca="false">IF('Price History'!A54="","",'Price History'!A54)</f>
        <v>45506</v>
      </c>
      <c r="B53" s="137" t="n">
        <f aca="false">IFERROR(IF(OR(NOT(ISNUMBER('Price History'!B54)),NOT(ISNUMBER('Price History'!B53)),'Price History'!B53=0),"",'Price History'!B54/'Price History'!B53-1),"")</f>
        <v>-0.0299941007300348</v>
      </c>
      <c r="C53" s="137" t="n">
        <f aca="false">IFERROR(IF(OR(NOT(ISNUMBER('Price History'!C54)),NOT(ISNUMBER('Price History'!C53)),'Price History'!C53=0),"",'Price History'!C54/'Price History'!C53-1),"")</f>
        <v>0.000375939849624141</v>
      </c>
      <c r="D53" s="137" t="n">
        <f aca="false">IFERROR(IF(OR(NOT(ISNUMBER('Price History'!D54)),NOT(ISNUMBER('Price History'!D53)),'Price History'!D53=0),"",'Price History'!D54/'Price History'!D53-1),"")</f>
        <v>-0.0889699343756684</v>
      </c>
      <c r="E53" s="137" t="n">
        <f aca="false">IFERROR(IF(OR(NOT(ISNUMBER('Price History'!E54)),NOT(ISNUMBER('Price History'!E53)),'Price History'!E53=0),"",'Price History'!E54/'Price History'!E53-1),"")</f>
        <v>-0.0515069577260436</v>
      </c>
      <c r="F53" s="137" t="n">
        <f aca="false">IFERROR(IF(OR(NOT(ISNUMBER('Price History'!F54)),NOT(ISNUMBER('Price History'!F53)),'Price History'!F53=0),"",'Price History'!F54/'Price History'!F53-1),"")</f>
        <v>-0.149437851342911</v>
      </c>
      <c r="G53" s="137" t="n">
        <f aca="false">IFERROR(IF(OR(NOT(ISNUMBER('Price History'!G54)),NOT(ISNUMBER('Price History'!G53)),'Price History'!G53=0),"",'Price History'!G54/'Price History'!G53-1),"")</f>
        <v>-0.115824231648463</v>
      </c>
      <c r="H53" s="137" t="n">
        <f aca="false">IFERROR(IF(OR(NOT(ISNUMBER('Price History'!H54)),NOT(ISNUMBER('Price History'!H53)),'Price History'!H53=0),"",'Price History'!H54/'Price History'!H53-1),"")</f>
        <v>-0.152728269810803</v>
      </c>
      <c r="I53" s="137" t="n">
        <f aca="false">IFERROR(IF(OR(NOT(ISNUMBER('Price History'!I54)),NOT(ISNUMBER('Price History'!I53)),'Price History'!I53=0),"",'Price History'!I54/'Price History'!I53-1),"")</f>
        <v>-0.0512117459755882</v>
      </c>
      <c r="J53" s="137" t="n">
        <f aca="false">IFERROR(IF(OR(NOT(ISNUMBER('Price History'!J54)),NOT(ISNUMBER('Price History'!J53)),'Price History'!J53=0),"",'Price History'!J54/'Price History'!J53-1),"")</f>
        <v>0.0105966742745354</v>
      </c>
      <c r="K53" s="137" t="n">
        <f aca="false">IFERROR(IF(OR(NOT(ISNUMBER('Price History'!K54)),NOT(ISNUMBER('Price History'!K53)),'Price History'!K53=0),"",'Price History'!K54/'Price History'!K53-1),"")</f>
        <v>-0.0897718910963945</v>
      </c>
      <c r="L53" s="137" t="n">
        <f aca="false">IFERROR(IF(OR(NOT(ISNUMBER('Price History'!L54)),NOT(ISNUMBER('Price History'!L53)),'Price History'!L53=0),"",'Price History'!L54/'Price History'!L53-1),"")</f>
        <v>-0.0745955292083487</v>
      </c>
      <c r="M53" s="137" t="n">
        <f aca="false">IFERROR(IF(OR(NOT(ISNUMBER('Price History'!M54)),NOT(ISNUMBER('Price History'!M53)),'Price History'!M53=0),"",'Price History'!M54/'Price History'!M53-1),"")</f>
        <v>-0.0993257261410789</v>
      </c>
      <c r="N53" s="137" t="n">
        <f aca="false">IFERROR(IF(OR(NOT(ISNUMBER('Price History'!N54)),NOT(ISNUMBER('Price History'!N53)),'Price History'!N53=0),"",'Price History'!N54/'Price History'!N53-1),"")</f>
        <v>-0.00161531316884067</v>
      </c>
      <c r="O53" s="137" t="n">
        <f aca="false">IFERROR(IF(OR(NOT(ISNUMBER('Price History'!O54)),NOT(ISNUMBER('Price History'!O53)),'Price History'!O53=0),"",'Price History'!O54/'Price History'!O53-1),"")</f>
        <v>-0.0714501967907962</v>
      </c>
      <c r="P53" s="137" t="str">
        <f aca="false">IFERROR(IF(OR(NOT(ISNUMBER('Price History'!P54)),NOT(ISNUMBER('Price History'!P53)),'Price History'!P53=0),"",'Price History'!P54/'Price History'!P53-1),"")</f>
        <v/>
      </c>
      <c r="Q53" s="137" t="n">
        <f aca="false">IFERROR(IF(OR(NOT(ISNUMBER('Price History'!Q54)),NOT(ISNUMBER('Price History'!Q53)),'Price History'!Q53=0),"",'Price History'!Q54/'Price History'!Q53-1),"")</f>
        <v>0.00831946755407653</v>
      </c>
      <c r="R53" s="137" t="n">
        <f aca="false">IFERROR(IF(OR(NOT(ISNUMBER('Price History'!R54)),NOT(ISNUMBER('Price History'!R53)),'Price History'!R53=0),"",'Price History'!R54/'Price History'!R53-1),"")</f>
        <v>-0.0343655589123867</v>
      </c>
      <c r="S53" s="137" t="n">
        <f aca="false">IFERROR(IF(OR(NOT(ISNUMBER('Price History'!S54)),NOT(ISNUMBER('Price History'!S53)),'Price History'!S53=0),"",'Price History'!S54/'Price History'!S53-1),"")</f>
        <v>-0.0297450424929178</v>
      </c>
      <c r="T53" s="137" t="n">
        <f aca="false">IFERROR(IF(OR(NOT(ISNUMBER('Price History'!T54)),NOT(ISNUMBER('Price History'!T53)),'Price History'!T53=0),"",'Price History'!T54/'Price History'!T53-1),"")</f>
        <v>-0.0286065825899723</v>
      </c>
      <c r="U53" s="137" t="str">
        <f aca="false">IFERROR(IF(OR(NOT(ISNUMBER('Price History'!U54)),NOT(ISNUMBER('Price History'!U53)),'Price History'!U53=0),"",'Price History'!U54/'Price History'!U53-1),"")</f>
        <v/>
      </c>
      <c r="W53" s="138" t="n">
        <f aca="false">'Price History'!B3+('Price History'!B158-'Price History'!B3)*0.324675324675325</f>
        <v>424.670779220779</v>
      </c>
      <c r="X53" s="138" t="n">
        <f aca="false">'Price History'!C3+('Price History'!C158-'Price History'!C3)*0.324675324675325</f>
        <v>88.0938961038962</v>
      </c>
      <c r="Y53" s="138" t="n">
        <f aca="false">'Price History'!D3+('Price History'!D158-'Price History'!D3)*0.324675324675325</f>
        <v>975.812467532468</v>
      </c>
      <c r="Z53" s="138" t="n">
        <f aca="false">'Price History'!E3+('Price History'!E158-'Price History'!E3)*0.324675324675325</f>
        <v>182.428051948052</v>
      </c>
      <c r="AA53" s="138" t="n">
        <f aca="false">'Price History'!F3+('Price History'!F158-'Price History'!F3)*0.324675324675325</f>
        <v>86.995064935065</v>
      </c>
      <c r="AB53" s="138" t="n">
        <f aca="false">'Price History'!G3+('Price History'!G158-'Price History'!G3)*0.324675324675325</f>
        <v>91.7051948051949</v>
      </c>
      <c r="AC53" s="138" t="n">
        <f aca="false">'Price History'!H3+('Price History'!H158-'Price History'!H3)*0.324675324675325</f>
        <v>310.688181818182</v>
      </c>
      <c r="AD53" s="138" t="n">
        <f aca="false">'Price History'!I3+('Price History'!I158-'Price History'!I3)*0.324675324675325</f>
        <v>92.7655844155845</v>
      </c>
      <c r="AE53" s="138" t="n">
        <f aca="false">'Price History'!J3+('Price History'!J158-'Price History'!J3)*0.324675324675325</f>
        <v>130.360649350649</v>
      </c>
      <c r="AF53" s="138" t="n">
        <f aca="false">'Price History'!K3+('Price History'!K158-'Price History'!K3)*0.324675324675325</f>
        <v>50.3612987012987</v>
      </c>
      <c r="AG53" s="138" t="n">
        <f aca="false">'Price History'!L3+('Price History'!L158-'Price History'!L3)*0.324675324675325</f>
        <v>193.373116883117</v>
      </c>
      <c r="AH53" s="138" t="n">
        <f aca="false">'Price History'!M3+('Price History'!M158-'Price History'!M3)*0.324675324675325</f>
        <v>101.061948051948</v>
      </c>
      <c r="AI53" s="138" t="n">
        <f aca="false">'Price History'!N3+('Price History'!N158-'Price History'!N3)*0.324675324675325</f>
        <v>391.171688311688</v>
      </c>
      <c r="AJ53" s="138" t="n">
        <f aca="false">'Price History'!O3+('Price History'!O158-'Price History'!O3)*0.324675324675325</f>
        <v>96.625974025974</v>
      </c>
      <c r="AK53" s="138" t="n">
        <f aca="false">'Price History'!Q3+('Price History'!Q151-'Price History'!Q3)*0.324675324675325</f>
        <v>55.8822077922078</v>
      </c>
      <c r="AL53" s="138" t="n">
        <f aca="false">'Price History'!R3+('Price History'!R158-'Price History'!R3)*0.324675324675325</f>
        <v>51.2063636363636</v>
      </c>
      <c r="AM53" s="138" t="n">
        <f aca="false">'Price History'!S3+('Price History'!S158-'Price History'!S3)*0.324675324675325</f>
        <v>86.2315584415585</v>
      </c>
      <c r="AN53" s="138" t="n">
        <f aca="false">'Price History'!T3+('Price History'!T158-'Price History'!T3)*0.324675324675325</f>
        <v>34.3223376623377</v>
      </c>
    </row>
    <row r="54" customFormat="false" ht="15" hidden="false" customHeight="true" outlineLevel="0" collapsed="false">
      <c r="A54" s="136" t="n">
        <f aca="false">IF('Price History'!A55="","",'Price History'!A55)</f>
        <v>45513</v>
      </c>
      <c r="B54" s="137" t="n">
        <f aca="false">IFERROR(IF(OR(NOT(ISNUMBER('Price History'!B55)),NOT(ISNUMBER('Price History'!B54)),'Price History'!B54=0),"",'Price History'!B55/'Price History'!B54-1),"")</f>
        <v>0.0192523328962122</v>
      </c>
      <c r="C54" s="137" t="n">
        <f aca="false">IFERROR(IF(OR(NOT(ISNUMBER('Price History'!C55)),NOT(ISNUMBER('Price History'!C54)),'Price History'!C54=0),"",'Price History'!C55/'Price History'!C54-1),"")</f>
        <v>0.0516096705499187</v>
      </c>
      <c r="D54" s="137" t="n">
        <f aca="false">IFERROR(IF(OR(NOT(ISNUMBER('Price History'!D55)),NOT(ISNUMBER('Price History'!D54)),'Price History'!D54=0),"",'Price History'!D55/'Price History'!D54-1),"")</f>
        <v>0.0632606412553283</v>
      </c>
      <c r="E54" s="137" t="n">
        <f aca="false">IFERROR(IF(OR(NOT(ISNUMBER('Price History'!E55)),NOT(ISNUMBER('Price History'!E54)),'Price History'!E54=0),"",'Price History'!E55/'Price History'!E54-1),"")</f>
        <v>0.03087192323738</v>
      </c>
      <c r="F54" s="137" t="n">
        <f aca="false">IFERROR(IF(OR(NOT(ISNUMBER('Price History'!F55)),NOT(ISNUMBER('Price History'!F54)),'Price History'!F54=0),"",'Price History'!F55/'Price History'!F54-1),"")</f>
        <v>0.105746282357261</v>
      </c>
      <c r="G54" s="137" t="n">
        <f aca="false">IFERROR(IF(OR(NOT(ISNUMBER('Price History'!G55)),NOT(ISNUMBER('Price History'!G54)),'Price History'!G54=0),"",'Price History'!G55/'Price History'!G54-1),"")</f>
        <v>0.0726802642918702</v>
      </c>
      <c r="H54" s="137" t="n">
        <f aca="false">IFERROR(IF(OR(NOT(ISNUMBER('Price History'!H55)),NOT(ISNUMBER('Price History'!H54)),'Price History'!H54=0),"",'Price History'!H55/'Price History'!H54-1),"")</f>
        <v>0.00409924487594382</v>
      </c>
      <c r="I54" s="137" t="n">
        <f aca="false">IFERROR(IF(OR(NOT(ISNUMBER('Price History'!I55)),NOT(ISNUMBER('Price History'!I54)),'Price History'!I54=0),"",'Price History'!I55/'Price History'!I54-1),"")</f>
        <v>-0.023492122681085</v>
      </c>
      <c r="J54" s="137" t="n">
        <f aca="false">IFERROR(IF(OR(NOT(ISNUMBER('Price History'!J55)),NOT(ISNUMBER('Price History'!J54)),'Price History'!J54=0),"",'Price History'!J55/'Price History'!J54-1),"")</f>
        <v>-0.0167768994999193</v>
      </c>
      <c r="K54" s="137" t="n">
        <f aca="false">IFERROR(IF(OR(NOT(ISNUMBER('Price History'!K55)),NOT(ISNUMBER('Price History'!K54)),'Price History'!K54=0),"",'Price History'!K55/'Price History'!K54-1),"")</f>
        <v>0.21301535974131</v>
      </c>
      <c r="L54" s="137" t="n">
        <f aca="false">IFERROR(IF(OR(NOT(ISNUMBER('Price History'!L55)),NOT(ISNUMBER('Price History'!L54)),'Price History'!L54=0),"",'Price History'!L55/'Price History'!L54-1),"")</f>
        <v>0.115174162551715</v>
      </c>
      <c r="M54" s="137" t="n">
        <f aca="false">IFERROR(IF(OR(NOT(ISNUMBER('Price History'!M55)),NOT(ISNUMBER('Price History'!M54)),'Price History'!M54=0),"",'Price History'!M55/'Price History'!M54-1),"")</f>
        <v>0.0287935502447452</v>
      </c>
      <c r="N54" s="137" t="n">
        <f aca="false">IFERROR(IF(OR(NOT(ISNUMBER('Price History'!N55)),NOT(ISNUMBER('Price History'!N54)),'Price History'!N54=0),"",'Price History'!N55/'Price History'!N54-1),"")</f>
        <v>-0.0526028394612305</v>
      </c>
      <c r="O54" s="137" t="n">
        <f aca="false">IFERROR(IF(OR(NOT(ISNUMBER('Price History'!O55)),NOT(ISNUMBER('Price History'!O54)),'Price History'!O54=0),"",'Price History'!O55/'Price History'!O54-1),"")</f>
        <v>-0.0176067818715357</v>
      </c>
      <c r="P54" s="137" t="str">
        <f aca="false">IFERROR(IF(OR(NOT(ISNUMBER('Price History'!P55)),NOT(ISNUMBER('Price History'!P54)),'Price History'!P54=0),"",'Price History'!P55/'Price History'!P54-1),"")</f>
        <v/>
      </c>
      <c r="Q54" s="137" t="n">
        <f aca="false">IFERROR(IF(OR(NOT(ISNUMBER('Price History'!Q55)),NOT(ISNUMBER('Price History'!Q54)),'Price History'!Q54=0),"",'Price History'!Q55/'Price History'!Q54-1),"")</f>
        <v>0.00561056105610547</v>
      </c>
      <c r="R54" s="137" t="n">
        <f aca="false">IFERROR(IF(OR(NOT(ISNUMBER('Price History'!R55)),NOT(ISNUMBER('Price History'!R54)),'Price History'!R54=0),"",'Price History'!R55/'Price History'!R54-1),"")</f>
        <v>0.00293312475557284</v>
      </c>
      <c r="S54" s="137" t="n">
        <f aca="false">IFERROR(IF(OR(NOT(ISNUMBER('Price History'!S55)),NOT(ISNUMBER('Price History'!S54)),'Price History'!S54=0),"",'Price History'!S55/'Price History'!S54-1),"")</f>
        <v>0.0172749391727494</v>
      </c>
      <c r="T54" s="137" t="n">
        <f aca="false">IFERROR(IF(OR(NOT(ISNUMBER('Price History'!T55)),NOT(ISNUMBER('Price History'!T54)),'Price History'!T54=0),"",'Price History'!T55/'Price History'!T54-1),"")</f>
        <v>-0.00158328055731471</v>
      </c>
      <c r="U54" s="137" t="str">
        <f aca="false">IFERROR(IF(OR(NOT(ISNUMBER('Price History'!U55)),NOT(ISNUMBER('Price History'!U54)),'Price History'!U54=0),"",'Price History'!U55/'Price History'!U54-1),"")</f>
        <v/>
      </c>
      <c r="W54" s="138" t="n">
        <f aca="false">'Price History'!B3+('Price History'!B158-'Price History'!B3)*0.331168831168831</f>
        <v>422.995194805195</v>
      </c>
      <c r="X54" s="138" t="n">
        <f aca="false">'Price History'!C3+('Price History'!C158-'Price History'!C3)*0.331168831168831</f>
        <v>88.980974025974</v>
      </c>
      <c r="Y54" s="138" t="n">
        <f aca="false">'Price History'!D3+('Price History'!D158-'Price History'!D3)*0.331168831168831</f>
        <v>982.093116883117</v>
      </c>
      <c r="Z54" s="138" t="n">
        <f aca="false">'Price History'!E3+('Price History'!E158-'Price History'!E3)*0.331168831168831</f>
        <v>184.417012987013</v>
      </c>
      <c r="AA54" s="138" t="n">
        <f aca="false">'Price History'!F3+('Price History'!F158-'Price History'!F3)*0.331168831168831</f>
        <v>87.9937662337662</v>
      </c>
      <c r="AB54" s="138" t="n">
        <f aca="false">'Price History'!G3+('Price History'!G158-'Price History'!G3)*0.331168831168831</f>
        <v>92.5812987012987</v>
      </c>
      <c r="AC54" s="138" t="n">
        <f aca="false">'Price History'!H3+('Price History'!H158-'Price History'!H3)*0.331168831168831</f>
        <v>315.614545454545</v>
      </c>
      <c r="AD54" s="138" t="n">
        <f aca="false">'Price History'!I3+('Price History'!I158-'Price History'!I3)*0.331168831168831</f>
        <v>93.8038961038961</v>
      </c>
      <c r="AE54" s="138" t="n">
        <f aca="false">'Price History'!J3+('Price History'!J158-'Price History'!J3)*0.331168831168831</f>
        <v>130.497662337662</v>
      </c>
      <c r="AF54" s="138" t="n">
        <f aca="false">'Price History'!K3+('Price History'!K158-'Price History'!K3)*0.331168831168831</f>
        <v>51.0603246753247</v>
      </c>
      <c r="AG54" s="138" t="n">
        <f aca="false">'Price History'!L3+('Price History'!L158-'Price History'!L3)*0.331168831168831</f>
        <v>195.400779220779</v>
      </c>
      <c r="AH54" s="138" t="n">
        <f aca="false">'Price History'!M3+('Price History'!M158-'Price History'!M3)*0.331168831168831</f>
        <v>102.412987012987</v>
      </c>
      <c r="AI54" s="138" t="n">
        <f aca="false">'Price History'!N3+('Price History'!N158-'Price History'!N3)*0.331168831168831</f>
        <v>391.997922077922</v>
      </c>
      <c r="AJ54" s="138" t="n">
        <f aca="false">'Price History'!O3+('Price History'!O158-'Price History'!O3)*0.331168831168831</f>
        <v>96.9014935064935</v>
      </c>
      <c r="AK54" s="138" t="n">
        <f aca="false">'Price History'!Q3+('Price History'!Q151-'Price History'!Q3)*0.331168831168831</f>
        <v>56.003051948052</v>
      </c>
      <c r="AL54" s="138" t="n">
        <f aca="false">'Price History'!R3+('Price History'!R158-'Price History'!R3)*0.331168831168831</f>
        <v>51.2740909090909</v>
      </c>
      <c r="AM54" s="138" t="n">
        <f aca="false">'Price History'!S3+('Price History'!S158-'Price History'!S3)*0.331168831168831</f>
        <v>86.7853896103896</v>
      </c>
      <c r="AN54" s="138" t="n">
        <f aca="false">'Price History'!T3+('Price History'!T158-'Price History'!T3)*0.331168831168831</f>
        <v>34.4705844155844</v>
      </c>
    </row>
    <row r="55" customFormat="false" ht="15" hidden="false" customHeight="true" outlineLevel="0" collapsed="false">
      <c r="A55" s="136" t="n">
        <f aca="false">IF('Price History'!A56="","",'Price History'!A56)</f>
        <v>45520</v>
      </c>
      <c r="B55" s="137" t="n">
        <f aca="false">IFERROR(IF(OR(NOT(ISNUMBER('Price History'!B56)),NOT(ISNUMBER('Price History'!B55)),'Price History'!B55=0),"",'Price History'!B56/'Price History'!B55-1),"")</f>
        <v>0.0319970165951895</v>
      </c>
      <c r="C55" s="137" t="n">
        <f aca="false">IFERROR(IF(OR(NOT(ISNUMBER('Price History'!C56)),NOT(ISNUMBER('Price History'!C55)),'Price History'!C55=0),"",'Price History'!C56/'Price History'!C55-1),"")</f>
        <v>0.0538415723645027</v>
      </c>
      <c r="D55" s="137" t="n">
        <f aca="false">IFERROR(IF(OR(NOT(ISNUMBER('Price History'!D56)),NOT(ISNUMBER('Price History'!D55)),'Price History'!D55=0),"",'Price History'!D56/'Price History'!D55-1),"")</f>
        <v>0.0675265818371971</v>
      </c>
      <c r="E55" s="137" t="n">
        <f aca="false">IFERROR(IF(OR(NOT(ISNUMBER('Price History'!E56)),NOT(ISNUMBER('Price History'!E55)),'Price History'!E55=0),"",'Price History'!E56/'Price History'!E55-1),"")</f>
        <v>0.117766086604614</v>
      </c>
      <c r="F55" s="137" t="n">
        <f aca="false">IFERROR(IF(OR(NOT(ISNUMBER('Price History'!F56)),NOT(ISNUMBER('Price History'!F55)),'Price History'!F55=0),"",'Price History'!F56/'Price History'!F55-1),"")</f>
        <v>0.0898223476672755</v>
      </c>
      <c r="G55" s="137" t="n">
        <f aca="false">IFERROR(IF(OR(NOT(ISNUMBER('Price History'!G56)),NOT(ISNUMBER('Price History'!G55)),'Price History'!G55=0),"",'Price History'!G56/'Price History'!G55-1),"")</f>
        <v>0.0974825923942151</v>
      </c>
      <c r="H55" s="137" t="n">
        <f aca="false">IFERROR(IF(OR(NOT(ISNUMBER('Price History'!H56)),NOT(ISNUMBER('Price History'!H55)),'Price History'!H55=0),"",'Price History'!H56/'Price History'!H55-1),"")</f>
        <v>0.160184787279759</v>
      </c>
      <c r="I55" s="137" t="n">
        <f aca="false">IFERROR(IF(OR(NOT(ISNUMBER('Price History'!I56)),NOT(ISNUMBER('Price History'!I55)),'Price History'!I55=0),"",'Price History'!I56/'Price History'!I55-1),"")</f>
        <v>0.189307875894988</v>
      </c>
      <c r="J55" s="137" t="n">
        <f aca="false">IFERROR(IF(OR(NOT(ISNUMBER('Price History'!J56)),NOT(ISNUMBER('Price History'!J55)),'Price History'!J55=0),"",'Price History'!J56/'Price History'!J55-1),"")</f>
        <v>0.00779327317473322</v>
      </c>
      <c r="K55" s="137" t="n">
        <f aca="false">IFERROR(IF(OR(NOT(ISNUMBER('Price History'!K56)),NOT(ISNUMBER('Price History'!K55)),'Price History'!K55=0),"",'Price History'!K56/'Price History'!K55-1),"")</f>
        <v>0.0689770076641119</v>
      </c>
      <c r="L55" s="137" t="n">
        <f aca="false">IFERROR(IF(OR(NOT(ISNUMBER('Price History'!L56)),NOT(ISNUMBER('Price History'!L55)),'Price History'!L55=0),"",'Price History'!L56/'Price History'!L55-1),"")</f>
        <v>0.0443992340832933</v>
      </c>
      <c r="M55" s="137" t="n">
        <f aca="false">IFERROR(IF(OR(NOT(ISNUMBER('Price History'!M56)),NOT(ISNUMBER('Price History'!M55)),'Price History'!M55=0),"",'Price History'!M56/'Price History'!M55-1),"")</f>
        <v>0.111390987965295</v>
      </c>
      <c r="N55" s="137" t="n">
        <f aca="false">IFERROR(IF(OR(NOT(ISNUMBER('Price History'!N56)),NOT(ISNUMBER('Price History'!N55)),'Price History'!N55=0),"",'Price History'!N56/'Price History'!N55-1),"")</f>
        <v>0.0190415199060732</v>
      </c>
      <c r="O55" s="137" t="n">
        <f aca="false">IFERROR(IF(OR(NOT(ISNUMBER('Price History'!O56)),NOT(ISNUMBER('Price History'!O55)),'Price History'!O55=0),"",'Price History'!O56/'Price History'!O55-1),"")</f>
        <v>0.0285429804181878</v>
      </c>
      <c r="P55" s="137" t="str">
        <f aca="false">IFERROR(IF(OR(NOT(ISNUMBER('Price History'!P56)),NOT(ISNUMBER('Price History'!P55)),'Price History'!P55=0),"",'Price History'!P56/'Price History'!P55-1),"")</f>
        <v/>
      </c>
      <c r="Q55" s="137" t="n">
        <f aca="false">IFERROR(IF(OR(NOT(ISNUMBER('Price History'!Q56)),NOT(ISNUMBER('Price History'!Q55)),'Price History'!Q55=0),"",'Price History'!Q56/'Price History'!Q55-1),"")</f>
        <v>0.0013127666557271</v>
      </c>
      <c r="R55" s="137" t="n">
        <f aca="false">IFERROR(IF(OR(NOT(ISNUMBER('Price History'!R56)),NOT(ISNUMBER('Price History'!R55)),'Price History'!R55=0),"",'Price History'!R56/'Price History'!R55-1),"")</f>
        <v>0.0421134724117762</v>
      </c>
      <c r="S55" s="137" t="n">
        <f aca="false">IFERROR(IF(OR(NOT(ISNUMBER('Price History'!S56)),NOT(ISNUMBER('Price History'!S55)),'Price History'!S55=0),"",'Price History'!S56/'Price History'!S55-1),"")</f>
        <v>0.0570437694331498</v>
      </c>
      <c r="T55" s="137" t="n">
        <f aca="false">IFERROR(IF(OR(NOT(ISNUMBER('Price History'!T56)),NOT(ISNUMBER('Price History'!T55)),'Price History'!T55=0),"",'Price History'!T56/'Price History'!T55-1),"")</f>
        <v>0.0161750713606088</v>
      </c>
      <c r="U55" s="137" t="str">
        <f aca="false">IFERROR(IF(OR(NOT(ISNUMBER('Price History'!U56)),NOT(ISNUMBER('Price History'!U55)),'Price History'!U55=0),"",'Price History'!U56/'Price History'!U55-1),"")</f>
        <v/>
      </c>
      <c r="W55" s="138" t="n">
        <f aca="false">'Price History'!B3+('Price History'!B158-'Price History'!B3)*0.337662337662338</f>
        <v>421.31961038961</v>
      </c>
      <c r="X55" s="138" t="n">
        <f aca="false">'Price History'!C3+('Price History'!C158-'Price History'!C3)*0.337662337662338</f>
        <v>89.868051948052</v>
      </c>
      <c r="Y55" s="138" t="n">
        <f aca="false">'Price History'!D3+('Price History'!D158-'Price History'!D3)*0.337662337662338</f>
        <v>988.373766233767</v>
      </c>
      <c r="Z55" s="138" t="n">
        <f aca="false">'Price History'!E3+('Price History'!E158-'Price History'!E3)*0.337662337662338</f>
        <v>186.405974025974</v>
      </c>
      <c r="AA55" s="138" t="n">
        <f aca="false">'Price History'!F3+('Price History'!F158-'Price History'!F3)*0.337662337662338</f>
        <v>88.9924675324676</v>
      </c>
      <c r="AB55" s="138" t="n">
        <f aca="false">'Price History'!G3+('Price History'!G158-'Price History'!G3)*0.337662337662338</f>
        <v>93.4574025974026</v>
      </c>
      <c r="AC55" s="138" t="n">
        <f aca="false">'Price History'!H3+('Price History'!H158-'Price History'!H3)*0.337662337662338</f>
        <v>320.540909090909</v>
      </c>
      <c r="AD55" s="138" t="n">
        <f aca="false">'Price History'!I3+('Price History'!I158-'Price History'!I3)*0.337662337662338</f>
        <v>94.8422077922079</v>
      </c>
      <c r="AE55" s="138" t="n">
        <f aca="false">'Price History'!J3+('Price History'!J158-'Price History'!J3)*0.337662337662338</f>
        <v>130.634675324675</v>
      </c>
      <c r="AF55" s="138" t="n">
        <f aca="false">'Price History'!K3+('Price History'!K158-'Price History'!K3)*0.337662337662338</f>
        <v>51.7593506493507</v>
      </c>
      <c r="AG55" s="138" t="n">
        <f aca="false">'Price History'!L3+('Price History'!L158-'Price History'!L3)*0.337662337662338</f>
        <v>197.428441558442</v>
      </c>
      <c r="AH55" s="138" t="n">
        <f aca="false">'Price History'!M3+('Price History'!M158-'Price History'!M3)*0.337662337662338</f>
        <v>103.764025974026</v>
      </c>
      <c r="AI55" s="138" t="n">
        <f aca="false">'Price History'!N3+('Price History'!N158-'Price History'!N3)*0.337662337662338</f>
        <v>392.824155844156</v>
      </c>
      <c r="AJ55" s="138" t="n">
        <f aca="false">'Price History'!O3+('Price History'!O158-'Price History'!O3)*0.337662337662338</f>
        <v>97.177012987013</v>
      </c>
      <c r="AK55" s="138" t="n">
        <f aca="false">'Price History'!Q3+('Price History'!Q151-'Price History'!Q3)*0.337662337662338</f>
        <v>56.1238961038961</v>
      </c>
      <c r="AL55" s="138" t="n">
        <f aca="false">'Price History'!R3+('Price History'!R158-'Price History'!R3)*0.337662337662338</f>
        <v>51.3418181818182</v>
      </c>
      <c r="AM55" s="138" t="n">
        <f aca="false">'Price History'!S3+('Price History'!S158-'Price History'!S3)*0.337662337662338</f>
        <v>87.3392207792208</v>
      </c>
      <c r="AN55" s="138" t="n">
        <f aca="false">'Price History'!T3+('Price History'!T158-'Price History'!T3)*0.337662337662338</f>
        <v>34.6188311688312</v>
      </c>
    </row>
    <row r="56" customFormat="false" ht="15" hidden="false" customHeight="true" outlineLevel="0" collapsed="false">
      <c r="A56" s="136" t="n">
        <f aca="false">IF('Price History'!A57="","",'Price History'!A57)</f>
        <v>45527</v>
      </c>
      <c r="B56" s="137" t="n">
        <f aca="false">IFERROR(IF(OR(NOT(ISNUMBER('Price History'!B57)),NOT(ISNUMBER('Price History'!B56)),'Price History'!B56=0),"",'Price History'!B57/'Price History'!B56-1),"")</f>
        <v>0.00874498608752194</v>
      </c>
      <c r="C56" s="137" t="n">
        <f aca="false">IFERROR(IF(OR(NOT(ISNUMBER('Price History'!C57)),NOT(ISNUMBER('Price History'!C56)),'Price History'!C56=0),"",'Price History'!C57/'Price History'!C56-1),"")</f>
        <v>0.00350401265965861</v>
      </c>
      <c r="D56" s="137" t="n">
        <f aca="false">IFERROR(IF(OR(NOT(ISNUMBER('Price History'!D57)),NOT(ISNUMBER('Price History'!D56)),'Price History'!D56=0),"",'Price History'!D57/'Price History'!D56-1),"")</f>
        <v>-0.0124093788779309</v>
      </c>
      <c r="E56" s="137" t="n">
        <f aca="false">IFERROR(IF(OR(NOT(ISNUMBER('Price History'!E57)),NOT(ISNUMBER('Price History'!E56)),'Price History'!E56=0),"",'Price History'!E57/'Price History'!E56-1),"")</f>
        <v>0.00386193579531757</v>
      </c>
      <c r="F56" s="137" t="n">
        <f aca="false">IFERROR(IF(OR(NOT(ISNUMBER('Price History'!F57)),NOT(ISNUMBER('Price History'!F56)),'Price History'!F56=0),"",'Price History'!F57/'Price History'!F56-1),"")</f>
        <v>0.0342778793418648</v>
      </c>
      <c r="G56" s="137" t="n">
        <f aca="false">IFERROR(IF(OR(NOT(ISNUMBER('Price History'!G57)),NOT(ISNUMBER('Price History'!G56)),'Price History'!G56=0),"",'Price History'!G57/'Price History'!G56-1),"")</f>
        <v>-0.0021961932650072</v>
      </c>
      <c r="H56" s="137" t="n">
        <f aca="false">IFERROR(IF(OR(NOT(ISNUMBER('Price History'!H57)),NOT(ISNUMBER('Price History'!H56)),'Price History'!H56=0),"",'Price History'!H57/'Price History'!H56-1),"")</f>
        <v>-0.0475969997221966</v>
      </c>
      <c r="I56" s="137" t="n">
        <f aca="false">IFERROR(IF(OR(NOT(ISNUMBER('Price History'!I57)),NOT(ISNUMBER('Price History'!I56)),'Price History'!I56=0),"",'Price History'!I57/'Price History'!I56-1),"")</f>
        <v>0.0384491892759673</v>
      </c>
      <c r="J56" s="137" t="n">
        <f aca="false">IFERROR(IF(OR(NOT(ISNUMBER('Price History'!J57)),NOT(ISNUMBER('Price History'!J56)),'Price History'!J56=0),"",'Price History'!J57/'Price History'!J56-1),"")</f>
        <v>0.0489214489214491</v>
      </c>
      <c r="K56" s="137" t="n">
        <f aca="false">IFERROR(IF(OR(NOT(ISNUMBER('Price History'!K57)),NOT(ISNUMBER('Price History'!K56)),'Price History'!K56=0),"",'Price History'!K57/'Price History'!K56-1),"")</f>
        <v>-0.00935162094763087</v>
      </c>
      <c r="L56" s="137" t="n">
        <f aca="false">IFERROR(IF(OR(NOT(ISNUMBER('Price History'!L57)),NOT(ISNUMBER('Price History'!L56)),'Price History'!L56=0),"",'Price History'!L57/'Price History'!L56-1),"")</f>
        <v>-0.0186776670104274</v>
      </c>
      <c r="M56" s="137" t="n">
        <f aca="false">IFERROR(IF(OR(NOT(ISNUMBER('Price History'!M57)),NOT(ISNUMBER('Price History'!M56)),'Price History'!M56=0),"",'Price History'!M57/'Price History'!M56-1),"")</f>
        <v>-0.0109544195416772</v>
      </c>
      <c r="N56" s="137" t="n">
        <f aca="false">IFERROR(IF(OR(NOT(ISNUMBER('Price History'!N57)),NOT(ISNUMBER('Price History'!N56)),'Price History'!N56=0),"",'Price History'!N57/'Price History'!N56-1),"")</f>
        <v>0.00810691916123751</v>
      </c>
      <c r="O56" s="137" t="n">
        <f aca="false">IFERROR(IF(OR(NOT(ISNUMBER('Price History'!O57)),NOT(ISNUMBER('Price History'!O56)),'Price History'!O56=0),"",'Price History'!O57/'Price History'!O56-1),"")</f>
        <v>0.0310852963321502</v>
      </c>
      <c r="P56" s="137" t="str">
        <f aca="false">IFERROR(IF(OR(NOT(ISNUMBER('Price History'!P57)),NOT(ISNUMBER('Price History'!P56)),'Price History'!P56=0),"",'Price History'!P57/'Price History'!P56-1),"")</f>
        <v/>
      </c>
      <c r="Q56" s="137" t="n">
        <f aca="false">IFERROR(IF(OR(NOT(ISNUMBER('Price History'!Q57)),NOT(ISNUMBER('Price History'!Q56)),'Price History'!Q56=0),"",'Price History'!Q57/'Price History'!Q56-1),"")</f>
        <v>0.00803015404785312</v>
      </c>
      <c r="R56" s="137" t="n">
        <f aca="false">IFERROR(IF(OR(NOT(ISNUMBER('Price History'!R57)),NOT(ISNUMBER('Price History'!R56)),'Price History'!R56=0),"",'Price History'!R57/'Price History'!R56-1),"")</f>
        <v>0.00841908325537877</v>
      </c>
      <c r="S56" s="137" t="n">
        <f aca="false">IFERROR(IF(OR(NOT(ISNUMBER('Price History'!S57)),NOT(ISNUMBER('Price History'!S56)),'Price History'!S56=0),"",'Price History'!S57/'Price History'!S56-1),"")</f>
        <v>0.0138024663423464</v>
      </c>
      <c r="T56" s="137" t="n">
        <f aca="false">IFERROR(IF(OR(NOT(ISNUMBER('Price History'!T57)),NOT(ISNUMBER('Price History'!T56)),'Price History'!T56=0),"",'Price History'!T57/'Price History'!T56-1),"")</f>
        <v>0.0327715355805245</v>
      </c>
      <c r="U56" s="137" t="str">
        <f aca="false">IFERROR(IF(OR(NOT(ISNUMBER('Price History'!U57)),NOT(ISNUMBER('Price History'!U56)),'Price History'!U56=0),"",'Price History'!U57/'Price History'!U56-1),"")</f>
        <v/>
      </c>
      <c r="W56" s="138" t="n">
        <f aca="false">'Price History'!B3+('Price History'!B158-'Price History'!B3)*0.344155844155844</f>
        <v>419.644025974026</v>
      </c>
      <c r="X56" s="138" t="n">
        <f aca="false">'Price History'!C3+('Price History'!C158-'Price History'!C3)*0.344155844155844</f>
        <v>90.7551298701299</v>
      </c>
      <c r="Y56" s="138" t="n">
        <f aca="false">'Price History'!D3+('Price History'!D158-'Price History'!D3)*0.344155844155844</f>
        <v>994.654415584415</v>
      </c>
      <c r="Z56" s="138" t="n">
        <f aca="false">'Price History'!E3+('Price History'!E158-'Price History'!E3)*0.344155844155844</f>
        <v>188.394935064935</v>
      </c>
      <c r="AA56" s="138" t="n">
        <f aca="false">'Price History'!F3+('Price History'!F158-'Price History'!F3)*0.344155844155844</f>
        <v>89.9911688311688</v>
      </c>
      <c r="AB56" s="138" t="n">
        <f aca="false">'Price History'!G3+('Price History'!G158-'Price History'!G3)*0.344155844155844</f>
        <v>94.3335064935065</v>
      </c>
      <c r="AC56" s="138" t="n">
        <f aca="false">'Price History'!H3+('Price History'!H158-'Price History'!H3)*0.344155844155844</f>
        <v>325.467272727273</v>
      </c>
      <c r="AD56" s="138" t="n">
        <f aca="false">'Price History'!I3+('Price History'!I158-'Price History'!I3)*0.344155844155844</f>
        <v>95.8805194805195</v>
      </c>
      <c r="AE56" s="138" t="n">
        <f aca="false">'Price History'!J3+('Price History'!J158-'Price History'!J3)*0.344155844155844</f>
        <v>130.771688311688</v>
      </c>
      <c r="AF56" s="138" t="n">
        <f aca="false">'Price History'!K3+('Price History'!K158-'Price History'!K3)*0.344155844155844</f>
        <v>52.4583766233766</v>
      </c>
      <c r="AG56" s="138" t="n">
        <f aca="false">'Price History'!L3+('Price History'!L158-'Price History'!L3)*0.344155844155844</f>
        <v>199.456103896104</v>
      </c>
      <c r="AH56" s="138" t="n">
        <f aca="false">'Price History'!M3+('Price History'!M158-'Price History'!M3)*0.344155844155844</f>
        <v>105.115064935065</v>
      </c>
      <c r="AI56" s="138" t="n">
        <f aca="false">'Price History'!N3+('Price History'!N158-'Price History'!N3)*0.344155844155844</f>
        <v>393.65038961039</v>
      </c>
      <c r="AJ56" s="138" t="n">
        <f aca="false">'Price History'!O3+('Price History'!O158-'Price History'!O3)*0.344155844155844</f>
        <v>97.4525324675325</v>
      </c>
      <c r="AK56" s="138" t="n">
        <f aca="false">'Price History'!Q3+('Price History'!Q151-'Price History'!Q3)*0.344155844155844</f>
        <v>56.2447402597403</v>
      </c>
      <c r="AL56" s="138" t="n">
        <f aca="false">'Price History'!R3+('Price History'!R158-'Price History'!R3)*0.344155844155844</f>
        <v>51.4095454545455</v>
      </c>
      <c r="AM56" s="138" t="n">
        <f aca="false">'Price History'!S3+('Price History'!S158-'Price History'!S3)*0.344155844155844</f>
        <v>87.893051948052</v>
      </c>
      <c r="AN56" s="138" t="n">
        <f aca="false">'Price History'!T3+('Price History'!T158-'Price History'!T3)*0.344155844155844</f>
        <v>34.7670779220779</v>
      </c>
    </row>
    <row r="57" customFormat="false" ht="15" hidden="false" customHeight="true" outlineLevel="0" collapsed="false">
      <c r="A57" s="136" t="n">
        <f aca="false">IF('Price History'!A58="","",'Price History'!A58)</f>
        <v>45534</v>
      </c>
      <c r="B57" s="137" t="n">
        <f aca="false">IFERROR(IF(OR(NOT(ISNUMBER('Price History'!B58)),NOT(ISNUMBER('Price History'!B57)),'Price History'!B57=0),"",'Price History'!B58/'Price History'!B57-1),"")</f>
        <v>0.0288554540569586</v>
      </c>
      <c r="C57" s="137" t="n">
        <f aca="false">IFERROR(IF(OR(NOT(ISNUMBER('Price History'!C58)),NOT(ISNUMBER('Price History'!C57)),'Price History'!C57=0),"",'Price History'!C58/'Price History'!C57-1),"")</f>
        <v>-0.00484343320567704</v>
      </c>
      <c r="D57" s="137" t="n">
        <f aca="false">IFERROR(IF(OR(NOT(ISNUMBER('Price History'!D58)),NOT(ISNUMBER('Price History'!D57)),'Price History'!D57=0),"",'Price History'!D58/'Price History'!D57-1),"")</f>
        <v>-0.00373652536207925</v>
      </c>
      <c r="E57" s="137" t="n">
        <f aca="false">IFERROR(IF(OR(NOT(ISNUMBER('Price History'!E58)),NOT(ISNUMBER('Price History'!E57)),'Price History'!E57=0),"",'Price History'!E58/'Price History'!E57-1),"")</f>
        <v>-0.0212791536427027</v>
      </c>
      <c r="F57" s="137" t="n">
        <f aca="false">IFERROR(IF(OR(NOT(ISNUMBER('Price History'!F58)),NOT(ISNUMBER('Price History'!F57)),'Price History'!F57=0),"",'Price History'!F58/'Price History'!F57-1),"")</f>
        <v>0.0210634850493445</v>
      </c>
      <c r="G57" s="137" t="n">
        <f aca="false">IFERROR(IF(OR(NOT(ISNUMBER('Price History'!G58)),NOT(ISNUMBER('Price History'!G57)),'Price History'!G57=0),"",'Price History'!G58/'Price History'!G57-1),"")</f>
        <v>0.00195646857422349</v>
      </c>
      <c r="H57" s="137" t="n">
        <f aca="false">IFERROR(IF(OR(NOT(ISNUMBER('Price History'!H58)),NOT(ISNUMBER('Price History'!H57)),'Price History'!H57=0),"",'Price History'!H58/'Price History'!H57-1),"")</f>
        <v>-0.0642683519688867</v>
      </c>
      <c r="I57" s="137" t="n">
        <f aca="false">IFERROR(IF(OR(NOT(ISNUMBER('Price History'!I58)),NOT(ISNUMBER('Price History'!I57)),'Price History'!I57=0),"",'Price History'!I58/'Price History'!I57-1),"")</f>
        <v>-0.0772976733400325</v>
      </c>
      <c r="J57" s="137" t="n">
        <f aca="false">IFERROR(IF(OR(NOT(ISNUMBER('Price History'!J58)),NOT(ISNUMBER('Price History'!J57)),'Price History'!J57=0),"",'Price History'!J58/'Price History'!J57-1),"")</f>
        <v>-0.00807077448393623</v>
      </c>
      <c r="K57" s="137" t="n">
        <f aca="false">IFERROR(IF(OR(NOT(ISNUMBER('Price History'!K58)),NOT(ISNUMBER('Price History'!K57)),'Price History'!K57=0),"",'Price History'!K58/'Price History'!K57-1),"")</f>
        <v>-0.0094398993077407</v>
      </c>
      <c r="L57" s="137" t="n">
        <f aca="false">IFERROR(IF(OR(NOT(ISNUMBER('Price History'!L58)),NOT(ISNUMBER('Price History'!L57)),'Price History'!L57=0),"",'Price History'!L58/'Price History'!L57-1),"")</f>
        <v>0.0024521251751517</v>
      </c>
      <c r="M57" s="137" t="n">
        <f aca="false">IFERROR(IF(OR(NOT(ISNUMBER('Price History'!M58)),NOT(ISNUMBER('Price History'!M57)),'Price History'!M57=0),"",'Price History'!M58/'Price History'!M57-1),"")</f>
        <v>0.0570337364735838</v>
      </c>
      <c r="N57" s="137" t="n">
        <f aca="false">IFERROR(IF(OR(NOT(ISNUMBER('Price History'!N58)),NOT(ISNUMBER('Price History'!N57)),'Price History'!N57=0),"",'Price History'!N58/'Price History'!N57-1),"")</f>
        <v>0.0304421910065664</v>
      </c>
      <c r="O57" s="137" t="n">
        <f aca="false">IFERROR(IF(OR(NOT(ISNUMBER('Price History'!O58)),NOT(ISNUMBER('Price History'!O57)),'Price History'!O57=0),"",'Price History'!O58/'Price History'!O57-1),"")</f>
        <v>0.000521593991237301</v>
      </c>
      <c r="P57" s="137" t="str">
        <f aca="false">IFERROR(IF(OR(NOT(ISNUMBER('Price History'!P58)),NOT(ISNUMBER('Price History'!P57)),'Price History'!P57=0),"",'Price History'!P58/'Price History'!P57-1),"")</f>
        <v/>
      </c>
      <c r="Q57" s="137" t="n">
        <f aca="false">IFERROR(IF(OR(NOT(ISNUMBER('Price History'!Q58)),NOT(ISNUMBER('Price History'!Q57)),'Price History'!Q57=0),"",'Price History'!Q58/'Price History'!Q57-1),"")</f>
        <v>0.00829133474231836</v>
      </c>
      <c r="R57" s="137" t="n">
        <f aca="false">IFERROR(IF(OR(NOT(ISNUMBER('Price History'!R58)),NOT(ISNUMBER('Price History'!R57)),'Price History'!R57=0),"",'Price History'!R58/'Price History'!R57-1),"")</f>
        <v>0.00333951762523199</v>
      </c>
      <c r="S57" s="137" t="n">
        <f aca="false">IFERROR(IF(OR(NOT(ISNUMBER('Price History'!S58)),NOT(ISNUMBER('Price History'!S57)),'Price History'!S57=0),"",'Price History'!S58/'Price History'!S57-1),"")</f>
        <v>-0.00401740877134249</v>
      </c>
      <c r="T57" s="137" t="n">
        <f aca="false">IFERROR(IF(OR(NOT(ISNUMBER('Price History'!T58)),NOT(ISNUMBER('Price History'!T57)),'Price History'!T57=0),"",'Price History'!T58/'Price History'!T57-1),"")</f>
        <v>0.00332426715019651</v>
      </c>
      <c r="U57" s="137" t="str">
        <f aca="false">IFERROR(IF(OR(NOT(ISNUMBER('Price History'!U58)),NOT(ISNUMBER('Price History'!U57)),'Price History'!U57=0),"",'Price History'!U58/'Price History'!U57-1),"")</f>
        <v/>
      </c>
      <c r="W57" s="138" t="n">
        <f aca="false">'Price History'!B3+('Price History'!B158-'Price History'!B3)*0.350649350649351</f>
        <v>417.968441558441</v>
      </c>
      <c r="X57" s="138" t="n">
        <f aca="false">'Price History'!C3+('Price History'!C158-'Price History'!C3)*0.350649350649351</f>
        <v>91.6422077922078</v>
      </c>
      <c r="Y57" s="138" t="n">
        <f aca="false">'Price History'!D3+('Price History'!D158-'Price History'!D3)*0.350649350649351</f>
        <v>1000.93506493507</v>
      </c>
      <c r="Z57" s="138" t="n">
        <f aca="false">'Price History'!E3+('Price History'!E158-'Price History'!E3)*0.350649350649351</f>
        <v>190.383896103896</v>
      </c>
      <c r="AA57" s="138" t="n">
        <f aca="false">'Price History'!F3+('Price History'!F158-'Price History'!F3)*0.350649350649351</f>
        <v>90.9898701298702</v>
      </c>
      <c r="AB57" s="138" t="n">
        <f aca="false">'Price History'!G3+('Price History'!G158-'Price History'!G3)*0.350649350649351</f>
        <v>95.2096103896104</v>
      </c>
      <c r="AC57" s="138" t="n">
        <f aca="false">'Price History'!H3+('Price History'!H158-'Price History'!H3)*0.350649350649351</f>
        <v>330.393636363637</v>
      </c>
      <c r="AD57" s="138" t="n">
        <f aca="false">'Price History'!I3+('Price History'!I158-'Price History'!I3)*0.350649350649351</f>
        <v>96.9188311688312</v>
      </c>
      <c r="AE57" s="138" t="n">
        <f aca="false">'Price History'!J3+('Price History'!J158-'Price History'!J3)*0.350649350649351</f>
        <v>130.908701298701</v>
      </c>
      <c r="AF57" s="138" t="n">
        <f aca="false">'Price History'!K3+('Price History'!K158-'Price History'!K3)*0.350649350649351</f>
        <v>53.1574025974026</v>
      </c>
      <c r="AG57" s="138" t="n">
        <f aca="false">'Price History'!L3+('Price History'!L158-'Price History'!L3)*0.350649350649351</f>
        <v>201.483766233766</v>
      </c>
      <c r="AH57" s="138" t="n">
        <f aca="false">'Price History'!M3+('Price History'!M158-'Price History'!M3)*0.350649350649351</f>
        <v>106.466103896104</v>
      </c>
      <c r="AI57" s="138" t="n">
        <f aca="false">'Price History'!N3+('Price History'!N158-'Price History'!N3)*0.350649350649351</f>
        <v>394.476623376623</v>
      </c>
      <c r="AJ57" s="138" t="n">
        <f aca="false">'Price History'!O3+('Price History'!O158-'Price History'!O3)*0.350649350649351</f>
        <v>97.728051948052</v>
      </c>
      <c r="AK57" s="138" t="n">
        <f aca="false">'Price History'!Q3+('Price History'!Q151-'Price History'!Q3)*0.350649350649351</f>
        <v>56.3655844155844</v>
      </c>
      <c r="AL57" s="138" t="n">
        <f aca="false">'Price History'!R3+('Price History'!R158-'Price History'!R3)*0.350649350649351</f>
        <v>51.4772727272727</v>
      </c>
      <c r="AM57" s="138" t="n">
        <f aca="false">'Price History'!S3+('Price History'!S158-'Price History'!S3)*0.350649350649351</f>
        <v>88.4468831168832</v>
      </c>
      <c r="AN57" s="138" t="n">
        <f aca="false">'Price History'!T3+('Price History'!T158-'Price History'!T3)*0.350649350649351</f>
        <v>34.9153246753247</v>
      </c>
    </row>
    <row r="58" customFormat="false" ht="15" hidden="false" customHeight="true" outlineLevel="0" collapsed="false">
      <c r="A58" s="136" t="n">
        <f aca="false">IF('Price History'!A59="","",'Price History'!A59)</f>
        <v>45541</v>
      </c>
      <c r="B58" s="137" t="n">
        <f aca="false">IFERROR(IF(OR(NOT(ISNUMBER('Price History'!B59)),NOT(ISNUMBER('Price History'!B58)),'Price History'!B58=0),"",'Price History'!B59/'Price History'!B58-1),"")</f>
        <v>-0.0191500844344632</v>
      </c>
      <c r="C58" s="137" t="n">
        <f aca="false">IFERROR(IF(OR(NOT(ISNUMBER('Price History'!C59)),NOT(ISNUMBER('Price History'!C58)),'Price History'!C58=0),"",'Price History'!C59/'Price History'!C58-1),"")</f>
        <v>-0.110582908885116</v>
      </c>
      <c r="D58" s="137" t="n">
        <f aca="false">IFERROR(IF(OR(NOT(ISNUMBER('Price History'!D59)),NOT(ISNUMBER('Price History'!D58)),'Price History'!D58=0),"",'Price History'!D59/'Price History'!D58-1),"")</f>
        <v>-0.167147930565236</v>
      </c>
      <c r="E58" s="137" t="n">
        <f aca="false">IFERROR(IF(OR(NOT(ISNUMBER('Price History'!E59)),NOT(ISNUMBER('Price History'!E58)),'Price History'!E58=0),"",'Price History'!E59/'Price History'!E58-1),"")</f>
        <v>-0.158580027023707</v>
      </c>
      <c r="F58" s="137" t="n">
        <f aca="false">IFERROR(IF(OR(NOT(ISNUMBER('Price History'!F59)),NOT(ISNUMBER('Price History'!F58)),'Price History'!F58=0),"",'Price History'!F59/'Price History'!F58-1),"")</f>
        <v>-0.11136757068667</v>
      </c>
      <c r="G58" s="137" t="n">
        <f aca="false">IFERROR(IF(OR(NOT(ISNUMBER('Price History'!G59)),NOT(ISNUMBER('Price History'!G58)),'Price History'!G58=0),"",'Price History'!G59/'Price History'!G58-1),"")</f>
        <v>-0.142299243348792</v>
      </c>
      <c r="H58" s="137" t="n">
        <f aca="false">IFERROR(IF(OR(NOT(ISNUMBER('Price History'!H59)),NOT(ISNUMBER('Price History'!H58)),'Price History'!H58=0),"",'Price History'!H59/'Price History'!H58-1),"")</f>
        <v>-0.102452202826268</v>
      </c>
      <c r="I58" s="137" t="n">
        <f aca="false">IFERROR(IF(OR(NOT(ISNUMBER('Price History'!I59)),NOT(ISNUMBER('Price History'!I58)),'Price History'!I58=0),"",'Price History'!I59/'Price History'!I58-1),"")</f>
        <v>-0.138560777414761</v>
      </c>
      <c r="J58" s="137" t="n">
        <f aca="false">IFERROR(IF(OR(NOT(ISNUMBER('Price History'!J59)),NOT(ISNUMBER('Price History'!J58)),'Price History'!J58=0),"",'Price History'!J59/'Price History'!J58-1),"")</f>
        <v>-0.0046158660616491</v>
      </c>
      <c r="K58" s="137" t="n">
        <f aca="false">IFERROR(IF(OR(NOT(ISNUMBER('Price History'!K59)),NOT(ISNUMBER('Price History'!K58)),'Price History'!K58=0),"",'Price History'!K59/'Price History'!K58-1),"")</f>
        <v>-0.0365311308767472</v>
      </c>
      <c r="L58" s="137" t="n">
        <f aca="false">IFERROR(IF(OR(NOT(ISNUMBER('Price History'!L59)),NOT(ISNUMBER('Price History'!L58)),'Price History'!L58=0),"",'Price History'!L59/'Price History'!L58-1),"")</f>
        <v>-0.0866627839254514</v>
      </c>
      <c r="M58" s="137" t="n">
        <f aca="false">IFERROR(IF(OR(NOT(ISNUMBER('Price History'!M59)),NOT(ISNUMBER('Price History'!M58)),'Price History'!M58=0),"",'Price History'!M59/'Price History'!M58-1),"")</f>
        <v>-0.1356136336264</v>
      </c>
      <c r="N58" s="137" t="n">
        <f aca="false">IFERROR(IF(OR(NOT(ISNUMBER('Price History'!N59)),NOT(ISNUMBER('Price History'!N58)),'Price History'!N58=0),"",'Price History'!N59/'Price History'!N58-1),"")</f>
        <v>-0.0562423118030208</v>
      </c>
      <c r="O58" s="137" t="n">
        <f aca="false">IFERROR(IF(OR(NOT(ISNUMBER('Price History'!O59)),NOT(ISNUMBER('Price History'!O58)),'Price History'!O58=0),"",'Price History'!O59/'Price History'!O58-1),"")</f>
        <v>-0.0566155771035345</v>
      </c>
      <c r="P58" s="137" t="str">
        <f aca="false">IFERROR(IF(OR(NOT(ISNUMBER('Price History'!P59)),NOT(ISNUMBER('Price History'!P58)),'Price History'!P58=0),"",'Price History'!P59/'Price History'!P58-1),"")</f>
        <v/>
      </c>
      <c r="Q58" s="137" t="n">
        <f aca="false">IFERROR(IF(OR(NOT(ISNUMBER('Price History'!Q59)),NOT(ISNUMBER('Price History'!Q58)),'Price History'!Q58=0),"",'Price History'!Q59/'Price History'!Q58-1),"")</f>
        <v>-0.00274105127378266</v>
      </c>
      <c r="R58" s="137" t="n">
        <f aca="false">IFERROR(IF(OR(NOT(ISNUMBER('Price History'!R59)),NOT(ISNUMBER('Price History'!R58)),'Price History'!R58=0),"",'Price History'!R59/'Price History'!R58-1),"")</f>
        <v>-0.0502958579881657</v>
      </c>
      <c r="S58" s="137" t="n">
        <f aca="false">IFERROR(IF(OR(NOT(ISNUMBER('Price History'!S59)),NOT(ISNUMBER('Price History'!S58)),'Price History'!S58=0),"",'Price History'!S59/'Price History'!S58-1),"")</f>
        <v>-0.059719887955182</v>
      </c>
      <c r="T58" s="137" t="n">
        <f aca="false">IFERROR(IF(OR(NOT(ISNUMBER('Price History'!T59)),NOT(ISNUMBER('Price History'!T58)),'Price History'!T58=0),"",'Price History'!T59/'Price History'!T58-1),"")</f>
        <v>-0.041265060240964</v>
      </c>
      <c r="U58" s="137" t="str">
        <f aca="false">IFERROR(IF(OR(NOT(ISNUMBER('Price History'!U59)),NOT(ISNUMBER('Price History'!U58)),'Price History'!U58=0),"",'Price History'!U59/'Price History'!U58-1),"")</f>
        <v/>
      </c>
      <c r="W58" s="138" t="n">
        <f aca="false">'Price History'!B3+('Price History'!B158-'Price History'!B3)*0.357142857142857</f>
        <v>416.292857142857</v>
      </c>
      <c r="X58" s="138" t="n">
        <f aca="false">'Price History'!C3+('Price History'!C158-'Price History'!C3)*0.357142857142857</f>
        <v>92.5292857142857</v>
      </c>
      <c r="Y58" s="138" t="n">
        <f aca="false">'Price History'!D3+('Price History'!D158-'Price History'!D3)*0.357142857142857</f>
        <v>1007.21571428571</v>
      </c>
      <c r="Z58" s="138" t="n">
        <f aca="false">'Price History'!E3+('Price History'!E158-'Price History'!E3)*0.357142857142857</f>
        <v>192.372857142857</v>
      </c>
      <c r="AA58" s="138" t="n">
        <f aca="false">'Price History'!F3+('Price History'!F158-'Price History'!F3)*0.357142857142857</f>
        <v>91.9885714285714</v>
      </c>
      <c r="AB58" s="138" t="n">
        <f aca="false">'Price History'!G3+('Price History'!G158-'Price History'!G3)*0.357142857142857</f>
        <v>96.0857142857143</v>
      </c>
      <c r="AC58" s="138" t="n">
        <f aca="false">'Price History'!H3+('Price History'!H158-'Price History'!H3)*0.357142857142857</f>
        <v>335.32</v>
      </c>
      <c r="AD58" s="138" t="n">
        <f aca="false">'Price History'!I3+('Price History'!I158-'Price History'!I3)*0.357142857142857</f>
        <v>97.9571428571428</v>
      </c>
      <c r="AE58" s="138" t="n">
        <f aca="false">'Price History'!J3+('Price History'!J158-'Price History'!J3)*0.357142857142857</f>
        <v>131.045714285714</v>
      </c>
      <c r="AF58" s="138" t="n">
        <f aca="false">'Price History'!K3+('Price History'!K158-'Price History'!K3)*0.357142857142857</f>
        <v>53.8564285714286</v>
      </c>
      <c r="AG58" s="138" t="n">
        <f aca="false">'Price History'!L3+('Price History'!L158-'Price History'!L3)*0.357142857142857</f>
        <v>203.511428571429</v>
      </c>
      <c r="AH58" s="138" t="n">
        <f aca="false">'Price History'!M3+('Price History'!M158-'Price History'!M3)*0.357142857142857</f>
        <v>107.817142857143</v>
      </c>
      <c r="AI58" s="138" t="n">
        <f aca="false">'Price History'!N3+('Price History'!N158-'Price History'!N3)*0.357142857142857</f>
        <v>395.302857142857</v>
      </c>
      <c r="AJ58" s="138" t="n">
        <f aca="false">'Price History'!O3+('Price History'!O158-'Price History'!O3)*0.357142857142857</f>
        <v>98.0035714285714</v>
      </c>
      <c r="AK58" s="138" t="n">
        <f aca="false">'Price History'!Q3+('Price History'!Q151-'Price History'!Q3)*0.357142857142857</f>
        <v>56.4864285714286</v>
      </c>
      <c r="AL58" s="138" t="n">
        <f aca="false">'Price History'!R3+('Price History'!R158-'Price History'!R3)*0.357142857142857</f>
        <v>51.545</v>
      </c>
      <c r="AM58" s="138" t="n">
        <f aca="false">'Price History'!S3+('Price History'!S158-'Price History'!S3)*0.357142857142857</f>
        <v>89.0007142857143</v>
      </c>
      <c r="AN58" s="138" t="n">
        <f aca="false">'Price History'!T3+('Price History'!T158-'Price History'!T3)*0.357142857142857</f>
        <v>35.0635714285714</v>
      </c>
    </row>
    <row r="59" customFormat="false" ht="15" hidden="false" customHeight="true" outlineLevel="0" collapsed="false">
      <c r="A59" s="136" t="n">
        <f aca="false">IF('Price History'!A60="","",'Price History'!A60)</f>
        <v>45548</v>
      </c>
      <c r="B59" s="137" t="n">
        <f aca="false">IFERROR(IF(OR(NOT(ISNUMBER('Price History'!B60)),NOT(ISNUMBER('Price History'!B59)),'Price History'!B59=0),"",'Price History'!B60/'Price History'!B59-1),"")</f>
        <v>-0.0471060151577004</v>
      </c>
      <c r="C59" s="137" t="n">
        <f aca="false">IFERROR(IF(OR(NOT(ISNUMBER('Price History'!C60)),NOT(ISNUMBER('Price History'!C59)),'Price History'!C59=0),"",'Price History'!C60/'Price History'!C59-1),"")</f>
        <v>0.14456604734029</v>
      </c>
      <c r="D59" s="137" t="n">
        <f aca="false">IFERROR(IF(OR(NOT(ISNUMBER('Price History'!D60)),NOT(ISNUMBER('Price History'!D59)),'Price History'!D59=0),"",'Price History'!D60/'Price History'!D59-1),"")</f>
        <v>0.0844458613956085</v>
      </c>
      <c r="E59" s="137" t="n">
        <f aca="false">IFERROR(IF(OR(NOT(ISNUMBER('Price History'!E60)),NOT(ISNUMBER('Price History'!E59)),'Price History'!E59=0),"",'Price History'!E60/'Price History'!E59-1),"")</f>
        <v>0.224014598540146</v>
      </c>
      <c r="F59" s="137" t="n">
        <f aca="false">IFERROR(IF(OR(NOT(ISNUMBER('Price History'!F60)),NOT(ISNUMBER('Price History'!F59)),'Price History'!F59=0),"",'Price History'!F60/'Price History'!F59-1),"")</f>
        <v>0.0516233766233767</v>
      </c>
      <c r="G59" s="137" t="n">
        <f aca="false">IFERROR(IF(OR(NOT(ISNUMBER('Price History'!G60)),NOT(ISNUMBER('Price History'!G59)),'Price History'!G59=0),"",'Price History'!G60/'Price History'!G59-1),"")</f>
        <v>0.069294251565168</v>
      </c>
      <c r="H59" s="137" t="n">
        <f aca="false">IFERROR(IF(OR(NOT(ISNUMBER('Price History'!H60)),NOT(ISNUMBER('Price History'!H59)),'Price History'!H59=0),"",'Price History'!H60/'Price History'!H59-1),"")</f>
        <v>0.0560314887705489</v>
      </c>
      <c r="I59" s="137" t="n">
        <f aca="false">IFERROR(IF(OR(NOT(ISNUMBER('Price History'!I60)),NOT(ISNUMBER('Price History'!I59)),'Price History'!I59=0),"",'Price History'!I60/'Price History'!I59-1),"")</f>
        <v>0.158222308664786</v>
      </c>
      <c r="J59" s="137" t="n">
        <f aca="false">IFERROR(IF(OR(NOT(ISNUMBER('Price History'!J60)),NOT(ISNUMBER('Price History'!J59)),'Price History'!J59=0),"",'Price History'!J60/'Price History'!J59-1),"")</f>
        <v>0.0216143991197044</v>
      </c>
      <c r="K59" s="137" t="n">
        <f aca="false">IFERROR(IF(OR(NOT(ISNUMBER('Price History'!K60)),NOT(ISNUMBER('Price History'!K59)),'Price History'!K59=0),"",'Price History'!K60/'Price History'!K59-1),"")</f>
        <v>0.173425651170458</v>
      </c>
      <c r="L59" s="137" t="n">
        <f aca="false">IFERROR(IF(OR(NOT(ISNUMBER('Price History'!L60)),NOT(ISNUMBER('Price History'!L59)),'Price History'!L59=0),"",'Price History'!L60/'Price History'!L59-1),"")</f>
        <v>0.0999872465246781</v>
      </c>
      <c r="M59" s="137" t="n">
        <f aca="false">IFERROR(IF(OR(NOT(ISNUMBER('Price History'!M60)),NOT(ISNUMBER('Price History'!M59)),'Price History'!M59=0),"",'Price History'!M60/'Price History'!M59-1),"")</f>
        <v>0.194928242998468</v>
      </c>
      <c r="N59" s="137" t="n">
        <f aca="false">IFERROR(IF(OR(NOT(ISNUMBER('Price History'!N60)),NOT(ISNUMBER('Price History'!N59)),'Price History'!N59=0),"",'Price History'!N60/'Price History'!N59-1),"")</f>
        <v>0.0371153846153847</v>
      </c>
      <c r="O59" s="137" t="n">
        <f aca="false">IFERROR(IF(OR(NOT(ISNUMBER('Price History'!O60)),NOT(ISNUMBER('Price History'!O59)),'Price History'!O59=0),"",'Price History'!O60/'Price History'!O59-1),"")</f>
        <v>0.0288461538461537</v>
      </c>
      <c r="P59" s="137" t="str">
        <f aca="false">IFERROR(IF(OR(NOT(ISNUMBER('Price History'!P60)),NOT(ISNUMBER('Price History'!P59)),'Price History'!P59=0),"",'Price History'!P60/'Price History'!P59-1),"")</f>
        <v/>
      </c>
      <c r="Q59" s="137" t="n">
        <f aca="false">IFERROR(IF(OR(NOT(ISNUMBER('Price History'!Q60)),NOT(ISNUMBER('Price History'!Q59)),'Price History'!Q59=0),"",'Price History'!Q60/'Price History'!Q59-1),"")</f>
        <v>-0.00889248181083269</v>
      </c>
      <c r="R59" s="137" t="n">
        <f aca="false">IFERROR(IF(OR(NOT(ISNUMBER('Price History'!R60)),NOT(ISNUMBER('Price History'!R59)),'Price History'!R59=0),"",'Price History'!R60/'Price History'!R59-1),"")</f>
        <v>0.0465342679127725</v>
      </c>
      <c r="S59" s="137" t="n">
        <f aca="false">IFERROR(IF(OR(NOT(ISNUMBER('Price History'!S60)),NOT(ISNUMBER('Price History'!S59)),'Price History'!S59=0),"",'Price History'!S60/'Price History'!S59-1),"")</f>
        <v>0.061487130600572</v>
      </c>
      <c r="T59" s="137" t="n">
        <f aca="false">IFERROR(IF(OR(NOT(ISNUMBER('Price History'!T60)),NOT(ISNUMBER('Price History'!T59)),'Price History'!T59=0),"",'Price History'!T60/'Price History'!T59-1),"")</f>
        <v>0.0235626767200754</v>
      </c>
      <c r="U59" s="137" t="str">
        <f aca="false">IFERROR(IF(OR(NOT(ISNUMBER('Price History'!U60)),NOT(ISNUMBER('Price History'!U59)),'Price History'!U59=0),"",'Price History'!U60/'Price History'!U59-1),"")</f>
        <v/>
      </c>
      <c r="W59" s="138" t="n">
        <f aca="false">'Price History'!B3+('Price History'!B158-'Price History'!B3)*0.363636363636364</f>
        <v>414.617272727273</v>
      </c>
      <c r="X59" s="138" t="n">
        <f aca="false">'Price History'!C3+('Price History'!C158-'Price History'!C3)*0.363636363636364</f>
        <v>93.4163636363637</v>
      </c>
      <c r="Y59" s="138" t="n">
        <f aca="false">'Price History'!D3+('Price History'!D158-'Price History'!D3)*0.363636363636364</f>
        <v>1013.49636363636</v>
      </c>
      <c r="Z59" s="138" t="n">
        <f aca="false">'Price History'!E3+('Price History'!E158-'Price History'!E3)*0.363636363636364</f>
        <v>194.361818181818</v>
      </c>
      <c r="AA59" s="138" t="n">
        <f aca="false">'Price History'!F3+('Price History'!F158-'Price History'!F3)*0.363636363636364</f>
        <v>92.9872727272728</v>
      </c>
      <c r="AB59" s="138" t="n">
        <f aca="false">'Price History'!G3+('Price History'!G158-'Price History'!G3)*0.363636363636364</f>
        <v>96.9618181818182</v>
      </c>
      <c r="AC59" s="138" t="n">
        <f aca="false">'Price History'!H3+('Price History'!H158-'Price History'!H3)*0.363636363636364</f>
        <v>340.246363636364</v>
      </c>
      <c r="AD59" s="138" t="n">
        <f aca="false">'Price History'!I3+('Price History'!I158-'Price History'!I3)*0.363636363636364</f>
        <v>98.9954545454546</v>
      </c>
      <c r="AE59" s="138" t="n">
        <f aca="false">'Price History'!J3+('Price History'!J158-'Price History'!J3)*0.363636363636364</f>
        <v>131.182727272727</v>
      </c>
      <c r="AF59" s="138" t="n">
        <f aca="false">'Price History'!K3+('Price History'!K158-'Price History'!K3)*0.363636363636364</f>
        <v>54.5554545454546</v>
      </c>
      <c r="AG59" s="138" t="n">
        <f aca="false">'Price History'!L3+('Price History'!L158-'Price History'!L3)*0.363636363636364</f>
        <v>205.539090909091</v>
      </c>
      <c r="AH59" s="138" t="n">
        <f aca="false">'Price History'!M3+('Price History'!M158-'Price History'!M3)*0.363636363636364</f>
        <v>109.168181818182</v>
      </c>
      <c r="AI59" s="138" t="n">
        <f aca="false">'Price History'!N3+('Price History'!N158-'Price History'!N3)*0.363636363636364</f>
        <v>396.129090909091</v>
      </c>
      <c r="AJ59" s="138" t="n">
        <f aca="false">'Price History'!O3+('Price History'!O158-'Price History'!O3)*0.363636363636364</f>
        <v>98.2790909090909</v>
      </c>
      <c r="AK59" s="138" t="n">
        <f aca="false">'Price History'!Q3+('Price History'!Q151-'Price History'!Q3)*0.363636363636364</f>
        <v>56.6072727272727</v>
      </c>
      <c r="AL59" s="138" t="n">
        <f aca="false">'Price History'!R3+('Price History'!R158-'Price History'!R3)*0.363636363636364</f>
        <v>51.6127272727273</v>
      </c>
      <c r="AM59" s="138" t="n">
        <f aca="false">'Price History'!S3+('Price History'!S158-'Price History'!S3)*0.363636363636364</f>
        <v>89.5545454545455</v>
      </c>
      <c r="AN59" s="138" t="n">
        <f aca="false">'Price History'!T3+('Price History'!T158-'Price History'!T3)*0.363636363636364</f>
        <v>35.2118181818182</v>
      </c>
    </row>
    <row r="60" customFormat="false" ht="15" hidden="false" customHeight="true" outlineLevel="0" collapsed="false">
      <c r="A60" s="136" t="n">
        <f aca="false">IF('Price History'!A61="","",'Price History'!A61)</f>
        <v>45555</v>
      </c>
      <c r="B60" s="137" t="n">
        <f aca="false">IFERROR(IF(OR(NOT(ISNUMBER('Price History'!B61)),NOT(ISNUMBER('Price History'!B60)),'Price History'!B60=0),"",'Price History'!B61/'Price History'!B60-1),"")</f>
        <v>-0.0271387859258294</v>
      </c>
      <c r="C60" s="137" t="n">
        <f aca="false">IFERROR(IF(OR(NOT(ISNUMBER('Price History'!C61)),NOT(ISNUMBER('Price History'!C60)),'Price History'!C60=0),"",'Price History'!C61/'Price History'!C60-1),"")</f>
        <v>0.0687124749833223</v>
      </c>
      <c r="D60" s="137" t="n">
        <f aca="false">IFERROR(IF(OR(NOT(ISNUMBER('Price History'!D61)),NOT(ISNUMBER('Price History'!D60)),'Price History'!D60=0),"",'Price History'!D61/'Price History'!D60-1),"")</f>
        <v>-0.0258219413004067</v>
      </c>
      <c r="E60" s="137" t="n">
        <f aca="false">IFERROR(IF(OR(NOT(ISNUMBER('Price History'!E61)),NOT(ISNUMBER('Price History'!E60)),'Price History'!E60=0),"",'Price History'!E61/'Price History'!E60-1),"")</f>
        <v>0.0203351422267279</v>
      </c>
      <c r="F60" s="137" t="n">
        <f aca="false">IFERROR(IF(OR(NOT(ISNUMBER('Price History'!F61)),NOT(ISNUMBER('Price History'!F60)),'Price History'!F60=0),"",'Price History'!F61/'Price History'!F60-1),"")</f>
        <v>0.157147267675208</v>
      </c>
      <c r="G60" s="137" t="n">
        <f aca="false">IFERROR(IF(OR(NOT(ISNUMBER('Price History'!G61)),NOT(ISNUMBER('Price History'!G60)),'Price History'!G60=0),"",'Price History'!G61/'Price History'!G60-1),"")</f>
        <v>0.00984697272122426</v>
      </c>
      <c r="H60" s="137" t="n">
        <f aca="false">IFERROR(IF(OR(NOT(ISNUMBER('Price History'!H61)),NOT(ISNUMBER('Price History'!H60)),'Price History'!H60=0),"",'Price History'!H61/'Price History'!H60-1),"")</f>
        <v>-0.00350800263100193</v>
      </c>
      <c r="I60" s="137" t="n">
        <f aca="false">IFERROR(IF(OR(NOT(ISNUMBER('Price History'!I61)),NOT(ISNUMBER('Price History'!I60)),'Price History'!I60=0),"",'Price History'!I61/'Price History'!I60-1),"")</f>
        <v>-0.0260285474391267</v>
      </c>
      <c r="J60" s="137" t="n">
        <f aca="false">IFERROR(IF(OR(NOT(ISNUMBER('Price History'!J61)),NOT(ISNUMBER('Price History'!J60)),'Price History'!J60=0),"",'Price History'!J61/'Price History'!J60-1),"")</f>
        <v>-0.0346976457916602</v>
      </c>
      <c r="K60" s="137" t="n">
        <f aca="false">IFERROR(IF(OR(NOT(ISNUMBER('Price History'!K61)),NOT(ISNUMBER('Price History'!K60)),'Price History'!K60=0),"",'Price History'!K61/'Price History'!K60-1),"")</f>
        <v>0.0452374262433268</v>
      </c>
      <c r="L60" s="137" t="n">
        <f aca="false">IFERROR(IF(OR(NOT(ISNUMBER('Price History'!L61)),NOT(ISNUMBER('Price History'!L60)),'Price History'!L60=0),"",'Price History'!L61/'Price History'!L60-1),"")</f>
        <v>0.00915942028985506</v>
      </c>
      <c r="M60" s="137" t="n">
        <f aca="false">IFERROR(IF(OR(NOT(ISNUMBER('Price History'!M61)),NOT(ISNUMBER('Price History'!M60)),'Price History'!M60=0),"",'Price History'!M61/'Price History'!M60-1),"")</f>
        <v>0.102378731343284</v>
      </c>
      <c r="N60" s="137" t="n">
        <f aca="false">IFERROR(IF(OR(NOT(ISNUMBER('Price History'!N61)),NOT(ISNUMBER('Price History'!N60)),'Price History'!N60=0),"",'Price History'!N61/'Price History'!N60-1),"")</f>
        <v>-0.0421328059006531</v>
      </c>
      <c r="O60" s="137" t="n">
        <f aca="false">IFERROR(IF(OR(NOT(ISNUMBER('Price History'!O61)),NOT(ISNUMBER('Price History'!O60)),'Price History'!O60=0),"",'Price History'!O61/'Price History'!O60-1),"")</f>
        <v>0.03018584165861</v>
      </c>
      <c r="P60" s="137" t="str">
        <f aca="false">IFERROR(IF(OR(NOT(ISNUMBER('Price History'!P61)),NOT(ISNUMBER('Price History'!P60)),'Price History'!P60=0),"",'Price History'!P61/'Price History'!P60-1),"")</f>
        <v/>
      </c>
      <c r="Q60" s="137" t="n">
        <f aca="false">IFERROR(IF(OR(NOT(ISNUMBER('Price History'!Q61)),NOT(ISNUMBER('Price History'!Q60)),'Price History'!Q60=0),"",'Price History'!Q61/'Price History'!Q60-1),"")</f>
        <v>0.0243066884176184</v>
      </c>
      <c r="R60" s="137" t="n">
        <f aca="false">IFERROR(IF(OR(NOT(ISNUMBER('Price History'!R61)),NOT(ISNUMBER('Price History'!R60)),'Price History'!R60=0),"",'Price History'!R61/'Price History'!R60-1),"")</f>
        <v>0.0122790697674418</v>
      </c>
      <c r="S60" s="137" t="n">
        <f aca="false">IFERROR(IF(OR(NOT(ISNUMBER('Price History'!S61)),NOT(ISNUMBER('Price History'!S60)),'Price History'!S60=0),"",'Price History'!S61/'Price History'!S60-1),"")</f>
        <v>0.0162775033677594</v>
      </c>
      <c r="T60" s="137" t="n">
        <f aca="false">IFERROR(IF(OR(NOT(ISNUMBER('Price History'!T61)),NOT(ISNUMBER('Price History'!T60)),'Price History'!T60=0),"",'Price History'!T61/'Price History'!T60-1),"")</f>
        <v>0.0171884591774096</v>
      </c>
      <c r="U60" s="137" t="str">
        <f aca="false">IFERROR(IF(OR(NOT(ISNUMBER('Price History'!U61)),NOT(ISNUMBER('Price History'!U60)),'Price History'!U60=0),"",'Price History'!U61/'Price History'!U60-1),"")</f>
        <v/>
      </c>
      <c r="W60" s="138" t="n">
        <f aca="false">'Price History'!B3+('Price History'!B158-'Price History'!B3)*0.37012987012987</f>
        <v>412.941688311688</v>
      </c>
      <c r="X60" s="138" t="n">
        <f aca="false">'Price History'!C3+('Price History'!C158-'Price History'!C3)*0.37012987012987</f>
        <v>94.3034415584415</v>
      </c>
      <c r="Y60" s="138" t="n">
        <f aca="false">'Price History'!D3+('Price History'!D158-'Price History'!D3)*0.37012987012987</f>
        <v>1019.77701298701</v>
      </c>
      <c r="Z60" s="138" t="n">
        <f aca="false">'Price History'!E3+('Price History'!E158-'Price History'!E3)*0.37012987012987</f>
        <v>196.350779220779</v>
      </c>
      <c r="AA60" s="138" t="n">
        <f aca="false">'Price History'!F3+('Price History'!F158-'Price History'!F3)*0.37012987012987</f>
        <v>93.985974025974</v>
      </c>
      <c r="AB60" s="138" t="n">
        <f aca="false">'Price History'!G3+('Price History'!G158-'Price History'!G3)*0.37012987012987</f>
        <v>97.8379220779221</v>
      </c>
      <c r="AC60" s="138" t="n">
        <f aca="false">'Price History'!H3+('Price History'!H158-'Price History'!H3)*0.37012987012987</f>
        <v>345.172727272727</v>
      </c>
      <c r="AD60" s="138" t="n">
        <f aca="false">'Price History'!I3+('Price History'!I158-'Price History'!I3)*0.37012987012987</f>
        <v>100.033766233766</v>
      </c>
      <c r="AE60" s="138" t="n">
        <f aca="false">'Price History'!J3+('Price History'!J158-'Price History'!J3)*0.37012987012987</f>
        <v>131.31974025974</v>
      </c>
      <c r="AF60" s="138" t="n">
        <f aca="false">'Price History'!K3+('Price History'!K158-'Price History'!K3)*0.37012987012987</f>
        <v>55.2544805194805</v>
      </c>
      <c r="AG60" s="138" t="n">
        <f aca="false">'Price History'!L3+('Price History'!L158-'Price History'!L3)*0.37012987012987</f>
        <v>207.566753246753</v>
      </c>
      <c r="AH60" s="138" t="n">
        <f aca="false">'Price History'!M3+('Price History'!M158-'Price History'!M3)*0.37012987012987</f>
        <v>110.519220779221</v>
      </c>
      <c r="AI60" s="138" t="n">
        <f aca="false">'Price History'!N3+('Price History'!N158-'Price History'!N3)*0.37012987012987</f>
        <v>396.955324675325</v>
      </c>
      <c r="AJ60" s="138" t="n">
        <f aca="false">'Price History'!O3+('Price History'!O158-'Price History'!O3)*0.37012987012987</f>
        <v>98.5546103896104</v>
      </c>
      <c r="AK60" s="138" t="n">
        <f aca="false">'Price History'!Q3+('Price History'!Q151-'Price History'!Q3)*0.37012987012987</f>
        <v>56.7281168831169</v>
      </c>
      <c r="AL60" s="138" t="n">
        <f aca="false">'Price History'!R3+('Price History'!R158-'Price History'!R3)*0.37012987012987</f>
        <v>51.6804545454545</v>
      </c>
      <c r="AM60" s="138" t="n">
        <f aca="false">'Price History'!S3+('Price History'!S158-'Price History'!S3)*0.37012987012987</f>
        <v>90.1083766233766</v>
      </c>
      <c r="AN60" s="138" t="n">
        <f aca="false">'Price History'!T3+('Price History'!T158-'Price History'!T3)*0.37012987012987</f>
        <v>35.3600649350649</v>
      </c>
    </row>
    <row r="61" customFormat="false" ht="15" hidden="false" customHeight="true" outlineLevel="0" collapsed="false">
      <c r="A61" s="136" t="n">
        <f aca="false">IF('Price History'!A62="","",'Price History'!A62)</f>
        <v>45562</v>
      </c>
      <c r="B61" s="137" t="n">
        <f aca="false">IFERROR(IF(OR(NOT(ISNUMBER('Price History'!B62)),NOT(ISNUMBER('Price History'!B61)),'Price History'!B61=0),"",'Price History'!B62/'Price History'!B61-1),"")</f>
        <v>-0.0130576297147232</v>
      </c>
      <c r="C61" s="137" t="n">
        <f aca="false">IFERROR(IF(OR(NOT(ISNUMBER('Price History'!C62)),NOT(ISNUMBER('Price History'!C61)),'Price History'!C61=0),"",'Price History'!C62/'Price History'!C61-1),"")</f>
        <v>-0.0109238451935082</v>
      </c>
      <c r="D61" s="137" t="n">
        <f aca="false">IFERROR(IF(OR(NOT(ISNUMBER('Price History'!D62)),NOT(ISNUMBER('Price History'!D61)),'Price History'!D61=0),"",'Price History'!D62/'Price History'!D61-1),"")</f>
        <v>0.0581681923347752</v>
      </c>
      <c r="E61" s="137" t="n">
        <f aca="false">IFERROR(IF(OR(NOT(ISNUMBER('Price History'!E62)),NOT(ISNUMBER('Price History'!E61)),'Price History'!E61=0),"",'Price History'!E62/'Price History'!E61-1),"")</f>
        <v>0.00929281122150782</v>
      </c>
      <c r="F61" s="137" t="n">
        <f aca="false">IFERROR(IF(OR(NOT(ISNUMBER('Price History'!F62)),NOT(ISNUMBER('Price History'!F61)),'Price History'!F61=0),"",'Price History'!F62/'Price History'!F61-1),"")</f>
        <v>-0.0465581643543223</v>
      </c>
      <c r="G61" s="137" t="n">
        <f aca="false">IFERROR(IF(OR(NOT(ISNUMBER('Price History'!G62)),NOT(ISNUMBER('Price History'!G61)),'Price History'!G61=0),"",'Price History'!G62/'Price History'!G61-1),"")</f>
        <v>0.0309658716563446</v>
      </c>
      <c r="H61" s="137" t="n">
        <f aca="false">IFERROR(IF(OR(NOT(ISNUMBER('Price History'!H62)),NOT(ISNUMBER('Price History'!H61)),'Price History'!H61=0),"",'Price History'!H62/'Price History'!H61-1),"")</f>
        <v>0.182618261826182</v>
      </c>
      <c r="I61" s="137" t="n">
        <f aca="false">IFERROR(IF(OR(NOT(ISNUMBER('Price History'!I62)),NOT(ISNUMBER('Price History'!I61)),'Price History'!I61=0),"",'Price History'!I62/'Price History'!I61-1),"")</f>
        <v>0.0465517241379312</v>
      </c>
      <c r="J61" s="137" t="n">
        <f aca="false">IFERROR(IF(OR(NOT(ISNUMBER('Price History'!J62)),NOT(ISNUMBER('Price History'!J61)),'Price History'!J61=0),"",'Price History'!J62/'Price History'!J61-1),"")</f>
        <v>0.000956403921256177</v>
      </c>
      <c r="K61" s="137" t="n">
        <f aca="false">IFERROR(IF(OR(NOT(ISNUMBER('Price History'!K62)),NOT(ISNUMBER('Price History'!K61)),'Price History'!K61=0),"",'Price History'!K62/'Price History'!K61-1),"")</f>
        <v>-0.00967741935483868</v>
      </c>
      <c r="L61" s="137" t="n">
        <f aca="false">IFERROR(IF(OR(NOT(ISNUMBER('Price History'!L62)),NOT(ISNUMBER('Price History'!L61)),'Price History'!L61=0),"",'Price History'!L62/'Price History'!L61-1),"")</f>
        <v>0.0223460477941175</v>
      </c>
      <c r="M61" s="137" t="n">
        <f aca="false">IFERROR(IF(OR(NOT(ISNUMBER('Price History'!M62)),NOT(ISNUMBER('Price History'!M61)),'Price History'!M61=0),"",'Price History'!M62/'Price History'!M61-1),"")</f>
        <v>0.0409350539454199</v>
      </c>
      <c r="N61" s="137" t="n">
        <f aca="false">IFERROR(IF(OR(NOT(ISNUMBER('Price History'!N62)),NOT(ISNUMBER('Price History'!N61)),'Price History'!N61=0),"",'Price History'!N62/'Price History'!N61-1),"")</f>
        <v>-0.00438785167340627</v>
      </c>
      <c r="O61" s="137" t="n">
        <f aca="false">IFERROR(IF(OR(NOT(ISNUMBER('Price History'!O62)),NOT(ISNUMBER('Price History'!O61)),'Price History'!O61=0),"",'Price History'!O62/'Price History'!O61-1),"")</f>
        <v>-0.00354535974973935</v>
      </c>
      <c r="P61" s="137" t="str">
        <f aca="false">IFERROR(IF(OR(NOT(ISNUMBER('Price History'!P62)),NOT(ISNUMBER('Price History'!P61)),'Price History'!P61=0),"",'Price History'!P62/'Price History'!P61-1),"")</f>
        <v/>
      </c>
      <c r="Q61" s="137" t="n">
        <f aca="false">IFERROR(IF(OR(NOT(ISNUMBER('Price History'!Q62)),NOT(ISNUMBER('Price History'!Q61)),'Price History'!Q61=0),"",'Price History'!Q62/'Price History'!Q61-1),"")</f>
        <v>-0.00955566172957478</v>
      </c>
      <c r="R61" s="137" t="n">
        <f aca="false">IFERROR(IF(OR(NOT(ISNUMBER('Price History'!R62)),NOT(ISNUMBER('Price History'!R61)),'Price History'!R61=0),"",'Price History'!R62/'Price History'!R61-1),"")</f>
        <v>0.00716780003675788</v>
      </c>
      <c r="S61" s="137" t="n">
        <f aca="false">IFERROR(IF(OR(NOT(ISNUMBER('Price History'!S62)),NOT(ISNUMBER('Price History'!S61)),'Price History'!S61=0),"",'Price History'!S62/'Price History'!S61-1),"")</f>
        <v>-0.00209875179498509</v>
      </c>
      <c r="T61" s="137" t="n">
        <f aca="false">IFERROR(IF(OR(NOT(ISNUMBER('Price History'!T62)),NOT(ISNUMBER('Price History'!T61)),'Price History'!T61=0),"",'Price History'!T62/'Price History'!T61-1),"")</f>
        <v>0.00211225105612556</v>
      </c>
      <c r="U61" s="137" t="str">
        <f aca="false">IFERROR(IF(OR(NOT(ISNUMBER('Price History'!U62)),NOT(ISNUMBER('Price History'!U61)),'Price History'!U61=0),"",'Price History'!U62/'Price History'!U61-1),"")</f>
        <v/>
      </c>
      <c r="W61" s="138" t="n">
        <f aca="false">'Price History'!B3+('Price History'!B158-'Price History'!B3)*0.376623376623377</f>
        <v>411.266103896104</v>
      </c>
      <c r="X61" s="138" t="n">
        <f aca="false">'Price History'!C3+('Price History'!C158-'Price History'!C3)*0.376623376623377</f>
        <v>95.1905194805195</v>
      </c>
      <c r="Y61" s="138" t="n">
        <f aca="false">'Price History'!D3+('Price History'!D158-'Price History'!D3)*0.376623376623377</f>
        <v>1026.05766233766</v>
      </c>
      <c r="Z61" s="138" t="n">
        <f aca="false">'Price History'!E3+('Price History'!E158-'Price History'!E3)*0.376623376623377</f>
        <v>198.33974025974</v>
      </c>
      <c r="AA61" s="138" t="n">
        <f aca="false">'Price History'!F3+('Price History'!F158-'Price History'!F3)*0.376623376623377</f>
        <v>94.9846753246754</v>
      </c>
      <c r="AB61" s="138" t="n">
        <f aca="false">'Price History'!G3+('Price History'!G158-'Price History'!G3)*0.376623376623377</f>
        <v>98.714025974026</v>
      </c>
      <c r="AC61" s="138" t="n">
        <f aca="false">'Price History'!H3+('Price History'!H158-'Price History'!H3)*0.376623376623377</f>
        <v>350.099090909091</v>
      </c>
      <c r="AD61" s="138" t="n">
        <f aca="false">'Price History'!I3+('Price History'!I158-'Price History'!I3)*0.376623376623377</f>
        <v>101.072077922078</v>
      </c>
      <c r="AE61" s="138" t="n">
        <f aca="false">'Price History'!J3+('Price History'!J158-'Price History'!J3)*0.376623376623377</f>
        <v>131.456753246753</v>
      </c>
      <c r="AF61" s="138" t="n">
        <f aca="false">'Price History'!K3+('Price History'!K158-'Price History'!K3)*0.376623376623377</f>
        <v>55.9535064935065</v>
      </c>
      <c r="AG61" s="138" t="n">
        <f aca="false">'Price History'!L3+('Price History'!L158-'Price History'!L3)*0.376623376623377</f>
        <v>209.594415584416</v>
      </c>
      <c r="AH61" s="138" t="n">
        <f aca="false">'Price History'!M3+('Price History'!M158-'Price History'!M3)*0.376623376623377</f>
        <v>111.87025974026</v>
      </c>
      <c r="AI61" s="138" t="n">
        <f aca="false">'Price History'!N3+('Price History'!N158-'Price History'!N3)*0.376623376623377</f>
        <v>397.781558441559</v>
      </c>
      <c r="AJ61" s="138" t="n">
        <f aca="false">'Price History'!O3+('Price History'!O158-'Price History'!O3)*0.376623376623377</f>
        <v>98.8301298701299</v>
      </c>
      <c r="AK61" s="138" t="n">
        <f aca="false">'Price History'!Q3+('Price History'!Q151-'Price History'!Q3)*0.376623376623377</f>
        <v>56.8489610389611</v>
      </c>
      <c r="AL61" s="138" t="n">
        <f aca="false">'Price History'!R3+('Price History'!R158-'Price History'!R3)*0.376623376623377</f>
        <v>51.7481818181818</v>
      </c>
      <c r="AM61" s="138" t="n">
        <f aca="false">'Price History'!S3+('Price History'!S158-'Price History'!S3)*0.376623376623377</f>
        <v>90.6622077922078</v>
      </c>
      <c r="AN61" s="138" t="n">
        <f aca="false">'Price History'!T3+('Price History'!T158-'Price History'!T3)*0.376623376623377</f>
        <v>35.5083116883117</v>
      </c>
    </row>
    <row r="62" customFormat="false" ht="15" hidden="false" customHeight="true" outlineLevel="0" collapsed="false">
      <c r="A62" s="136" t="n">
        <f aca="false">IF('Price History'!A63="","",'Price History'!A63)</f>
        <v>45569</v>
      </c>
      <c r="B62" s="137" t="n">
        <f aca="false">IFERROR(IF(OR(NOT(ISNUMBER('Price History'!B63)),NOT(ISNUMBER('Price History'!B62)),'Price History'!B62=0),"",'Price History'!B63/'Price History'!B62-1),"")</f>
        <v>-0.0160239000543183</v>
      </c>
      <c r="C62" s="137" t="n">
        <f aca="false">IFERROR(IF(OR(NOT(ISNUMBER('Price History'!C63)),NOT(ISNUMBER('Price History'!C62)),'Price History'!C62=0),"",'Price History'!C63/'Price History'!C62-1),"")</f>
        <v>0.0412327758493742</v>
      </c>
      <c r="D62" s="137" t="n">
        <f aca="false">IFERROR(IF(OR(NOT(ISNUMBER('Price History'!D63)),NOT(ISNUMBER('Price History'!D62)),'Price History'!D62=0),"",'Price History'!D63/'Price History'!D62-1),"")</f>
        <v>-0.0101480618865413</v>
      </c>
      <c r="E62" s="137" t="n">
        <f aca="false">IFERROR(IF(OR(NOT(ISNUMBER('Price History'!E63)),NOT(ISNUMBER('Price History'!E62)),'Price History'!E62=0),"",'Price History'!E63/'Price History'!E62-1),"")</f>
        <v>0.0228733568822745</v>
      </c>
      <c r="F62" s="137" t="n">
        <f aca="false">IFERROR(IF(OR(NOT(ISNUMBER('Price History'!F63)),NOT(ISNUMBER('Price History'!F62)),'Price History'!F62=0),"",'Price History'!F63/'Price History'!F62-1),"")</f>
        <v>0.0222470966839234</v>
      </c>
      <c r="G62" s="137" t="n">
        <f aca="false">IFERROR(IF(OR(NOT(ISNUMBER('Price History'!G63)),NOT(ISNUMBER('Price History'!G62)),'Price History'!G62=0),"",'Price History'!G63/'Price History'!G62-1),"")</f>
        <v>0.00639059304703471</v>
      </c>
      <c r="H62" s="137" t="n">
        <f aca="false">IFERROR(IF(OR(NOT(ISNUMBER('Price History'!H63)),NOT(ISNUMBER('Price History'!H62)),'Price History'!H62=0),"",'Price History'!H63/'Price History'!H62-1),"")</f>
        <v>-0.0488372093023256</v>
      </c>
      <c r="I62" s="137" t="n">
        <f aca="false">IFERROR(IF(OR(NOT(ISNUMBER('Price History'!I63)),NOT(ISNUMBER('Price History'!I62)),'Price History'!I62=0),"",'Price History'!I63/'Price History'!I62-1),"")</f>
        <v>0.0289950576606259</v>
      </c>
      <c r="J62" s="137" t="n">
        <f aca="false">IFERROR(IF(OR(NOT(ISNUMBER('Price History'!J63)),NOT(ISNUMBER('Price History'!J62)),'Price History'!J62=0),"",'Price History'!J63/'Price History'!J62-1),"")</f>
        <v>-0.0252408631260451</v>
      </c>
      <c r="K62" s="137" t="n">
        <f aca="false">IFERROR(IF(OR(NOT(ISNUMBER('Price History'!K63)),NOT(ISNUMBER('Price History'!K62)),'Price History'!K62=0),"",'Price History'!K63/'Price History'!K62-1),"")</f>
        <v>0.0860477741585233</v>
      </c>
      <c r="L62" s="137" t="n">
        <f aca="false">IFERROR(IF(OR(NOT(ISNUMBER('Price History'!L63)),NOT(ISNUMBER('Price History'!L62)),'Price History'!L62=0),"",'Price History'!L63/'Price History'!L62-1),"")</f>
        <v>0.0179243692757207</v>
      </c>
      <c r="M62" s="137" t="n">
        <f aca="false">IFERROR(IF(OR(NOT(ISNUMBER('Price History'!M63)),NOT(ISNUMBER('Price History'!M62)),'Price History'!M62=0),"",'Price History'!M63/'Price History'!M62-1),"")</f>
        <v>0.0689970531450057</v>
      </c>
      <c r="N62" s="137" t="n">
        <f aca="false">IFERROR(IF(OR(NOT(ISNUMBER('Price History'!N63)),NOT(ISNUMBER('Price History'!N62)),'Price History'!N62=0),"",'Price History'!N63/'Price History'!N62-1),"")</f>
        <v>-0.0163541306602143</v>
      </c>
      <c r="O62" s="137" t="n">
        <f aca="false">IFERROR(IF(OR(NOT(ISNUMBER('Price History'!O63)),NOT(ISNUMBER('Price History'!O62)),'Price History'!O62=0),"",'Price History'!O63/'Price History'!O62-1),"")</f>
        <v>0.00282544997907075</v>
      </c>
      <c r="P62" s="137" t="str">
        <f aca="false">IFERROR(IF(OR(NOT(ISNUMBER('Price History'!P63)),NOT(ISNUMBER('Price History'!P62)),'Price History'!P62=0),"",'Price History'!P63/'Price History'!P62-1),"")</f>
        <v/>
      </c>
      <c r="Q62" s="137" t="n">
        <f aca="false">IFERROR(IF(OR(NOT(ISNUMBER('Price History'!Q63)),NOT(ISNUMBER('Price History'!Q62)),'Price History'!Q62=0),"",'Price History'!Q63/'Price History'!Q62-1),"")</f>
        <v>0.00755748512622612</v>
      </c>
      <c r="R62" s="137" t="n">
        <f aca="false">IFERROR(IF(OR(NOT(ISNUMBER('Price History'!R63)),NOT(ISNUMBER('Price History'!R62)),'Price History'!R62=0),"",'Price History'!R63/'Price History'!R62-1),"")</f>
        <v>-0.00784671532846715</v>
      </c>
      <c r="S62" s="137" t="n">
        <f aca="false">IFERROR(IF(OR(NOT(ISNUMBER('Price History'!S63)),NOT(ISNUMBER('Price History'!S62)),'Price History'!S62=0),"",'Price History'!S63/'Price History'!S62-1),"")</f>
        <v>0.0149435466017267</v>
      </c>
      <c r="T62" s="137" t="n">
        <f aca="false">IFERROR(IF(OR(NOT(ISNUMBER('Price History'!T63)),NOT(ISNUMBER('Price History'!T62)),'Price History'!T62=0),"",'Price History'!T63/'Price History'!T62-1),"")</f>
        <v>0.0186690755796446</v>
      </c>
      <c r="U62" s="137" t="str">
        <f aca="false">IFERROR(IF(OR(NOT(ISNUMBER('Price History'!U63)),NOT(ISNUMBER('Price History'!U62)),'Price History'!U62=0),"",'Price History'!U63/'Price History'!U62-1),"")</f>
        <v/>
      </c>
      <c r="W62" s="138" t="n">
        <f aca="false">'Price History'!B3+('Price History'!B158-'Price History'!B3)*0.383116883116883</f>
        <v>409.59051948052</v>
      </c>
      <c r="X62" s="138" t="n">
        <f aca="false">'Price History'!C3+('Price History'!C158-'Price History'!C3)*0.383116883116883</f>
        <v>96.0775974025974</v>
      </c>
      <c r="Y62" s="138" t="n">
        <f aca="false">'Price History'!D3+('Price History'!D158-'Price History'!D3)*0.383116883116883</f>
        <v>1032.33831168831</v>
      </c>
      <c r="Z62" s="138" t="n">
        <f aca="false">'Price History'!E3+('Price History'!E158-'Price History'!E3)*0.383116883116883</f>
        <v>200.328701298701</v>
      </c>
      <c r="AA62" s="138" t="n">
        <f aca="false">'Price History'!F3+('Price History'!F158-'Price History'!F3)*0.383116883116883</f>
        <v>95.9833766233766</v>
      </c>
      <c r="AB62" s="138" t="n">
        <f aca="false">'Price History'!G3+('Price History'!G158-'Price History'!G3)*0.383116883116883</f>
        <v>99.5901298701299</v>
      </c>
      <c r="AC62" s="138" t="n">
        <f aca="false">'Price History'!H3+('Price History'!H158-'Price History'!H3)*0.383116883116883</f>
        <v>355.025454545454</v>
      </c>
      <c r="AD62" s="138" t="n">
        <f aca="false">'Price History'!I3+('Price History'!I158-'Price History'!I3)*0.383116883116883</f>
        <v>102.11038961039</v>
      </c>
      <c r="AE62" s="138" t="n">
        <f aca="false">'Price History'!J3+('Price History'!J158-'Price History'!J3)*0.383116883116883</f>
        <v>131.593766233766</v>
      </c>
      <c r="AF62" s="138" t="n">
        <f aca="false">'Price History'!K3+('Price History'!K158-'Price History'!K3)*0.383116883116883</f>
        <v>56.6525324675325</v>
      </c>
      <c r="AG62" s="138" t="n">
        <f aca="false">'Price History'!L3+('Price History'!L158-'Price History'!L3)*0.383116883116883</f>
        <v>211.622077922078</v>
      </c>
      <c r="AH62" s="138" t="n">
        <f aca="false">'Price History'!M3+('Price History'!M158-'Price History'!M3)*0.383116883116883</f>
        <v>113.221298701299</v>
      </c>
      <c r="AI62" s="138" t="n">
        <f aca="false">'Price History'!N3+('Price History'!N158-'Price History'!N3)*0.383116883116883</f>
        <v>398.607792207792</v>
      </c>
      <c r="AJ62" s="138" t="n">
        <f aca="false">'Price History'!O3+('Price History'!O158-'Price History'!O3)*0.383116883116883</f>
        <v>99.1056493506493</v>
      </c>
      <c r="AK62" s="138" t="n">
        <f aca="false">'Price History'!Q3+('Price History'!Q151-'Price History'!Q3)*0.383116883116883</f>
        <v>56.9698051948052</v>
      </c>
      <c r="AL62" s="138" t="n">
        <f aca="false">'Price History'!R3+('Price History'!R158-'Price History'!R3)*0.383116883116883</f>
        <v>51.8159090909091</v>
      </c>
      <c r="AM62" s="138" t="n">
        <f aca="false">'Price History'!S3+('Price History'!S158-'Price History'!S3)*0.383116883116883</f>
        <v>91.216038961039</v>
      </c>
      <c r="AN62" s="138" t="n">
        <f aca="false">'Price History'!T3+('Price History'!T158-'Price History'!T3)*0.383116883116883</f>
        <v>35.6565584415584</v>
      </c>
    </row>
    <row r="63" customFormat="false" ht="15" hidden="false" customHeight="true" outlineLevel="0" collapsed="false">
      <c r="A63" s="136" t="n">
        <f aca="false">IF('Price History'!A64="","",'Price History'!A64)</f>
        <v>45576</v>
      </c>
      <c r="B63" s="137" t="n">
        <f aca="false">IFERROR(IF(OR(NOT(ISNUMBER('Price History'!B64)),NOT(ISNUMBER('Price History'!B63)),'Price History'!B63=0),"",'Price History'!B64/'Price History'!B63-1),"")</f>
        <v>-0.0232640668743346</v>
      </c>
      <c r="C63" s="137" t="n">
        <f aca="false">IFERROR(IF(OR(NOT(ISNUMBER('Price History'!C64)),NOT(ISNUMBER('Price History'!C63)),'Price History'!C63=0),"",'Price History'!C64/'Price History'!C63-1),"")</f>
        <v>0.0529346398626125</v>
      </c>
      <c r="D63" s="137" t="n">
        <f aca="false">IFERROR(IF(OR(NOT(ISNUMBER('Price History'!D64)),NOT(ISNUMBER('Price History'!D63)),'Price History'!D63=0),"",'Price History'!D64/'Price History'!D63-1),"")</f>
        <v>0.0092316926770708</v>
      </c>
      <c r="E63" s="137" t="n">
        <f aca="false">IFERROR(IF(OR(NOT(ISNUMBER('Price History'!E64)),NOT(ISNUMBER('Price History'!E63)),'Price History'!E63=0),"",'Price History'!E64/'Price History'!E63-1),"")</f>
        <v>0.0274003623188406</v>
      </c>
      <c r="F63" s="137" t="n">
        <f aca="false">IFERROR(IF(OR(NOT(ISNUMBER('Price History'!F64)),NOT(ISNUMBER('Price History'!F63)),'Price History'!F63=0),"",'Price History'!F64/'Price History'!F63-1),"")</f>
        <v>0.0956747878456064</v>
      </c>
      <c r="G63" s="137" t="n">
        <f aca="false">IFERROR(IF(OR(NOT(ISNUMBER('Price History'!G64)),NOT(ISNUMBER('Price History'!G63)),'Price History'!G63=0),"",'Price History'!G64/'Price History'!G63-1),"")</f>
        <v>0.020701041402083</v>
      </c>
      <c r="H63" s="137" t="n">
        <f aca="false">IFERROR(IF(OR(NOT(ISNUMBER('Price History'!H64)),NOT(ISNUMBER('Price History'!H63)),'Price History'!H63=0),"",'Price History'!H64/'Price History'!H63-1),"")</f>
        <v>0.0456723716381418</v>
      </c>
      <c r="I63" s="137" t="n">
        <f aca="false">IFERROR(IF(OR(NOT(ISNUMBER('Price History'!I64)),NOT(ISNUMBER('Price History'!I63)),'Price History'!I63=0),"",'Price History'!I64/'Price History'!I63-1),"")</f>
        <v>0.0790906179955173</v>
      </c>
      <c r="J63" s="137" t="n">
        <f aca="false">IFERROR(IF(OR(NOT(ISNUMBER('Price History'!J64)),NOT(ISNUMBER('Price History'!J63)),'Price History'!J63=0),"",'Price History'!J64/'Price History'!J63-1),"")</f>
        <v>-0.0178075477863094</v>
      </c>
      <c r="K63" s="137" t="n">
        <f aca="false">IFERROR(IF(OR(NOT(ISNUMBER('Price History'!K64)),NOT(ISNUMBER('Price History'!K63)),'Price History'!K63=0),"",'Price History'!K64/'Price History'!K63-1),"")</f>
        <v>0.0874781304673831</v>
      </c>
      <c r="L63" s="137" t="n">
        <f aca="false">IFERROR(IF(OR(NOT(ISNUMBER('Price History'!L64)),NOT(ISNUMBER('Price History'!L63)),'Price History'!L63=0),"",'Price History'!L64/'Price History'!L63-1),"")</f>
        <v>0.0532678295429454</v>
      </c>
      <c r="M63" s="137" t="n">
        <f aca="false">IFERROR(IF(OR(NOT(ISNUMBER('Price History'!M64)),NOT(ISNUMBER('Price History'!M63)),'Price History'!M63=0),"",'Price History'!M64/'Price History'!M63-1),"")</f>
        <v>0.0631178707224334</v>
      </c>
      <c r="N63" s="137" t="n">
        <f aca="false">IFERROR(IF(OR(NOT(ISNUMBER('Price History'!N64)),NOT(ISNUMBER('Price History'!N63)),'Price History'!N63=0),"",'Price History'!N64/'Price History'!N63-1),"")</f>
        <v>0.0579824734796073</v>
      </c>
      <c r="O63" s="137" t="n">
        <f aca="false">IFERROR(IF(OR(NOT(ISNUMBER('Price History'!O64)),NOT(ISNUMBER('Price History'!O63)),'Price History'!O63=0),"",'Price History'!O64/'Price History'!O63-1),"")</f>
        <v>0.0118960659501199</v>
      </c>
      <c r="P63" s="137" t="str">
        <f aca="false">IFERROR(IF(OR(NOT(ISNUMBER('Price History'!P64)),NOT(ISNUMBER('Price History'!P63)),'Price History'!P63=0),"",'Price History'!P64/'Price History'!P63-1),"")</f>
        <v/>
      </c>
      <c r="Q63" s="137" t="n">
        <f aca="false">IFERROR(IF(OR(NOT(ISNUMBER('Price History'!Q64)),NOT(ISNUMBER('Price History'!Q63)),'Price History'!Q63=0),"",'Price History'!Q64/'Price History'!Q63-1),"")</f>
        <v>0.00606447494414297</v>
      </c>
      <c r="R63" s="137" t="n">
        <f aca="false">IFERROR(IF(OR(NOT(ISNUMBER('Price History'!R64)),NOT(ISNUMBER('Price History'!R63)),'Price History'!R63=0),"",'Price History'!R64/'Price History'!R63-1),"")</f>
        <v>0.00901232297222743</v>
      </c>
      <c r="S63" s="137" t="n">
        <f aca="false">IFERROR(IF(OR(NOT(ISNUMBER('Price History'!S64)),NOT(ISNUMBER('Price History'!S63)),'Price History'!S63=0),"",'Price History'!S64/'Price History'!S63-1),"")</f>
        <v>0.021594503217363</v>
      </c>
      <c r="T63" s="137" t="n">
        <f aca="false">IFERROR(IF(OR(NOT(ISNUMBER('Price History'!T64)),NOT(ISNUMBER('Price History'!T63)),'Price History'!T63=0),"",'Price History'!T64/'Price History'!T63-1),"")</f>
        <v>0.00354714750221707</v>
      </c>
      <c r="U63" s="137" t="str">
        <f aca="false">IFERROR(IF(OR(NOT(ISNUMBER('Price History'!U64)),NOT(ISNUMBER('Price History'!U63)),'Price History'!U63=0),"",'Price History'!U64/'Price History'!U63-1),"")</f>
        <v/>
      </c>
      <c r="W63" s="138" t="n">
        <f aca="false">'Price History'!B3+('Price History'!B158-'Price History'!B3)*0.38961038961039</f>
        <v>407.914935064935</v>
      </c>
      <c r="X63" s="138" t="n">
        <f aca="false">'Price History'!C3+('Price History'!C158-'Price History'!C3)*0.38961038961039</f>
        <v>96.9646753246754</v>
      </c>
      <c r="Y63" s="138" t="n">
        <f aca="false">'Price History'!D3+('Price History'!D158-'Price History'!D3)*0.38961038961039</f>
        <v>1038.61896103896</v>
      </c>
      <c r="Z63" s="138" t="n">
        <f aca="false">'Price History'!E3+('Price History'!E158-'Price History'!E3)*0.38961038961039</f>
        <v>202.317662337662</v>
      </c>
      <c r="AA63" s="138" t="n">
        <f aca="false">'Price History'!F3+('Price History'!F158-'Price History'!F3)*0.38961038961039</f>
        <v>96.982077922078</v>
      </c>
      <c r="AB63" s="138" t="n">
        <f aca="false">'Price History'!G3+('Price History'!G158-'Price History'!G3)*0.38961038961039</f>
        <v>100.466233766234</v>
      </c>
      <c r="AC63" s="138" t="n">
        <f aca="false">'Price History'!H3+('Price History'!H158-'Price History'!H3)*0.38961038961039</f>
        <v>359.951818181819</v>
      </c>
      <c r="AD63" s="138" t="n">
        <f aca="false">'Price History'!I3+('Price History'!I158-'Price History'!I3)*0.38961038961039</f>
        <v>103.148701298701</v>
      </c>
      <c r="AE63" s="138" t="n">
        <f aca="false">'Price History'!J3+('Price History'!J158-'Price History'!J3)*0.38961038961039</f>
        <v>131.730779220779</v>
      </c>
      <c r="AF63" s="138" t="n">
        <f aca="false">'Price History'!K3+('Price History'!K158-'Price History'!K3)*0.38961038961039</f>
        <v>57.3515584415585</v>
      </c>
      <c r="AG63" s="138" t="n">
        <f aca="false">'Price History'!L3+('Price History'!L158-'Price History'!L3)*0.38961038961039</f>
        <v>213.64974025974</v>
      </c>
      <c r="AH63" s="138" t="n">
        <f aca="false">'Price History'!M3+('Price History'!M158-'Price History'!M3)*0.38961038961039</f>
        <v>114.572337662338</v>
      </c>
      <c r="AI63" s="138" t="n">
        <f aca="false">'Price History'!N3+('Price History'!N158-'Price History'!N3)*0.38961038961039</f>
        <v>399.434025974026</v>
      </c>
      <c r="AJ63" s="138" t="n">
        <f aca="false">'Price History'!O3+('Price History'!O158-'Price History'!O3)*0.38961038961039</f>
        <v>99.3811688311689</v>
      </c>
      <c r="AK63" s="138" t="n">
        <f aca="false">'Price History'!Q3+('Price History'!Q151-'Price History'!Q3)*0.38961038961039</f>
        <v>57.0906493506494</v>
      </c>
      <c r="AL63" s="138" t="n">
        <f aca="false">'Price History'!R3+('Price History'!R158-'Price History'!R3)*0.38961038961039</f>
        <v>51.8836363636364</v>
      </c>
      <c r="AM63" s="138" t="n">
        <f aca="false">'Price History'!S3+('Price History'!S158-'Price History'!S3)*0.38961038961039</f>
        <v>91.7698701298702</v>
      </c>
      <c r="AN63" s="138" t="n">
        <f aca="false">'Price History'!T3+('Price History'!T158-'Price History'!T3)*0.38961038961039</f>
        <v>35.8048051948052</v>
      </c>
    </row>
    <row r="64" customFormat="false" ht="15" hidden="false" customHeight="true" outlineLevel="0" collapsed="false">
      <c r="A64" s="136" t="n">
        <f aca="false">IF('Price History'!A65="","",'Price History'!A65)</f>
        <v>45583</v>
      </c>
      <c r="B64" s="137" t="n">
        <f aca="false">IFERROR(IF(OR(NOT(ISNUMBER('Price History'!B65)),NOT(ISNUMBER('Price History'!B64)),'Price History'!B64=0),"",'Price History'!B65/'Price History'!B64-1),"")</f>
        <v>-0.0010496144685318</v>
      </c>
      <c r="C64" s="137" t="n">
        <f aca="false">IFERROR(IF(OR(NOT(ISNUMBER('Price History'!C65)),NOT(ISNUMBER('Price History'!C64)),'Price History'!C64=0),"",'Price History'!C65/'Price History'!C64-1),"")</f>
        <v>-0.0357862419648853</v>
      </c>
      <c r="D64" s="137" t="n">
        <f aca="false">IFERROR(IF(OR(NOT(ISNUMBER('Price History'!D65)),NOT(ISNUMBER('Price History'!D64)),'Price History'!D64=0),"",'Price History'!D65/'Price History'!D64-1),"")</f>
        <v>-0.139682879539426</v>
      </c>
      <c r="E64" s="137" t="n">
        <f aca="false">IFERROR(IF(OR(NOT(ISNUMBER('Price History'!E65)),NOT(ISNUMBER('Price History'!E64)),'Price History'!E64=0),"",'Price History'!E65/'Price History'!E64-1),"")</f>
        <v>-0.00876129601057973</v>
      </c>
      <c r="F64" s="137" t="n">
        <f aca="false">IFERROR(IF(OR(NOT(ISNUMBER('Price History'!F65)),NOT(ISNUMBER('Price History'!F64)),'Price History'!F64=0),"",'Price History'!F65/'Price History'!F64-1),"")</f>
        <v>-0.0313554028732042</v>
      </c>
      <c r="G64" s="137" t="n">
        <f aca="false">IFERROR(IF(OR(NOT(ISNUMBER('Price History'!G65)),NOT(ISNUMBER('Price History'!G64)),'Price History'!G64=0),"",'Price History'!G65/'Price History'!G64-1),"")</f>
        <v>-0.155779519721289</v>
      </c>
      <c r="H64" s="137" t="n">
        <f aca="false">IFERROR(IF(OR(NOT(ISNUMBER('Price History'!H65)),NOT(ISNUMBER('Price History'!H64)),'Price History'!H64=0),"",'Price History'!H65/'Price History'!H64-1),"")</f>
        <v>0.0395622895622896</v>
      </c>
      <c r="I64" s="137" t="n">
        <f aca="false">IFERROR(IF(OR(NOT(ISNUMBER('Price History'!I65)),NOT(ISNUMBER('Price History'!I64)),'Price History'!I64=0),"",'Price History'!I65/'Price History'!I64-1),"")</f>
        <v>0.0237388724035608</v>
      </c>
      <c r="J64" s="137" t="n">
        <f aca="false">IFERROR(IF(OR(NOT(ISNUMBER('Price History'!J65)),NOT(ISNUMBER('Price History'!J64)),'Price History'!J64=0),"",'Price History'!J65/'Price History'!J64-1),"")</f>
        <v>0.0187957418496341</v>
      </c>
      <c r="K64" s="137" t="n">
        <f aca="false">IFERROR(IF(OR(NOT(ISNUMBER('Price History'!K65)),NOT(ISNUMBER('Price History'!K64)),'Price History'!K64=0),"",'Price History'!K65/'Price History'!K64-1),"")</f>
        <v>-0.01241094001379</v>
      </c>
      <c r="L64" s="137" t="n">
        <f aca="false">IFERROR(IF(OR(NOT(ISNUMBER('Price History'!L65)),NOT(ISNUMBER('Price History'!L64)),'Price History'!L64=0),"",'Price History'!L65/'Price History'!L64-1),"")</f>
        <v>0.052250930244746</v>
      </c>
      <c r="M64" s="137" t="n">
        <f aca="false">IFERROR(IF(OR(NOT(ISNUMBER('Price History'!M65)),NOT(ISNUMBER('Price History'!M64)),'Price History'!M64=0),"",'Price History'!M65/'Price History'!M64-1),"")</f>
        <v>0.00366595135908443</v>
      </c>
      <c r="N64" s="137" t="n">
        <f aca="false">IFERROR(IF(OR(NOT(ISNUMBER('Price History'!N65)),NOT(ISNUMBER('Price History'!N64)),'Price History'!N64=0),"",'Price History'!N65/'Price History'!N64-1),"")</f>
        <v>0.0026779597683253</v>
      </c>
      <c r="O64" s="137" t="n">
        <f aca="false">IFERROR(IF(OR(NOT(ISNUMBER('Price History'!O65)),NOT(ISNUMBER('Price History'!O64)),'Price History'!O64=0),"",'Price History'!O65/'Price History'!O64-1),"")</f>
        <v>0.0125812106837166</v>
      </c>
      <c r="P64" s="137" t="str">
        <f aca="false">IFERROR(IF(OR(NOT(ISNUMBER('Price History'!P65)),NOT(ISNUMBER('Price History'!P64)),'Price History'!P64=0),"",'Price History'!P65/'Price History'!P64-1),"")</f>
        <v/>
      </c>
      <c r="Q64" s="137" t="n">
        <f aca="false">IFERROR(IF(OR(NOT(ISNUMBER('Price History'!Q65)),NOT(ISNUMBER('Price History'!Q64)),'Price History'!Q64=0),"",'Price History'!Q65/'Price History'!Q64-1),"")</f>
        <v>0.00380710659898487</v>
      </c>
      <c r="R64" s="137" t="n">
        <f aca="false">IFERROR(IF(OR(NOT(ISNUMBER('Price History'!R65)),NOT(ISNUMBER('Price History'!R64)),'Price History'!R64=0),"",'Price History'!R65/'Price History'!R64-1),"")</f>
        <v>0.00747356908494345</v>
      </c>
      <c r="S64" s="137" t="n">
        <f aca="false">IFERROR(IF(OR(NOT(ISNUMBER('Price History'!S65)),NOT(ISNUMBER('Price History'!S64)),'Price History'!S64=0),"",'Price History'!S65/'Price History'!S64-1),"")</f>
        <v>0.00427031066510075</v>
      </c>
      <c r="T64" s="137" t="n">
        <f aca="false">IFERROR(IF(OR(NOT(ISNUMBER('Price History'!T65)),NOT(ISNUMBER('Price History'!T64)),'Price History'!T64=0),"",'Price History'!T65/'Price History'!T64-1),"")</f>
        <v>-0.00471281296023574</v>
      </c>
      <c r="U64" s="137" t="str">
        <f aca="false">IFERROR(IF(OR(NOT(ISNUMBER('Price History'!U65)),NOT(ISNUMBER('Price History'!U64)),'Price History'!U64=0),"",'Price History'!U65/'Price History'!U64-1),"")</f>
        <v/>
      </c>
      <c r="W64" s="138" t="n">
        <f aca="false">'Price History'!B3+('Price History'!B158-'Price History'!B3)*0.396103896103896</f>
        <v>406.239350649351</v>
      </c>
      <c r="X64" s="138" t="n">
        <f aca="false">'Price History'!C3+('Price History'!C158-'Price History'!C3)*0.396103896103896</f>
        <v>97.8517532467532</v>
      </c>
      <c r="Y64" s="138" t="n">
        <f aca="false">'Price History'!D3+('Price History'!D158-'Price History'!D3)*0.396103896103896</f>
        <v>1044.89961038961</v>
      </c>
      <c r="Z64" s="138" t="n">
        <f aca="false">'Price History'!E3+('Price History'!E158-'Price History'!E3)*0.396103896103896</f>
        <v>204.306623376623</v>
      </c>
      <c r="AA64" s="138" t="n">
        <f aca="false">'Price History'!F3+('Price History'!F158-'Price History'!F3)*0.396103896103896</f>
        <v>97.9807792207792</v>
      </c>
      <c r="AB64" s="138" t="n">
        <f aca="false">'Price History'!G3+('Price History'!G158-'Price History'!G3)*0.396103896103896</f>
        <v>101.342337662338</v>
      </c>
      <c r="AC64" s="138" t="n">
        <f aca="false">'Price History'!H3+('Price History'!H158-'Price History'!H3)*0.396103896103896</f>
        <v>364.878181818182</v>
      </c>
      <c r="AD64" s="138" t="n">
        <f aca="false">'Price History'!I3+('Price History'!I158-'Price History'!I3)*0.396103896103896</f>
        <v>104.187012987013</v>
      </c>
      <c r="AE64" s="138" t="n">
        <f aca="false">'Price History'!J3+('Price History'!J158-'Price History'!J3)*0.396103896103896</f>
        <v>131.867792207792</v>
      </c>
      <c r="AF64" s="138" t="n">
        <f aca="false">'Price History'!K3+('Price History'!K158-'Price History'!K3)*0.396103896103896</f>
        <v>58.0505844155844</v>
      </c>
      <c r="AG64" s="138" t="n">
        <f aca="false">'Price History'!L3+('Price History'!L158-'Price History'!L3)*0.396103896103896</f>
        <v>215.677402597403</v>
      </c>
      <c r="AH64" s="138" t="n">
        <f aca="false">'Price History'!M3+('Price History'!M158-'Price History'!M3)*0.396103896103896</f>
        <v>115.923376623377</v>
      </c>
      <c r="AI64" s="138" t="n">
        <f aca="false">'Price History'!N3+('Price History'!N158-'Price History'!N3)*0.396103896103896</f>
        <v>400.26025974026</v>
      </c>
      <c r="AJ64" s="138" t="n">
        <f aca="false">'Price History'!O3+('Price History'!O158-'Price History'!O3)*0.396103896103896</f>
        <v>99.6566883116883</v>
      </c>
      <c r="AK64" s="138" t="n">
        <f aca="false">'Price History'!Q3+('Price History'!Q151-'Price History'!Q3)*0.396103896103896</f>
        <v>57.2114935064935</v>
      </c>
      <c r="AL64" s="138" t="n">
        <f aca="false">'Price History'!R3+('Price History'!R158-'Price History'!R3)*0.396103896103896</f>
        <v>51.9513636363636</v>
      </c>
      <c r="AM64" s="138" t="n">
        <f aca="false">'Price History'!S3+('Price History'!S158-'Price History'!S3)*0.396103896103896</f>
        <v>92.3237012987013</v>
      </c>
      <c r="AN64" s="138" t="n">
        <f aca="false">'Price History'!T3+('Price History'!T158-'Price History'!T3)*0.396103896103896</f>
        <v>35.953051948052</v>
      </c>
    </row>
    <row r="65" customFormat="false" ht="15" hidden="false" customHeight="true" outlineLevel="0" collapsed="false">
      <c r="A65" s="136" t="n">
        <f aca="false">IF('Price History'!A66="","",'Price History'!A66)</f>
        <v>45590</v>
      </c>
      <c r="B65" s="137" t="n">
        <f aca="false">IFERROR(IF(OR(NOT(ISNUMBER('Price History'!B66)),NOT(ISNUMBER('Price History'!B65)),'Price History'!B65=0),"",'Price History'!B66/'Price History'!B65-1),"")</f>
        <v>-0.0225904223075368</v>
      </c>
      <c r="C65" s="137" t="n">
        <f aca="false">IFERROR(IF(OR(NOT(ISNUMBER('Price History'!C66)),NOT(ISNUMBER('Price History'!C65)),'Price History'!C65=0),"",'Price History'!C66/'Price History'!C65-1),"")</f>
        <v>-0.0197014925373135</v>
      </c>
      <c r="D65" s="137" t="n">
        <f aca="false">IFERROR(IF(OR(NOT(ISNUMBER('Price History'!D66)),NOT(ISNUMBER('Price History'!D65)),'Price History'!D65=0),"",'Price History'!D66/'Price History'!D65-1),"")</f>
        <v>-0.0159831872355722</v>
      </c>
      <c r="E65" s="137" t="n">
        <f aca="false">IFERROR(IF(OR(NOT(ISNUMBER('Price History'!E66)),NOT(ISNUMBER('Price History'!E65)),'Price History'!E65=0),"",'Price History'!E66/'Price History'!E65-1),"")</f>
        <v>-0.0383011840569236</v>
      </c>
      <c r="F65" s="137" t="n">
        <f aca="false">IFERROR(IF(OR(NOT(ISNUMBER('Price History'!F66)),NOT(ISNUMBER('Price History'!F65)),'Price History'!F65=0),"",'Price History'!F66/'Price History'!F65-1),"")</f>
        <v>-0.0306938354397731</v>
      </c>
      <c r="G65" s="137" t="n">
        <f aca="false">IFERROR(IF(OR(NOT(ISNUMBER('Price History'!G66)),NOT(ISNUMBER('Price History'!G65)),'Price History'!G65=0),"",'Price History'!G66/'Price History'!G65-1),"")</f>
        <v>-0.0079587324981576</v>
      </c>
      <c r="H65" s="137" t="n">
        <f aca="false">IFERROR(IF(OR(NOT(ISNUMBER('Price History'!H66)),NOT(ISNUMBER('Price History'!H65)),'Price History'!H65=0),"",'Price History'!H66/'Price History'!H65-1),"")</f>
        <v>-0.0291497975708502</v>
      </c>
      <c r="I65" s="137" t="n">
        <f aca="false">IFERROR(IF(OR(NOT(ISNUMBER('Price History'!I66)),NOT(ISNUMBER('Price History'!I65)),'Price History'!I65=0),"",'Price History'!I66/'Price History'!I65-1),"")</f>
        <v>0.0256521739130435</v>
      </c>
      <c r="J65" s="137" t="n">
        <f aca="false">IFERROR(IF(OR(NOT(ISNUMBER('Price History'!J66)),NOT(ISNUMBER('Price History'!J65)),'Price History'!J65=0),"",'Price History'!J66/'Price History'!J65-1),"")</f>
        <v>-0.0404897959183673</v>
      </c>
      <c r="K65" s="137" t="n">
        <f aca="false">IFERROR(IF(OR(NOT(ISNUMBER('Price History'!K66)),NOT(ISNUMBER('Price History'!K65)),'Price History'!K65=0),"",'Price History'!K66/'Price History'!K65-1),"")</f>
        <v>0.0439841750058181</v>
      </c>
      <c r="L65" s="137" t="n">
        <f aca="false">IFERROR(IF(OR(NOT(ISNUMBER('Price History'!L66)),NOT(ISNUMBER('Price History'!L65)),'Price History'!L65=0),"",'Price History'!L66/'Price History'!L65-1),"")</f>
        <v>0.0132483315071221</v>
      </c>
      <c r="M65" s="137" t="n">
        <f aca="false">IFERROR(IF(OR(NOT(ISNUMBER('Price History'!M66)),NOT(ISNUMBER('Price History'!M65)),'Price History'!M65=0),"",'Price History'!M66/'Price History'!M65-1),"")</f>
        <v>-0.000712694877505582</v>
      </c>
      <c r="N65" s="137" t="n">
        <f aca="false">IFERROR(IF(OR(NOT(ISNUMBER('Price History'!N66)),NOT(ISNUMBER('Price History'!N65)),'Price History'!N65=0),"",'Price History'!N66/'Price History'!N65-1),"")</f>
        <v>-0.0109730848861284</v>
      </c>
      <c r="O65" s="137" t="n">
        <f aca="false">IFERROR(IF(OR(NOT(ISNUMBER('Price History'!O66)),NOT(ISNUMBER('Price History'!O65)),'Price History'!O65=0),"",'Price History'!O66/'Price History'!O65-1),"")</f>
        <v>-0.0333027803238619</v>
      </c>
      <c r="P65" s="137" t="str">
        <f aca="false">IFERROR(IF(OR(NOT(ISNUMBER('Price History'!P66)),NOT(ISNUMBER('Price History'!P65)),'Price History'!P65=0),"",'Price History'!P66/'Price History'!P65-1),"")</f>
        <v/>
      </c>
      <c r="Q65" s="137" t="n">
        <f aca="false">IFERROR(IF(OR(NOT(ISNUMBER('Price History'!Q66)),NOT(ISNUMBER('Price History'!Q65)),'Price History'!Q65=0),"",'Price History'!Q66/'Price History'!Q65-1),"")</f>
        <v>-0.00173830594184576</v>
      </c>
      <c r="R65" s="137" t="n">
        <f aca="false">IFERROR(IF(OR(NOT(ISNUMBER('Price History'!R66)),NOT(ISNUMBER('Price History'!R65)),'Price History'!R65=0),"",'Price History'!R66/'Price History'!R65-1),"")</f>
        <v>0.0023520897412701</v>
      </c>
      <c r="S65" s="137" t="n">
        <f aca="false">IFERROR(IF(OR(NOT(ISNUMBER('Price History'!S66)),NOT(ISNUMBER('Price History'!S65)),'Price History'!S65=0),"",'Price History'!S66/'Price History'!S65-1),"")</f>
        <v>-0.0146699266503667</v>
      </c>
      <c r="T65" s="137" t="n">
        <f aca="false">IFERROR(IF(OR(NOT(ISNUMBER('Price History'!T66)),NOT(ISNUMBER('Price History'!T65)),'Price History'!T65=0),"",'Price History'!T66/'Price History'!T65-1),"")</f>
        <v>-0.0192364604912696</v>
      </c>
      <c r="U65" s="137" t="str">
        <f aca="false">IFERROR(IF(OR(NOT(ISNUMBER('Price History'!U66)),NOT(ISNUMBER('Price History'!U65)),'Price History'!U65=0),"",'Price History'!U66/'Price History'!U65-1),"")</f>
        <v/>
      </c>
      <c r="W65" s="138" t="n">
        <f aca="false">'Price History'!B3+('Price History'!B158-'Price History'!B3)*0.402597402597403</f>
        <v>404.563766233766</v>
      </c>
      <c r="X65" s="138" t="n">
        <f aca="false">'Price History'!C3+('Price History'!C158-'Price History'!C3)*0.402597402597403</f>
        <v>98.7388311688312</v>
      </c>
      <c r="Y65" s="138" t="n">
        <f aca="false">'Price History'!D3+('Price History'!D158-'Price History'!D3)*0.402597402597403</f>
        <v>1051.18025974026</v>
      </c>
      <c r="Z65" s="138" t="n">
        <f aca="false">'Price History'!E3+('Price History'!E158-'Price History'!E3)*0.402597402597403</f>
        <v>206.295584415585</v>
      </c>
      <c r="AA65" s="138" t="n">
        <f aca="false">'Price History'!F3+('Price History'!F158-'Price History'!F3)*0.402597402597403</f>
        <v>98.9794805194806</v>
      </c>
      <c r="AB65" s="138" t="n">
        <f aca="false">'Price History'!G3+('Price History'!G158-'Price History'!G3)*0.402597402597403</f>
        <v>102.218441558442</v>
      </c>
      <c r="AC65" s="138" t="n">
        <f aca="false">'Price History'!H3+('Price History'!H158-'Price History'!H3)*0.402597402597403</f>
        <v>369.804545454546</v>
      </c>
      <c r="AD65" s="138" t="n">
        <f aca="false">'Price History'!I3+('Price History'!I158-'Price History'!I3)*0.402597402597403</f>
        <v>105.225324675325</v>
      </c>
      <c r="AE65" s="138" t="n">
        <f aca="false">'Price History'!J3+('Price History'!J158-'Price History'!J3)*0.402597402597403</f>
        <v>132.004805194805</v>
      </c>
      <c r="AF65" s="138" t="n">
        <f aca="false">'Price History'!K3+('Price History'!K158-'Price History'!K3)*0.402597402597403</f>
        <v>58.7496103896104</v>
      </c>
      <c r="AG65" s="138" t="n">
        <f aca="false">'Price History'!L3+('Price History'!L158-'Price History'!L3)*0.402597402597403</f>
        <v>217.705064935065</v>
      </c>
      <c r="AH65" s="138" t="n">
        <f aca="false">'Price History'!M3+('Price History'!M158-'Price History'!M3)*0.402597402597403</f>
        <v>117.274415584416</v>
      </c>
      <c r="AI65" s="138" t="n">
        <f aca="false">'Price History'!N3+('Price History'!N158-'Price History'!N3)*0.402597402597403</f>
        <v>401.086493506494</v>
      </c>
      <c r="AJ65" s="138" t="n">
        <f aca="false">'Price History'!O3+('Price History'!O158-'Price History'!O3)*0.402597402597403</f>
        <v>99.9322077922078</v>
      </c>
      <c r="AK65" s="138" t="n">
        <f aca="false">'Price History'!Q3+('Price History'!Q151-'Price History'!Q3)*0.402597402597403</f>
        <v>57.3323376623377</v>
      </c>
      <c r="AL65" s="138" t="n">
        <f aca="false">'Price History'!R3+('Price History'!R158-'Price History'!R3)*0.402597402597403</f>
        <v>52.0190909090909</v>
      </c>
      <c r="AM65" s="138" t="n">
        <f aca="false">'Price History'!S3+('Price History'!S158-'Price History'!S3)*0.402597402597403</f>
        <v>92.8775324675325</v>
      </c>
      <c r="AN65" s="138" t="n">
        <f aca="false">'Price History'!T3+('Price History'!T158-'Price History'!T3)*0.402597402597403</f>
        <v>36.1012987012987</v>
      </c>
    </row>
    <row r="66" customFormat="false" ht="15" hidden="false" customHeight="true" outlineLevel="0" collapsed="false">
      <c r="A66" s="136" t="n">
        <f aca="false">IF('Price History'!A67="","",'Price History'!A67)</f>
        <v>45597</v>
      </c>
      <c r="B66" s="137" t="n">
        <f aca="false">IFERROR(IF(OR(NOT(ISNUMBER('Price History'!B67)),NOT(ISNUMBER('Price History'!B66)),'Price History'!B66=0),"",'Price History'!B67/'Price History'!B66-1),"")</f>
        <v>-0.00190192673447454</v>
      </c>
      <c r="C66" s="137" t="n">
        <f aca="false">IFERROR(IF(OR(NOT(ISNUMBER('Price History'!C67)),NOT(ISNUMBER('Price History'!C66)),'Price History'!C66=0),"",'Price History'!C67/'Price History'!C66-1),"")</f>
        <v>0.000203004466098333</v>
      </c>
      <c r="D66" s="137" t="n">
        <f aca="false">IFERROR(IF(OR(NOT(ISNUMBER('Price History'!D67)),NOT(ISNUMBER('Price History'!D66)),'Price History'!D66=0),"",'Price History'!D67/'Price History'!D66-1),"")</f>
        <v>-0.051946044681748</v>
      </c>
      <c r="E66" s="137" t="n">
        <f aca="false">IFERROR(IF(OR(NOT(ISNUMBER('Price History'!E67)),NOT(ISNUMBER('Price History'!E66)),'Price History'!E66=0),"",'Price History'!E67/'Price History'!E66-1),"")</f>
        <v>-0.0235838150289018</v>
      </c>
      <c r="F66" s="137" t="n">
        <f aca="false">IFERROR(IF(OR(NOT(ISNUMBER('Price History'!F67)),NOT(ISNUMBER('Price History'!F66)),'Price History'!F66=0),"",'Price History'!F67/'Price History'!F66-1),"")</f>
        <v>0.00824906865353925</v>
      </c>
      <c r="G66" s="137" t="n">
        <f aca="false">IFERROR(IF(OR(NOT(ISNUMBER('Price History'!G67)),NOT(ISNUMBER('Price History'!G66)),'Price History'!G66=0),"",'Price History'!G67/'Price History'!G66-1),"")</f>
        <v>-0.00549695439013531</v>
      </c>
      <c r="H66" s="137" t="n">
        <f aca="false">IFERROR(IF(OR(NOT(ISNUMBER('Price History'!H67)),NOT(ISNUMBER('Price History'!H66)),'Price History'!H66=0),"",'Price History'!H67/'Price History'!H66-1),"")</f>
        <v>-0.0758039106662959</v>
      </c>
      <c r="I66" s="137" t="n">
        <f aca="false">IFERROR(IF(OR(NOT(ISNUMBER('Price History'!I67)),NOT(ISNUMBER('Price History'!I66)),'Price History'!I66=0),"",'Price History'!I67/'Price History'!I66-1),"")</f>
        <v>-0.0433799632612688</v>
      </c>
      <c r="J66" s="137" t="n">
        <f aca="false">IFERROR(IF(OR(NOT(ISNUMBER('Price History'!J67)),NOT(ISNUMBER('Price History'!J66)),'Price History'!J66=0),"",'Price History'!J67/'Price History'!J66-1),"")</f>
        <v>-0.0352220520673813</v>
      </c>
      <c r="K66" s="137" t="n">
        <f aca="false">IFERROR(IF(OR(NOT(ISNUMBER('Price History'!K67)),NOT(ISNUMBER('Price History'!K66)),'Price History'!K66=0),"",'Price History'!K67/'Price History'!K66-1),"")</f>
        <v>-0.0655372269282211</v>
      </c>
      <c r="L66" s="137" t="n">
        <f aca="false">IFERROR(IF(OR(NOT(ISNUMBER('Price History'!L67)),NOT(ISNUMBER('Price History'!L66)),'Price History'!L66=0),"",'Price History'!L67/'Price History'!L66-1),"")</f>
        <v>-0.0515631144317735</v>
      </c>
      <c r="M66" s="137" t="n">
        <f aca="false">IFERROR(IF(OR(NOT(ISNUMBER('Price History'!M67)),NOT(ISNUMBER('Price History'!M66)),'Price History'!M66=0),"",'Price History'!M67/'Price History'!M66-1),"")</f>
        <v>-0.0469822590710528</v>
      </c>
      <c r="N66" s="137" t="n">
        <f aca="false">IFERROR(IF(OR(NOT(ISNUMBER('Price History'!N67)),NOT(ISNUMBER('Price History'!N66)),'Price History'!N66=0),"",'Price History'!N67/'Price History'!N66-1),"")</f>
        <v>-0.0137743353569185</v>
      </c>
      <c r="O66" s="137" t="n">
        <f aca="false">IFERROR(IF(OR(NOT(ISNUMBER('Price History'!O67)),NOT(ISNUMBER('Price History'!O66)),'Price History'!O66=0),"",'Price History'!O67/'Price History'!O66-1),"")</f>
        <v>-0.00242309313105782</v>
      </c>
      <c r="P66" s="137" t="str">
        <f aca="false">IFERROR(IF(OR(NOT(ISNUMBER('Price History'!P67)),NOT(ISNUMBER('Price History'!P66)),'Price History'!P66=0),"",'Price History'!P67/'Price History'!P66-1),"")</f>
        <v/>
      </c>
      <c r="Q66" s="137" t="n">
        <f aca="false">IFERROR(IF(OR(NOT(ISNUMBER('Price History'!Q67)),NOT(ISNUMBER('Price History'!Q66)),'Price History'!Q66=0),"",'Price History'!Q67/'Price History'!Q66-1),"")</f>
        <v>-0.0123476333702707</v>
      </c>
      <c r="R66" s="137" t="n">
        <f aca="false">IFERROR(IF(OR(NOT(ISNUMBER('Price History'!R67)),NOT(ISNUMBER('Price History'!R66)),'Price History'!R66=0),"",'Price History'!R67/'Price History'!R66-1),"")</f>
        <v>-0.0173285198555957</v>
      </c>
      <c r="S66" s="137" t="n">
        <f aca="false">IFERROR(IF(OR(NOT(ISNUMBER('Price History'!S67)),NOT(ISNUMBER('Price History'!S66)),'Price History'!S66=0),"",'Price History'!S67/'Price History'!S66-1),"")</f>
        <v>-0.0137015859315999</v>
      </c>
      <c r="T66" s="137" t="n">
        <f aca="false">IFERROR(IF(OR(NOT(ISNUMBER('Price History'!T67)),NOT(ISNUMBER('Price History'!T66)),'Price History'!T66=0),"",'Price History'!T67/'Price History'!T66-1),"")</f>
        <v>0.000603500301749937</v>
      </c>
      <c r="U66" s="137" t="str">
        <f aca="false">IFERROR(IF(OR(NOT(ISNUMBER('Price History'!U67)),NOT(ISNUMBER('Price History'!U66)),'Price History'!U66=0),"",'Price History'!U67/'Price History'!U66-1),"")</f>
        <v/>
      </c>
      <c r="W66" s="138" t="n">
        <f aca="false">'Price History'!B3+('Price History'!B158-'Price History'!B3)*0.409090909090909</f>
        <v>402.888181818182</v>
      </c>
      <c r="X66" s="138" t="n">
        <f aca="false">'Price History'!C3+('Price History'!C158-'Price History'!C3)*0.409090909090909</f>
        <v>99.6259090909091</v>
      </c>
      <c r="Y66" s="138" t="n">
        <f aca="false">'Price History'!D3+('Price History'!D158-'Price History'!D3)*0.409090909090909</f>
        <v>1057.46090909091</v>
      </c>
      <c r="Z66" s="138" t="n">
        <f aca="false">'Price History'!E3+('Price History'!E158-'Price History'!E3)*0.409090909090909</f>
        <v>208.284545454545</v>
      </c>
      <c r="AA66" s="138" t="n">
        <f aca="false">'Price History'!F3+('Price History'!F158-'Price History'!F3)*0.409090909090909</f>
        <v>99.9781818181818</v>
      </c>
      <c r="AB66" s="138" t="n">
        <f aca="false">'Price History'!G3+('Price History'!G158-'Price History'!G3)*0.409090909090909</f>
        <v>103.094545454545</v>
      </c>
      <c r="AC66" s="138" t="n">
        <f aca="false">'Price History'!H3+('Price History'!H158-'Price History'!H3)*0.409090909090909</f>
        <v>374.730909090909</v>
      </c>
      <c r="AD66" s="138" t="n">
        <f aca="false">'Price History'!I3+('Price History'!I158-'Price History'!I3)*0.409090909090909</f>
        <v>106.263636363636</v>
      </c>
      <c r="AE66" s="138" t="n">
        <f aca="false">'Price History'!J3+('Price History'!J158-'Price History'!J3)*0.409090909090909</f>
        <v>132.141818181818</v>
      </c>
      <c r="AF66" s="138" t="n">
        <f aca="false">'Price History'!K3+('Price History'!K158-'Price History'!K3)*0.409090909090909</f>
        <v>59.4486363636364</v>
      </c>
      <c r="AG66" s="138" t="n">
        <f aca="false">'Price History'!L3+('Price History'!L158-'Price History'!L3)*0.409090909090909</f>
        <v>219.732727272727</v>
      </c>
      <c r="AH66" s="138" t="n">
        <f aca="false">'Price History'!M3+('Price History'!M158-'Price History'!M3)*0.409090909090909</f>
        <v>118.625454545455</v>
      </c>
      <c r="AI66" s="138" t="n">
        <f aca="false">'Price History'!N3+('Price History'!N158-'Price History'!N3)*0.409090909090909</f>
        <v>401.912727272727</v>
      </c>
      <c r="AJ66" s="138" t="n">
        <f aca="false">'Price History'!O3+('Price History'!O158-'Price History'!O3)*0.409090909090909</f>
        <v>100.207727272727</v>
      </c>
      <c r="AK66" s="138" t="n">
        <f aca="false">'Price History'!Q3+('Price History'!Q151-'Price History'!Q3)*0.409090909090909</f>
        <v>57.4531818181818</v>
      </c>
      <c r="AL66" s="138" t="n">
        <f aca="false">'Price History'!R3+('Price History'!R158-'Price History'!R3)*0.409090909090909</f>
        <v>52.0868181818182</v>
      </c>
      <c r="AM66" s="138" t="n">
        <f aca="false">'Price History'!S3+('Price History'!S158-'Price History'!S3)*0.409090909090909</f>
        <v>93.4313636363636</v>
      </c>
      <c r="AN66" s="138" t="n">
        <f aca="false">'Price History'!T3+('Price History'!T158-'Price History'!T3)*0.409090909090909</f>
        <v>36.2495454545455</v>
      </c>
    </row>
    <row r="67" customFormat="false" ht="15" hidden="false" customHeight="true" outlineLevel="0" collapsed="false">
      <c r="A67" s="136" t="n">
        <f aca="false">IF('Price History'!A68="","",'Price History'!A68)</f>
        <v>45604</v>
      </c>
      <c r="B67" s="137" t="n">
        <f aca="false">IFERROR(IF(OR(NOT(ISNUMBER('Price History'!B68)),NOT(ISNUMBER('Price History'!B67)),'Price History'!B67=0),"",'Price History'!B68/'Price History'!B67-1),"")</f>
        <v>0.0246064623032312</v>
      </c>
      <c r="C67" s="137" t="n">
        <f aca="false">IFERROR(IF(OR(NOT(ISNUMBER('Price History'!C68)),NOT(ISNUMBER('Price History'!C67)),'Price History'!C67=0),"",'Price History'!C68/'Price History'!C67-1),"")</f>
        <v>0.0159326161964684</v>
      </c>
      <c r="D67" s="137" t="n">
        <f aca="false">IFERROR(IF(OR(NOT(ISNUMBER('Price History'!D68)),NOT(ISNUMBER('Price History'!D67)),'Price History'!D67=0),"",'Price History'!D68/'Price History'!D67-1),"")</f>
        <v>-0.00779571087694331</v>
      </c>
      <c r="E67" s="137" t="n">
        <f aca="false">IFERROR(IF(OR(NOT(ISNUMBER('Price History'!E68)),NOT(ISNUMBER('Price History'!E67)),'Price History'!E67=0),"",'Price History'!E68/'Price History'!E67-1),"")</f>
        <v>0.0871418422922092</v>
      </c>
      <c r="F67" s="137" t="n">
        <f aca="false">IFERROR(IF(OR(NOT(ISNUMBER('Price History'!F68)),NOT(ISNUMBER('Price History'!F67)),'Price History'!F67=0),"",'Price History'!F68/'Price History'!F67-1),"")</f>
        <v>0.0888097123251519</v>
      </c>
      <c r="G67" s="137" t="n">
        <f aca="false">IFERROR(IF(OR(NOT(ISNUMBER('Price History'!G68)),NOT(ISNUMBER('Price History'!G67)),'Price History'!G67=0),"",'Price History'!G68/'Price History'!G67-1),"")</f>
        <v>0.0268897520167313</v>
      </c>
      <c r="H67" s="137" t="n">
        <f aca="false">IFERROR(IF(OR(NOT(ISNUMBER('Price History'!H68)),NOT(ISNUMBER('Price History'!H67)),'Price History'!H67=0),"",'Price History'!H68/'Price History'!H67-1),"")</f>
        <v>0.122029479594906</v>
      </c>
      <c r="I67" s="137" t="n">
        <f aca="false">IFERROR(IF(OR(NOT(ISNUMBER('Price History'!I68)),NOT(ISNUMBER('Price History'!I67)),'Price History'!I67=0),"",'Price History'!I68/'Price History'!I67-1),"")</f>
        <v>0.0903249630723781</v>
      </c>
      <c r="J67" s="137" t="n">
        <f aca="false">IFERROR(IF(OR(NOT(ISNUMBER('Price History'!J68)),NOT(ISNUMBER('Price History'!J67)),'Price History'!J67=0),"",'Price History'!J68/'Price History'!J67-1),"")</f>
        <v>0.0214285714285714</v>
      </c>
      <c r="K67" s="137" t="n">
        <f aca="false">IFERROR(IF(OR(NOT(ISNUMBER('Price History'!K68)),NOT(ISNUMBER('Price History'!K67)),'Price History'!K67=0),"",'Price History'!K68/'Price History'!K67-1),"")</f>
        <v>0.392891221374046</v>
      </c>
      <c r="L67" s="137" t="n">
        <f aca="false">IFERROR(IF(OR(NOT(ISNUMBER('Price History'!L68)),NOT(ISNUMBER('Price History'!L67)),'Price History'!L67=0),"",'Price History'!L68/'Price History'!L67-1),"")</f>
        <v>0.0427571909821198</v>
      </c>
      <c r="M67" s="137" t="n">
        <f aca="false">IFERROR(IF(OR(NOT(ISNUMBER('Price History'!M68)),NOT(ISNUMBER('Price History'!M67)),'Price History'!M67=0),"",'Price History'!M68/'Price History'!M67-1),"")</f>
        <v>0.176333021515435</v>
      </c>
      <c r="N67" s="137" t="n">
        <f aca="false">IFERROR(IF(OR(NOT(ISNUMBER('Price History'!N68)),NOT(ISNUMBER('Price History'!N67)),'Price History'!N67=0),"",'Price History'!N68/'Price History'!N67-1),"")</f>
        <v>0.0968330786211582</v>
      </c>
      <c r="O67" s="137" t="n">
        <f aca="false">IFERROR(IF(OR(NOT(ISNUMBER('Price History'!O68)),NOT(ISNUMBER('Price History'!O67)),'Price History'!O67=0),"",'Price History'!O68/'Price History'!O67-1),"")</f>
        <v>0.0886049213222093</v>
      </c>
      <c r="P67" s="137" t="str">
        <f aca="false">IFERROR(IF(OR(NOT(ISNUMBER('Price History'!P68)),NOT(ISNUMBER('Price History'!P67)),'Price History'!P67=0),"",'Price History'!P68/'Price History'!P67-1),"")</f>
        <v/>
      </c>
      <c r="Q67" s="137" t="n">
        <f aca="false">IFERROR(IF(OR(NOT(ISNUMBER('Price History'!Q68)),NOT(ISNUMBER('Price History'!Q67)),'Price History'!Q67=0),"",'Price History'!Q68/'Price History'!Q67-1),"")</f>
        <v>0.00416733450873541</v>
      </c>
      <c r="R67" s="137" t="n">
        <f aca="false">IFERROR(IF(OR(NOT(ISNUMBER('Price History'!R68)),NOT(ISNUMBER('Price History'!R67)),'Price History'!R67=0),"",'Price History'!R68/'Price History'!R67-1),"")</f>
        <v>0.038574577516532</v>
      </c>
      <c r="S67" s="137" t="n">
        <f aca="false">IFERROR(IF(OR(NOT(ISNUMBER('Price History'!S68)),NOT(ISNUMBER('Price History'!S67)),'Price History'!S67=0),"",'Price History'!S68/'Price History'!S67-1),"")</f>
        <v>0.0598337344126012</v>
      </c>
      <c r="T67" s="137" t="n">
        <f aca="false">IFERROR(IF(OR(NOT(ISNUMBER('Price History'!T68)),NOT(ISNUMBER('Price History'!T67)),'Price History'!T67=0),"",'Price History'!T68/'Price History'!T67-1),"")</f>
        <v>0.0775030156815439</v>
      </c>
      <c r="U67" s="137" t="str">
        <f aca="false">IFERROR(IF(OR(NOT(ISNUMBER('Price History'!U68)),NOT(ISNUMBER('Price History'!U67)),'Price History'!U67=0),"",'Price History'!U68/'Price History'!U67-1),"")</f>
        <v/>
      </c>
      <c r="W67" s="138" t="n">
        <f aca="false">'Price History'!B3+('Price History'!B158-'Price History'!B3)*0.415584415584416</f>
        <v>401.212597402597</v>
      </c>
      <c r="X67" s="138" t="n">
        <f aca="false">'Price History'!C3+('Price History'!C158-'Price History'!C3)*0.415584415584416</f>
        <v>100.512987012987</v>
      </c>
      <c r="Y67" s="138" t="n">
        <f aca="false">'Price History'!D3+('Price History'!D158-'Price History'!D3)*0.415584415584416</f>
        <v>1063.74155844156</v>
      </c>
      <c r="Z67" s="138" t="n">
        <f aca="false">'Price History'!E3+('Price History'!E158-'Price History'!E3)*0.415584415584416</f>
        <v>210.273506493507</v>
      </c>
      <c r="AA67" s="138" t="n">
        <f aca="false">'Price History'!F3+('Price History'!F158-'Price History'!F3)*0.415584415584416</f>
        <v>100.976883116883</v>
      </c>
      <c r="AB67" s="138" t="n">
        <f aca="false">'Price History'!G3+('Price History'!G158-'Price History'!G3)*0.415584415584416</f>
        <v>103.970649350649</v>
      </c>
      <c r="AC67" s="138" t="n">
        <f aca="false">'Price History'!H3+('Price History'!H158-'Price History'!H3)*0.415584415584416</f>
        <v>379.657272727273</v>
      </c>
      <c r="AD67" s="138" t="n">
        <f aca="false">'Price History'!I3+('Price History'!I158-'Price History'!I3)*0.415584415584416</f>
        <v>107.301948051948</v>
      </c>
      <c r="AE67" s="138" t="n">
        <f aca="false">'Price History'!J3+('Price History'!J158-'Price History'!J3)*0.415584415584416</f>
        <v>132.278831168831</v>
      </c>
      <c r="AF67" s="138" t="n">
        <f aca="false">'Price History'!K3+('Price History'!K158-'Price History'!K3)*0.415584415584416</f>
        <v>60.1476623376624</v>
      </c>
      <c r="AG67" s="138" t="n">
        <f aca="false">'Price History'!L3+('Price History'!L158-'Price History'!L3)*0.415584415584416</f>
        <v>221.76038961039</v>
      </c>
      <c r="AH67" s="138" t="n">
        <f aca="false">'Price History'!M3+('Price History'!M158-'Price History'!M3)*0.415584415584416</f>
        <v>119.976493506494</v>
      </c>
      <c r="AI67" s="138" t="n">
        <f aca="false">'Price History'!N3+('Price History'!N158-'Price History'!N3)*0.415584415584416</f>
        <v>402.738961038961</v>
      </c>
      <c r="AJ67" s="138" t="n">
        <f aca="false">'Price History'!O3+('Price History'!O158-'Price History'!O3)*0.415584415584416</f>
        <v>100.483246753247</v>
      </c>
      <c r="AK67" s="138" t="n">
        <f aca="false">'Price History'!Q3+('Price History'!Q151-'Price History'!Q3)*0.415584415584416</f>
        <v>57.574025974026</v>
      </c>
      <c r="AL67" s="138" t="n">
        <f aca="false">'Price History'!R3+('Price History'!R158-'Price History'!R3)*0.415584415584416</f>
        <v>52.1545454545455</v>
      </c>
      <c r="AM67" s="138" t="n">
        <f aca="false">'Price History'!S3+('Price History'!S158-'Price History'!S3)*0.415584415584416</f>
        <v>93.9851948051949</v>
      </c>
      <c r="AN67" s="138" t="n">
        <f aca="false">'Price History'!T3+('Price History'!T158-'Price History'!T3)*0.415584415584416</f>
        <v>36.3977922077922</v>
      </c>
    </row>
    <row r="68" customFormat="false" ht="15" hidden="false" customHeight="true" outlineLevel="0" collapsed="false">
      <c r="A68" s="136" t="n">
        <f aca="false">IF('Price History'!A69="","",'Price History'!A69)</f>
        <v>45611</v>
      </c>
      <c r="B68" s="137" t="n">
        <f aca="false">IFERROR(IF(OR(NOT(ISNUMBER('Price History'!B69)),NOT(ISNUMBER('Price History'!B68)),'Price History'!B68=0),"",'Price History'!B69/'Price History'!B68-1),"")</f>
        <v>0.0175669119430744</v>
      </c>
      <c r="C68" s="137" t="n">
        <f aca="false">IFERROR(IF(OR(NOT(ISNUMBER('Price History'!C69)),NOT(ISNUMBER('Price History'!C68)),'Price History'!C68=0),"",'Price History'!C69/'Price History'!C68-1),"")</f>
        <v>-0.0650284686844471</v>
      </c>
      <c r="D68" s="137" t="n">
        <f aca="false">IFERROR(IF(OR(NOT(ISNUMBER('Price History'!D69)),NOT(ISNUMBER('Price History'!D68)),'Price History'!D68=0),"",'Price History'!D69/'Price History'!D68-1),"")</f>
        <v>-0.0161919130058106</v>
      </c>
      <c r="E68" s="137" t="n">
        <f aca="false">IFERROR(IF(OR(NOT(ISNUMBER('Price History'!E69)),NOT(ISNUMBER('Price History'!E68)),'Price History'!E68=0),"",'Price History'!E69/'Price History'!E68-1),"")</f>
        <v>-0.102374210411675</v>
      </c>
      <c r="F68" s="137" t="n">
        <f aca="false">IFERROR(IF(OR(NOT(ISNUMBER('Price History'!F69)),NOT(ISNUMBER('Price History'!F68)),'Price History'!F68=0),"",'Price History'!F69/'Price History'!F68-1),"")</f>
        <v>0.020361168343231</v>
      </c>
      <c r="G68" s="137" t="n">
        <f aca="false">IFERROR(IF(OR(NOT(ISNUMBER('Price History'!G69)),NOT(ISNUMBER('Price History'!G68)),'Price History'!G68=0),"",'Price History'!G69/'Price History'!G68-1),"")</f>
        <v>-0.106051789351178</v>
      </c>
      <c r="H68" s="137" t="n">
        <f aca="false">IFERROR(IF(OR(NOT(ISNUMBER('Price History'!H69)),NOT(ISNUMBER('Price History'!H68)),'Price History'!H68=0),"",'Price History'!H69/'Price History'!H68-1),"")</f>
        <v>-0.1390527256479</v>
      </c>
      <c r="I68" s="137" t="n">
        <f aca="false">IFERROR(IF(OR(NOT(ISNUMBER('Price History'!I69)),NOT(ISNUMBER('Price History'!I68)),'Price History'!I68=0),"",'Price History'!I69/'Price History'!I68-1),"")</f>
        <v>-0.0382713540608278</v>
      </c>
      <c r="J68" s="137" t="n">
        <f aca="false">IFERROR(IF(OR(NOT(ISNUMBER('Price History'!J69)),NOT(ISNUMBER('Price History'!J68)),'Price History'!J68=0),"",'Price History'!J69/'Price History'!J68-1),"")</f>
        <v>-0.0208063541396875</v>
      </c>
      <c r="K68" s="137" t="n">
        <f aca="false">IFERROR(IF(OR(NOT(ISNUMBER('Price History'!K69)),NOT(ISNUMBER('Price History'!K68)),'Price History'!K68=0),"",'Price History'!K69/'Price History'!K68-1),"")</f>
        <v>0.126391505394759</v>
      </c>
      <c r="L68" s="137" t="n">
        <f aca="false">IFERROR(IF(OR(NOT(ISNUMBER('Price History'!L69)),NOT(ISNUMBER('Price History'!L68)),'Price History'!L68=0),"",'Price History'!L69/'Price History'!L68-1),"")</f>
        <v>-0.0754970178926442</v>
      </c>
      <c r="M68" s="137" t="n">
        <f aca="false">IFERROR(IF(OR(NOT(ISNUMBER('Price History'!M69)),NOT(ISNUMBER('Price History'!M68)),'Price History'!M68=0),"",'Price History'!M69/'Price History'!M68-1),"")</f>
        <v>-0.038807157057654</v>
      </c>
      <c r="N68" s="137" t="n">
        <f aca="false">IFERROR(IF(OR(NOT(ISNUMBER('Price History'!N69)),NOT(ISNUMBER('Price History'!N68)),'Price History'!N68=0),"",'Price History'!N69/'Price History'!N68-1),"")</f>
        <v>-0.0987730773696637</v>
      </c>
      <c r="O68" s="137" t="n">
        <f aca="false">IFERROR(IF(OR(NOT(ISNUMBER('Price History'!O69)),NOT(ISNUMBER('Price History'!O68)),'Price History'!O68=0),"",'Price History'!O69/'Price History'!O68-1),"")</f>
        <v>-0.0194024058983314</v>
      </c>
      <c r="P68" s="137" t="str">
        <f aca="false">IFERROR(IF(OR(NOT(ISNUMBER('Price History'!P69)),NOT(ISNUMBER('Price History'!P68)),'Price History'!P68=0),"",'Price History'!P69/'Price History'!P68-1),"")</f>
        <v/>
      </c>
      <c r="Q68" s="137" t="n">
        <f aca="false">IFERROR(IF(OR(NOT(ISNUMBER('Price History'!Q69)),NOT(ISNUMBER('Price History'!Q68)),'Price History'!Q68=0),"",'Price History'!Q69/'Price History'!Q68-1),"")</f>
        <v>-0.00399042298483643</v>
      </c>
      <c r="R68" s="137" t="n">
        <f aca="false">IFERROR(IF(OR(NOT(ISNUMBER('Price History'!R69)),NOT(ISNUMBER('Price History'!R68)),'Price History'!R68=0),"",'Price History'!R69/'Price History'!R68-1),"")</f>
        <v>-0.0164485320127343</v>
      </c>
      <c r="S68" s="137" t="n">
        <f aca="false">IFERROR(IF(OR(NOT(ISNUMBER('Price History'!S69)),NOT(ISNUMBER('Price History'!S68)),'Price History'!S68=0),"",'Price History'!S69/'Price History'!S68-1),"")</f>
        <v>-0.030859737847043</v>
      </c>
      <c r="T68" s="137" t="n">
        <f aca="false">IFERROR(IF(OR(NOT(ISNUMBER('Price History'!T69)),NOT(ISNUMBER('Price History'!T68)),'Price History'!T68=0),"",'Price History'!T69/'Price History'!T68-1),"")</f>
        <v>-0.0153932269801287</v>
      </c>
      <c r="U68" s="137" t="str">
        <f aca="false">IFERROR(IF(OR(NOT(ISNUMBER('Price History'!U69)),NOT(ISNUMBER('Price History'!U68)),'Price History'!U68=0),"",'Price History'!U69/'Price History'!U68-1),"")</f>
        <v/>
      </c>
      <c r="W68" s="138" t="n">
        <f aca="false">'Price History'!B3+('Price History'!B158-'Price History'!B3)*0.422077922077922</f>
        <v>399.537012987013</v>
      </c>
      <c r="X68" s="138" t="n">
        <f aca="false">'Price History'!C3+('Price History'!C158-'Price History'!C3)*0.422077922077922</f>
        <v>101.400064935065</v>
      </c>
      <c r="Y68" s="138" t="n">
        <f aca="false">'Price History'!D3+('Price History'!D158-'Price History'!D3)*0.422077922077922</f>
        <v>1070.02220779221</v>
      </c>
      <c r="Z68" s="138" t="n">
        <f aca="false">'Price History'!E3+('Price History'!E158-'Price History'!E3)*0.422077922077922</f>
        <v>212.262467532468</v>
      </c>
      <c r="AA68" s="138" t="n">
        <f aca="false">'Price History'!F3+('Price History'!F158-'Price History'!F3)*0.422077922077922</f>
        <v>101.975584415584</v>
      </c>
      <c r="AB68" s="138" t="n">
        <f aca="false">'Price History'!G3+('Price History'!G158-'Price History'!G3)*0.422077922077922</f>
        <v>104.846753246753</v>
      </c>
      <c r="AC68" s="138" t="n">
        <f aca="false">'Price History'!H3+('Price History'!H158-'Price History'!H3)*0.422077922077922</f>
        <v>384.583636363636</v>
      </c>
      <c r="AD68" s="138" t="n">
        <f aca="false">'Price History'!I3+('Price History'!I158-'Price History'!I3)*0.422077922077922</f>
        <v>108.34025974026</v>
      </c>
      <c r="AE68" s="138" t="n">
        <f aca="false">'Price History'!J3+('Price History'!J158-'Price History'!J3)*0.422077922077922</f>
        <v>132.415844155844</v>
      </c>
      <c r="AF68" s="138" t="n">
        <f aca="false">'Price History'!K3+('Price History'!K158-'Price History'!K3)*0.422077922077922</f>
        <v>60.8466883116883</v>
      </c>
      <c r="AG68" s="138" t="n">
        <f aca="false">'Price History'!L3+('Price History'!L158-'Price History'!L3)*0.422077922077922</f>
        <v>223.788051948052</v>
      </c>
      <c r="AH68" s="138" t="n">
        <f aca="false">'Price History'!M3+('Price History'!M158-'Price History'!M3)*0.422077922077922</f>
        <v>121.327532467532</v>
      </c>
      <c r="AI68" s="138" t="n">
        <f aca="false">'Price History'!N3+('Price History'!N158-'Price History'!N3)*0.422077922077922</f>
        <v>403.565194805195</v>
      </c>
      <c r="AJ68" s="138" t="n">
        <f aca="false">'Price History'!O3+('Price History'!O158-'Price History'!O3)*0.422077922077922</f>
        <v>100.758766233766</v>
      </c>
      <c r="AK68" s="138" t="n">
        <f aca="false">'Price History'!Q3+('Price History'!Q151-'Price History'!Q3)*0.422077922077922</f>
        <v>57.6948701298701</v>
      </c>
      <c r="AL68" s="138" t="n">
        <f aca="false">'Price History'!R3+('Price History'!R158-'Price History'!R3)*0.422077922077922</f>
        <v>52.2222727272727</v>
      </c>
      <c r="AM68" s="138" t="n">
        <f aca="false">'Price History'!S3+('Price History'!S158-'Price History'!S3)*0.422077922077922</f>
        <v>94.539025974026</v>
      </c>
      <c r="AN68" s="138" t="n">
        <f aca="false">'Price History'!T3+('Price History'!T158-'Price History'!T3)*0.422077922077922</f>
        <v>36.546038961039</v>
      </c>
    </row>
    <row r="69" customFormat="false" ht="15" hidden="false" customHeight="true" outlineLevel="0" collapsed="false">
      <c r="A69" s="136" t="n">
        <f aca="false">IF('Price History'!A70="","",'Price History'!A70)</f>
        <v>45618</v>
      </c>
      <c r="B69" s="137" t="n">
        <f aca="false">IFERROR(IF(OR(NOT(ISNUMBER('Price History'!B70)),NOT(ISNUMBER('Price History'!B69)),'Price History'!B69=0),"",'Price History'!B70/'Price History'!B69-1),"")</f>
        <v>0.0174424379680951</v>
      </c>
      <c r="C69" s="137" t="n">
        <f aca="false">IFERROR(IF(OR(NOT(ISNUMBER('Price History'!C70)),NOT(ISNUMBER('Price History'!C69)),'Price History'!C69=0),"",'Price History'!C70/'Price History'!C69-1),"")</f>
        <v>0.0856837606837608</v>
      </c>
      <c r="D69" s="137" t="n">
        <f aca="false">IFERROR(IF(OR(NOT(ISNUMBER('Price History'!D70)),NOT(ISNUMBER('Price History'!D69)),'Price History'!D69=0),"",'Price History'!D70/'Price History'!D69-1),"")</f>
        <v>0.0216358198077828</v>
      </c>
      <c r="E69" s="137" t="n">
        <f aca="false">IFERROR(IF(OR(NOT(ISNUMBER('Price History'!E70)),NOT(ISNUMBER('Price History'!E69)),'Price History'!E69=0),"",'Price History'!E70/'Price History'!E69-1),"")</f>
        <v>-0.00370055811696202</v>
      </c>
      <c r="F69" s="137" t="n">
        <f aca="false">IFERROR(IF(OR(NOT(ISNUMBER('Price History'!F70)),NOT(ISNUMBER('Price History'!F69)),'Price History'!F69=0),"",'Price History'!F70/'Price History'!F69-1),"")</f>
        <v>0.10547570970424</v>
      </c>
      <c r="G69" s="137" t="n">
        <f aca="false">IFERROR(IF(OR(NOT(ISNUMBER('Price History'!G70)),NOT(ISNUMBER('Price History'!G69)),'Price History'!G69=0),"",'Price History'!G70/'Price History'!G69-1),"")</f>
        <v>0.040846216436127</v>
      </c>
      <c r="H69" s="137" t="n">
        <f aca="false">IFERROR(IF(OR(NOT(ISNUMBER('Price History'!H70)),NOT(ISNUMBER('Price History'!H69)),'Price History'!H69=0),"",'Price History'!H70/'Price History'!H69-1),"")</f>
        <v>0.0653933983807349</v>
      </c>
      <c r="I69" s="137" t="n">
        <f aca="false">IFERROR(IF(OR(NOT(ISNUMBER('Price History'!I70)),NOT(ISNUMBER('Price History'!I69)),'Price History'!I69=0),"",'Price History'!I70/'Price History'!I69-1),"")</f>
        <v>-0.000211297365826146</v>
      </c>
      <c r="J69" s="137" t="n">
        <f aca="false">IFERROR(IF(OR(NOT(ISNUMBER('Price History'!J70)),NOT(ISNUMBER('Price History'!J69)),'Price History'!J69=0),"",'Price History'!J70/'Price History'!J69-1),"")</f>
        <v>0.0209839534473637</v>
      </c>
      <c r="K69" s="137" t="n">
        <f aca="false">IFERROR(IF(OR(NOT(ISNUMBER('Price History'!K70)),NOT(ISNUMBER('Price History'!K69)),'Price History'!K69=0),"",'Price History'!K70/'Price History'!K69-1),"")</f>
        <v>-0.0215903907556637</v>
      </c>
      <c r="L69" s="137" t="n">
        <f aca="false">IFERROR(IF(OR(NOT(ISNUMBER('Price History'!L70)),NOT(ISNUMBER('Price History'!L69)),'Price History'!L69=0),"",'Price History'!L70/'Price History'!L69-1),"")</f>
        <v>0.0218805440567713</v>
      </c>
      <c r="M69" s="137" t="n">
        <f aca="false">IFERROR(IF(OR(NOT(ISNUMBER('Price History'!M70)),NOT(ISNUMBER('Price History'!M69)),'Price History'!M69=0),"",'Price History'!M70/'Price History'!M69-1),"")</f>
        <v>0.159510217589145</v>
      </c>
      <c r="N69" s="137" t="n">
        <f aca="false">IFERROR(IF(OR(NOT(ISNUMBER('Price History'!N70)),NOT(ISNUMBER('Price History'!N69)),'Price History'!N69=0),"",'Price History'!N70/'Price History'!N69-1),"")</f>
        <v>-0.0316298045952329</v>
      </c>
      <c r="O69" s="137" t="n">
        <f aca="false">IFERROR(IF(OR(NOT(ISNUMBER('Price History'!O70)),NOT(ISNUMBER('Price History'!O69)),'Price History'!O69=0),"",'Price History'!O70/'Price History'!O69-1),"")</f>
        <v>0.0366046695686586</v>
      </c>
      <c r="P69" s="137" t="str">
        <f aca="false">IFERROR(IF(OR(NOT(ISNUMBER('Price History'!P70)),NOT(ISNUMBER('Price History'!P69)),'Price History'!P69=0),"",'Price History'!P70/'Price History'!P69-1),"")</f>
        <v/>
      </c>
      <c r="Q69" s="137" t="n">
        <f aca="false">IFERROR(IF(OR(NOT(ISNUMBER('Price History'!Q70)),NOT(ISNUMBER('Price History'!Q69)),'Price History'!Q69=0),"",'Price History'!Q70/'Price History'!Q69-1),"")</f>
        <v>-0.0121794871794871</v>
      </c>
      <c r="R69" s="137" t="n">
        <f aca="false">IFERROR(IF(OR(NOT(ISNUMBER('Price History'!R70)),NOT(ISNUMBER('Price History'!R69)),'Price History'!R69=0),"",'Price History'!R70/'Price History'!R69-1),"")</f>
        <v>0.0172630821794642</v>
      </c>
      <c r="S69" s="137" t="n">
        <f aca="false">IFERROR(IF(OR(NOT(ISNUMBER('Price History'!S70)),NOT(ISNUMBER('Price History'!S69)),'Price History'!S69=0),"",'Price History'!S70/'Price History'!S69-1),"")</f>
        <v>0.0178913738019169</v>
      </c>
      <c r="T69" s="137" t="n">
        <f aca="false">IFERROR(IF(OR(NOT(ISNUMBER('Price History'!T70)),NOT(ISNUMBER('Price History'!T69)),'Price History'!T69=0),"",'Price History'!T70/'Price History'!T69-1),"")</f>
        <v>0.0386583285957931</v>
      </c>
      <c r="U69" s="137" t="str">
        <f aca="false">IFERROR(IF(OR(NOT(ISNUMBER('Price History'!U70)),NOT(ISNUMBER('Price History'!U69)),'Price History'!U69=0),"",'Price History'!U70/'Price History'!U69-1),"")</f>
        <v/>
      </c>
      <c r="W69" s="138" t="n">
        <f aca="false">'Price History'!B3+('Price History'!B158-'Price History'!B3)*0.428571428571429</f>
        <v>397.861428571428</v>
      </c>
      <c r="X69" s="138" t="n">
        <f aca="false">'Price History'!C3+('Price History'!C158-'Price History'!C3)*0.428571428571429</f>
        <v>102.287142857143</v>
      </c>
      <c r="Y69" s="138" t="n">
        <f aca="false">'Price History'!D3+('Price History'!D158-'Price History'!D3)*0.428571428571429</f>
        <v>1076.30285714286</v>
      </c>
      <c r="Z69" s="138" t="n">
        <f aca="false">'Price History'!E3+('Price History'!E158-'Price History'!E3)*0.428571428571429</f>
        <v>214.251428571429</v>
      </c>
      <c r="AA69" s="138" t="n">
        <f aca="false">'Price History'!F3+('Price History'!F158-'Price History'!F3)*0.428571428571429</f>
        <v>102.974285714286</v>
      </c>
      <c r="AB69" s="138" t="n">
        <f aca="false">'Price History'!G3+('Price History'!G158-'Price History'!G3)*0.428571428571429</f>
        <v>105.722857142857</v>
      </c>
      <c r="AC69" s="138" t="n">
        <f aca="false">'Price History'!H3+('Price History'!H158-'Price History'!H3)*0.428571428571429</f>
        <v>389.51</v>
      </c>
      <c r="AD69" s="138" t="n">
        <f aca="false">'Price History'!I3+('Price History'!I158-'Price History'!I3)*0.428571428571429</f>
        <v>109.378571428571</v>
      </c>
      <c r="AE69" s="138" t="n">
        <f aca="false">'Price History'!J3+('Price History'!J158-'Price History'!J3)*0.428571428571429</f>
        <v>132.552857142857</v>
      </c>
      <c r="AF69" s="138" t="n">
        <f aca="false">'Price History'!K3+('Price History'!K158-'Price History'!K3)*0.428571428571429</f>
        <v>61.5457142857143</v>
      </c>
      <c r="AG69" s="138" t="n">
        <f aca="false">'Price History'!L3+('Price History'!L158-'Price History'!L3)*0.428571428571429</f>
        <v>225.815714285714</v>
      </c>
      <c r="AH69" s="138" t="n">
        <f aca="false">'Price History'!M3+('Price History'!M158-'Price History'!M3)*0.428571428571429</f>
        <v>122.678571428572</v>
      </c>
      <c r="AI69" s="138" t="n">
        <f aca="false">'Price History'!N3+('Price History'!N158-'Price History'!N3)*0.428571428571429</f>
        <v>404.391428571429</v>
      </c>
      <c r="AJ69" s="138" t="n">
        <f aca="false">'Price History'!O3+('Price History'!O158-'Price History'!O3)*0.428571428571429</f>
        <v>101.034285714286</v>
      </c>
      <c r="AK69" s="138" t="n">
        <f aca="false">'Price History'!Q3+('Price History'!Q151-'Price History'!Q3)*0.428571428571429</f>
        <v>57.8157142857143</v>
      </c>
      <c r="AL69" s="138" t="n">
        <f aca="false">'Price History'!R3+('Price History'!R158-'Price History'!R3)*0.428571428571429</f>
        <v>52.29</v>
      </c>
      <c r="AM69" s="138" t="n">
        <f aca="false">'Price History'!S3+('Price History'!S158-'Price History'!S3)*0.428571428571429</f>
        <v>95.0928571428572</v>
      </c>
      <c r="AN69" s="138" t="n">
        <f aca="false">'Price History'!T3+('Price History'!T158-'Price History'!T3)*0.428571428571429</f>
        <v>36.6942857142857</v>
      </c>
    </row>
    <row r="70" customFormat="false" ht="15" hidden="false" customHeight="true" outlineLevel="0" collapsed="false">
      <c r="A70" s="136" t="n">
        <f aca="false">IF('Price History'!A71="","",'Price History'!A71)</f>
        <v>45625</v>
      </c>
      <c r="B70" s="137" t="n">
        <f aca="false">IFERROR(IF(OR(NOT(ISNUMBER('Price History'!B71)),NOT(ISNUMBER('Price History'!B70)),'Price History'!B70=0),"",'Price History'!B71/'Price History'!B70-1),"")</f>
        <v>0.00738065020013656</v>
      </c>
      <c r="C70" s="137" t="n">
        <f aca="false">IFERROR(IF(OR(NOT(ISNUMBER('Price History'!C71)),NOT(ISNUMBER('Price History'!C70)),'Price History'!C70=0),"",'Price History'!C71/'Price History'!C70-1),"")</f>
        <v>-0.00157449320999814</v>
      </c>
      <c r="D70" s="137" t="n">
        <f aca="false">IFERROR(IF(OR(NOT(ISNUMBER('Price History'!D71)),NOT(ISNUMBER('Price History'!D70)),'Price History'!D70=0),"",'Price History'!D71/'Price History'!D70-1),"")</f>
        <v>0.0204048270122459</v>
      </c>
      <c r="E70" s="137" t="n">
        <f aca="false">IFERROR(IF(OR(NOT(ISNUMBER('Price History'!E71)),NOT(ISNUMBER('Price History'!E70)),'Price History'!E70=0),"",'Price History'!E71/'Price History'!E70-1),"")</f>
        <v>-0.0130913962126284</v>
      </c>
      <c r="F70" s="137" t="n">
        <f aca="false">IFERROR(IF(OR(NOT(ISNUMBER('Price History'!F71)),NOT(ISNUMBER('Price History'!F70)),'Price History'!F70=0),"",'Price History'!F71/'Price History'!F70-1),"")</f>
        <v>-0.070699473514559</v>
      </c>
      <c r="G70" s="137" t="n">
        <f aca="false">IFERROR(IF(OR(NOT(ISNUMBER('Price History'!G71)),NOT(ISNUMBER('Price History'!G70)),'Price History'!G70=0),"",'Price History'!G71/'Price History'!G70-1),"")</f>
        <v>0.0115697310819263</v>
      </c>
      <c r="H70" s="137" t="n">
        <f aca="false">IFERROR(IF(OR(NOT(ISNUMBER('Price History'!H71)),NOT(ISNUMBER('Price History'!H70)),'Price History'!H70=0),"",'Price History'!H71/'Price History'!H70-1),"")</f>
        <v>-0.0456936866718628</v>
      </c>
      <c r="I70" s="137" t="n">
        <f aca="false">IFERROR(IF(OR(NOT(ISNUMBER('Price History'!I71)),NOT(ISNUMBER('Price History'!I70)),'Price History'!I70=0),"",'Price History'!I71/'Price History'!I70-1),"")</f>
        <v>-0.0260655160267699</v>
      </c>
      <c r="J70" s="137" t="n">
        <f aca="false">IFERROR(IF(OR(NOT(ISNUMBER('Price History'!J71)),NOT(ISNUMBER('Price History'!J70)),'Price History'!J70=0),"",'Price History'!J71/'Price History'!J70-1),"")</f>
        <v>0.00846286701208987</v>
      </c>
      <c r="K70" s="137" t="n">
        <f aca="false">IFERROR(IF(OR(NOT(ISNUMBER('Price History'!K71)),NOT(ISNUMBER('Price History'!K70)),'Price History'!K70=0),"",'Price History'!K71/'Price History'!K70-1),"")</f>
        <v>0.0424242424242425</v>
      </c>
      <c r="L70" s="137" t="n">
        <f aca="false">IFERROR(IF(OR(NOT(ISNUMBER('Price History'!L71)),NOT(ISNUMBER('Price History'!L70)),'Price History'!L70=0),"",'Price History'!L71/'Price History'!L70-1),"")</f>
        <v>-0.0285143097643098</v>
      </c>
      <c r="M70" s="137" t="n">
        <f aca="false">IFERROR(IF(OR(NOT(ISNUMBER('Price History'!M71)),NOT(ISNUMBER('Price History'!M70)),'Price History'!M70=0),"",'Price History'!M71/'Price History'!M70-1),"")</f>
        <v>-0.0895469140206922</v>
      </c>
      <c r="N70" s="137" t="n">
        <f aca="false">IFERROR(IF(OR(NOT(ISNUMBER('Price History'!N71)),NOT(ISNUMBER('Price History'!N70)),'Price History'!N70=0),"",'Price History'!N71/'Price History'!N70-1),"")</f>
        <v>0.0380513116171806</v>
      </c>
      <c r="O70" s="137" t="n">
        <f aca="false">IFERROR(IF(OR(NOT(ISNUMBER('Price History'!O71)),NOT(ISNUMBER('Price History'!O70)),'Price History'!O70=0),"",'Price History'!O71/'Price History'!O70-1),"")</f>
        <v>0.00677610230960091</v>
      </c>
      <c r="P70" s="137" t="str">
        <f aca="false">IFERROR(IF(OR(NOT(ISNUMBER('Price History'!P71)),NOT(ISNUMBER('Price History'!P70)),'Price History'!P70=0),"",'Price History'!P71/'Price History'!P70-1),"")</f>
        <v/>
      </c>
      <c r="Q70" s="137" t="n">
        <f aca="false">IFERROR(IF(OR(NOT(ISNUMBER('Price History'!Q71)),NOT(ISNUMBER('Price History'!Q70)),'Price History'!Q70=0),"",'Price History'!Q71/'Price History'!Q70-1),"")</f>
        <v>0.0171966255678131</v>
      </c>
      <c r="R70" s="137" t="n">
        <f aca="false">IFERROR(IF(OR(NOT(ISNUMBER('Price History'!R71)),NOT(ISNUMBER('Price History'!R70)),'Price History'!R70=0),"",'Price History'!R71/'Price History'!R70-1),"")</f>
        <v>0.00919215131695261</v>
      </c>
      <c r="S70" s="137" t="n">
        <f aca="false">IFERROR(IF(OR(NOT(ISNUMBER('Price History'!S71)),NOT(ISNUMBER('Price History'!S70)),'Price History'!S70=0),"",'Price History'!S71/'Price History'!S70-1),"")</f>
        <v>0.0130780498012137</v>
      </c>
      <c r="T70" s="137" t="n">
        <f aca="false">IFERROR(IF(OR(NOT(ISNUMBER('Price History'!T71)),NOT(ISNUMBER('Price History'!T70)),'Price History'!T70=0),"",'Price History'!T71/'Price History'!T70-1),"")</f>
        <v>0.00191570881226055</v>
      </c>
      <c r="U70" s="137" t="str">
        <f aca="false">IFERROR(IF(OR(NOT(ISNUMBER('Price History'!U71)),NOT(ISNUMBER('Price History'!U70)),'Price History'!U70=0),"",'Price History'!U71/'Price History'!U70-1),"")</f>
        <v/>
      </c>
      <c r="W70" s="138" t="n">
        <f aca="false">'Price History'!B3+('Price History'!B158-'Price History'!B3)*0.435064935064935</f>
        <v>396.185844155844</v>
      </c>
      <c r="X70" s="138" t="n">
        <f aca="false">'Price History'!C3+('Price History'!C158-'Price History'!C3)*0.435064935064935</f>
        <v>103.174220779221</v>
      </c>
      <c r="Y70" s="138" t="n">
        <f aca="false">'Price History'!D3+('Price History'!D158-'Price History'!D3)*0.435064935064935</f>
        <v>1082.58350649351</v>
      </c>
      <c r="Z70" s="138" t="n">
        <f aca="false">'Price History'!E3+('Price History'!E158-'Price History'!E3)*0.435064935064935</f>
        <v>216.24038961039</v>
      </c>
      <c r="AA70" s="138" t="n">
        <f aca="false">'Price History'!F3+('Price History'!F158-'Price History'!F3)*0.435064935064935</f>
        <v>103.972987012987</v>
      </c>
      <c r="AB70" s="138" t="n">
        <f aca="false">'Price History'!G3+('Price History'!G158-'Price History'!G3)*0.435064935064935</f>
        <v>106.598961038961</v>
      </c>
      <c r="AC70" s="138" t="n">
        <f aca="false">'Price History'!H3+('Price History'!H158-'Price History'!H3)*0.435064935064935</f>
        <v>394.436363636364</v>
      </c>
      <c r="AD70" s="138" t="n">
        <f aca="false">'Price History'!I3+('Price History'!I158-'Price History'!I3)*0.435064935064935</f>
        <v>110.416883116883</v>
      </c>
      <c r="AE70" s="138" t="n">
        <f aca="false">'Price History'!J3+('Price History'!J158-'Price History'!J3)*0.435064935064935</f>
        <v>132.68987012987</v>
      </c>
      <c r="AF70" s="138" t="n">
        <f aca="false">'Price History'!K3+('Price History'!K158-'Price History'!K3)*0.435064935064935</f>
        <v>62.2447402597403</v>
      </c>
      <c r="AG70" s="138" t="n">
        <f aca="false">'Price History'!L3+('Price History'!L158-'Price History'!L3)*0.435064935064935</f>
        <v>227.843376623377</v>
      </c>
      <c r="AH70" s="138" t="n">
        <f aca="false">'Price History'!M3+('Price History'!M158-'Price History'!M3)*0.435064935064935</f>
        <v>124.02961038961</v>
      </c>
      <c r="AI70" s="138" t="n">
        <f aca="false">'Price History'!N3+('Price History'!N158-'Price History'!N3)*0.435064935064935</f>
        <v>405.217662337662</v>
      </c>
      <c r="AJ70" s="138" t="n">
        <f aca="false">'Price History'!O3+('Price History'!O158-'Price History'!O3)*0.435064935064935</f>
        <v>101.309805194805</v>
      </c>
      <c r="AK70" s="138" t="n">
        <f aca="false">'Price History'!Q3+('Price History'!Q151-'Price History'!Q3)*0.435064935064935</f>
        <v>57.9365584415585</v>
      </c>
      <c r="AL70" s="138" t="n">
        <f aca="false">'Price History'!R3+('Price History'!R158-'Price History'!R3)*0.435064935064935</f>
        <v>52.3577272727273</v>
      </c>
      <c r="AM70" s="138" t="n">
        <f aca="false">'Price History'!S3+('Price History'!S158-'Price History'!S3)*0.435064935064935</f>
        <v>95.6466883116883</v>
      </c>
      <c r="AN70" s="138" t="n">
        <f aca="false">'Price History'!T3+('Price History'!T158-'Price History'!T3)*0.435064935064935</f>
        <v>36.8425324675325</v>
      </c>
    </row>
    <row r="71" customFormat="false" ht="15" hidden="false" customHeight="true" outlineLevel="0" collapsed="false">
      <c r="A71" s="136" t="n">
        <f aca="false">IF('Price History'!A72="","",'Price History'!A72)</f>
        <v>45632</v>
      </c>
      <c r="B71" s="137" t="n">
        <f aca="false">IFERROR(IF(OR(NOT(ISNUMBER('Price History'!B72)),NOT(ISNUMBER('Price History'!B71)),'Price History'!B71=0),"",'Price History'!B72/'Price History'!B71-1),"")</f>
        <v>0.0717733025798075</v>
      </c>
      <c r="C71" s="137" t="n">
        <f aca="false">IFERROR(IF(OR(NOT(ISNUMBER('Price History'!C72)),NOT(ISNUMBER('Price History'!C71)),'Price History'!C71=0),"",'Price History'!C72/'Price History'!C71-1),"")</f>
        <v>0.0669229252907551</v>
      </c>
      <c r="D71" s="137" t="n">
        <f aca="false">IFERROR(IF(OR(NOT(ISNUMBER('Price History'!D72)),NOT(ISNUMBER('Price History'!D71)),'Price History'!D71=0),"",'Price History'!D72/'Price History'!D71-1),"")</f>
        <v>0.0325803585732802</v>
      </c>
      <c r="E71" s="137" t="n">
        <f aca="false">IFERROR(IF(OR(NOT(ISNUMBER('Price History'!E72)),NOT(ISNUMBER('Price History'!E71)),'Price History'!E71=0),"",'Price History'!E72/'Price History'!E71-1),"")</f>
        <v>0.107662882527147</v>
      </c>
      <c r="F71" s="137" t="n">
        <f aca="false">IFERROR(IF(OR(NOT(ISNUMBER('Price History'!F72)),NOT(ISNUMBER('Price History'!F71)),'Price History'!F71=0),"",'Price History'!F72/'Price History'!F71-1),"")</f>
        <v>0.0568851890391953</v>
      </c>
      <c r="G71" s="137" t="n">
        <f aca="false">IFERROR(IF(OR(NOT(ISNUMBER('Price History'!G72)),NOT(ISNUMBER('Price History'!G71)),'Price History'!G71=0),"",'Price History'!G72/'Price History'!G71-1),"")</f>
        <v>0.00200927357032454</v>
      </c>
      <c r="H71" s="137" t="n">
        <f aca="false">IFERROR(IF(OR(NOT(ISNUMBER('Price History'!H72)),NOT(ISNUMBER('Price History'!H71)),'Price History'!H71=0),"",'Price History'!H72/'Price History'!H71-1),"")</f>
        <v>0.0328739152628892</v>
      </c>
      <c r="I71" s="137" t="n">
        <f aca="false">IFERROR(IF(OR(NOT(ISNUMBER('Price History'!I72)),NOT(ISNUMBER('Price History'!I71)),'Price History'!I71=0),"",'Price History'!I72/'Price History'!I71-1),"")</f>
        <v>0.0303074141048825</v>
      </c>
      <c r="J71" s="137" t="n">
        <f aca="false">IFERROR(IF(OR(NOT(ISNUMBER('Price History'!J72)),NOT(ISNUMBER('Price History'!J71)),'Price History'!J71=0),"",'Price History'!J72/'Price History'!J71-1),"")</f>
        <v>-0.0409316663812297</v>
      </c>
      <c r="K71" s="137" t="n">
        <f aca="false">IFERROR(IF(OR(NOT(ISNUMBER('Price History'!K72)),NOT(ISNUMBER('Price History'!K71)),'Price History'!K71=0),"",'Price History'!K72/'Price History'!K71-1),"")</f>
        <v>0.13804412641622</v>
      </c>
      <c r="L71" s="137" t="n">
        <f aca="false">IFERROR(IF(OR(NOT(ISNUMBER('Price History'!L72)),NOT(ISNUMBER('Price History'!L71)),'Price History'!L71=0),"",'Price History'!L72/'Price History'!L71-1),"")</f>
        <v>0.099425972056753</v>
      </c>
      <c r="M71" s="137" t="n">
        <f aca="false">IFERROR(IF(OR(NOT(ISNUMBER('Price History'!M72)),NOT(ISNUMBER('Price History'!M71)),'Price History'!M71=0),"",'Price History'!M72/'Price History'!M71-1),"")</f>
        <v>0.0489811912225706</v>
      </c>
      <c r="N71" s="137" t="n">
        <f aca="false">IFERROR(IF(OR(NOT(ISNUMBER('Price History'!N72)),NOT(ISNUMBER('Price History'!N71)),'Price History'!N71=0),"",'Price History'!N72/'Price History'!N71-1),"")</f>
        <v>-0.0128810373186935</v>
      </c>
      <c r="O71" s="137" t="n">
        <f aca="false">IFERROR(IF(OR(NOT(ISNUMBER('Price History'!O72)),NOT(ISNUMBER('Price History'!O71)),'Price History'!O71=0),"",'Price History'!O72/'Price History'!O71-1),"")</f>
        <v>-0.0208550573514076</v>
      </c>
      <c r="P71" s="137" t="str">
        <f aca="false">IFERROR(IF(OR(NOT(ISNUMBER('Price History'!P72)),NOT(ISNUMBER('Price History'!P71)),'Price History'!P71=0),"",'Price History'!P72/'Price History'!P71-1),"")</f>
        <v/>
      </c>
      <c r="Q71" s="137" t="n">
        <f aca="false">IFERROR(IF(OR(NOT(ISNUMBER('Price History'!Q72)),NOT(ISNUMBER('Price History'!Q71)),'Price History'!Q71=0),"",'Price History'!Q72/'Price History'!Q71-1),"")</f>
        <v>0.0103668261562999</v>
      </c>
      <c r="R71" s="137" t="n">
        <f aca="false">IFERROR(IF(OR(NOT(ISNUMBER('Price History'!R72)),NOT(ISNUMBER('Price History'!R71)),'Price History'!R71=0),"",'Price History'!R72/'Price History'!R71-1),"")</f>
        <v>0.00928358731826928</v>
      </c>
      <c r="S71" s="137" t="n">
        <f aca="false">IFERROR(IF(OR(NOT(ISNUMBER('Price History'!S72)),NOT(ISNUMBER('Price History'!S71)),'Price History'!S71=0),"",'Price History'!S72/'Price History'!S71-1),"")</f>
        <v>0.0193121966332748</v>
      </c>
      <c r="T71" s="137" t="n">
        <f aca="false">IFERROR(IF(OR(NOT(ISNUMBER('Price History'!T72)),NOT(ISNUMBER('Price History'!T71)),'Price History'!T71=0),"",'Price History'!T72/'Price History'!T71-1),"")</f>
        <v>-0.00081944823818636</v>
      </c>
      <c r="U71" s="137" t="str">
        <f aca="false">IFERROR(IF(OR(NOT(ISNUMBER('Price History'!U72)),NOT(ISNUMBER('Price History'!U71)),'Price History'!U71=0),"",'Price History'!U72/'Price History'!U71-1),"")</f>
        <v/>
      </c>
      <c r="W71" s="138" t="n">
        <f aca="false">'Price History'!B3+('Price History'!B158-'Price History'!B3)*0.441558441558442</f>
        <v>394.51025974026</v>
      </c>
      <c r="X71" s="138" t="n">
        <f aca="false">'Price History'!C3+('Price History'!C158-'Price History'!C3)*0.441558441558442</f>
        <v>104.061298701299</v>
      </c>
      <c r="Y71" s="138" t="n">
        <f aca="false">'Price History'!D3+('Price History'!D158-'Price History'!D3)*0.441558441558442</f>
        <v>1088.86415584416</v>
      </c>
      <c r="Z71" s="138" t="n">
        <f aca="false">'Price History'!E3+('Price History'!E158-'Price History'!E3)*0.441558441558442</f>
        <v>218.229350649351</v>
      </c>
      <c r="AA71" s="138" t="n">
        <f aca="false">'Price History'!F3+('Price History'!F158-'Price History'!F3)*0.441558441558442</f>
        <v>104.971688311688</v>
      </c>
      <c r="AB71" s="138" t="n">
        <f aca="false">'Price History'!G3+('Price History'!G158-'Price History'!G3)*0.441558441558442</f>
        <v>107.475064935065</v>
      </c>
      <c r="AC71" s="138" t="n">
        <f aca="false">'Price History'!H3+('Price History'!H158-'Price History'!H3)*0.441558441558442</f>
        <v>399.362727272728</v>
      </c>
      <c r="AD71" s="138" t="n">
        <f aca="false">'Price History'!I3+('Price History'!I158-'Price History'!I3)*0.441558441558442</f>
        <v>111.455194805195</v>
      </c>
      <c r="AE71" s="138" t="n">
        <f aca="false">'Price History'!J3+('Price History'!J158-'Price History'!J3)*0.441558441558442</f>
        <v>132.826883116883</v>
      </c>
      <c r="AF71" s="138" t="n">
        <f aca="false">'Price History'!K3+('Price History'!K158-'Price History'!K3)*0.441558441558442</f>
        <v>62.9437662337663</v>
      </c>
      <c r="AG71" s="138" t="n">
        <f aca="false">'Price History'!L3+('Price History'!L158-'Price History'!L3)*0.441558441558442</f>
        <v>229.871038961039</v>
      </c>
      <c r="AH71" s="138" t="n">
        <f aca="false">'Price History'!M3+('Price History'!M158-'Price History'!M3)*0.441558441558442</f>
        <v>125.380649350649</v>
      </c>
      <c r="AI71" s="138" t="n">
        <f aca="false">'Price History'!N3+('Price History'!N158-'Price History'!N3)*0.441558441558442</f>
        <v>406.043896103896</v>
      </c>
      <c r="AJ71" s="138" t="n">
        <f aca="false">'Price History'!O3+('Price History'!O158-'Price History'!O3)*0.441558441558442</f>
        <v>101.585324675325</v>
      </c>
      <c r="AK71" s="138" t="n">
        <f aca="false">'Price History'!Q3+('Price History'!Q151-'Price History'!Q3)*0.441558441558442</f>
        <v>58.0574025974026</v>
      </c>
      <c r="AL71" s="138" t="n">
        <f aca="false">'Price History'!R3+('Price History'!R158-'Price History'!R3)*0.441558441558442</f>
        <v>52.4254545454546</v>
      </c>
      <c r="AM71" s="138" t="n">
        <f aca="false">'Price History'!S3+('Price History'!S158-'Price History'!S3)*0.441558441558442</f>
        <v>96.2005194805195</v>
      </c>
      <c r="AN71" s="138" t="n">
        <f aca="false">'Price History'!T3+('Price History'!T158-'Price History'!T3)*0.441558441558442</f>
        <v>36.9907792207792</v>
      </c>
    </row>
    <row r="72" customFormat="false" ht="15" hidden="false" customHeight="true" outlineLevel="0" collapsed="false">
      <c r="A72" s="136" t="n">
        <f aca="false">IF('Price History'!A73="","",'Price History'!A73)</f>
        <v>45639</v>
      </c>
      <c r="B72" s="137" t="n">
        <f aca="false">IFERROR(IF(OR(NOT(ISNUMBER('Price History'!B73)),NOT(ISNUMBER('Price History'!B72)),'Price History'!B72=0),"",'Price History'!B73/'Price History'!B72-1),"")</f>
        <v>-0.157823350694445</v>
      </c>
      <c r="C72" s="137" t="n">
        <f aca="false">IFERROR(IF(OR(NOT(ISNUMBER('Price History'!C73)),NOT(ISNUMBER('Price History'!C72)),'Price History'!C72=0),"",'Price History'!C73/'Price History'!C72-1),"")</f>
        <v>0.0380600461893765</v>
      </c>
      <c r="D72" s="137" t="n">
        <f aca="false">IFERROR(IF(OR(NOT(ISNUMBER('Price History'!D73)),NOT(ISNUMBER('Price History'!D72)),'Price History'!D72=0),"",'Price History'!D73/'Price History'!D72-1),"")</f>
        <v>0.0135405794239611</v>
      </c>
      <c r="E72" s="137" t="n">
        <f aca="false">IFERROR(IF(OR(NOT(ISNUMBER('Price History'!E73)),NOT(ISNUMBER('Price History'!E72)),'Price History'!E72=0),"",'Price History'!E73/'Price History'!E72-1),"")</f>
        <v>0.252158413635604</v>
      </c>
      <c r="F72" s="137" t="n">
        <f aca="false">IFERROR(IF(OR(NOT(ISNUMBER('Price History'!F73)),NOT(ISNUMBER('Price History'!F72)),'Price History'!F72=0),"",'Price History'!F73/'Price History'!F72-1),"")</f>
        <v>0.00656383327863486</v>
      </c>
      <c r="G72" s="137" t="n">
        <f aca="false">IFERROR(IF(OR(NOT(ISNUMBER('Price History'!G73)),NOT(ISNUMBER('Price History'!G72)),'Price History'!G72=0),"",'Price History'!G73/'Price History'!G72-1),"")</f>
        <v>0.00848372666975172</v>
      </c>
      <c r="H72" s="137" t="n">
        <f aca="false">IFERROR(IF(OR(NOT(ISNUMBER('Price History'!H73)),NOT(ISNUMBER('Price History'!H72)),'Price History'!H72=0),"",'Price History'!H73/'Price History'!H72-1),"")</f>
        <v>0.0131461895818918</v>
      </c>
      <c r="I72" s="137" t="n">
        <f aca="false">IFERROR(IF(OR(NOT(ISNUMBER('Price History'!I73)),NOT(ISNUMBER('Price History'!I72)),'Price History'!I72=0),"",'Price History'!I73/'Price History'!I72-1),"")</f>
        <v>-0.0574978938500421</v>
      </c>
      <c r="J72" s="137" t="n">
        <f aca="false">IFERROR(IF(OR(NOT(ISNUMBER('Price History'!J73)),NOT(ISNUMBER('Price History'!J72)),'Price History'!J72=0),"",'Price History'!J73/'Price History'!J72-1),"")</f>
        <v>-0.00776785714285722</v>
      </c>
      <c r="K72" s="137" t="n">
        <f aca="false">IFERROR(IF(OR(NOT(ISNUMBER('Price History'!K73)),NOT(ISNUMBER('Price History'!K72)),'Price History'!K72=0),"",'Price History'!K73/'Price History'!K72-1),"")</f>
        <v>-0.00353680901231346</v>
      </c>
      <c r="L72" s="137" t="n">
        <f aca="false">IFERROR(IF(OR(NOT(ISNUMBER('Price History'!L73)),NOT(ISNUMBER('Price History'!L72)),'Price History'!L72=0),"",'Price History'!L73/'Price History'!L72-1),"")</f>
        <v>-0.0099990148753818</v>
      </c>
      <c r="M72" s="137" t="n">
        <f aca="false">IFERROR(IF(OR(NOT(ISNUMBER('Price History'!M73)),NOT(ISNUMBER('Price History'!M72)),'Price History'!M72=0),"",'Price History'!M73/'Price History'!M72-1),"")</f>
        <v>-0.0602913709376167</v>
      </c>
      <c r="N72" s="137" t="n">
        <f aca="false">IFERROR(IF(OR(NOT(ISNUMBER('Price History'!N73)),NOT(ISNUMBER('Price History'!N72)),'Price History'!N72=0),"",'Price History'!N73/'Price History'!N72-1),"")</f>
        <v>0.00352737502705036</v>
      </c>
      <c r="O72" s="137" t="n">
        <f aca="false">IFERROR(IF(OR(NOT(ISNUMBER('Price History'!O73)),NOT(ISNUMBER('Price History'!O72)),'Price History'!O72=0),"",'Price History'!O73/'Price History'!O72-1),"")</f>
        <v>-0.0123922935424533</v>
      </c>
      <c r="P72" s="137" t="str">
        <f aca="false">IFERROR(IF(OR(NOT(ISNUMBER('Price History'!P73)),NOT(ISNUMBER('Price History'!P72)),'Price History'!P72=0),"",'Price History'!P73/'Price History'!P72-1),"")</f>
        <v/>
      </c>
      <c r="Q72" s="137" t="n">
        <f aca="false">IFERROR(IF(OR(NOT(ISNUMBER('Price History'!Q73)),NOT(ISNUMBER('Price History'!Q72)),'Price History'!Q72=0),"",'Price History'!Q73/'Price History'!Q72-1),"")</f>
        <v>-0.00868192580899774</v>
      </c>
      <c r="R72" s="137" t="n">
        <f aca="false">IFERROR(IF(OR(NOT(ISNUMBER('Price History'!R73)),NOT(ISNUMBER('Price History'!R72)),'Price History'!R72=0),"",'Price History'!R73/'Price History'!R72-1),"")</f>
        <v>0.00399166955918084</v>
      </c>
      <c r="S72" s="137" t="n">
        <f aca="false">IFERROR(IF(OR(NOT(ISNUMBER('Price History'!S73)),NOT(ISNUMBER('Price History'!S72)),'Price History'!S72=0),"",'Price History'!S73/'Price History'!S72-1),"")</f>
        <v>-0.00942249240121584</v>
      </c>
      <c r="T72" s="137" t="n">
        <f aca="false">IFERROR(IF(OR(NOT(ISNUMBER('Price History'!T73)),NOT(ISNUMBER('Price History'!T72)),'Price History'!T72=0),"",'Price History'!T73/'Price History'!T72-1),"")</f>
        <v>-0.0440131219245489</v>
      </c>
      <c r="U72" s="137" t="str">
        <f aca="false">IFERROR(IF(OR(NOT(ISNUMBER('Price History'!U73)),NOT(ISNUMBER('Price History'!U72)),'Price History'!U72=0),"",'Price History'!U73/'Price History'!U72-1),"")</f>
        <v/>
      </c>
      <c r="W72" s="138" t="n">
        <f aca="false">'Price History'!B3+('Price History'!B158-'Price History'!B3)*0.448051948051948</f>
        <v>392.834675324675</v>
      </c>
      <c r="X72" s="138" t="n">
        <f aca="false">'Price History'!C3+('Price History'!C158-'Price History'!C3)*0.448051948051948</f>
        <v>104.948376623377</v>
      </c>
      <c r="Y72" s="138" t="n">
        <f aca="false">'Price History'!D3+('Price History'!D158-'Price History'!D3)*0.448051948051948</f>
        <v>1095.14480519481</v>
      </c>
      <c r="Z72" s="138" t="n">
        <f aca="false">'Price History'!E3+('Price History'!E158-'Price History'!E3)*0.448051948051948</f>
        <v>220.218311688312</v>
      </c>
      <c r="AA72" s="138" t="n">
        <f aca="false">'Price History'!F3+('Price History'!F158-'Price History'!F3)*0.448051948051948</f>
        <v>105.97038961039</v>
      </c>
      <c r="AB72" s="138" t="n">
        <f aca="false">'Price History'!G3+('Price History'!G158-'Price History'!G3)*0.448051948051948</f>
        <v>108.351168831169</v>
      </c>
      <c r="AC72" s="138" t="n">
        <f aca="false">'Price History'!H3+('Price History'!H158-'Price History'!H3)*0.448051948051948</f>
        <v>404.289090909091</v>
      </c>
      <c r="AD72" s="138" t="n">
        <f aca="false">'Price History'!I3+('Price History'!I158-'Price History'!I3)*0.448051948051948</f>
        <v>112.493506493506</v>
      </c>
      <c r="AE72" s="138" t="n">
        <f aca="false">'Price History'!J3+('Price History'!J158-'Price History'!J3)*0.448051948051948</f>
        <v>132.963896103896</v>
      </c>
      <c r="AF72" s="138" t="n">
        <f aca="false">'Price History'!K3+('Price History'!K158-'Price History'!K3)*0.448051948051948</f>
        <v>63.6427922077922</v>
      </c>
      <c r="AG72" s="138" t="n">
        <f aca="false">'Price History'!L3+('Price History'!L158-'Price History'!L3)*0.448051948051948</f>
        <v>231.898701298701</v>
      </c>
      <c r="AH72" s="138" t="n">
        <f aca="false">'Price History'!M3+('Price History'!M158-'Price History'!M3)*0.448051948051948</f>
        <v>126.731688311688</v>
      </c>
      <c r="AI72" s="138" t="n">
        <f aca="false">'Price History'!N3+('Price History'!N158-'Price History'!N3)*0.448051948051948</f>
        <v>406.87012987013</v>
      </c>
      <c r="AJ72" s="138" t="n">
        <f aca="false">'Price History'!O3+('Price History'!O158-'Price History'!O3)*0.448051948051948</f>
        <v>101.860844155844</v>
      </c>
      <c r="AK72" s="138" t="n">
        <f aca="false">'Price History'!Q3+('Price History'!Q151-'Price History'!Q3)*0.448051948051948</f>
        <v>58.1782467532468</v>
      </c>
      <c r="AL72" s="138" t="n">
        <f aca="false">'Price History'!R3+('Price History'!R158-'Price History'!R3)*0.448051948051948</f>
        <v>52.4931818181818</v>
      </c>
      <c r="AM72" s="138" t="n">
        <f aca="false">'Price History'!S3+('Price History'!S158-'Price History'!S3)*0.448051948051948</f>
        <v>96.7543506493506</v>
      </c>
      <c r="AN72" s="138" t="n">
        <f aca="false">'Price History'!T3+('Price History'!T158-'Price History'!T3)*0.448051948051948</f>
        <v>37.139025974026</v>
      </c>
    </row>
    <row r="73" customFormat="false" ht="15" hidden="false" customHeight="true" outlineLevel="0" collapsed="false">
      <c r="A73" s="136" t="n">
        <f aca="false">IF('Price History'!A74="","",'Price History'!A74)</f>
        <v>45646</v>
      </c>
      <c r="B73" s="137" t="n">
        <f aca="false">IFERROR(IF(OR(NOT(ISNUMBER('Price History'!B74)),NOT(ISNUMBER('Price History'!B73)),'Price History'!B73=0),"",'Price History'!B74/'Price History'!B73-1),"")</f>
        <v>-0.0397689450063347</v>
      </c>
      <c r="C73" s="137" t="n">
        <f aca="false">IFERROR(IF(OR(NOT(ISNUMBER('Price History'!C74)),NOT(ISNUMBER('Price History'!C73)),'Price History'!C73=0),"",'Price History'!C74/'Price History'!C73-1),"")</f>
        <v>0.00391563584586629</v>
      </c>
      <c r="D73" s="137" t="n">
        <f aca="false">IFERROR(IF(OR(NOT(ISNUMBER('Price History'!D74)),NOT(ISNUMBER('Price History'!D73)),'Price History'!D73=0),"",'Price History'!D74/'Price History'!D73-1),"")</f>
        <v>-0.0179520721422808</v>
      </c>
      <c r="E73" s="137" t="n">
        <f aca="false">IFERROR(IF(OR(NOT(ISNUMBER('Price History'!E74)),NOT(ISNUMBER('Price History'!E73)),'Price History'!E73=0),"",'Price History'!E74/'Price History'!E73-1),"")</f>
        <v>-0.0178380782918151</v>
      </c>
      <c r="F73" s="137" t="n">
        <f aca="false">IFERROR(IF(OR(NOT(ISNUMBER('Price History'!F74)),NOT(ISNUMBER('Price History'!F73)),'Price History'!F73=0),"",'Price History'!F74/'Price History'!F73-1),"")</f>
        <v>-0.0156504727746986</v>
      </c>
      <c r="G73" s="137" t="n">
        <f aca="false">IFERROR(IF(OR(NOT(ISNUMBER('Price History'!G74)),NOT(ISNUMBER('Price History'!G73)),'Price History'!G73=0),"",'Price History'!G74/'Price History'!G73-1),"")</f>
        <v>-0.0373202814316305</v>
      </c>
      <c r="H73" s="137" t="n">
        <f aca="false">IFERROR(IF(OR(NOT(ISNUMBER('Price History'!H74)),NOT(ISNUMBER('Price History'!H73)),'Price History'!H73=0),"",'Price History'!H74/'Price History'!H73-1),"")</f>
        <v>-0.120780487804878</v>
      </c>
      <c r="I73" s="137" t="n">
        <f aca="false">IFERROR(IF(OR(NOT(ISNUMBER('Price History'!I74)),NOT(ISNUMBER('Price History'!I73)),'Price History'!I73=0),"",'Price History'!I74/'Price History'!I73-1),"")</f>
        <v>0.00335195530726251</v>
      </c>
      <c r="J73" s="137" t="n">
        <f aca="false">IFERROR(IF(OR(NOT(ISNUMBER('Price History'!J74)),NOT(ISNUMBER('Price History'!J73)),'Price History'!J73=0),"",'Price History'!J74/'Price History'!J73-1),"")</f>
        <v>-0.0702780527310357</v>
      </c>
      <c r="K73" s="137" t="n">
        <f aca="false">IFERROR(IF(OR(NOT(ISNUMBER('Price History'!K74)),NOT(ISNUMBER('Price History'!K73)),'Price History'!K73=0),"",'Price History'!K74/'Price History'!K73-1),"")</f>
        <v>0.0588931247535165</v>
      </c>
      <c r="L73" s="137" t="n">
        <f aca="false">IFERROR(IF(OR(NOT(ISNUMBER('Price History'!L74)),NOT(ISNUMBER('Price History'!L73)),'Price History'!L73=0),"",'Price History'!L74/'Price History'!L73-1),"")</f>
        <v>-0.0188069058162098</v>
      </c>
      <c r="M73" s="137" t="n">
        <f aca="false">IFERROR(IF(OR(NOT(ISNUMBER('Price History'!M74)),NOT(ISNUMBER('Price History'!M73)),'Price History'!M73=0),"",'Price History'!M74/'Price History'!M73-1),"")</f>
        <v>-0.0456352361265702</v>
      </c>
      <c r="N73" s="137" t="n">
        <f aca="false">IFERROR(IF(OR(NOT(ISNUMBER('Price History'!N74)),NOT(ISNUMBER('Price History'!N73)),'Price History'!N73=0),"",'Price History'!N74/'Price History'!N73-1),"")</f>
        <v>-0.14331615379639</v>
      </c>
      <c r="O73" s="137" t="n">
        <f aca="false">IFERROR(IF(OR(NOT(ISNUMBER('Price History'!O74)),NOT(ISNUMBER('Price History'!O73)),'Price History'!O73=0),"",'Price History'!O74/'Price History'!O73-1),"")</f>
        <v>-0.0578374669150084</v>
      </c>
      <c r="P73" s="137" t="str">
        <f aca="false">IFERROR(IF(OR(NOT(ISNUMBER('Price History'!P74)),NOT(ISNUMBER('Price History'!P73)),'Price History'!P73=0),"",'Price History'!P74/'Price History'!P73-1),"")</f>
        <v/>
      </c>
      <c r="Q73" s="137" t="n">
        <f aca="false">IFERROR(IF(OR(NOT(ISNUMBER('Price History'!Q74)),NOT(ISNUMBER('Price History'!Q73)),'Price History'!Q73=0),"",'Price History'!Q74/'Price History'!Q73-1),"")</f>
        <v>-0.000636942675159236</v>
      </c>
      <c r="R73" s="137" t="n">
        <f aca="false">IFERROR(IF(OR(NOT(ISNUMBER('Price History'!R74)),NOT(ISNUMBER('Price History'!R73)),'Price History'!R73=0),"",'Price History'!R74/'Price History'!R73-1),"")</f>
        <v>-0.0112359550561798</v>
      </c>
      <c r="S73" s="137" t="n">
        <f aca="false">IFERROR(IF(OR(NOT(ISNUMBER('Price History'!S74)),NOT(ISNUMBER('Price History'!S73)),'Price History'!S73=0),"",'Price History'!S74/'Price History'!S73-1),"")</f>
        <v>-0.0223995090518564</v>
      </c>
      <c r="T73" s="137" t="n">
        <f aca="false">IFERROR(IF(OR(NOT(ISNUMBER('Price History'!T74)),NOT(ISNUMBER('Price History'!T73)),'Price History'!T73=0),"",'Price History'!T74/'Price History'!T73-1),"")</f>
        <v>-0.0305976551329711</v>
      </c>
      <c r="U73" s="137" t="str">
        <f aca="false">IFERROR(IF(OR(NOT(ISNUMBER('Price History'!U74)),NOT(ISNUMBER('Price History'!U73)),'Price History'!U73=0),"",'Price History'!U74/'Price History'!U73-1),"")</f>
        <v/>
      </c>
      <c r="W73" s="138" t="n">
        <f aca="false">'Price History'!B3+('Price History'!B158-'Price History'!B3)*0.454545454545455</f>
        <v>391.159090909091</v>
      </c>
      <c r="X73" s="138" t="n">
        <f aca="false">'Price History'!C3+('Price History'!C158-'Price History'!C3)*0.454545454545455</f>
        <v>105.835454545455</v>
      </c>
      <c r="Y73" s="138" t="n">
        <f aca="false">'Price History'!D3+('Price History'!D158-'Price History'!D3)*0.454545454545455</f>
        <v>1101.42545454546</v>
      </c>
      <c r="Z73" s="138" t="n">
        <f aca="false">'Price History'!E3+('Price History'!E158-'Price History'!E3)*0.454545454545455</f>
        <v>222.207272727273</v>
      </c>
      <c r="AA73" s="138" t="n">
        <f aca="false">'Price History'!F3+('Price History'!F158-'Price History'!F3)*0.454545454545455</f>
        <v>106.969090909091</v>
      </c>
      <c r="AB73" s="138" t="n">
        <f aca="false">'Price History'!G3+('Price History'!G158-'Price History'!G3)*0.454545454545455</f>
        <v>109.227272727273</v>
      </c>
      <c r="AC73" s="138" t="n">
        <f aca="false">'Price History'!H3+('Price History'!H158-'Price History'!H3)*0.454545454545455</f>
        <v>409.215454545455</v>
      </c>
      <c r="AD73" s="138" t="n">
        <f aca="false">'Price History'!I3+('Price History'!I158-'Price History'!I3)*0.454545454545455</f>
        <v>113.531818181818</v>
      </c>
      <c r="AE73" s="138" t="n">
        <f aca="false">'Price History'!J3+('Price History'!J158-'Price History'!J3)*0.454545454545455</f>
        <v>133.100909090909</v>
      </c>
      <c r="AF73" s="138" t="n">
        <f aca="false">'Price History'!K3+('Price History'!K158-'Price History'!K3)*0.454545454545455</f>
        <v>64.3418181818182</v>
      </c>
      <c r="AG73" s="138" t="n">
        <f aca="false">'Price History'!L3+('Price History'!L158-'Price History'!L3)*0.454545454545455</f>
        <v>233.926363636364</v>
      </c>
      <c r="AH73" s="138" t="n">
        <f aca="false">'Price History'!M3+('Price History'!M158-'Price History'!M3)*0.454545454545455</f>
        <v>128.082727272727</v>
      </c>
      <c r="AI73" s="138" t="n">
        <f aca="false">'Price History'!N3+('Price History'!N158-'Price History'!N3)*0.454545454545455</f>
        <v>407.696363636364</v>
      </c>
      <c r="AJ73" s="138" t="n">
        <f aca="false">'Price History'!O3+('Price History'!O158-'Price History'!O3)*0.454545454545455</f>
        <v>102.136363636364</v>
      </c>
      <c r="AK73" s="138" t="n">
        <f aca="false">'Price History'!Q3+('Price History'!Q151-'Price History'!Q3)*0.454545454545455</f>
        <v>58.2990909090909</v>
      </c>
      <c r="AL73" s="138" t="n">
        <f aca="false">'Price History'!R3+('Price History'!R158-'Price History'!R3)*0.454545454545455</f>
        <v>52.5609090909091</v>
      </c>
      <c r="AM73" s="138" t="n">
        <f aca="false">'Price History'!S3+('Price History'!S158-'Price History'!S3)*0.454545454545455</f>
        <v>97.3081818181819</v>
      </c>
      <c r="AN73" s="138" t="n">
        <f aca="false">'Price History'!T3+('Price History'!T158-'Price History'!T3)*0.454545454545455</f>
        <v>37.2872727272727</v>
      </c>
    </row>
    <row r="74" customFormat="false" ht="15" hidden="false" customHeight="true" outlineLevel="0" collapsed="false">
      <c r="A74" s="136" t="n">
        <f aca="false">IF('Price History'!A75="","",'Price History'!A75)</f>
        <v>45653</v>
      </c>
      <c r="B74" s="137" t="n">
        <f aca="false">IFERROR(IF(OR(NOT(ISNUMBER('Price History'!B75)),NOT(ISNUMBER('Price History'!B74)),'Price History'!B74=0),"",'Price History'!B75/'Price History'!B74-1),"")</f>
        <v>-0.00154303732361294</v>
      </c>
      <c r="C74" s="137" t="n">
        <f aca="false">IFERROR(IF(OR(NOT(ISNUMBER('Price History'!C75)),NOT(ISNUMBER('Price History'!C74)),'Price History'!C74=0),"",'Price History'!C75/'Price History'!C74-1),"")</f>
        <v>0.00195018172147865</v>
      </c>
      <c r="D74" s="137" t="n">
        <f aca="false">IFERROR(IF(OR(NOT(ISNUMBER('Price History'!D75)),NOT(ISNUMBER('Price History'!D74)),'Price History'!D74=0),"",'Price History'!D75/'Price History'!D74-1),"")</f>
        <v>0.011209046593357</v>
      </c>
      <c r="E74" s="137" t="n">
        <f aca="false">IFERROR(IF(OR(NOT(ISNUMBER('Price History'!E75)),NOT(ISNUMBER('Price History'!E74)),'Price History'!E74=0),"",'Price History'!E75/'Price History'!E74-1),"")</f>
        <v>0.0949318356809639</v>
      </c>
      <c r="F74" s="137" t="n">
        <f aca="false">IFERROR(IF(OR(NOT(ISNUMBER('Price History'!F75)),NOT(ISNUMBER('Price History'!F74)),'Price History'!F74=0),"",'Price History'!F75/'Price History'!F74-1),"")</f>
        <v>-0.0200949541790879</v>
      </c>
      <c r="G74" s="137" t="n">
        <f aca="false">IFERROR(IF(OR(NOT(ISNUMBER('Price History'!G75)),NOT(ISNUMBER('Price History'!G74)),'Price History'!G74=0),"",'Price History'!G75/'Price History'!G74-1),"")</f>
        <v>0.0244677470606929</v>
      </c>
      <c r="H74" s="137" t="n">
        <f aca="false">IFERROR(IF(OR(NOT(ISNUMBER('Price History'!H75)),NOT(ISNUMBER('Price History'!H74)),'Price History'!H74=0),"",'Price History'!H75/'Price History'!H74-1),"")</f>
        <v>-0.0165335108743898</v>
      </c>
      <c r="I74" s="137" t="n">
        <f aca="false">IFERROR(IF(OR(NOT(ISNUMBER('Price History'!I75)),NOT(ISNUMBER('Price History'!I74)),'Price History'!I74=0),"",'Price History'!I75/'Price History'!I74-1),"")</f>
        <v>0.0171492204899777</v>
      </c>
      <c r="J74" s="137" t="n">
        <f aca="false">IFERROR(IF(OR(NOT(ISNUMBER('Price History'!J75)),NOT(ISNUMBER('Price History'!J74)),'Price History'!J74=0),"",'Price History'!J75/'Price History'!J74-1),"")</f>
        <v>0.0185830429732869</v>
      </c>
      <c r="K74" s="137" t="n">
        <f aca="false">IFERROR(IF(OR(NOT(ISNUMBER('Price History'!K75)),NOT(ISNUMBER('Price History'!K74)),'Price History'!K74=0),"",'Price History'!K75/'Price History'!K74-1),"")</f>
        <v>-0.0182495344506518</v>
      </c>
      <c r="L74" s="137" t="n">
        <f aca="false">IFERROR(IF(OR(NOT(ISNUMBER('Price History'!L75)),NOT(ISNUMBER('Price History'!L74)),'Price History'!L74=0),"",'Price History'!L75/'Price History'!L74-1),"")</f>
        <v>0.0224126565589979</v>
      </c>
      <c r="M74" s="137" t="n">
        <f aca="false">IFERROR(IF(OR(NOT(ISNUMBER('Price History'!M75)),NOT(ISNUMBER('Price History'!M74)),'Price History'!M74=0),"",'Price History'!M75/'Price History'!M74-1),"")</f>
        <v>-0.0410696434521827</v>
      </c>
      <c r="N74" s="137" t="n">
        <f aca="false">IFERROR(IF(OR(NOT(ISNUMBER('Price History'!N75)),NOT(ISNUMBER('Price History'!N74)),'Price History'!N74=0),"",'Price History'!N75/'Price History'!N74-1),"")</f>
        <v>0.0289223953482518</v>
      </c>
      <c r="O74" s="137" t="n">
        <f aca="false">IFERROR(IF(OR(NOT(ISNUMBER('Price History'!O75)),NOT(ISNUMBER('Price History'!O74)),'Price History'!O74=0),"",'Price History'!O75/'Price History'!O74-1),"")</f>
        <v>0.00395380293413794</v>
      </c>
      <c r="P74" s="137" t="str">
        <f aca="false">IFERROR(IF(OR(NOT(ISNUMBER('Price History'!P75)),NOT(ISNUMBER('Price History'!P74)),'Price History'!P74=0),"",'Price History'!P75/'Price History'!P74-1),"")</f>
        <v/>
      </c>
      <c r="Q74" s="137" t="n">
        <f aca="false">IFERROR(IF(OR(NOT(ISNUMBER('Price History'!Q75)),NOT(ISNUMBER('Price History'!Q74)),'Price History'!Q74=0),"",'Price History'!Q75/'Price History'!Q74-1),"")</f>
        <v>0.0105162523900575</v>
      </c>
      <c r="R74" s="137" t="n">
        <f aca="false">IFERROR(IF(OR(NOT(ISNUMBER('Price History'!R75)),NOT(ISNUMBER('Price History'!R74)),'Price History'!R74=0),"",'Price History'!R75/'Price History'!R74-1),"")</f>
        <v>0.00944055944055933</v>
      </c>
      <c r="S74" s="137" t="n">
        <f aca="false">IFERROR(IF(OR(NOT(ISNUMBER('Price History'!S75)),NOT(ISNUMBER('Price History'!S74)),'Price History'!S74=0),"",'Price History'!S75/'Price History'!S74-1),"")</f>
        <v>0.0105670642393807</v>
      </c>
      <c r="T74" s="137" t="n">
        <f aca="false">IFERROR(IF(OR(NOT(ISNUMBER('Price History'!T75)),NOT(ISNUMBER('Price History'!T74)),'Price History'!T74=0),"",'Price History'!T75/'Price History'!T74-1),"")</f>
        <v>0.00914454277286136</v>
      </c>
      <c r="U74" s="137" t="str">
        <f aca="false">IFERROR(IF(OR(NOT(ISNUMBER('Price History'!U75)),NOT(ISNUMBER('Price History'!U74)),'Price History'!U74=0),"",'Price History'!U75/'Price History'!U74-1),"")</f>
        <v/>
      </c>
      <c r="W74" s="138" t="n">
        <f aca="false">'Price History'!B3+('Price History'!B158-'Price History'!B3)*0.461038961038961</f>
        <v>389.483506493507</v>
      </c>
      <c r="X74" s="138" t="n">
        <f aca="false">'Price History'!C3+('Price History'!C158-'Price History'!C3)*0.461038961038961</f>
        <v>106.722532467532</v>
      </c>
      <c r="Y74" s="138" t="n">
        <f aca="false">'Price History'!D3+('Price History'!D158-'Price History'!D3)*0.461038961038961</f>
        <v>1107.7061038961</v>
      </c>
      <c r="Z74" s="138" t="n">
        <f aca="false">'Price History'!E3+('Price History'!E158-'Price History'!E3)*0.461038961038961</f>
        <v>224.196233766234</v>
      </c>
      <c r="AA74" s="138" t="n">
        <f aca="false">'Price History'!F3+('Price History'!F158-'Price History'!F3)*0.461038961038961</f>
        <v>107.967792207792</v>
      </c>
      <c r="AB74" s="138" t="n">
        <f aca="false">'Price History'!G3+('Price History'!G158-'Price History'!G3)*0.461038961038961</f>
        <v>110.103376623377</v>
      </c>
      <c r="AC74" s="138" t="n">
        <f aca="false">'Price History'!H3+('Price History'!H158-'Price History'!H3)*0.461038961038961</f>
        <v>414.141818181818</v>
      </c>
      <c r="AD74" s="138" t="n">
        <f aca="false">'Price History'!I3+('Price History'!I158-'Price History'!I3)*0.461038961038961</f>
        <v>114.57012987013</v>
      </c>
      <c r="AE74" s="138" t="n">
        <f aca="false">'Price History'!J3+('Price History'!J158-'Price History'!J3)*0.461038961038961</f>
        <v>133.237922077922</v>
      </c>
      <c r="AF74" s="138" t="n">
        <f aca="false">'Price History'!K3+('Price History'!K158-'Price History'!K3)*0.461038961038961</f>
        <v>65.0408441558442</v>
      </c>
      <c r="AG74" s="138" t="n">
        <f aca="false">'Price History'!L3+('Price History'!L158-'Price History'!L3)*0.461038961038961</f>
        <v>235.954025974026</v>
      </c>
      <c r="AH74" s="138" t="n">
        <f aca="false">'Price History'!M3+('Price History'!M158-'Price History'!M3)*0.461038961038961</f>
        <v>129.433766233766</v>
      </c>
      <c r="AI74" s="138" t="n">
        <f aca="false">'Price History'!N3+('Price History'!N158-'Price History'!N3)*0.461038961038961</f>
        <v>408.522597402597</v>
      </c>
      <c r="AJ74" s="138" t="n">
        <f aca="false">'Price History'!O3+('Price History'!O158-'Price History'!O3)*0.461038961038961</f>
        <v>102.411883116883</v>
      </c>
      <c r="AK74" s="138" t="n">
        <f aca="false">'Price History'!Q3+('Price History'!Q151-'Price History'!Q3)*0.461038961038961</f>
        <v>58.4199350649351</v>
      </c>
      <c r="AL74" s="138" t="n">
        <f aca="false">'Price History'!R3+('Price History'!R158-'Price History'!R3)*0.461038961038961</f>
        <v>52.6286363636364</v>
      </c>
      <c r="AM74" s="138" t="n">
        <f aca="false">'Price History'!S3+('Price History'!S158-'Price History'!S3)*0.461038961038961</f>
        <v>97.862012987013</v>
      </c>
      <c r="AN74" s="138" t="n">
        <f aca="false">'Price History'!T3+('Price History'!T158-'Price History'!T3)*0.461038961038961</f>
        <v>37.4355194805195</v>
      </c>
    </row>
    <row r="75" customFormat="false" ht="15" hidden="false" customHeight="true" outlineLevel="0" collapsed="false">
      <c r="A75" s="136" t="n">
        <f aca="false">IF('Price History'!A76="","",'Price History'!A76)</f>
        <v>45660</v>
      </c>
      <c r="B75" s="137" t="n">
        <f aca="false">IFERROR(IF(OR(NOT(ISNUMBER('Price History'!B76)),NOT(ISNUMBER('Price History'!B75)),'Price History'!B75=0),"",'Price History'!B76/'Price History'!B75-1),"")</f>
        <v>-0.0356342949292242</v>
      </c>
      <c r="C75" s="137" t="n">
        <f aca="false">IFERROR(IF(OR(NOT(ISNUMBER('Price History'!C76)),NOT(ISNUMBER('Price History'!C75)),'Price History'!C75=0),"",'Price History'!C76/'Price History'!C75-1),"")</f>
        <v>0.0191984428912679</v>
      </c>
      <c r="D75" s="137" t="n">
        <f aca="false">IFERROR(IF(OR(NOT(ISNUMBER('Price History'!D76)),NOT(ISNUMBER('Price History'!D75)),'Price History'!D75=0),"",'Price History'!D76/'Price History'!D75-1),"")</f>
        <v>0.00107905099566974</v>
      </c>
      <c r="E75" s="137" t="n">
        <f aca="false">IFERROR(IF(OR(NOT(ISNUMBER('Price History'!E76)),NOT(ISNUMBER('Price History'!E75)),'Price History'!E75=0),"",'Price History'!E76/'Price History'!E75-1),"")</f>
        <v>-0.0380558428128232</v>
      </c>
      <c r="F75" s="137" t="n">
        <f aca="false">IFERROR(IF(OR(NOT(ISNUMBER('Price History'!F76)),NOT(ISNUMBER('Price History'!F75)),'Price History'!F75=0),"",'Price History'!F76/'Price History'!F75-1),"")</f>
        <v>0.0113802816901409</v>
      </c>
      <c r="G75" s="137" t="n">
        <f aca="false">IFERROR(IF(OR(NOT(ISNUMBER('Price History'!G76)),NOT(ISNUMBER('Price History'!G75)),'Price History'!G75=0),"",'Price History'!G76/'Price History'!G75-1),"")</f>
        <v>0.0189205955334988</v>
      </c>
      <c r="H75" s="137" t="n">
        <f aca="false">IFERROR(IF(OR(NOT(ISNUMBER('Price History'!H76)),NOT(ISNUMBER('Price History'!H75)),'Price History'!H75=0),"",'Price History'!H76/'Price History'!H75-1),"")</f>
        <v>0.0139907480537065</v>
      </c>
      <c r="I75" s="137" t="n">
        <f aca="false">IFERROR(IF(OR(NOT(ISNUMBER('Price History'!I76)),NOT(ISNUMBER('Price History'!I75)),'Price History'!I75=0),"",'Price History'!I76/'Price History'!I75-1),"")</f>
        <v>0.0544485803955916</v>
      </c>
      <c r="J75" s="137" t="n">
        <f aca="false">IFERROR(IF(OR(NOT(ISNUMBER('Price History'!J76)),NOT(ISNUMBER('Price History'!J75)),'Price History'!J75=0),"",'Price History'!J76/'Price History'!J75-1),"")</f>
        <v>0.00370581527936142</v>
      </c>
      <c r="K75" s="137" t="n">
        <f aca="false">IFERROR(IF(OR(NOT(ISNUMBER('Price History'!K76)),NOT(ISNUMBER('Price History'!K75)),'Price History'!K75=0),"",'Price History'!K76/'Price History'!K75-1),"")</f>
        <v>0.0102427921092565</v>
      </c>
      <c r="L75" s="137" t="n">
        <f aca="false">IFERROR(IF(OR(NOT(ISNUMBER('Price History'!L76)),NOT(ISNUMBER('Price History'!L75)),'Price History'!L75=0),"",'Price History'!L76/'Price History'!L75-1),"")</f>
        <v>0.0346178644050985</v>
      </c>
      <c r="M75" s="137" t="n">
        <f aca="false">IFERROR(IF(OR(NOT(ISNUMBER('Price History'!M76)),NOT(ISNUMBER('Price History'!M75)),'Price History'!M75=0),"",'Price History'!M76/'Price History'!M75-1),"")</f>
        <v>0.0917383372426375</v>
      </c>
      <c r="N75" s="137" t="n">
        <f aca="false">IFERROR(IF(OR(NOT(ISNUMBER('Price History'!N76)),NOT(ISNUMBER('Price History'!N75)),'Price History'!N75=0),"",'Price History'!N76/'Price History'!N75-1),"")</f>
        <v>-0.0040365984930032</v>
      </c>
      <c r="O75" s="137" t="n">
        <f aca="false">IFERROR(IF(OR(NOT(ISNUMBER('Price History'!O76)),NOT(ISNUMBER('Price History'!O75)),'Price History'!O75=0),"",'Price History'!O76/'Price History'!O75-1),"")</f>
        <v>0.00777282619960618</v>
      </c>
      <c r="P75" s="137" t="str">
        <f aca="false">IFERROR(IF(OR(NOT(ISNUMBER('Price History'!P76)),NOT(ISNUMBER('Price History'!P75)),'Price History'!P75=0),"",'Price History'!P76/'Price History'!P75-1),"")</f>
        <v/>
      </c>
      <c r="Q75" s="137" t="n">
        <f aca="false">IFERROR(IF(OR(NOT(ISNUMBER('Price History'!Q76)),NOT(ISNUMBER('Price History'!Q75)),'Price History'!Q75=0),"",'Price History'!Q76/'Price History'!Q75-1),"")</f>
        <v>-0.00898770104068114</v>
      </c>
      <c r="R75" s="137" t="n">
        <f aca="false">IFERROR(IF(OR(NOT(ISNUMBER('Price History'!R76)),NOT(ISNUMBER('Price History'!R75)),'Price History'!R75=0),"",'Price History'!R76/'Price History'!R75-1),"")</f>
        <v>-0.0114305507447178</v>
      </c>
      <c r="S75" s="137" t="n">
        <f aca="false">IFERROR(IF(OR(NOT(ISNUMBER('Price History'!S76)),NOT(ISNUMBER('Price History'!S75)),'Price History'!S75=0),"",'Price History'!S76/'Price History'!S75-1),"")</f>
        <v>0.00310591158505025</v>
      </c>
      <c r="T75" s="137" t="n">
        <f aca="false">IFERROR(IF(OR(NOT(ISNUMBER('Price History'!T76)),NOT(ISNUMBER('Price History'!T75)),'Price History'!T75=0),"",'Price History'!T76/'Price History'!T75-1),"")</f>
        <v>0.00760011692487561</v>
      </c>
      <c r="U75" s="137" t="str">
        <f aca="false">IFERROR(IF(OR(NOT(ISNUMBER('Price History'!U76)),NOT(ISNUMBER('Price History'!U75)),'Price History'!U75=0),"",'Price History'!U76/'Price History'!U75-1),"")</f>
        <v/>
      </c>
      <c r="W75" s="138" t="n">
        <f aca="false">'Price History'!B3+('Price History'!B158-'Price History'!B3)*0.467532467532468</f>
        <v>387.807922077922</v>
      </c>
      <c r="X75" s="138" t="n">
        <f aca="false">'Price History'!C3+('Price History'!C158-'Price History'!C3)*0.467532467532468</f>
        <v>107.60961038961</v>
      </c>
      <c r="Y75" s="138" t="n">
        <f aca="false">'Price History'!D3+('Price History'!D158-'Price History'!D3)*0.467532467532468</f>
        <v>1113.98675324675</v>
      </c>
      <c r="Z75" s="138" t="n">
        <f aca="false">'Price History'!E3+('Price History'!E158-'Price History'!E3)*0.467532467532468</f>
        <v>226.185194805195</v>
      </c>
      <c r="AA75" s="138" t="n">
        <f aca="false">'Price History'!F3+('Price History'!F158-'Price History'!F3)*0.467532467532468</f>
        <v>108.966493506494</v>
      </c>
      <c r="AB75" s="138" t="n">
        <f aca="false">'Price History'!G3+('Price History'!G158-'Price History'!G3)*0.467532467532468</f>
        <v>110.979480519481</v>
      </c>
      <c r="AC75" s="138" t="n">
        <f aca="false">'Price History'!H3+('Price History'!H158-'Price History'!H3)*0.467532467532468</f>
        <v>419.068181818182</v>
      </c>
      <c r="AD75" s="138" t="n">
        <f aca="false">'Price History'!I3+('Price History'!I158-'Price History'!I3)*0.467532467532468</f>
        <v>115.608441558442</v>
      </c>
      <c r="AE75" s="138" t="n">
        <f aca="false">'Price History'!J3+('Price History'!J158-'Price History'!J3)*0.467532467532468</f>
        <v>133.374935064935</v>
      </c>
      <c r="AF75" s="138" t="n">
        <f aca="false">'Price History'!K3+('Price History'!K158-'Price History'!K3)*0.467532467532468</f>
        <v>65.7398701298702</v>
      </c>
      <c r="AG75" s="138" t="n">
        <f aca="false">'Price History'!L3+('Price History'!L158-'Price History'!L3)*0.467532467532468</f>
        <v>237.981688311688</v>
      </c>
      <c r="AH75" s="138" t="n">
        <f aca="false">'Price History'!M3+('Price History'!M158-'Price History'!M3)*0.467532467532468</f>
        <v>130.784805194805</v>
      </c>
      <c r="AI75" s="138" t="n">
        <f aca="false">'Price History'!N3+('Price History'!N158-'Price History'!N3)*0.467532467532468</f>
        <v>409.348831168831</v>
      </c>
      <c r="AJ75" s="138" t="n">
        <f aca="false">'Price History'!O3+('Price History'!O158-'Price History'!O3)*0.467532467532468</f>
        <v>102.687402597403</v>
      </c>
      <c r="AK75" s="138" t="n">
        <f aca="false">'Price History'!Q3+('Price History'!Q151-'Price History'!Q3)*0.467532467532468</f>
        <v>58.5407792207792</v>
      </c>
      <c r="AL75" s="138" t="n">
        <f aca="false">'Price History'!R3+('Price History'!R158-'Price History'!R3)*0.467532467532468</f>
        <v>52.6963636363636</v>
      </c>
      <c r="AM75" s="138" t="n">
        <f aca="false">'Price History'!S3+('Price History'!S158-'Price History'!S3)*0.467532467532468</f>
        <v>98.4158441558442</v>
      </c>
      <c r="AN75" s="138" t="n">
        <f aca="false">'Price History'!T3+('Price History'!T158-'Price History'!T3)*0.467532467532468</f>
        <v>37.5837662337663</v>
      </c>
    </row>
    <row r="76" customFormat="false" ht="15" hidden="false" customHeight="true" outlineLevel="0" collapsed="false">
      <c r="A76" s="136" t="n">
        <f aca="false">IF('Price History'!A77="","",'Price History'!A77)</f>
        <v>45667</v>
      </c>
      <c r="B76" s="137" t="n">
        <f aca="false">IFERROR(IF(OR(NOT(ISNUMBER('Price History'!B77)),NOT(ISNUMBER('Price History'!B76)),'Price History'!B76=0),"",'Price History'!B77/'Price History'!B76-1),"")</f>
        <v>-0.0572496922683884</v>
      </c>
      <c r="C76" s="137" t="n">
        <f aca="false">IFERROR(IF(OR(NOT(ISNUMBER('Price History'!C77)),NOT(ISNUMBER('Price History'!C76)),'Price History'!C76=0),"",'Price History'!C77/'Price History'!C76-1),"")</f>
        <v>-0.00746527777777772</v>
      </c>
      <c r="D76" s="137" t="n">
        <f aca="false">IFERROR(IF(OR(NOT(ISNUMBER('Price History'!D77)),NOT(ISNUMBER('Price History'!D76)),'Price History'!D76=0),"",'Price History'!D77/'Price History'!D76-1),"")</f>
        <v>0.0345064113332214</v>
      </c>
      <c r="E76" s="137" t="n">
        <f aca="false">IFERROR(IF(OR(NOT(ISNUMBER('Price History'!E77)),NOT(ISNUMBER('Price History'!E76)),'Price History'!E76=0),"",'Price History'!E77/'Price History'!E76-1),"")</f>
        <v>-0.0354332401634058</v>
      </c>
      <c r="F76" s="137" t="n">
        <f aca="false">IFERROR(IF(OR(NOT(ISNUMBER('Price History'!F77)),NOT(ISNUMBER('Price History'!F76)),'Price History'!F76=0),"",'Price History'!F77/'Price History'!F76-1),"")</f>
        <v>-0.0284090909090911</v>
      </c>
      <c r="G76" s="137" t="n">
        <f aca="false">IFERROR(IF(OR(NOT(ISNUMBER('Price History'!G77)),NOT(ISNUMBER('Price History'!G76)),'Price History'!G76=0),"",'Price History'!G77/'Price History'!G76-1),"")</f>
        <v>0.0397260273972602</v>
      </c>
      <c r="H76" s="137" t="n">
        <f aca="false">IFERROR(IF(OR(NOT(ISNUMBER('Price History'!H77)),NOT(ISNUMBER('Price History'!H76)),'Price History'!H76=0),"",'Price History'!H77/'Price History'!H76-1),"")</f>
        <v>0.105374429731835</v>
      </c>
      <c r="I76" s="137" t="n">
        <f aca="false">IFERROR(IF(OR(NOT(ISNUMBER('Price History'!I77)),NOT(ISNUMBER('Price History'!I76)),'Price History'!I76=0),"",'Price History'!I77/'Price History'!I76-1),"")</f>
        <v>-0.0592510555824739</v>
      </c>
      <c r="J76" s="137" t="n">
        <f aca="false">IFERROR(IF(OR(NOT(ISNUMBER('Price History'!J77)),NOT(ISNUMBER('Price History'!J76)),'Price History'!J76=0),"",'Price History'!J77/'Price History'!J76-1),"")</f>
        <v>-0.0193126952570292</v>
      </c>
      <c r="K76" s="137" t="n">
        <f aca="false">IFERROR(IF(OR(NOT(ISNUMBER('Price History'!K77)),NOT(ISNUMBER('Price History'!K76)),'Price History'!K76=0),"",'Price History'!K77/'Price History'!K76-1),"")</f>
        <v>-0.1580923770184</v>
      </c>
      <c r="L76" s="137" t="n">
        <f aca="false">IFERROR(IF(OR(NOT(ISNUMBER('Price History'!L77)),NOT(ISNUMBER('Price History'!L76)),'Price History'!L76=0),"",'Price History'!L77/'Price History'!L76-1),"")</f>
        <v>-0.00115047217295439</v>
      </c>
      <c r="M76" s="137" t="n">
        <f aca="false">IFERROR(IF(OR(NOT(ISNUMBER('Price History'!M77)),NOT(ISNUMBER('Price History'!M76)),'Price History'!M76=0),"",'Price History'!M77/'Price History'!M76-1),"")</f>
        <v>0.0259409564733031</v>
      </c>
      <c r="N76" s="137" t="n">
        <f aca="false">IFERROR(IF(OR(NOT(ISNUMBER('Price History'!N77)),NOT(ISNUMBER('Price History'!N76)),'Price History'!N76=0),"",'Price History'!N77/'Price History'!N76-1),"")</f>
        <v>0.00601802952518971</v>
      </c>
      <c r="O76" s="137" t="n">
        <f aca="false">IFERROR(IF(OR(NOT(ISNUMBER('Price History'!O77)),NOT(ISNUMBER('Price History'!O76)),'Price History'!O76=0),"",'Price History'!O77/'Price History'!O76-1),"")</f>
        <v>-0.0262237762237761</v>
      </c>
      <c r="P76" s="137" t="str">
        <f aca="false">IFERROR(IF(OR(NOT(ISNUMBER('Price History'!P77)),NOT(ISNUMBER('Price History'!P76)),'Price History'!P76=0),"",'Price History'!P77/'Price History'!P76-1),"")</f>
        <v/>
      </c>
      <c r="Q76" s="137" t="n">
        <f aca="false">IFERROR(IF(OR(NOT(ISNUMBER('Price History'!Q77)),NOT(ISNUMBER('Price History'!Q76)),'Price History'!Q76=0),"",'Price History'!Q77/'Price History'!Q76-1),"")</f>
        <v>-0.00636435958631665</v>
      </c>
      <c r="R76" s="137" t="n">
        <f aca="false">IFERROR(IF(OR(NOT(ISNUMBER('Price History'!R77)),NOT(ISNUMBER('Price History'!R76)),'Price History'!R76=0),"",'Price History'!R77/'Price History'!R76-1),"")</f>
        <v>-0.0192711983181499</v>
      </c>
      <c r="S76" s="137" t="n">
        <f aca="false">IFERROR(IF(OR(NOT(ISNUMBER('Price History'!S77)),NOT(ISNUMBER('Price History'!S76)),'Price History'!S76=0),"",'Price History'!S77/'Price History'!S76-1),"")</f>
        <v>-0.0135204871503768</v>
      </c>
      <c r="T76" s="137" t="n">
        <f aca="false">IFERROR(IF(OR(NOT(ISNUMBER('Price History'!T77)),NOT(ISNUMBER('Price History'!T76)),'Price History'!T76=0),"",'Price History'!T77/'Price History'!T76-1),"")</f>
        <v>-0.000290107339715684</v>
      </c>
      <c r="U76" s="137" t="str">
        <f aca="false">IFERROR(IF(OR(NOT(ISNUMBER('Price History'!U77)),NOT(ISNUMBER('Price History'!U76)),'Price History'!U76=0),"",'Price History'!U77/'Price History'!U76-1),"")</f>
        <v/>
      </c>
      <c r="W76" s="138" t="n">
        <f aca="false">'Price History'!B3+('Price History'!B158-'Price History'!B3)*0.474025974025974</f>
        <v>386.132337662338</v>
      </c>
      <c r="X76" s="138" t="n">
        <f aca="false">'Price History'!C3+('Price History'!C158-'Price History'!C3)*0.474025974025974</f>
        <v>108.496688311688</v>
      </c>
      <c r="Y76" s="138" t="n">
        <f aca="false">'Price History'!D3+('Price History'!D158-'Price History'!D3)*0.474025974025974</f>
        <v>1120.2674025974</v>
      </c>
      <c r="Z76" s="138" t="n">
        <f aca="false">'Price History'!E3+('Price History'!E158-'Price History'!E3)*0.474025974025974</f>
        <v>228.174155844156</v>
      </c>
      <c r="AA76" s="138" t="n">
        <f aca="false">'Price History'!F3+('Price History'!F158-'Price History'!F3)*0.474025974025974</f>
        <v>109.965194805195</v>
      </c>
      <c r="AB76" s="138" t="n">
        <f aca="false">'Price History'!G3+('Price History'!G158-'Price History'!G3)*0.474025974025974</f>
        <v>111.855584415584</v>
      </c>
      <c r="AC76" s="138" t="n">
        <f aca="false">'Price History'!H3+('Price History'!H158-'Price History'!H3)*0.474025974025974</f>
        <v>423.994545454545</v>
      </c>
      <c r="AD76" s="138" t="n">
        <f aca="false">'Price History'!I3+('Price History'!I158-'Price History'!I3)*0.474025974025974</f>
        <v>116.646753246753</v>
      </c>
      <c r="AE76" s="138" t="n">
        <f aca="false">'Price History'!J3+('Price History'!J158-'Price History'!J3)*0.474025974025974</f>
        <v>133.511948051948</v>
      </c>
      <c r="AF76" s="138" t="n">
        <f aca="false">'Price History'!K3+('Price History'!K158-'Price History'!K3)*0.474025974025974</f>
        <v>66.4388961038961</v>
      </c>
      <c r="AG76" s="138" t="n">
        <f aca="false">'Price History'!L3+('Price History'!L158-'Price History'!L3)*0.474025974025974</f>
        <v>240.009350649351</v>
      </c>
      <c r="AH76" s="138" t="n">
        <f aca="false">'Price History'!M3+('Price History'!M158-'Price History'!M3)*0.474025974025974</f>
        <v>132.135844155844</v>
      </c>
      <c r="AI76" s="138" t="n">
        <f aca="false">'Price History'!N3+('Price History'!N158-'Price History'!N3)*0.474025974025974</f>
        <v>410.175064935065</v>
      </c>
      <c r="AJ76" s="138" t="n">
        <f aca="false">'Price History'!O3+('Price History'!O158-'Price History'!O3)*0.474025974025974</f>
        <v>102.962922077922</v>
      </c>
      <c r="AK76" s="138" t="n">
        <f aca="false">'Price History'!Q3+('Price History'!Q151-'Price History'!Q3)*0.474025974025974</f>
        <v>58.6616233766234</v>
      </c>
      <c r="AL76" s="138" t="n">
        <f aca="false">'Price History'!R3+('Price History'!R158-'Price History'!R3)*0.474025974025974</f>
        <v>52.7640909090909</v>
      </c>
      <c r="AM76" s="138" t="n">
        <f aca="false">'Price History'!S3+('Price History'!S158-'Price History'!S3)*0.474025974025974</f>
        <v>98.9696753246753</v>
      </c>
      <c r="AN76" s="138" t="n">
        <f aca="false">'Price History'!T3+('Price History'!T158-'Price History'!T3)*0.474025974025974</f>
        <v>37.732012987013</v>
      </c>
    </row>
    <row r="77" customFormat="false" ht="15" hidden="false" customHeight="true" outlineLevel="0" collapsed="false">
      <c r="A77" s="136" t="n">
        <f aca="false">IF('Price History'!A78="","",'Price History'!A78)</f>
        <v>45674</v>
      </c>
      <c r="B77" s="137" t="n">
        <f aca="false">IFERROR(IF(OR(NOT(ISNUMBER('Price History'!B78)),NOT(ISNUMBER('Price History'!B77)),'Price History'!B77=0),"",'Price History'!B78/'Price History'!B77-1),"")</f>
        <v>0.0592973985021679</v>
      </c>
      <c r="C77" s="137" t="n">
        <f aca="false">IFERROR(IF(OR(NOT(ISNUMBER('Price History'!C78)),NOT(ISNUMBER('Price History'!C77)),'Price History'!C77=0),"",'Price History'!C78/'Price History'!C77-1),"")</f>
        <v>0.0490641945076089</v>
      </c>
      <c r="D77" s="137" t="n">
        <f aca="false">IFERROR(IF(OR(NOT(ISNUMBER('Price History'!D78)),NOT(ISNUMBER('Price History'!D77)),'Price History'!D77=0),"",'Price History'!D78/'Price History'!D77-1),"")</f>
        <v>0.0234367599897161</v>
      </c>
      <c r="E77" s="137" t="n">
        <f aca="false">IFERROR(IF(OR(NOT(ISNUMBER('Price History'!E78)),NOT(ISNUMBER('Price History'!E77)),'Price History'!E77=0),"",'Price History'!E78/'Price History'!E77-1),"")</f>
        <v>0.0585350630823414</v>
      </c>
      <c r="F77" s="137" t="n">
        <f aca="false">IFERROR(IF(OR(NOT(ISNUMBER('Price History'!F78)),NOT(ISNUMBER('Price History'!F77)),'Price History'!F77=0),"",'Price History'!F78/'Price History'!F77-1),"")</f>
        <v>0.0233918128654971</v>
      </c>
      <c r="G77" s="137" t="n">
        <f aca="false">IFERROR(IF(OR(NOT(ISNUMBER('Price History'!G78)),NOT(ISNUMBER('Price History'!G77)),'Price History'!G77=0),"",'Price History'!G78/'Price History'!G77-1),"")</f>
        <v>0.108915239350022</v>
      </c>
      <c r="H77" s="137" t="n">
        <f aca="false">IFERROR(IF(OR(NOT(ISNUMBER('Price History'!H78)),NOT(ISNUMBER('Price History'!H77)),'Price History'!H77=0),"",'Price History'!H78/'Price History'!H77-1),"")</f>
        <v>0.0645258707469296</v>
      </c>
      <c r="I77" s="137" t="n">
        <f aca="false">IFERROR(IF(OR(NOT(ISNUMBER('Price History'!I78)),NOT(ISNUMBER('Price History'!I77)),'Price History'!I77=0),"",'Price History'!I78/'Price History'!I77-1),"")</f>
        <v>0.0132440585681701</v>
      </c>
      <c r="J77" s="137" t="n">
        <f aca="false">IFERROR(IF(OR(NOT(ISNUMBER('Price History'!J78)),NOT(ISNUMBER('Price History'!J77)),'Price History'!J77=0),"",'Price History'!J78/'Price History'!J77-1),"")</f>
        <v>0.056858770151559</v>
      </c>
      <c r="K77" s="137" t="n">
        <f aca="false">IFERROR(IF(OR(NOT(ISNUMBER('Price History'!K78)),NOT(ISNUMBER('Price History'!K77)),'Price History'!K77=0),"",'Price History'!K78/'Price History'!K77-1),"")</f>
        <v>0.0670532262860539</v>
      </c>
      <c r="L77" s="137" t="n">
        <f aca="false">IFERROR(IF(OR(NOT(ISNUMBER('Price History'!L78)),NOT(ISNUMBER('Price History'!L77)),'Price History'!L77=0),"",'Price History'!L78/'Price History'!L77-1),"")</f>
        <v>0.0150213562413015</v>
      </c>
      <c r="M77" s="137" t="n">
        <f aca="false">IFERROR(IF(OR(NOT(ISNUMBER('Price History'!M78)),NOT(ISNUMBER('Price History'!M77)),'Price History'!M77=0),"",'Price History'!M78/'Price History'!M77-1),"")</f>
        <v>0.0539052198867602</v>
      </c>
      <c r="N77" s="137" t="n">
        <f aca="false">IFERROR(IF(OR(NOT(ISNUMBER('Price History'!N78)),NOT(ISNUMBER('Price History'!N77)),'Price History'!N77=0),"",'Price History'!N78/'Price History'!N77-1),"")</f>
        <v>0.0303740599667937</v>
      </c>
      <c r="O77" s="137" t="n">
        <f aca="false">IFERROR(IF(OR(NOT(ISNUMBER('Price History'!O78)),NOT(ISNUMBER('Price History'!O77)),'Price History'!O77=0),"",'Price History'!O78/'Price History'!O77-1),"")</f>
        <v>0.0488963987749498</v>
      </c>
      <c r="P77" s="137" t="str">
        <f aca="false">IFERROR(IF(OR(NOT(ISNUMBER('Price History'!P78)),NOT(ISNUMBER('Price History'!P77)),'Price History'!P77=0),"",'Price History'!P78/'Price History'!P77-1),"")</f>
        <v/>
      </c>
      <c r="Q77" s="137" t="n">
        <f aca="false">IFERROR(IF(OR(NOT(ISNUMBER('Price History'!Q78)),NOT(ISNUMBER('Price History'!Q77)),'Price History'!Q77=0),"",'Price History'!Q78/'Price History'!Q77-1),"")</f>
        <v>-0.0174539631705365</v>
      </c>
      <c r="R77" s="137" t="n">
        <f aca="false">IFERROR(IF(OR(NOT(ISNUMBER('Price History'!R78)),NOT(ISNUMBER('Price History'!R77)),'Price History'!R77=0),"",'Price History'!R78/'Price History'!R77-1),"")</f>
        <v>0.0230439442658092</v>
      </c>
      <c r="S77" s="137" t="n">
        <f aca="false">IFERROR(IF(OR(NOT(ISNUMBER('Price History'!S78)),NOT(ISNUMBER('Price History'!S77)),'Price History'!S77=0),"",'Price History'!S78/'Price History'!S77-1),"")</f>
        <v>0.0321196903117809</v>
      </c>
      <c r="T77" s="137" t="n">
        <f aca="false">IFERROR(IF(OR(NOT(ISNUMBER('Price History'!T78)),NOT(ISNUMBER('Price History'!T77)),'Price History'!T77=0),"",'Price History'!T78/'Price History'!T77-1),"")</f>
        <v>0.038595473012188</v>
      </c>
      <c r="U77" s="137" t="str">
        <f aca="false">IFERROR(IF(OR(NOT(ISNUMBER('Price History'!U78)),NOT(ISNUMBER('Price History'!U77)),'Price History'!U77=0),"",'Price History'!U78/'Price History'!U77-1),"")</f>
        <v/>
      </c>
      <c r="W77" s="138" t="n">
        <f aca="false">'Price History'!B3+('Price History'!B158-'Price History'!B3)*0.480519480519481</f>
        <v>384.456753246753</v>
      </c>
      <c r="X77" s="138" t="n">
        <f aca="false">'Price History'!C3+('Price History'!C158-'Price History'!C3)*0.480519480519481</f>
        <v>109.383766233766</v>
      </c>
      <c r="Y77" s="138" t="n">
        <f aca="false">'Price History'!D3+('Price History'!D158-'Price History'!D3)*0.480519480519481</f>
        <v>1126.54805194805</v>
      </c>
      <c r="Z77" s="138" t="n">
        <f aca="false">'Price History'!E3+('Price History'!E158-'Price History'!E3)*0.480519480519481</f>
        <v>230.163116883117</v>
      </c>
      <c r="AA77" s="138" t="n">
        <f aca="false">'Price History'!F3+('Price History'!F158-'Price History'!F3)*0.480519480519481</f>
        <v>110.963896103896</v>
      </c>
      <c r="AB77" s="138" t="n">
        <f aca="false">'Price History'!G3+('Price History'!G158-'Price History'!G3)*0.480519480519481</f>
        <v>112.731688311688</v>
      </c>
      <c r="AC77" s="138" t="n">
        <f aca="false">'Price History'!H3+('Price History'!H158-'Price History'!H3)*0.480519480519481</f>
        <v>428.920909090909</v>
      </c>
      <c r="AD77" s="138" t="n">
        <f aca="false">'Price History'!I3+('Price History'!I158-'Price History'!I3)*0.480519480519481</f>
        <v>117.685064935065</v>
      </c>
      <c r="AE77" s="138" t="n">
        <f aca="false">'Price History'!J3+('Price History'!J158-'Price History'!J3)*0.480519480519481</f>
        <v>133.648961038961</v>
      </c>
      <c r="AF77" s="138" t="n">
        <f aca="false">'Price History'!K3+('Price History'!K158-'Price History'!K3)*0.480519480519481</f>
        <v>67.1379220779221</v>
      </c>
      <c r="AG77" s="138" t="n">
        <f aca="false">'Price History'!L3+('Price History'!L158-'Price History'!L3)*0.480519480519481</f>
        <v>242.037012987013</v>
      </c>
      <c r="AH77" s="138" t="n">
        <f aca="false">'Price History'!M3+('Price History'!M158-'Price History'!M3)*0.480519480519481</f>
        <v>133.486883116883</v>
      </c>
      <c r="AI77" s="138" t="n">
        <f aca="false">'Price History'!N3+('Price History'!N158-'Price History'!N3)*0.480519480519481</f>
        <v>411.001298701299</v>
      </c>
      <c r="AJ77" s="138" t="n">
        <f aca="false">'Price History'!O3+('Price History'!O158-'Price History'!O3)*0.480519480519481</f>
        <v>103.238441558442</v>
      </c>
      <c r="AK77" s="138" t="n">
        <f aca="false">'Price History'!Q3+('Price History'!Q151-'Price History'!Q3)*0.480519480519481</f>
        <v>58.7824675324675</v>
      </c>
      <c r="AL77" s="138" t="n">
        <f aca="false">'Price History'!R3+('Price History'!R158-'Price History'!R3)*0.480519480519481</f>
        <v>52.8318181818182</v>
      </c>
      <c r="AM77" s="138" t="n">
        <f aca="false">'Price History'!S3+('Price History'!S158-'Price History'!S3)*0.480519480519481</f>
        <v>99.5235064935066</v>
      </c>
      <c r="AN77" s="138" t="n">
        <f aca="false">'Price History'!T3+('Price History'!T158-'Price History'!T3)*0.480519480519481</f>
        <v>37.8802597402598</v>
      </c>
    </row>
    <row r="78" customFormat="false" ht="15" hidden="false" customHeight="true" outlineLevel="0" collapsed="false">
      <c r="A78" s="136" t="n">
        <f aca="false">IF('Price History'!A79="","",'Price History'!A79)</f>
        <v>45681</v>
      </c>
      <c r="B78" s="137" t="n">
        <f aca="false">IFERROR(IF(OR(NOT(ISNUMBER('Price History'!B79)),NOT(ISNUMBER('Price History'!B78)),'Price History'!B78=0),"",'Price History'!B79/'Price History'!B78-1),"")</f>
        <v>0.0125351752366334</v>
      </c>
      <c r="C78" s="137" t="n">
        <f aca="false">IFERROR(IF(OR(NOT(ISNUMBER('Price History'!C79)),NOT(ISNUMBER('Price History'!C78)),'Price History'!C78=0),"",'Price History'!C79/'Price History'!C78-1),"")</f>
        <v>0.0768653605669027</v>
      </c>
      <c r="D78" s="137" t="n">
        <f aca="false">IFERROR(IF(OR(NOT(ISNUMBER('Price History'!D79)),NOT(ISNUMBER('Price History'!D78)),'Price History'!D78=0),"",'Price History'!D79/'Price History'!D78-1),"")</f>
        <v>-0.0318379543321038</v>
      </c>
      <c r="E78" s="137" t="n">
        <f aca="false">IFERROR(IF(OR(NOT(ISNUMBER('Price History'!E79)),NOT(ISNUMBER('Price History'!E78)),'Price History'!E78=0),"",'Price History'!E79/'Price History'!E78-1),"")</f>
        <v>0.0305761455525606</v>
      </c>
      <c r="F78" s="137" t="n">
        <f aca="false">IFERROR(IF(OR(NOT(ISNUMBER('Price History'!F79)),NOT(ISNUMBER('Price History'!F78)),'Price History'!F78=0),"",'Price History'!F79/'Price History'!F78-1),"")</f>
        <v>0.0501960784313726</v>
      </c>
      <c r="G78" s="137" t="n">
        <f aca="false">IFERROR(IF(OR(NOT(ISNUMBER('Price History'!G79)),NOT(ISNUMBER('Price History'!G78)),'Price History'!G78=0),"",'Price History'!G79/'Price History'!G78-1),"")</f>
        <v>-0.0101650165016501</v>
      </c>
      <c r="H78" s="137" t="n">
        <f aca="false">IFERROR(IF(OR(NOT(ISNUMBER('Price History'!H79)),NOT(ISNUMBER('Price History'!H78)),'Price History'!H78=0),"",'Price History'!H79/'Price History'!H78-1),"")</f>
        <v>-0.0242080378250591</v>
      </c>
      <c r="I78" s="137" t="n">
        <f aca="false">IFERROR(IF(OR(NOT(ISNUMBER('Price History'!I79)),NOT(ISNUMBER('Price History'!I78)),'Price History'!I78=0),"",'Price History'!I79/'Price History'!I78-1),"")</f>
        <v>0.0356546365550794</v>
      </c>
      <c r="J78" s="137" t="n">
        <f aca="false">IFERROR(IF(OR(NOT(ISNUMBER('Price History'!J79)),NOT(ISNUMBER('Price History'!J78)),'Price History'!J78=0),"",'Price History'!J79/'Price History'!J78-1),"")</f>
        <v>0.0863171355498722</v>
      </c>
      <c r="K78" s="137" t="n">
        <f aca="false">IFERROR(IF(OR(NOT(ISNUMBER('Price History'!K79)),NOT(ISNUMBER('Price History'!K78)),'Price History'!K78=0),"",'Price History'!K79/'Price History'!K78-1),"")</f>
        <v>0.100459802145743</v>
      </c>
      <c r="L78" s="137" t="n">
        <f aca="false">IFERROR(IF(OR(NOT(ISNUMBER('Price History'!L79)),NOT(ISNUMBER('Price History'!L78)),'Price History'!L78=0),"",'Price History'!L79/'Price History'!L78-1),"")</f>
        <v>0.0490780141843972</v>
      </c>
      <c r="M78" s="137" t="n">
        <f aca="false">IFERROR(IF(OR(NOT(ISNUMBER('Price History'!M79)),NOT(ISNUMBER('Price History'!M78)),'Price History'!M78=0),"",'Price History'!M79/'Price History'!M78-1),"")</f>
        <v>0.0768324992640566</v>
      </c>
      <c r="N78" s="137" t="n">
        <f aca="false">IFERROR(IF(OR(NOT(ISNUMBER('Price History'!N79)),NOT(ISNUMBER('Price History'!N78)),'Price History'!N78=0),"",'Price History'!N79/'Price History'!N78-1),"")</f>
        <v>0.0417535545023697</v>
      </c>
      <c r="O78" s="137" t="n">
        <f aca="false">IFERROR(IF(OR(NOT(ISNUMBER('Price History'!O79)),NOT(ISNUMBER('Price History'!O78)),'Price History'!O78=0),"",'Price History'!O79/'Price History'!O78-1),"")</f>
        <v>0.00503423278292381</v>
      </c>
      <c r="P78" s="137" t="str">
        <f aca="false">IFERROR(IF(OR(NOT(ISNUMBER('Price History'!P79)),NOT(ISNUMBER('Price History'!P78)),'Price History'!P78=0),"",'Price History'!P79/'Price History'!P78-1),"")</f>
        <v/>
      </c>
      <c r="Q78" s="137" t="n">
        <f aca="false">IFERROR(IF(OR(NOT(ISNUMBER('Price History'!Q79)),NOT(ISNUMBER('Price History'!Q78)),'Price History'!Q78=0),"",'Price History'!Q79/'Price History'!Q78-1),"")</f>
        <v>-0.0141786179921772</v>
      </c>
      <c r="R78" s="137" t="n">
        <f aca="false">IFERROR(IF(OR(NOT(ISNUMBER('Price History'!R79)),NOT(ISNUMBER('Price History'!R78)),'Price History'!R78=0),"",'Price History'!R79/'Price History'!R78-1),"")</f>
        <v>0.0139689191548804</v>
      </c>
      <c r="S78" s="137" t="n">
        <f aca="false">IFERROR(IF(OR(NOT(ISNUMBER('Price History'!S79)),NOT(ISNUMBER('Price History'!S78)),'Price History'!S78=0),"",'Price History'!S79/'Price History'!S78-1),"")</f>
        <v>0.0271667511403952</v>
      </c>
      <c r="T78" s="137" t="n">
        <f aca="false">IFERROR(IF(OR(NOT(ISNUMBER('Price History'!T79)),NOT(ISNUMBER('Price History'!T78)),'Price History'!T78=0),"",'Price History'!T79/'Price History'!T78-1),"")</f>
        <v>0.00251466890192797</v>
      </c>
      <c r="U78" s="137" t="str">
        <f aca="false">IFERROR(IF(OR(NOT(ISNUMBER('Price History'!U79)),NOT(ISNUMBER('Price History'!U78)),'Price History'!U78=0),"",'Price History'!U79/'Price History'!U78-1),"")</f>
        <v/>
      </c>
      <c r="W78" s="138" t="n">
        <f aca="false">'Price History'!B3+('Price History'!B158-'Price History'!B3)*0.487012987012987</f>
        <v>382.781168831169</v>
      </c>
      <c r="X78" s="138" t="n">
        <f aca="false">'Price History'!C3+('Price History'!C158-'Price History'!C3)*0.487012987012987</f>
        <v>110.270844155844</v>
      </c>
      <c r="Y78" s="138" t="n">
        <f aca="false">'Price History'!D3+('Price History'!D158-'Price History'!D3)*0.487012987012987</f>
        <v>1132.8287012987</v>
      </c>
      <c r="Z78" s="138" t="n">
        <f aca="false">'Price History'!E3+('Price History'!E158-'Price History'!E3)*0.487012987012987</f>
        <v>232.152077922078</v>
      </c>
      <c r="AA78" s="138" t="n">
        <f aca="false">'Price History'!F3+('Price History'!F158-'Price History'!F3)*0.487012987012987</f>
        <v>111.962597402597</v>
      </c>
      <c r="AB78" s="138" t="n">
        <f aca="false">'Price History'!G3+('Price History'!G158-'Price History'!G3)*0.487012987012987</f>
        <v>113.607792207792</v>
      </c>
      <c r="AC78" s="138" t="n">
        <f aca="false">'Price History'!H3+('Price History'!H158-'Price History'!H3)*0.487012987012987</f>
        <v>433.847272727273</v>
      </c>
      <c r="AD78" s="138" t="n">
        <f aca="false">'Price History'!I3+('Price History'!I158-'Price History'!I3)*0.487012987012987</f>
        <v>118.723376623377</v>
      </c>
      <c r="AE78" s="138" t="n">
        <f aca="false">'Price History'!J3+('Price History'!J158-'Price History'!J3)*0.487012987012987</f>
        <v>133.785974025974</v>
      </c>
      <c r="AF78" s="138" t="n">
        <f aca="false">'Price History'!K3+('Price History'!K158-'Price History'!K3)*0.487012987012987</f>
        <v>67.8369480519481</v>
      </c>
      <c r="AG78" s="138" t="n">
        <f aca="false">'Price History'!L3+('Price History'!L158-'Price History'!L3)*0.487012987012987</f>
        <v>244.064675324675</v>
      </c>
      <c r="AH78" s="138" t="n">
        <f aca="false">'Price History'!M3+('Price History'!M158-'Price History'!M3)*0.487012987012987</f>
        <v>134.837922077922</v>
      </c>
      <c r="AI78" s="138" t="n">
        <f aca="false">'Price History'!N3+('Price History'!N158-'Price History'!N3)*0.487012987012987</f>
        <v>411.827532467533</v>
      </c>
      <c r="AJ78" s="138" t="n">
        <f aca="false">'Price History'!O3+('Price History'!O158-'Price History'!O3)*0.487012987012987</f>
        <v>103.513961038961</v>
      </c>
      <c r="AK78" s="138" t="n">
        <f aca="false">'Price History'!Q3+('Price History'!Q151-'Price History'!Q3)*0.487012987012987</f>
        <v>58.9033116883117</v>
      </c>
      <c r="AL78" s="138" t="n">
        <f aca="false">'Price History'!R3+('Price History'!R158-'Price History'!R3)*0.487012987012987</f>
        <v>52.8995454545455</v>
      </c>
      <c r="AM78" s="138" t="n">
        <f aca="false">'Price History'!S3+('Price History'!S158-'Price History'!S3)*0.487012987012987</f>
        <v>100.077337662338</v>
      </c>
      <c r="AN78" s="138" t="n">
        <f aca="false">'Price History'!T3+('Price History'!T158-'Price History'!T3)*0.487012987012987</f>
        <v>38.0285064935065</v>
      </c>
    </row>
    <row r="79" customFormat="false" ht="15" hidden="false" customHeight="true" outlineLevel="0" collapsed="false">
      <c r="A79" s="136" t="n">
        <f aca="false">IF('Price History'!A80="","",'Price History'!A80)</f>
        <v>45688</v>
      </c>
      <c r="B79" s="137" t="n">
        <f aca="false">IFERROR(IF(OR(NOT(ISNUMBER('Price History'!B80)),NOT(ISNUMBER('Price History'!B79)),'Price History'!B79=0),"",'Price History'!B80/'Price History'!B79-1),"")</f>
        <v>0.00475446736184471</v>
      </c>
      <c r="C79" s="137" t="n">
        <f aca="false">IFERROR(IF(OR(NOT(ISNUMBER('Price History'!C80)),NOT(ISNUMBER('Price History'!C79)),'Price History'!C79=0),"",'Price History'!C80/'Price History'!C79-1),"")</f>
        <v>-0.107919795618177</v>
      </c>
      <c r="D79" s="137" t="n">
        <f aca="false">IFERROR(IF(OR(NOT(ISNUMBER('Price History'!D80)),NOT(ISNUMBER('Price History'!D79)),'Price History'!D79=0),"",'Price History'!D80/'Price History'!D79-1),"")</f>
        <v>0.00964151587572548</v>
      </c>
      <c r="E79" s="137" t="n">
        <f aca="false">IFERROR(IF(OR(NOT(ISNUMBER('Price History'!E80)),NOT(ISNUMBER('Price History'!E79)),'Price History'!E79=0),"",'Price History'!E80/'Price History'!E79-1),"")</f>
        <v>-0.0957498978340825</v>
      </c>
      <c r="F79" s="137" t="n">
        <f aca="false">IFERROR(IF(OR(NOT(ISNUMBER('Price History'!F80)),NOT(ISNUMBER('Price History'!F79)),'Price History'!F79=0),"",'Price History'!F80/'Price History'!F79-1),"")</f>
        <v>0.0617731782780326</v>
      </c>
      <c r="G79" s="137" t="n">
        <f aca="false">IFERROR(IF(OR(NOT(ISNUMBER('Price History'!G80)),NOT(ISNUMBER('Price History'!G79)),'Price History'!G79=0),"",'Price History'!G80/'Price History'!G79-1),"")</f>
        <v>-0.0154707922112565</v>
      </c>
      <c r="H79" s="137" t="n">
        <f aca="false">IFERROR(IF(OR(NOT(ISNUMBER('Price History'!H80)),NOT(ISNUMBER('Price History'!H79)),'Price History'!H79=0),"",'Price History'!H80/'Price History'!H79-1),"")</f>
        <v>-0.115805795135188</v>
      </c>
      <c r="I79" s="137" t="n">
        <f aca="false">IFERROR(IF(OR(NOT(ISNUMBER('Price History'!I80)),NOT(ISNUMBER('Price History'!I79)),'Price History'!I79=0),"",'Price History'!I80/'Price History'!I79-1),"")</f>
        <v>-0.158112466694713</v>
      </c>
      <c r="J79" s="137" t="n">
        <f aca="false">IFERROR(IF(OR(NOT(ISNUMBER('Price History'!J80)),NOT(ISNUMBER('Price History'!J79)),'Price History'!J79=0),"",'Price History'!J80/'Price History'!J79-1),"")</f>
        <v>0.00269065837047</v>
      </c>
      <c r="K79" s="137" t="n">
        <f aca="false">IFERROR(IF(OR(NOT(ISNUMBER('Price History'!K80)),NOT(ISNUMBER('Price History'!K79)),'Price History'!K79=0),"",'Price History'!K80/'Price History'!K79-1),"")</f>
        <v>0.0444416307926057</v>
      </c>
      <c r="L79" s="137" t="n">
        <f aca="false">IFERROR(IF(OR(NOT(ISNUMBER('Price History'!L80)),NOT(ISNUMBER('Price History'!L79)),'Price History'!L79=0),"",'Price History'!L80/'Price History'!L79-1),"")</f>
        <v>-0.0566071750495764</v>
      </c>
      <c r="M79" s="137" t="n">
        <f aca="false">IFERROR(IF(OR(NOT(ISNUMBER('Price History'!M80)),NOT(ISNUMBER('Price History'!M79)),'Price History'!M79=0),"",'Price History'!M80/'Price History'!M79-1),"")</f>
        <v>-0.200246036085292</v>
      </c>
      <c r="N79" s="137" t="n">
        <f aca="false">IFERROR(IF(OR(NOT(ISNUMBER('Price History'!N80)),NOT(ISNUMBER('Price History'!N79)),'Price History'!N79=0),"",'Price History'!N80/'Price History'!N79-1),"")</f>
        <v>0.0501797006505618</v>
      </c>
      <c r="O79" s="137" t="n">
        <f aca="false">IFERROR(IF(OR(NOT(ISNUMBER('Price History'!O80)),NOT(ISNUMBER('Price History'!O79)),'Price History'!O79=0),"",'Price History'!O80/'Price History'!O79-1),"")</f>
        <v>-0.0151272290122219</v>
      </c>
      <c r="P79" s="137" t="str">
        <f aca="false">IFERROR(IF(OR(NOT(ISNUMBER('Price History'!P80)),NOT(ISNUMBER('Price History'!P79)),'Price History'!P79=0),"",'Price History'!P80/'Price History'!P79-1),"")</f>
        <v/>
      </c>
      <c r="Q79" s="137" t="n">
        <f aca="false">IFERROR(IF(OR(NOT(ISNUMBER('Price History'!Q80)),NOT(ISNUMBER('Price History'!Q79)),'Price History'!Q79=0),"",'Price History'!Q80/'Price History'!Q79-1),"")</f>
        <v>-0.00214911555629038</v>
      </c>
      <c r="R79" s="137" t="n">
        <f aca="false">IFERROR(IF(OR(NOT(ISNUMBER('Price History'!R80)),NOT(ISNUMBER('Price History'!R79)),'Price History'!R79=0),"",'Price History'!R80/'Price History'!R79-1),"")</f>
        <v>-0.0103323574995695</v>
      </c>
      <c r="S79" s="137" t="n">
        <f aca="false">IFERROR(IF(OR(NOT(ISNUMBER('Price History'!S80)),NOT(ISNUMBER('Price History'!S79)),'Price History'!S79=0),"",'Price History'!S80/'Price History'!S79-1),"")</f>
        <v>-0.0127306819303266</v>
      </c>
      <c r="T79" s="137" t="n">
        <f aca="false">IFERROR(IF(OR(NOT(ISNUMBER('Price History'!T80)),NOT(ISNUMBER('Price History'!T79)),'Price History'!T79=0),"",'Price History'!T80/'Price History'!T79-1),"")</f>
        <v>-0.0103121516164996</v>
      </c>
      <c r="U79" s="137" t="str">
        <f aca="false">IFERROR(IF(OR(NOT(ISNUMBER('Price History'!U80)),NOT(ISNUMBER('Price History'!U79)),'Price History'!U79=0),"",'Price History'!U80/'Price History'!U79-1),"")</f>
        <v/>
      </c>
      <c r="W79" s="138" t="n">
        <f aca="false">'Price History'!B3+('Price History'!B158-'Price History'!B3)*0.493506493506494</f>
        <v>381.105584415584</v>
      </c>
      <c r="X79" s="138" t="n">
        <f aca="false">'Price History'!C3+('Price History'!C158-'Price History'!C3)*0.493506493506494</f>
        <v>111.157922077922</v>
      </c>
      <c r="Y79" s="138" t="n">
        <f aca="false">'Price History'!D3+('Price History'!D158-'Price History'!D3)*0.493506493506494</f>
        <v>1139.10935064935</v>
      </c>
      <c r="Z79" s="138" t="n">
        <f aca="false">'Price History'!E3+('Price History'!E158-'Price History'!E3)*0.493506493506494</f>
        <v>234.141038961039</v>
      </c>
      <c r="AA79" s="138" t="n">
        <f aca="false">'Price History'!F3+('Price History'!F158-'Price History'!F3)*0.493506493506494</f>
        <v>112.961298701299</v>
      </c>
      <c r="AB79" s="138" t="n">
        <f aca="false">'Price History'!G3+('Price History'!G158-'Price History'!G3)*0.493506493506494</f>
        <v>114.483896103896</v>
      </c>
      <c r="AC79" s="138" t="n">
        <f aca="false">'Price History'!H3+('Price History'!H158-'Price History'!H3)*0.493506493506494</f>
        <v>438.773636363637</v>
      </c>
      <c r="AD79" s="138" t="n">
        <f aca="false">'Price History'!I3+('Price History'!I158-'Price History'!I3)*0.493506493506494</f>
        <v>119.761688311688</v>
      </c>
      <c r="AE79" s="138" t="n">
        <f aca="false">'Price History'!J3+('Price History'!J158-'Price History'!J3)*0.493506493506494</f>
        <v>133.922987012987</v>
      </c>
      <c r="AF79" s="138" t="n">
        <f aca="false">'Price History'!K3+('Price History'!K158-'Price History'!K3)*0.493506493506494</f>
        <v>68.5359740259741</v>
      </c>
      <c r="AG79" s="138" t="n">
        <f aca="false">'Price History'!L3+('Price History'!L158-'Price History'!L3)*0.493506493506494</f>
        <v>246.092337662338</v>
      </c>
      <c r="AH79" s="138" t="n">
        <f aca="false">'Price History'!M3+('Price History'!M158-'Price History'!M3)*0.493506493506494</f>
        <v>136.188961038961</v>
      </c>
      <c r="AI79" s="138" t="n">
        <f aca="false">'Price History'!N3+('Price History'!N158-'Price History'!N3)*0.493506493506494</f>
        <v>412.653766233766</v>
      </c>
      <c r="AJ79" s="138" t="n">
        <f aca="false">'Price History'!O3+('Price History'!O158-'Price History'!O3)*0.493506493506494</f>
        <v>103.789480519481</v>
      </c>
      <c r="AK79" s="138" t="n">
        <f aca="false">'Price History'!Q3+('Price History'!Q151-'Price History'!Q3)*0.493506493506494</f>
        <v>59.0241558441559</v>
      </c>
      <c r="AL79" s="138" t="n">
        <f aca="false">'Price History'!R3+('Price History'!R158-'Price History'!R3)*0.493506493506494</f>
        <v>52.9672727272727</v>
      </c>
      <c r="AM79" s="138" t="n">
        <f aca="false">'Price History'!S3+('Price History'!S158-'Price History'!S3)*0.493506493506494</f>
        <v>100.631168831169</v>
      </c>
      <c r="AN79" s="138" t="n">
        <f aca="false">'Price History'!T3+('Price History'!T158-'Price History'!T3)*0.493506493506494</f>
        <v>38.1767532467533</v>
      </c>
    </row>
    <row r="80" customFormat="false" ht="15" hidden="false" customHeight="true" outlineLevel="0" collapsed="false">
      <c r="A80" s="136" t="n">
        <f aca="false">IF('Price History'!A81="","",'Price History'!A81)</f>
        <v>45695</v>
      </c>
      <c r="B80" s="137" t="n">
        <f aca="false">IFERROR(IF(OR(NOT(ISNUMBER('Price History'!B81)),NOT(ISNUMBER('Price History'!B80)),'Price History'!B80=0),"",'Price History'!B81/'Price History'!B80-1),"")</f>
        <v>-0.0100125728654703</v>
      </c>
      <c r="C80" s="137" t="n">
        <f aca="false">IFERROR(IF(OR(NOT(ISNUMBER('Price History'!C81)),NOT(ISNUMBER('Price History'!C80)),'Price History'!C80=0),"",'Price History'!C81/'Price History'!C80-1),"")</f>
        <v>0.028117677688102</v>
      </c>
      <c r="D80" s="137" t="n">
        <f aca="false">IFERROR(IF(OR(NOT(ISNUMBER('Price History'!D81)),NOT(ISNUMBER('Price History'!D80)),'Price History'!D80=0),"",'Price History'!D81/'Price History'!D80-1),"")</f>
        <v>-0.015703831951414</v>
      </c>
      <c r="E80" s="137" t="n">
        <f aca="false">IFERROR(IF(OR(NOT(ISNUMBER('Price History'!E81)),NOT(ISNUMBER('Price History'!E80)),'Price History'!E80=0),"",'Price History'!E81/'Price History'!E80-1),"")</f>
        <v>0.0162697157319112</v>
      </c>
      <c r="F80" s="137" t="n">
        <f aca="false">IFERROR(IF(OR(NOT(ISNUMBER('Price History'!F81)),NOT(ISNUMBER('Price History'!F80)),'Price History'!F80=0),"",'Price History'!F81/'Price History'!F80-1),"")</f>
        <v>0.0590836012861737</v>
      </c>
      <c r="G80" s="137" t="n">
        <f aca="false">IFERROR(IF(OR(NOT(ISNUMBER('Price History'!G81)),NOT(ISNUMBER('Price History'!G80)),'Price History'!G80=0),"",'Price History'!G81/'Price History'!G80-1),"")</f>
        <v>0.0128691411541588</v>
      </c>
      <c r="H80" s="137" t="n">
        <f aca="false">IFERROR(IF(OR(NOT(ISNUMBER('Price History'!H81)),NOT(ISNUMBER('Price History'!H80)),'Price History'!H80=0),"",'Price History'!H81/'Price History'!H80-1),"")</f>
        <v>0.0116177115300307</v>
      </c>
      <c r="I80" s="137" t="n">
        <f aca="false">IFERROR(IF(OR(NOT(ISNUMBER('Price History'!I81)),NOT(ISNUMBER('Price History'!I80)),'Price History'!I80=0),"",'Price History'!I81/'Price History'!I80-1),"")</f>
        <v>0.0813692012992422</v>
      </c>
      <c r="J80" s="137" t="n">
        <f aca="false">IFERROR(IF(OR(NOT(ISNUMBER('Price History'!J81)),NOT(ISNUMBER('Price History'!J80)),'Price History'!J80=0),"",'Price History'!J81/'Price History'!J80-1),"")</f>
        <v>-0.0159329140461216</v>
      </c>
      <c r="K80" s="137" t="n">
        <f aca="false">IFERROR(IF(OR(NOT(ISNUMBER('Price History'!K81)),NOT(ISNUMBER('Price History'!K80)),'Price History'!K80=0),"",'Price History'!K81/'Price History'!K80-1),"")</f>
        <v>0.343799248393745</v>
      </c>
      <c r="L80" s="137" t="n">
        <f aca="false">IFERROR(IF(OR(NOT(ISNUMBER('Price History'!L81)),NOT(ISNUMBER('Price History'!L80)),'Price History'!L80=0),"",'Price History'!L81/'Price History'!L80-1),"")</f>
        <v>-0.0152875979361742</v>
      </c>
      <c r="M80" s="137" t="n">
        <f aca="false">IFERROR(IF(OR(NOT(ISNUMBER('Price History'!M81)),NOT(ISNUMBER('Price History'!M80)),'Price History'!M80=0),"",'Price History'!M81/'Price History'!M80-1),"")</f>
        <v>0.0372585882755085</v>
      </c>
      <c r="N80" s="137" t="n">
        <f aca="false">IFERROR(IF(OR(NOT(ISNUMBER('Price History'!N81)),NOT(ISNUMBER('Price History'!N80)),'Price History'!N80=0),"",'Price History'!N81/'Price History'!N80-1),"")</f>
        <v>0.0165482585340495</v>
      </c>
      <c r="O80" s="137" t="n">
        <f aca="false">IFERROR(IF(OR(NOT(ISNUMBER('Price History'!O81)),NOT(ISNUMBER('Price History'!O80)),'Price History'!O80=0),"",'Price History'!O81/'Price History'!O80-1),"")</f>
        <v>-0.0115959719255416</v>
      </c>
      <c r="P80" s="137" t="str">
        <f aca="false">IFERROR(IF(OR(NOT(ISNUMBER('Price History'!P81)),NOT(ISNUMBER('Price History'!P80)),'Price History'!P80=0),"",'Price History'!P81/'Price History'!P80-1),"")</f>
        <v/>
      </c>
      <c r="Q80" s="137" t="n">
        <f aca="false">IFERROR(IF(OR(NOT(ISNUMBER('Price History'!Q81)),NOT(ISNUMBER('Price History'!Q80)),'Price History'!Q80=0),"",'Price History'!Q81/'Price History'!Q80-1),"")</f>
        <v>-0.0129224652087475</v>
      </c>
      <c r="R80" s="137" t="n">
        <f aca="false">IFERROR(IF(OR(NOT(ISNUMBER('Price History'!R81)),NOT(ISNUMBER('Price History'!R80)),'Price History'!R80=0),"",'Price History'!R81/'Price History'!R80-1),"")</f>
        <v>-0.00522011484252649</v>
      </c>
      <c r="S80" s="137" t="n">
        <f aca="false">IFERROR(IF(OR(NOT(ISNUMBER('Price History'!S81)),NOT(ISNUMBER('Price History'!S80)),'Price History'!S80=0),"",'Price History'!S81/'Price History'!S80-1),"")</f>
        <v>0.0198920431827268</v>
      </c>
      <c r="T80" s="137" t="n">
        <f aca="false">IFERROR(IF(OR(NOT(ISNUMBER('Price History'!T81)),NOT(ISNUMBER('Price History'!T80)),'Price History'!T80=0),"",'Price History'!T81/'Price History'!T80-1),"")</f>
        <v>-0.00872993522951271</v>
      </c>
      <c r="U80" s="137" t="str">
        <f aca="false">IFERROR(IF(OR(NOT(ISNUMBER('Price History'!U81)),NOT(ISNUMBER('Price History'!U80)),'Price History'!U80=0),"",'Price History'!U81/'Price History'!U80-1),"")</f>
        <v/>
      </c>
      <c r="W80" s="138" t="n">
        <f aca="false">'Price History'!B3+('Price History'!B158-'Price History'!B3)*0.5</f>
        <v>379.43</v>
      </c>
      <c r="X80" s="138" t="n">
        <f aca="false">'Price History'!C3+('Price History'!C158-'Price History'!C3)*0.5</f>
        <v>112.045</v>
      </c>
      <c r="Y80" s="138" t="n">
        <f aca="false">'Price History'!D3+('Price History'!D158-'Price History'!D3)*0.5</f>
        <v>1145.39</v>
      </c>
      <c r="Z80" s="138" t="n">
        <f aca="false">'Price History'!E3+('Price History'!E158-'Price History'!E3)*0.5</f>
        <v>236.13</v>
      </c>
      <c r="AA80" s="138" t="n">
        <f aca="false">'Price History'!F3+('Price History'!F158-'Price History'!F3)*0.5</f>
        <v>113.96</v>
      </c>
      <c r="AB80" s="138" t="n">
        <f aca="false">'Price History'!G3+('Price History'!G158-'Price History'!G3)*0.5</f>
        <v>115.36</v>
      </c>
      <c r="AC80" s="138" t="n">
        <f aca="false">'Price History'!H3+('Price History'!H158-'Price History'!H3)*0.5</f>
        <v>443.7</v>
      </c>
      <c r="AD80" s="138" t="n">
        <f aca="false">'Price History'!I3+('Price History'!I158-'Price History'!I3)*0.5</f>
        <v>120.8</v>
      </c>
      <c r="AE80" s="138" t="n">
        <f aca="false">'Price History'!J3+('Price History'!J158-'Price History'!J3)*0.5</f>
        <v>134.06</v>
      </c>
      <c r="AF80" s="138" t="n">
        <f aca="false">'Price History'!K3+('Price History'!K158-'Price History'!K3)*0.5</f>
        <v>69.235</v>
      </c>
      <c r="AG80" s="138" t="n">
        <f aca="false">'Price History'!L3+('Price History'!L158-'Price History'!L3)*0.5</f>
        <v>248.12</v>
      </c>
      <c r="AH80" s="138" t="n">
        <f aca="false">'Price History'!M3+('Price History'!M158-'Price History'!M3)*0.5</f>
        <v>137.54</v>
      </c>
      <c r="AI80" s="138" t="n">
        <f aca="false">'Price History'!N3+('Price History'!N158-'Price History'!N3)*0.5</f>
        <v>413.48</v>
      </c>
      <c r="AJ80" s="138" t="n">
        <f aca="false">'Price History'!O3+('Price History'!O158-'Price History'!O3)*0.5</f>
        <v>104.065</v>
      </c>
      <c r="AK80" s="138" t="n">
        <f aca="false">'Price History'!Q3+('Price History'!Q151-'Price History'!Q3)*0.5</f>
        <v>59.145</v>
      </c>
      <c r="AL80" s="138" t="n">
        <f aca="false">'Price History'!R3+('Price History'!R158-'Price History'!R3)*0.5</f>
        <v>53.035</v>
      </c>
      <c r="AM80" s="138" t="n">
        <f aca="false">'Price History'!S3+('Price History'!S158-'Price History'!S3)*0.5</f>
        <v>101.185</v>
      </c>
      <c r="AN80" s="138" t="n">
        <f aca="false">'Price History'!T3+('Price History'!T158-'Price History'!T3)*0.5</f>
        <v>38.325</v>
      </c>
    </row>
    <row r="81" customFormat="false" ht="15" hidden="false" customHeight="true" outlineLevel="0" collapsed="false">
      <c r="A81" s="136" t="n">
        <f aca="false">IF('Price History'!A82="","",'Price History'!A82)</f>
        <v>45702</v>
      </c>
      <c r="B81" s="137" t="n">
        <f aca="false">IFERROR(IF(OR(NOT(ISNUMBER('Price History'!B82)),NOT(ISNUMBER('Price History'!B81)),'Price History'!B81=0),"",'Price History'!B82/'Price History'!B81-1),"")</f>
        <v>0.0625533978340684</v>
      </c>
      <c r="C81" s="137" t="n">
        <f aca="false">IFERROR(IF(OR(NOT(ISNUMBER('Price History'!C82)),NOT(ISNUMBER('Price History'!C81)),'Price History'!C81=0),"",'Price History'!C82/'Price History'!C81-1),"")</f>
        <v>-0.0979150839875074</v>
      </c>
      <c r="D81" s="137" t="n">
        <f aca="false">IFERROR(IF(OR(NOT(ISNUMBER('Price History'!D82)),NOT(ISNUMBER('Price History'!D81)),'Price History'!D81=0),"",'Price History'!D82/'Price History'!D81-1),"")</f>
        <v>0.0327744949841966</v>
      </c>
      <c r="E81" s="137" t="n">
        <f aca="false">IFERROR(IF(OR(NOT(ISNUMBER('Price History'!E82)),NOT(ISNUMBER('Price History'!E81)),'Price History'!E81=0),"",'Price History'!E82/'Price History'!E81-1),"")</f>
        <v>0.0363321029928403</v>
      </c>
      <c r="F81" s="137" t="n">
        <f aca="false">IFERROR(IF(OR(NOT(ISNUMBER('Price History'!F82)),NOT(ISNUMBER('Price History'!F81)),'Price History'!F81=0),"",'Price History'!F82/'Price History'!F81-1),"")</f>
        <v>0.0715370018975332</v>
      </c>
      <c r="G81" s="137" t="n">
        <f aca="false">IFERROR(IF(OR(NOT(ISNUMBER('Price History'!G82)),NOT(ISNUMBER('Price History'!G81)),'Price History'!G81=0),"",'Price History'!G82/'Price History'!G81-1),"")</f>
        <v>0.00401230440016054</v>
      </c>
      <c r="H81" s="137" t="n">
        <f aca="false">IFERROR(IF(OR(NOT(ISNUMBER('Price History'!H82)),NOT(ISNUMBER('Price History'!H81)),'Price History'!H81=0),"",'Price History'!H82/'Price History'!H81-1),"")</f>
        <v>0.0782231852654387</v>
      </c>
      <c r="I81" s="137" t="n">
        <f aca="false">IFERROR(IF(OR(NOT(ISNUMBER('Price History'!I82)),NOT(ISNUMBER('Price History'!I81)),'Price History'!I81=0),"",'Price History'!I82/'Price History'!I81-1),"")</f>
        <v>0.0693930991990142</v>
      </c>
      <c r="J81" s="137" t="n">
        <f aca="false">IFERROR(IF(OR(NOT(ISNUMBER('Price History'!J82)),NOT(ISNUMBER('Price History'!J81)),'Price History'!J81=0),"",'Price History'!J82/'Price History'!J81-1),"")</f>
        <v>0.0298253089049851</v>
      </c>
      <c r="K81" s="137" t="n">
        <f aca="false">IFERROR(IF(OR(NOT(ISNUMBER('Price History'!K82)),NOT(ISNUMBER('Price History'!K81)),'Price History'!K81=0),"",'Price History'!K82/'Price History'!K81-1),"")</f>
        <v>0.0749661705006766</v>
      </c>
      <c r="L81" s="137" t="n">
        <f aca="false">IFERROR(IF(OR(NOT(ISNUMBER('Price History'!L82)),NOT(ISNUMBER('Price History'!L81)),'Price History'!L81=0),"",'Price History'!L82/'Price History'!L81-1),"")</f>
        <v>-0.0107704249951485</v>
      </c>
      <c r="M81" s="137" t="n">
        <f aca="false">IFERROR(IF(OR(NOT(ISNUMBER('Price History'!M82)),NOT(ISNUMBER('Price History'!M81)),'Price History'!M81=0),"",'Price History'!M82/'Price History'!M81-1),"")</f>
        <v>-0.109820398747734</v>
      </c>
      <c r="N81" s="137" t="n">
        <f aca="false">IFERROR(IF(OR(NOT(ISNUMBER('Price History'!N82)),NOT(ISNUMBER('Price History'!N81)),'Price History'!N81=0),"",'Price History'!N82/'Price History'!N81-1),"")</f>
        <v>-0.0219892610585528</v>
      </c>
      <c r="O81" s="137" t="n">
        <f aca="false">IFERROR(IF(OR(NOT(ISNUMBER('Price History'!O82)),NOT(ISNUMBER('Price History'!O81)),'Price History'!O81=0),"",'Price History'!O82/'Price History'!O81-1),"")</f>
        <v>0.00308737264587844</v>
      </c>
      <c r="P81" s="137" t="str">
        <f aca="false">IFERROR(IF(OR(NOT(ISNUMBER('Price History'!P82)),NOT(ISNUMBER('Price History'!P81)),'Price History'!P81=0),"",'Price History'!P82/'Price History'!P81-1),"")</f>
        <v/>
      </c>
      <c r="Q81" s="137" t="n">
        <f aca="false">IFERROR(IF(OR(NOT(ISNUMBER('Price History'!Q82)),NOT(ISNUMBER('Price History'!Q81)),'Price History'!Q81=0),"",'Price History'!Q82/'Price History'!Q81-1),"")</f>
        <v>-0.03877139979859</v>
      </c>
      <c r="R81" s="137" t="n">
        <f aca="false">IFERROR(IF(OR(NOT(ISNUMBER('Price History'!R82)),NOT(ISNUMBER('Price History'!R81)),'Price History'!R81=0),"",'Price History'!R82/'Price History'!R81-1),"")</f>
        <v>0.0192408605912191</v>
      </c>
      <c r="S81" s="137" t="n">
        <f aca="false">IFERROR(IF(OR(NOT(ISNUMBER('Price History'!S82)),NOT(ISNUMBER('Price History'!S81)),'Price History'!S81=0),"",'Price History'!S82/'Price History'!S81-1),"")</f>
        <v>0.0100950700774283</v>
      </c>
      <c r="T81" s="137" t="n">
        <f aca="false">IFERROR(IF(OR(NOT(ISNUMBER('Price History'!T82)),NOT(ISNUMBER('Price History'!T81)),'Price History'!T81=0),"",'Price History'!T82/'Price History'!T81-1),"")</f>
        <v>0.0116477272727271</v>
      </c>
      <c r="U81" s="137" t="str">
        <f aca="false">IFERROR(IF(OR(NOT(ISNUMBER('Price History'!U82)),NOT(ISNUMBER('Price History'!U81)),'Price History'!U81=0),"",'Price History'!U82/'Price History'!U81-1),"")</f>
        <v/>
      </c>
      <c r="W81" s="138" t="n">
        <f aca="false">'Price History'!B3+('Price History'!B158-'Price History'!B3)*0.506493506493506</f>
        <v>377.754415584416</v>
      </c>
      <c r="X81" s="138" t="n">
        <f aca="false">'Price History'!C3+('Price History'!C158-'Price History'!C3)*0.506493506493506</f>
        <v>112.932077922078</v>
      </c>
      <c r="Y81" s="138" t="n">
        <f aca="false">'Price History'!D3+('Price History'!D158-'Price History'!D3)*0.506493506493506</f>
        <v>1151.67064935065</v>
      </c>
      <c r="Z81" s="138" t="n">
        <f aca="false">'Price History'!E3+('Price History'!E158-'Price History'!E3)*0.506493506493506</f>
        <v>238.118961038961</v>
      </c>
      <c r="AA81" s="138" t="n">
        <f aca="false">'Price History'!F3+('Price History'!F158-'Price History'!F3)*0.506493506493506</f>
        <v>114.958701298701</v>
      </c>
      <c r="AB81" s="138" t="n">
        <f aca="false">'Price History'!G3+('Price History'!G158-'Price History'!G3)*0.506493506493506</f>
        <v>116.236103896104</v>
      </c>
      <c r="AC81" s="138" t="n">
        <f aca="false">'Price History'!H3+('Price History'!H158-'Price History'!H3)*0.506493506493506</f>
        <v>448.626363636363</v>
      </c>
      <c r="AD81" s="138" t="n">
        <f aca="false">'Price History'!I3+('Price History'!I158-'Price History'!I3)*0.506493506493506</f>
        <v>121.838311688312</v>
      </c>
      <c r="AE81" s="138" t="n">
        <f aca="false">'Price History'!J3+('Price History'!J158-'Price History'!J3)*0.506493506493506</f>
        <v>134.197012987013</v>
      </c>
      <c r="AF81" s="138" t="n">
        <f aca="false">'Price History'!K3+('Price History'!K158-'Price History'!K3)*0.506493506493506</f>
        <v>69.9340259740259</v>
      </c>
      <c r="AG81" s="138" t="n">
        <f aca="false">'Price History'!L3+('Price History'!L158-'Price History'!L3)*0.506493506493506</f>
        <v>250.147662337662</v>
      </c>
      <c r="AH81" s="138" t="n">
        <f aca="false">'Price History'!M3+('Price History'!M158-'Price History'!M3)*0.506493506493506</f>
        <v>138.891038961039</v>
      </c>
      <c r="AI81" s="138" t="n">
        <f aca="false">'Price History'!N3+('Price History'!N158-'Price History'!N3)*0.506493506493506</f>
        <v>414.306233766234</v>
      </c>
      <c r="AJ81" s="138" t="n">
        <f aca="false">'Price History'!O3+('Price History'!O158-'Price History'!O3)*0.506493506493506</f>
        <v>104.340519480519</v>
      </c>
      <c r="AK81" s="138" t="n">
        <f aca="false">'Price History'!Q3+('Price History'!Q151-'Price History'!Q3)*0.506493506493506</f>
        <v>59.2658441558442</v>
      </c>
      <c r="AL81" s="138" t="n">
        <f aca="false">'Price History'!R3+('Price History'!R158-'Price History'!R3)*0.506493506493506</f>
        <v>53.1027272727273</v>
      </c>
      <c r="AM81" s="138" t="n">
        <f aca="false">'Price History'!S3+('Price History'!S158-'Price History'!S3)*0.506493506493506</f>
        <v>101.738831168831</v>
      </c>
      <c r="AN81" s="138" t="n">
        <f aca="false">'Price History'!T3+('Price History'!T158-'Price History'!T3)*0.506493506493506</f>
        <v>38.4732467532467</v>
      </c>
    </row>
    <row r="82" customFormat="false" ht="15" hidden="false" customHeight="true" outlineLevel="0" collapsed="false">
      <c r="A82" s="136" t="n">
        <f aca="false">IF('Price History'!A83="","",'Price History'!A83)</f>
        <v>45709</v>
      </c>
      <c r="B82" s="137" t="n">
        <f aca="false">IFERROR(IF(OR(NOT(ISNUMBER('Price History'!B83)),NOT(ISNUMBER('Price History'!B82)),'Price History'!B82=0),"",'Price History'!B83/'Price History'!B82-1),"")</f>
        <v>-0.03442280945758</v>
      </c>
      <c r="C82" s="137" t="n">
        <f aca="false">IFERROR(IF(OR(NOT(ISNUMBER('Price History'!C83)),NOT(ISNUMBER('Price History'!C82)),'Price History'!C82=0),"",'Price History'!C83/'Price History'!C82-1),"")</f>
        <v>-0.0801908861233275</v>
      </c>
      <c r="D82" s="137" t="n">
        <f aca="false">IFERROR(IF(OR(NOT(ISNUMBER('Price History'!D83)),NOT(ISNUMBER('Price History'!D82)),'Price History'!D82=0),"",'Price History'!D83/'Price History'!D82-1),"")</f>
        <v>-0.0190805668285542</v>
      </c>
      <c r="E82" s="137" t="n">
        <f aca="false">IFERROR(IF(OR(NOT(ISNUMBER('Price History'!E83)),NOT(ISNUMBER('Price History'!E82)),'Price History'!E82=0),"",'Price History'!E83/'Price History'!E82-1),"")</f>
        <v>-0.0617061448678339</v>
      </c>
      <c r="F82" s="137" t="n">
        <f aca="false">IFERROR(IF(OR(NOT(ISNUMBER('Price History'!F83)),NOT(ISNUMBER('Price History'!F82)),'Price History'!F82=0),"",'Price History'!F83/'Price History'!F82-1),"")</f>
        <v>-0.0997874977864353</v>
      </c>
      <c r="G82" s="137" t="n">
        <f aca="false">IFERROR(IF(OR(NOT(ISNUMBER('Price History'!G83)),NOT(ISNUMBER('Price History'!G82)),'Price History'!G82=0),"",'Price History'!G83/'Price History'!G82-1),"")</f>
        <v>0.00479552417743467</v>
      </c>
      <c r="H82" s="137" t="n">
        <f aca="false">IFERROR(IF(OR(NOT(ISNUMBER('Price History'!H83)),NOT(ISNUMBER('Price History'!H82)),'Price History'!H82=0),"",'Price History'!H83/'Price History'!H82-1),"")</f>
        <v>-0.00683279742765264</v>
      </c>
      <c r="I82" s="137" t="n">
        <f aca="false">IFERROR(IF(OR(NOT(ISNUMBER('Price History'!I83)),NOT(ISNUMBER('Price History'!I82)),'Price History'!I82=0),"",'Price History'!I83/'Price History'!I82-1),"")</f>
        <v>-0.0318329132157003</v>
      </c>
      <c r="J82" s="137" t="n">
        <f aca="false">IFERROR(IF(OR(NOT(ISNUMBER('Price History'!J83)),NOT(ISNUMBER('Price History'!J82)),'Price History'!J82=0),"",'Price History'!J83/'Price History'!J82-1),"")</f>
        <v>0.00099296648738112</v>
      </c>
      <c r="K82" s="137" t="n">
        <f aca="false">IFERROR(IF(OR(NOT(ISNUMBER('Price History'!K83)),NOT(ISNUMBER('Price History'!K82)),'Price History'!K82=0),"",'Price History'!K83/'Price History'!K82-1),"")</f>
        <v>-0.149462907015777</v>
      </c>
      <c r="L82" s="137" t="n">
        <f aca="false">IFERROR(IF(OR(NOT(ISNUMBER('Price History'!L83)),NOT(ISNUMBER('Price History'!L82)),'Price History'!L82=0),"",'Price History'!L83/'Price History'!L82-1),"")</f>
        <v>-0.0277587052476704</v>
      </c>
      <c r="M82" s="137" t="n">
        <f aca="false">IFERROR(IF(OR(NOT(ISNUMBER('Price History'!M83)),NOT(ISNUMBER('Price History'!M82)),'Price History'!M82=0),"",'Price History'!M83/'Price History'!M82-1),"")</f>
        <v>-0.111614993058769</v>
      </c>
      <c r="N82" s="137" t="n">
        <f aca="false">IFERROR(IF(OR(NOT(ISNUMBER('Price History'!N83)),NOT(ISNUMBER('Price History'!N82)),'Price History'!N82=0),"",'Price History'!N83/'Price History'!N82-1),"")</f>
        <v>0.0549891067538126</v>
      </c>
      <c r="O82" s="137" t="n">
        <f aca="false">IFERROR(IF(OR(NOT(ISNUMBER('Price History'!O83)),NOT(ISNUMBER('Price History'!O82)),'Price History'!O82=0),"",'Price History'!O83/'Price History'!O82-1),"")</f>
        <v>-0.0365240586847235</v>
      </c>
      <c r="P82" s="137" t="str">
        <f aca="false">IFERROR(IF(OR(NOT(ISNUMBER('Price History'!P83)),NOT(ISNUMBER('Price History'!P82)),'Price History'!P82=0),"",'Price History'!P83/'Price History'!P82-1),"")</f>
        <v/>
      </c>
      <c r="Q82" s="137" t="n">
        <f aca="false">IFERROR(IF(OR(NOT(ISNUMBER('Price History'!Q83)),NOT(ISNUMBER('Price History'!Q82)),'Price History'!Q82=0),"",'Price History'!Q83/'Price History'!Q82-1),"")</f>
        <v>0.0188580408590886</v>
      </c>
      <c r="R82" s="137" t="n">
        <f aca="false">IFERROR(IF(OR(NOT(ISNUMBER('Price History'!R83)),NOT(ISNUMBER('Price History'!R82)),'Price History'!R82=0),"",'Price History'!R83/'Price History'!R82-1),"")</f>
        <v>-0.0120130427321092</v>
      </c>
      <c r="S82" s="137" t="n">
        <f aca="false">IFERROR(IF(OR(NOT(ISNUMBER('Price History'!S83)),NOT(ISNUMBER('Price History'!S82)),'Price History'!S82=0),"",'Price History'!S83/'Price History'!S82-1),"")</f>
        <v>-0.0305647195808267</v>
      </c>
      <c r="T82" s="137" t="n">
        <f aca="false">IFERROR(IF(OR(NOT(ISNUMBER('Price History'!T83)),NOT(ISNUMBER('Price History'!T82)),'Price History'!T82=0),"",'Price History'!T83/'Price History'!T82-1),"")</f>
        <v>-0.00336983993260309</v>
      </c>
      <c r="U82" s="137" t="str">
        <f aca="false">IFERROR(IF(OR(NOT(ISNUMBER('Price History'!U83)),NOT(ISNUMBER('Price History'!U82)),'Price History'!U82=0),"",'Price History'!U83/'Price History'!U82-1),"")</f>
        <v/>
      </c>
      <c r="W82" s="138" t="n">
        <f aca="false">'Price History'!B3+('Price History'!B158-'Price History'!B3)*0.512987012987013</f>
        <v>376.078831168831</v>
      </c>
      <c r="X82" s="138" t="n">
        <f aca="false">'Price History'!C3+('Price History'!C158-'Price History'!C3)*0.512987012987013</f>
        <v>113.819155844156</v>
      </c>
      <c r="Y82" s="138" t="n">
        <f aca="false">'Price History'!D3+('Price History'!D158-'Price History'!D3)*0.512987012987013</f>
        <v>1157.9512987013</v>
      </c>
      <c r="Z82" s="138" t="n">
        <f aca="false">'Price History'!E3+('Price History'!E158-'Price History'!E3)*0.512987012987013</f>
        <v>240.107922077922</v>
      </c>
      <c r="AA82" s="138" t="n">
        <f aca="false">'Price History'!F3+('Price History'!F158-'Price History'!F3)*0.512987012987013</f>
        <v>115.957402597403</v>
      </c>
      <c r="AB82" s="138" t="n">
        <f aca="false">'Price History'!G3+('Price History'!G158-'Price History'!G3)*0.512987012987013</f>
        <v>117.112207792208</v>
      </c>
      <c r="AC82" s="138" t="n">
        <f aca="false">'Price History'!H3+('Price History'!H158-'Price History'!H3)*0.512987012987013</f>
        <v>453.552727272727</v>
      </c>
      <c r="AD82" s="138" t="n">
        <f aca="false">'Price History'!I3+('Price History'!I158-'Price History'!I3)*0.512987012987013</f>
        <v>122.876623376623</v>
      </c>
      <c r="AE82" s="138" t="n">
        <f aca="false">'Price History'!J3+('Price History'!J158-'Price History'!J3)*0.512987012987013</f>
        <v>134.334025974026</v>
      </c>
      <c r="AF82" s="138" t="n">
        <f aca="false">'Price History'!K3+('Price History'!K158-'Price History'!K3)*0.512987012987013</f>
        <v>70.633051948052</v>
      </c>
      <c r="AG82" s="138" t="n">
        <f aca="false">'Price History'!L3+('Price History'!L158-'Price History'!L3)*0.512987012987013</f>
        <v>252.175324675325</v>
      </c>
      <c r="AH82" s="138" t="n">
        <f aca="false">'Price History'!M3+('Price History'!M158-'Price History'!M3)*0.512987012987013</f>
        <v>140.242077922078</v>
      </c>
      <c r="AI82" s="138" t="n">
        <f aca="false">'Price History'!N3+('Price History'!N158-'Price History'!N3)*0.512987012987013</f>
        <v>415.132467532468</v>
      </c>
      <c r="AJ82" s="138" t="n">
        <f aca="false">'Price History'!O3+('Price History'!O158-'Price History'!O3)*0.512987012987013</f>
        <v>104.616038961039</v>
      </c>
      <c r="AK82" s="138" t="n">
        <f aca="false">'Price History'!Q3+('Price History'!Q151-'Price History'!Q3)*0.512987012987013</f>
        <v>59.3866883116883</v>
      </c>
      <c r="AL82" s="138" t="n">
        <f aca="false">'Price History'!R3+('Price History'!R158-'Price History'!R3)*0.512987012987013</f>
        <v>53.1704545454546</v>
      </c>
      <c r="AM82" s="138" t="n">
        <f aca="false">'Price History'!S3+('Price History'!S158-'Price History'!S3)*0.512987012987013</f>
        <v>102.292662337662</v>
      </c>
      <c r="AN82" s="138" t="n">
        <f aca="false">'Price History'!T3+('Price History'!T158-'Price History'!T3)*0.512987012987013</f>
        <v>38.6214935064935</v>
      </c>
    </row>
    <row r="83" customFormat="false" ht="15" hidden="false" customHeight="true" outlineLevel="0" collapsed="false">
      <c r="A83" s="136" t="n">
        <f aca="false">IF('Price History'!A84="","",'Price History'!A84)</f>
        <v>45716</v>
      </c>
      <c r="B83" s="137" t="n">
        <f aca="false">IFERROR(IF(OR(NOT(ISNUMBER('Price History'!B84)),NOT(ISNUMBER('Price History'!B83)),'Price History'!B83=0),"",'Price History'!B84/'Price History'!B83-1),"")</f>
        <v>-0.0129636298163486</v>
      </c>
      <c r="C83" s="137" t="n">
        <f aca="false">IFERROR(IF(OR(NOT(ISNUMBER('Price History'!C84)),NOT(ISNUMBER('Price History'!C83)),'Price History'!C83=0),"",'Price History'!C84/'Price History'!C83-1),"")</f>
        <v>-0.0534079348931842</v>
      </c>
      <c r="D83" s="137" t="n">
        <f aca="false">IFERROR(IF(OR(NOT(ISNUMBER('Price History'!D84)),NOT(ISNUMBER('Price History'!D83)),'Price History'!D83=0),"",'Price History'!D84/'Price History'!D83-1),"")</f>
        <v>-0.0381573771381288</v>
      </c>
      <c r="E83" s="137" t="n">
        <f aca="false">IFERROR(IF(OR(NOT(ISNUMBER('Price History'!E84)),NOT(ISNUMBER('Price History'!E83)),'Price History'!E83=0),"",'Price History'!E84/'Price History'!E83-1),"")</f>
        <v>-0.0879447544132442</v>
      </c>
      <c r="F83" s="137" t="n">
        <f aca="false">IFERROR(IF(OR(NOT(ISNUMBER('Price History'!F84)),NOT(ISNUMBER('Price History'!F83)),'Price History'!F83=0),"",'Price History'!F84/'Price History'!F83-1),"")</f>
        <v>-0.0418019081341595</v>
      </c>
      <c r="G83" s="137" t="n">
        <f aca="false">IFERROR(IF(OR(NOT(ISNUMBER('Price History'!G84)),NOT(ISNUMBER('Price History'!G83)),'Price History'!G83=0),"",'Price History'!G84/'Price History'!G83-1),"")</f>
        <v>-0.0603208272570597</v>
      </c>
      <c r="H83" s="137" t="n">
        <f aca="false">IFERROR(IF(OR(NOT(ISNUMBER('Price History'!H84)),NOT(ISNUMBER('Price History'!H83)),'Price History'!H83=0),"",'Price History'!H84/'Price History'!H83-1),"")</f>
        <v>-0.052711452853096</v>
      </c>
      <c r="I83" s="137" t="n">
        <f aca="false">IFERROR(IF(OR(NOT(ISNUMBER('Price History'!I84)),NOT(ISNUMBER('Price History'!I83)),'Price History'!I83=0),"",'Price History'!I84/'Price History'!I83-1),"")</f>
        <v>-0.0707431376924794</v>
      </c>
      <c r="J83" s="137" t="n">
        <f aca="false">IFERROR(IF(OR(NOT(ISNUMBER('Price History'!J84)),NOT(ISNUMBER('Price History'!J83)),'Price History'!J83=0),"",'Price History'!J84/'Price History'!J83-1),"")</f>
        <v>0.0243862114573861</v>
      </c>
      <c r="K83" s="137" t="n">
        <f aca="false">IFERROR(IF(OR(NOT(ISNUMBER('Price History'!K84)),NOT(ISNUMBER('Price History'!K83)),'Price History'!K83=0),"",'Price History'!K84/'Price History'!K83-1),"")</f>
        <v>-0.162111494819931</v>
      </c>
      <c r="L83" s="137" t="n">
        <f aca="false">IFERROR(IF(OR(NOT(ISNUMBER('Price History'!L84)),NOT(ISNUMBER('Price History'!L83)),'Price History'!L83=0),"",'Price History'!L84/'Price History'!L83-1),"")</f>
        <v>-0.0893361581920904</v>
      </c>
      <c r="M83" s="137" t="n">
        <f aca="false">IFERROR(IF(OR(NOT(ISNUMBER('Price History'!M84)),NOT(ISNUMBER('Price History'!M83)),'Price History'!M83=0),"",'Price History'!M84/'Price History'!M83-1),"")</f>
        <v>-0.00854255651630376</v>
      </c>
      <c r="N83" s="137" t="n">
        <f aca="false">IFERROR(IF(OR(NOT(ISNUMBER('Price History'!N84)),NOT(ISNUMBER('Price History'!N83)),'Price History'!N83=0),"",'Price History'!N84/'Price History'!N83-1),"")</f>
        <v>-0.00918965802081606</v>
      </c>
      <c r="O83" s="137" t="n">
        <f aca="false">IFERROR(IF(OR(NOT(ISNUMBER('Price History'!O84)),NOT(ISNUMBER('Price History'!O83)),'Price History'!O83=0),"",'Price History'!O84/'Price History'!O83-1),"")</f>
        <v>-0.0112874028324992</v>
      </c>
      <c r="P83" s="137" t="str">
        <f aca="false">IFERROR(IF(OR(NOT(ISNUMBER('Price History'!P84)),NOT(ISNUMBER('Price History'!P83)),'Price History'!P83=0),"",'Price History'!P84/'Price History'!P83-1),"")</f>
        <v/>
      </c>
      <c r="Q83" s="137" t="n">
        <f aca="false">IFERROR(IF(OR(NOT(ISNUMBER('Price History'!Q84)),NOT(ISNUMBER('Price History'!Q83)),'Price History'!Q83=0),"",'Price History'!Q84/'Price History'!Q83-1),"")</f>
        <v>-0.00599828620394172</v>
      </c>
      <c r="R83" s="137" t="n">
        <f aca="false">IFERROR(IF(OR(NOT(ISNUMBER('Price History'!R84)),NOT(ISNUMBER('Price History'!R83)),'Price History'!R83=0),"",'Price History'!R84/'Price History'!R83-1),"")</f>
        <v>-0.0276185513288172</v>
      </c>
      <c r="S83" s="137" t="n">
        <f aca="false">IFERROR(IF(OR(NOT(ISNUMBER('Price History'!S84)),NOT(ISNUMBER('Price History'!S83)),'Price History'!S83=0),"",'Price History'!S84/'Price History'!S83-1),"")</f>
        <v>-0.0011009908918026</v>
      </c>
      <c r="T83" s="137" t="n">
        <f aca="false">IFERROR(IF(OR(NOT(ISNUMBER('Price History'!T84)),NOT(ISNUMBER('Price History'!T83)),'Price History'!T83=0),"",'Price History'!T84/'Price History'!T83-1),"")</f>
        <v>-0.00479008171315865</v>
      </c>
      <c r="U83" s="137" t="str">
        <f aca="false">IFERROR(IF(OR(NOT(ISNUMBER('Price History'!U84)),NOT(ISNUMBER('Price History'!U83)),'Price History'!U83=0),"",'Price History'!U84/'Price History'!U83-1),"")</f>
        <v/>
      </c>
      <c r="W83" s="138" t="n">
        <f aca="false">'Price History'!B3+('Price History'!B158-'Price History'!B3)*0.519480519480519</f>
        <v>374.403246753247</v>
      </c>
      <c r="X83" s="138" t="n">
        <f aca="false">'Price History'!C3+('Price History'!C158-'Price History'!C3)*0.519480519480519</f>
        <v>114.706233766234</v>
      </c>
      <c r="Y83" s="138" t="n">
        <f aca="false">'Price History'!D3+('Price History'!D158-'Price History'!D3)*0.519480519480519</f>
        <v>1164.23194805195</v>
      </c>
      <c r="Z83" s="138" t="n">
        <f aca="false">'Price History'!E3+('Price History'!E158-'Price History'!E3)*0.519480519480519</f>
        <v>242.096883116883</v>
      </c>
      <c r="AA83" s="138" t="n">
        <f aca="false">'Price History'!F3+('Price History'!F158-'Price History'!F3)*0.519480519480519</f>
        <v>116.956103896104</v>
      </c>
      <c r="AB83" s="138" t="n">
        <f aca="false">'Price History'!G3+('Price History'!G158-'Price History'!G3)*0.519480519480519</f>
        <v>117.988311688312</v>
      </c>
      <c r="AC83" s="138" t="n">
        <f aca="false">'Price History'!H3+('Price History'!H158-'Price History'!H3)*0.519480519480519</f>
        <v>458.479090909091</v>
      </c>
      <c r="AD83" s="138" t="n">
        <f aca="false">'Price History'!I3+('Price History'!I158-'Price History'!I3)*0.519480519480519</f>
        <v>123.914935064935</v>
      </c>
      <c r="AE83" s="138" t="n">
        <f aca="false">'Price History'!J3+('Price History'!J158-'Price History'!J3)*0.519480519480519</f>
        <v>134.471038961039</v>
      </c>
      <c r="AF83" s="138" t="n">
        <f aca="false">'Price History'!K3+('Price History'!K158-'Price History'!K3)*0.519480519480519</f>
        <v>71.3320779220779</v>
      </c>
      <c r="AG83" s="138" t="n">
        <f aca="false">'Price History'!L3+('Price History'!L158-'Price History'!L3)*0.519480519480519</f>
        <v>254.202987012987</v>
      </c>
      <c r="AH83" s="138" t="n">
        <f aca="false">'Price History'!M3+('Price History'!M158-'Price History'!M3)*0.519480519480519</f>
        <v>141.593116883117</v>
      </c>
      <c r="AI83" s="138" t="n">
        <f aca="false">'Price History'!N3+('Price History'!N158-'Price History'!N3)*0.519480519480519</f>
        <v>415.958701298701</v>
      </c>
      <c r="AJ83" s="138" t="n">
        <f aca="false">'Price History'!O3+('Price History'!O158-'Price History'!O3)*0.519480519480519</f>
        <v>104.891558441558</v>
      </c>
      <c r="AK83" s="138" t="n">
        <f aca="false">'Price History'!Q3+('Price History'!Q151-'Price History'!Q3)*0.519480519480519</f>
        <v>59.5075324675325</v>
      </c>
      <c r="AL83" s="138" t="n">
        <f aca="false">'Price History'!R3+('Price History'!R158-'Price History'!R3)*0.519480519480519</f>
        <v>53.2381818181818</v>
      </c>
      <c r="AM83" s="138" t="n">
        <f aca="false">'Price History'!S3+('Price History'!S158-'Price History'!S3)*0.519480519480519</f>
        <v>102.846493506493</v>
      </c>
      <c r="AN83" s="138" t="n">
        <f aca="false">'Price History'!T3+('Price History'!T158-'Price History'!T3)*0.519480519480519</f>
        <v>38.7697402597402</v>
      </c>
    </row>
    <row r="84" customFormat="false" ht="15" hidden="false" customHeight="true" outlineLevel="0" collapsed="false">
      <c r="A84" s="136" t="n">
        <f aca="false">IF('Price History'!A85="","",'Price History'!A85)</f>
        <v>45723</v>
      </c>
      <c r="B84" s="137" t="n">
        <f aca="false">IFERROR(IF(OR(NOT(ISNUMBER('Price History'!B85)),NOT(ISNUMBER('Price History'!B84)),'Price History'!B84=0),"",'Price History'!B85/'Price History'!B84-1),"")</f>
        <v>0.0247172564757387</v>
      </c>
      <c r="C84" s="137" t="n">
        <f aca="false">IFERROR(IF(OR(NOT(ISNUMBER('Price History'!C85)),NOT(ISNUMBER('Price History'!C84)),'Price History'!C84=0),"",'Price History'!C85/'Price History'!C84-1),"")</f>
        <v>-0.10413756045137</v>
      </c>
      <c r="D84" s="137" t="n">
        <f aca="false">IFERROR(IF(OR(NOT(ISNUMBER('Price History'!D85)),NOT(ISNUMBER('Price History'!D84)),'Price History'!D84=0),"",'Price History'!D85/'Price History'!D84-1),"")</f>
        <v>0.0326338353923394</v>
      </c>
      <c r="E84" s="137" t="n">
        <f aca="false">IFERROR(IF(OR(NOT(ISNUMBER('Price History'!E85)),NOT(ISNUMBER('Price History'!E84)),'Price History'!E84=0),"",'Price History'!E85/'Price History'!E84-1),"")</f>
        <v>-0.0224138795567367</v>
      </c>
      <c r="F84" s="137" t="n">
        <f aca="false">IFERROR(IF(OR(NOT(ISNUMBER('Price History'!F85)),NOT(ISNUMBER('Price History'!F84)),'Price History'!F84=0),"",'Price History'!F85/'Price History'!F84-1),"")</f>
        <v>-0.144118250872511</v>
      </c>
      <c r="G84" s="137" t="n">
        <f aca="false">IFERROR(IF(OR(NOT(ISNUMBER('Price History'!G85)),NOT(ISNUMBER('Price History'!G84)),'Price History'!G84=0),"",'Price History'!G85/'Price History'!G84-1),"")</f>
        <v>0.00352708803611734</v>
      </c>
      <c r="H84" s="137" t="n">
        <f aca="false">IFERROR(IF(OR(NOT(ISNUMBER('Price History'!H85)),NOT(ISNUMBER('Price History'!H84)),'Price History'!H84=0),"",'Price History'!H85/'Price History'!H84-1),"")</f>
        <v>-0.00715582612410559</v>
      </c>
      <c r="I84" s="137" t="n">
        <f aca="false">IFERROR(IF(OR(NOT(ISNUMBER('Price History'!I85)),NOT(ISNUMBER('Price History'!I84)),'Price History'!I84=0),"",'Price History'!I85/'Price History'!I84-1),"")</f>
        <v>-0.0979026577009287</v>
      </c>
      <c r="J84" s="137" t="n">
        <f aca="false">IFERROR(IF(OR(NOT(ISNUMBER('Price History'!J85)),NOT(ISNUMBER('Price History'!J84)),'Price History'!J84=0),"",'Price History'!J85/'Price History'!J84-1),"")</f>
        <v>-0.0323595868302131</v>
      </c>
      <c r="K84" s="137" t="n">
        <f aca="false">IFERROR(IF(OR(NOT(ISNUMBER('Price History'!K85)),NOT(ISNUMBER('Price History'!K84)),'Price History'!K84=0),"",'Price History'!K85/'Price History'!K84-1),"")</f>
        <v>-0.000117757889778636</v>
      </c>
      <c r="L84" s="137" t="n">
        <f aca="false">IFERROR(IF(OR(NOT(ISNUMBER('Price History'!L85)),NOT(ISNUMBER('Price History'!L84)),'Price History'!L84=0),"",'Price History'!L85/'Price History'!L84-1),"")</f>
        <v>-0.0189996122528112</v>
      </c>
      <c r="M84" s="137" t="n">
        <f aca="false">IFERROR(IF(OR(NOT(ISNUMBER('Price History'!M85)),NOT(ISNUMBER('Price History'!M84)),'Price History'!M84=0),"",'Price History'!M85/'Price History'!M84-1),"")</f>
        <v>-0.106441105390354</v>
      </c>
      <c r="N84" s="137" t="n">
        <f aca="false">IFERROR(IF(OR(NOT(ISNUMBER('Price History'!N85)),NOT(ISNUMBER('Price History'!N84)),'Price History'!N84=0),"",'Price History'!N85/'Price History'!N84-1),"")</f>
        <v>0.0177160841201358</v>
      </c>
      <c r="O84" s="137" t="n">
        <f aca="false">IFERROR(IF(OR(NOT(ISNUMBER('Price History'!O85)),NOT(ISNUMBER('Price History'!O84)),'Price History'!O84=0),"",'Price History'!O85/'Price History'!O84-1),"")</f>
        <v>-0.0449111470113084</v>
      </c>
      <c r="P84" s="137" t="str">
        <f aca="false">IFERROR(IF(OR(NOT(ISNUMBER('Price History'!P85)),NOT(ISNUMBER('Price History'!P84)),'Price History'!P84=0),"",'Price History'!P85/'Price History'!P84-1),"")</f>
        <v/>
      </c>
      <c r="Q84" s="137" t="n">
        <f aca="false">IFERROR(IF(OR(NOT(ISNUMBER('Price History'!Q85)),NOT(ISNUMBER('Price History'!Q84)),'Price History'!Q84=0),"",'Price History'!Q85/'Price History'!Q84-1),"")</f>
        <v>0.0177586206896552</v>
      </c>
      <c r="R84" s="137" t="n">
        <f aca="false">IFERROR(IF(OR(NOT(ISNUMBER('Price History'!R85)),NOT(ISNUMBER('Price History'!R84)),'Price History'!R84=0),"",'Price History'!R85/'Price History'!R84-1),"")</f>
        <v>-0.0396570203644159</v>
      </c>
      <c r="S84" s="137" t="n">
        <f aca="false">IFERROR(IF(OR(NOT(ISNUMBER('Price History'!S85)),NOT(ISNUMBER('Price History'!S84)),'Price History'!S84=0),"",'Price History'!S85/'Price History'!S84-1),"")</f>
        <v>-0.0527054108216432</v>
      </c>
      <c r="T84" s="137" t="n">
        <f aca="false">IFERROR(IF(OR(NOT(ISNUMBER('Price History'!T85)),NOT(ISNUMBER('Price History'!T84)),'Price History'!T84=0),"",'Price History'!T85/'Price History'!T84-1),"")</f>
        <v>-0.0144394110985276</v>
      </c>
      <c r="U84" s="137" t="str">
        <f aca="false">IFERROR(IF(OR(NOT(ISNUMBER('Price History'!U85)),NOT(ISNUMBER('Price History'!U84)),'Price History'!U84=0),"",'Price History'!U85/'Price History'!U84-1),"")</f>
        <v/>
      </c>
      <c r="W84" s="138" t="n">
        <f aca="false">'Price History'!B3+('Price History'!B158-'Price History'!B3)*0.525974025974026</f>
        <v>372.727662337662</v>
      </c>
      <c r="X84" s="138" t="n">
        <f aca="false">'Price History'!C3+('Price History'!C158-'Price History'!C3)*0.525974025974026</f>
        <v>115.593311688312</v>
      </c>
      <c r="Y84" s="138" t="n">
        <f aca="false">'Price History'!D3+('Price History'!D158-'Price History'!D3)*0.525974025974026</f>
        <v>1170.5125974026</v>
      </c>
      <c r="Z84" s="138" t="n">
        <f aca="false">'Price History'!E3+('Price History'!E158-'Price History'!E3)*0.525974025974026</f>
        <v>244.085844155844</v>
      </c>
      <c r="AA84" s="138" t="n">
        <f aca="false">'Price History'!F3+('Price History'!F158-'Price History'!F3)*0.525974025974026</f>
        <v>117.954805194805</v>
      </c>
      <c r="AB84" s="138" t="n">
        <f aca="false">'Price History'!G3+('Price History'!G158-'Price History'!G3)*0.525974025974026</f>
        <v>118.864415584416</v>
      </c>
      <c r="AC84" s="138" t="n">
        <f aca="false">'Price History'!H3+('Price History'!H158-'Price History'!H3)*0.525974025974026</f>
        <v>463.405454545455</v>
      </c>
      <c r="AD84" s="138" t="n">
        <f aca="false">'Price History'!I3+('Price History'!I158-'Price History'!I3)*0.525974025974026</f>
        <v>124.953246753247</v>
      </c>
      <c r="AE84" s="138" t="n">
        <f aca="false">'Price History'!J3+('Price History'!J158-'Price History'!J3)*0.525974025974026</f>
        <v>134.608051948052</v>
      </c>
      <c r="AF84" s="138" t="n">
        <f aca="false">'Price History'!K3+('Price History'!K158-'Price History'!K3)*0.525974025974026</f>
        <v>72.0311038961039</v>
      </c>
      <c r="AG84" s="138" t="n">
        <f aca="false">'Price History'!L3+('Price History'!L158-'Price History'!L3)*0.525974025974026</f>
        <v>256.230649350649</v>
      </c>
      <c r="AH84" s="138" t="n">
        <f aca="false">'Price History'!M3+('Price History'!M158-'Price History'!M3)*0.525974025974026</f>
        <v>142.944155844156</v>
      </c>
      <c r="AI84" s="138" t="n">
        <f aca="false">'Price History'!N3+('Price History'!N158-'Price History'!N3)*0.525974025974026</f>
        <v>416.784935064935</v>
      </c>
      <c r="AJ84" s="138" t="n">
        <f aca="false">'Price History'!O3+('Price History'!O158-'Price History'!O3)*0.525974025974026</f>
        <v>105.167077922078</v>
      </c>
      <c r="AK84" s="138" t="n">
        <f aca="false">'Price History'!Q3+('Price History'!Q151-'Price History'!Q3)*0.525974025974026</f>
        <v>59.6283766233766</v>
      </c>
      <c r="AL84" s="138" t="n">
        <f aca="false">'Price History'!R3+('Price History'!R158-'Price History'!R3)*0.525974025974026</f>
        <v>53.3059090909091</v>
      </c>
      <c r="AM84" s="138" t="n">
        <f aca="false">'Price History'!S3+('Price History'!S158-'Price History'!S3)*0.525974025974026</f>
        <v>103.400324675325</v>
      </c>
      <c r="AN84" s="138" t="n">
        <f aca="false">'Price History'!T3+('Price History'!T158-'Price History'!T3)*0.525974025974026</f>
        <v>38.917987012987</v>
      </c>
    </row>
    <row r="85" customFormat="false" ht="15" hidden="false" customHeight="true" outlineLevel="0" collapsed="false">
      <c r="A85" s="136" t="n">
        <f aca="false">IF('Price History'!A86="","",'Price History'!A86)</f>
        <v>45730</v>
      </c>
      <c r="B85" s="137" t="n">
        <f aca="false">IFERROR(IF(OR(NOT(ISNUMBER('Price History'!B86)),NOT(ISNUMBER('Price History'!B85)),'Price History'!B85=0),"",'Price History'!B86/'Price History'!B85-1),"")</f>
        <v>-0.121628838451268</v>
      </c>
      <c r="C85" s="137" t="n">
        <f aca="false">IFERROR(IF(OR(NOT(ISNUMBER('Price History'!C86)),NOT(ISNUMBER('Price History'!C85)),'Price History'!C85=0),"",'Price History'!C86/'Price History'!C85-1),"")</f>
        <v>0.00179942418426116</v>
      </c>
      <c r="D85" s="137" t="n">
        <f aca="false">IFERROR(IF(OR(NOT(ISNUMBER('Price History'!D86)),NOT(ISNUMBER('Price History'!D85)),'Price History'!D85=0),"",'Price History'!D86/'Price History'!D85-1),"")</f>
        <v>-0.0248832318155746</v>
      </c>
      <c r="E85" s="137" t="n">
        <f aca="false">IFERROR(IF(OR(NOT(ISNUMBER('Price History'!E86)),NOT(ISNUMBER('Price History'!E85)),'Price History'!E85=0),"",'Price History'!E86/'Price History'!E85-1),"")</f>
        <v>0.00297496922445628</v>
      </c>
      <c r="F85" s="137" t="n">
        <f aca="false">IFERROR(IF(OR(NOT(ISNUMBER('Price History'!F86)),NOT(ISNUMBER('Price History'!F85)),'Price History'!F85=0),"",'Price History'!F86/'Price History'!F85-1),"")</f>
        <v>0.0605660829935237</v>
      </c>
      <c r="G85" s="137" t="n">
        <f aca="false">IFERROR(IF(OR(NOT(ISNUMBER('Price History'!G86)),NOT(ISNUMBER('Price History'!G85)),'Price History'!G85=0),"",'Price History'!G86/'Price History'!G85-1),"")</f>
        <v>0.00238999015886399</v>
      </c>
      <c r="H85" s="137" t="n">
        <f aca="false">IFERROR(IF(OR(NOT(ISNUMBER('Price History'!H86)),NOT(ISNUMBER('Price History'!H85)),'Price History'!H85=0),"",'Price History'!H86/'Price History'!H85-1),"")</f>
        <v>0.0842297762478488</v>
      </c>
      <c r="I85" s="137" t="n">
        <f aca="false">IFERROR(IF(OR(NOT(ISNUMBER('Price History'!I86)),NOT(ISNUMBER('Price History'!I85)),'Price History'!I85=0),"",'Price History'!I86/'Price History'!I85-1),"")</f>
        <v>0.0796876386547165</v>
      </c>
      <c r="J85" s="137" t="n">
        <f aca="false">IFERROR(IF(OR(NOT(ISNUMBER('Price History'!J86)),NOT(ISNUMBER('Price History'!J85)),'Price History'!J85=0),"",'Price History'!J86/'Price History'!J85-1),"")</f>
        <v>-0.0668834959552997</v>
      </c>
      <c r="K85" s="137" t="n">
        <f aca="false">IFERROR(IF(OR(NOT(ISNUMBER('Price History'!K86)),NOT(ISNUMBER('Price History'!K85)),'Price History'!K85=0),"",'Price History'!K86/'Price History'!K85-1),"")</f>
        <v>0.0156636438582027</v>
      </c>
      <c r="L85" s="137" t="n">
        <f aca="false">IFERROR(IF(OR(NOT(ISNUMBER('Price History'!L86)),NOT(ISNUMBER('Price History'!L85)),'Price History'!L85=0),"",'Price History'!L86/'Price History'!L85-1),"")</f>
        <v>-0.0169960474308299</v>
      </c>
      <c r="M85" s="137" t="n">
        <f aca="false">IFERROR(IF(OR(NOT(ISNUMBER('Price History'!M86)),NOT(ISNUMBER('Price History'!M85)),'Price History'!M85=0),"",'Price History'!M86/'Price History'!M85-1),"")</f>
        <v>0.0283396048918156</v>
      </c>
      <c r="N85" s="137" t="n">
        <f aca="false">IFERROR(IF(OR(NOT(ISNUMBER('Price History'!N86)),NOT(ISNUMBER('Price History'!N85)),'Price History'!N85=0),"",'Price History'!N86/'Price History'!N85-1),"")</f>
        <v>0.0337504351922013</v>
      </c>
      <c r="O85" s="137" t="n">
        <f aca="false">IFERROR(IF(OR(NOT(ISNUMBER('Price History'!O86)),NOT(ISNUMBER('Price History'!O85)),'Price History'!O85=0),"",'Price History'!O86/'Price History'!O85-1),"")</f>
        <v>-0.0187189896256204</v>
      </c>
      <c r="P85" s="137" t="str">
        <f aca="false">IFERROR(IF(OR(NOT(ISNUMBER('Price History'!P86)),NOT(ISNUMBER('Price History'!P85)),'Price History'!P85=0),"",'Price History'!P86/'Price History'!P85-1),"")</f>
        <v/>
      </c>
      <c r="Q85" s="137" t="n">
        <f aca="false">IFERROR(IF(OR(NOT(ISNUMBER('Price History'!Q86)),NOT(ISNUMBER('Price History'!Q85)),'Price History'!Q85=0),"",'Price History'!Q86/'Price History'!Q85-1),"")</f>
        <v>0.0162629171607658</v>
      </c>
      <c r="R85" s="137" t="n">
        <f aca="false">IFERROR(IF(OR(NOT(ISNUMBER('Price History'!R86)),NOT(ISNUMBER('Price History'!R85)),'Price History'!R85=0),"",'Price History'!R86/'Price History'!R85-1),"")</f>
        <v>-0.0213913690476191</v>
      </c>
      <c r="S85" s="137" t="n">
        <f aca="false">IFERROR(IF(OR(NOT(ISNUMBER('Price History'!S86)),NOT(ISNUMBER('Price History'!S85)),'Price History'!S85=0),"",'Price History'!S86/'Price History'!S85-1),"")</f>
        <v>-0.00719272265707649</v>
      </c>
      <c r="T85" s="137" t="n">
        <f aca="false">IFERROR(IF(OR(NOT(ISNUMBER('Price History'!T86)),NOT(ISNUMBER('Price History'!T85)),'Price History'!T85=0),"",'Price History'!T86/'Price History'!T85-1),"")</f>
        <v>-0.020683711577133</v>
      </c>
      <c r="U85" s="137" t="str">
        <f aca="false">IFERROR(IF(OR(NOT(ISNUMBER('Price History'!U86)),NOT(ISNUMBER('Price History'!U85)),'Price History'!U85=0),"",'Price History'!U86/'Price History'!U85-1),"")</f>
        <v/>
      </c>
      <c r="W85" s="138" t="n">
        <f aca="false">'Price History'!B3+('Price History'!B158-'Price History'!B3)*0.532467532467532</f>
        <v>371.052077922078</v>
      </c>
      <c r="X85" s="138" t="n">
        <f aca="false">'Price History'!C3+('Price History'!C158-'Price History'!C3)*0.532467532467532</f>
        <v>116.48038961039</v>
      </c>
      <c r="Y85" s="138" t="n">
        <f aca="false">'Price History'!D3+('Price History'!D158-'Price History'!D3)*0.532467532467532</f>
        <v>1176.79324675325</v>
      </c>
      <c r="Z85" s="138" t="n">
        <f aca="false">'Price History'!E3+('Price History'!E158-'Price History'!E3)*0.532467532467532</f>
        <v>246.074805194805</v>
      </c>
      <c r="AA85" s="138" t="n">
        <f aca="false">'Price History'!F3+('Price History'!F158-'Price History'!F3)*0.532467532467532</f>
        <v>118.953506493506</v>
      </c>
      <c r="AB85" s="138" t="n">
        <f aca="false">'Price History'!G3+('Price History'!G158-'Price History'!G3)*0.532467532467532</f>
        <v>119.740519480519</v>
      </c>
      <c r="AC85" s="138" t="n">
        <f aca="false">'Price History'!H3+('Price History'!H158-'Price History'!H3)*0.532467532467532</f>
        <v>468.331818181818</v>
      </c>
      <c r="AD85" s="138" t="n">
        <f aca="false">'Price History'!I3+('Price History'!I158-'Price History'!I3)*0.532467532467532</f>
        <v>125.991558441558</v>
      </c>
      <c r="AE85" s="138" t="n">
        <f aca="false">'Price History'!J3+('Price History'!J158-'Price History'!J3)*0.532467532467532</f>
        <v>134.745064935065</v>
      </c>
      <c r="AF85" s="138" t="n">
        <f aca="false">'Price History'!K3+('Price History'!K158-'Price History'!K3)*0.532467532467532</f>
        <v>72.7301298701298</v>
      </c>
      <c r="AG85" s="138" t="n">
        <f aca="false">'Price History'!L3+('Price History'!L158-'Price History'!L3)*0.532467532467532</f>
        <v>258.258311688312</v>
      </c>
      <c r="AH85" s="138" t="n">
        <f aca="false">'Price History'!M3+('Price History'!M158-'Price History'!M3)*0.532467532467532</f>
        <v>144.295194805195</v>
      </c>
      <c r="AI85" s="138" t="n">
        <f aca="false">'Price History'!N3+('Price History'!N158-'Price History'!N3)*0.532467532467532</f>
        <v>417.611168831169</v>
      </c>
      <c r="AJ85" s="138" t="n">
        <f aca="false">'Price History'!O3+('Price History'!O158-'Price History'!O3)*0.532467532467532</f>
        <v>105.442597402597</v>
      </c>
      <c r="AK85" s="138" t="n">
        <f aca="false">'Price History'!Q3+('Price History'!Q151-'Price History'!Q3)*0.532467532467532</f>
        <v>59.7492207792208</v>
      </c>
      <c r="AL85" s="138" t="n">
        <f aca="false">'Price History'!R3+('Price History'!R158-'Price History'!R3)*0.532467532467532</f>
        <v>53.3736363636364</v>
      </c>
      <c r="AM85" s="138" t="n">
        <f aca="false">'Price History'!S3+('Price History'!S158-'Price History'!S3)*0.532467532467532</f>
        <v>103.954155844156</v>
      </c>
      <c r="AN85" s="138" t="n">
        <f aca="false">'Price History'!T3+('Price History'!T158-'Price History'!T3)*0.532467532467532</f>
        <v>39.0662337662338</v>
      </c>
    </row>
    <row r="86" customFormat="false" ht="15" hidden="false" customHeight="true" outlineLevel="0" collapsed="false">
      <c r="A86" s="136" t="n">
        <f aca="false">IF('Price History'!A87="","",'Price History'!A87)</f>
        <v>45737</v>
      </c>
      <c r="B86" s="137" t="n">
        <f aca="false">IFERROR(IF(OR(NOT(ISNUMBER('Price History'!B87)),NOT(ISNUMBER('Price History'!B86)),'Price History'!B86=0),"",'Price History'!B87/'Price History'!B86-1),"")</f>
        <v>-0.0189491817398795</v>
      </c>
      <c r="C86" s="137" t="n">
        <f aca="false">IFERROR(IF(OR(NOT(ISNUMBER('Price History'!C87)),NOT(ISNUMBER('Price History'!C86)),'Price History'!C86=0),"",'Price History'!C87/'Price History'!C86-1),"")</f>
        <v>-0.00455035325110775</v>
      </c>
      <c r="D86" s="137" t="n">
        <f aca="false">IFERROR(IF(OR(NOT(ISNUMBER('Price History'!D87)),NOT(ISNUMBER('Price History'!D86)),'Price History'!D86=0),"",'Price History'!D87/'Price History'!D86-1),"")</f>
        <v>0.00310924369747911</v>
      </c>
      <c r="E86" s="137" t="n">
        <f aca="false">IFERROR(IF(OR(NOT(ISNUMBER('Price History'!E87)),NOT(ISNUMBER('Price History'!E86)),'Price History'!E86=0),"",'Price History'!E87/'Price History'!E86-1),"")</f>
        <v>-0.0198424874705943</v>
      </c>
      <c r="F86" s="137" t="n">
        <f aca="false">IFERROR(IF(OR(NOT(ISNUMBER('Price History'!F87)),NOT(ISNUMBER('Price History'!F86)),'Price History'!F86=0),"",'Price History'!F87/'Price History'!F86-1),"")</f>
        <v>0.0240868483546308</v>
      </c>
      <c r="G86" s="137" t="n">
        <f aca="false">IFERROR(IF(OR(NOT(ISNUMBER('Price History'!G87)),NOT(ISNUMBER('Price History'!G86)),'Price History'!G86=0),"",'Price History'!G87/'Price History'!G86-1),"")</f>
        <v>-0.00911640953716675</v>
      </c>
      <c r="H86" s="137" t="n">
        <f aca="false">IFERROR(IF(OR(NOT(ISNUMBER('Price History'!H87)),NOT(ISNUMBER('Price History'!H86)),'Price History'!H86=0),"",'Price History'!H87/'Price History'!H86-1),"")</f>
        <v>-0.0602242285941066</v>
      </c>
      <c r="I86" s="137" t="n">
        <f aca="false">IFERROR(IF(OR(NOT(ISNUMBER('Price History'!I87)),NOT(ISNUMBER('Price History'!I86)),'Price History'!I86=0),"",'Price History'!I87/'Price History'!I86-1),"")</f>
        <v>-0.0326292430344374</v>
      </c>
      <c r="J86" s="137" t="n">
        <f aca="false">IFERROR(IF(OR(NOT(ISNUMBER('Price History'!J87)),NOT(ISNUMBER('Price History'!J86)),'Price History'!J86=0),"",'Price History'!J87/'Price History'!J86-1),"")</f>
        <v>-0.031012601662347</v>
      </c>
      <c r="K86" s="137" t="n">
        <f aca="false">IFERROR(IF(OR(NOT(ISNUMBER('Price History'!K87)),NOT(ISNUMBER('Price History'!K86)),'Price History'!K86=0),"",'Price History'!K87/'Price History'!K86-1),"")</f>
        <v>0.0547309833024119</v>
      </c>
      <c r="L86" s="137" t="n">
        <f aca="false">IFERROR(IF(OR(NOT(ISNUMBER('Price History'!L87)),NOT(ISNUMBER('Price History'!L86)),'Price History'!L86=0),"",'Price History'!L87/'Price History'!L86-1),"")</f>
        <v>0.0151645700499741</v>
      </c>
      <c r="M86" s="137" t="n">
        <f aca="false">IFERROR(IF(OR(NOT(ISNUMBER('Price History'!M87)),NOT(ISNUMBER('Price History'!M86)),'Price History'!M86=0),"",'Price History'!M87/'Price History'!M86-1),"")</f>
        <v>0.0134934248141794</v>
      </c>
      <c r="N86" s="137" t="n">
        <f aca="false">IFERROR(IF(OR(NOT(ISNUMBER('Price History'!N87)),NOT(ISNUMBER('Price History'!N86)),'Price History'!N86=0),"",'Price History'!N87/'Price History'!N86-1),"")</f>
        <v>-0.00311032747588014</v>
      </c>
      <c r="O86" s="137" t="n">
        <f aca="false">IFERROR(IF(OR(NOT(ISNUMBER('Price History'!O87)),NOT(ISNUMBER('Price History'!O86)),'Price History'!O86=0),"",'Price History'!O87/'Price History'!O86-1),"")</f>
        <v>0.0096529533440588</v>
      </c>
      <c r="P86" s="137" t="str">
        <f aca="false">IFERROR(IF(OR(NOT(ISNUMBER('Price History'!P87)),NOT(ISNUMBER('Price History'!P86)),'Price History'!P86=0),"",'Price History'!P87/'Price History'!P86-1),"")</f>
        <v/>
      </c>
      <c r="Q86" s="137" t="n">
        <f aca="false">IFERROR(IF(OR(NOT(ISNUMBER('Price History'!Q87)),NOT(ISNUMBER('Price History'!Q86)),'Price History'!Q86=0),"",'Price History'!Q87/'Price History'!Q86-1),"")</f>
        <v>-0.00250041673612267</v>
      </c>
      <c r="R86" s="137" t="n">
        <f aca="false">IFERROR(IF(OR(NOT(ISNUMBER('Price History'!R87)),NOT(ISNUMBER('Price History'!R86)),'Price History'!R86=0),"",'Price History'!R87/'Price History'!R86-1),"")</f>
        <v>0.00361148070708994</v>
      </c>
      <c r="S86" s="137" t="n">
        <f aca="false">IFERROR(IF(OR(NOT(ISNUMBER('Price History'!S87)),NOT(ISNUMBER('Price History'!S86)),'Price History'!S86=0),"",'Price History'!S87/'Price History'!S86-1),"")</f>
        <v>0.00383549968037511</v>
      </c>
      <c r="T86" s="137" t="n">
        <f aca="false">IFERROR(IF(OR(NOT(ISNUMBER('Price History'!T87)),NOT(ISNUMBER('Price History'!T86)),'Price History'!T86=0),"",'Price History'!T87/'Price History'!T86-1),"")</f>
        <v>0.0170137870343208</v>
      </c>
      <c r="U86" s="137" t="str">
        <f aca="false">IFERROR(IF(OR(NOT(ISNUMBER('Price History'!U87)),NOT(ISNUMBER('Price History'!U86)),'Price History'!U86=0),"",'Price History'!U87/'Price History'!U86-1),"")</f>
        <v/>
      </c>
      <c r="W86" s="138" t="n">
        <f aca="false">'Price History'!B3+('Price History'!B158-'Price History'!B3)*0.538961038961039</f>
        <v>369.376493506494</v>
      </c>
      <c r="X86" s="138" t="n">
        <f aca="false">'Price History'!C3+('Price History'!C158-'Price History'!C3)*0.538961038961039</f>
        <v>117.367467532468</v>
      </c>
      <c r="Y86" s="138" t="n">
        <f aca="false">'Price History'!D3+('Price History'!D158-'Price History'!D3)*0.538961038961039</f>
        <v>1183.0738961039</v>
      </c>
      <c r="Z86" s="138" t="n">
        <f aca="false">'Price History'!E3+('Price History'!E158-'Price History'!E3)*0.538961038961039</f>
        <v>248.063766233766</v>
      </c>
      <c r="AA86" s="138" t="n">
        <f aca="false">'Price History'!F3+('Price History'!F158-'Price History'!F3)*0.538961038961039</f>
        <v>119.952207792208</v>
      </c>
      <c r="AB86" s="138" t="n">
        <f aca="false">'Price History'!G3+('Price History'!G158-'Price History'!G3)*0.538961038961039</f>
        <v>120.616623376623</v>
      </c>
      <c r="AC86" s="138" t="n">
        <f aca="false">'Price History'!H3+('Price History'!H158-'Price History'!H3)*0.538961038961039</f>
        <v>473.258181818182</v>
      </c>
      <c r="AD86" s="138" t="n">
        <f aca="false">'Price History'!I3+('Price History'!I158-'Price History'!I3)*0.538961038961039</f>
        <v>127.02987012987</v>
      </c>
      <c r="AE86" s="138" t="n">
        <f aca="false">'Price History'!J3+('Price History'!J158-'Price History'!J3)*0.538961038961039</f>
        <v>134.882077922078</v>
      </c>
      <c r="AF86" s="138" t="n">
        <f aca="false">'Price History'!K3+('Price History'!K158-'Price History'!K3)*0.538961038961039</f>
        <v>73.4291558441558</v>
      </c>
      <c r="AG86" s="138" t="n">
        <f aca="false">'Price History'!L3+('Price History'!L158-'Price History'!L3)*0.538961038961039</f>
        <v>260.285974025974</v>
      </c>
      <c r="AH86" s="138" t="n">
        <f aca="false">'Price History'!M3+('Price History'!M158-'Price History'!M3)*0.538961038961039</f>
        <v>145.646233766234</v>
      </c>
      <c r="AI86" s="138" t="n">
        <f aca="false">'Price History'!N3+('Price History'!N158-'Price History'!N3)*0.538961038961039</f>
        <v>418.437402597403</v>
      </c>
      <c r="AJ86" s="138" t="n">
        <f aca="false">'Price History'!O3+('Price History'!O158-'Price History'!O3)*0.538961038961039</f>
        <v>105.718116883117</v>
      </c>
      <c r="AK86" s="138" t="n">
        <f aca="false">'Price History'!Q3+('Price History'!Q151-'Price History'!Q3)*0.538961038961039</f>
        <v>59.8700649350649</v>
      </c>
      <c r="AL86" s="138" t="n">
        <f aca="false">'Price History'!R3+('Price History'!R158-'Price History'!R3)*0.538961038961039</f>
        <v>53.4413636363636</v>
      </c>
      <c r="AM86" s="138" t="n">
        <f aca="false">'Price History'!S3+('Price History'!S158-'Price History'!S3)*0.538961038961039</f>
        <v>104.507987012987</v>
      </c>
      <c r="AN86" s="138" t="n">
        <f aca="false">'Price History'!T3+('Price History'!T158-'Price History'!T3)*0.538961038961039</f>
        <v>39.2144805194805</v>
      </c>
    </row>
    <row r="87" customFormat="false" ht="15" hidden="false" customHeight="true" outlineLevel="0" collapsed="false">
      <c r="A87" s="136" t="n">
        <f aca="false">IF('Price History'!A88="","",'Price History'!A88)</f>
        <v>45744</v>
      </c>
      <c r="B87" s="137" t="n">
        <f aca="false">IFERROR(IF(OR(NOT(ISNUMBER('Price History'!B88)),NOT(ISNUMBER('Price History'!B87)),'Price History'!B87=0),"",'Price History'!B88/'Price History'!B87-1),"")</f>
        <v>-0.00400247895470751</v>
      </c>
      <c r="C87" s="137" t="n">
        <f aca="false">IFERROR(IF(OR(NOT(ISNUMBER('Price History'!C88)),NOT(ISNUMBER('Price History'!C87)),'Price History'!C87=0),"",'Price History'!C88/'Price History'!C87-1),"")</f>
        <v>-0.0624323348971491</v>
      </c>
      <c r="D87" s="137" t="n">
        <f aca="false">IFERROR(IF(OR(NOT(ISNUMBER('Price History'!D88)),NOT(ISNUMBER('Price History'!D87)),'Price History'!D87=0),"",'Price History'!D88/'Price History'!D87-1),"")</f>
        <v>-0.0581385607774148</v>
      </c>
      <c r="E87" s="137" t="n">
        <f aca="false">IFERROR(IF(OR(NOT(ISNUMBER('Price History'!E88)),NOT(ISNUMBER('Price History'!E87)),'Price History'!E87=0),"",'Price History'!E88/'Price History'!E87-1),"")</f>
        <v>-0.117604090577064</v>
      </c>
      <c r="F87" s="137" t="n">
        <f aca="false">IFERROR(IF(OR(NOT(ISNUMBER('Price History'!F88)),NOT(ISNUMBER('Price History'!F87)),'Price History'!F87=0),"",'Price History'!F88/'Price History'!F87-1),"")</f>
        <v>-0.0141342756183745</v>
      </c>
      <c r="G87" s="137" t="n">
        <f aca="false">IFERROR(IF(OR(NOT(ISNUMBER('Price History'!G88)),NOT(ISNUMBER('Price History'!G87)),'Price History'!G87=0),"",'Price History'!G88/'Price History'!G87-1),"")</f>
        <v>-0.0465675866949753</v>
      </c>
      <c r="H87" s="137" t="n">
        <f aca="false">IFERROR(IF(OR(NOT(ISNUMBER('Price History'!H88)),NOT(ISNUMBER('Price History'!H87)),'Price History'!H87=0),"",'Price History'!H88/'Price History'!H87-1),"")</f>
        <v>-0.0663006756756757</v>
      </c>
      <c r="I87" s="137" t="n">
        <f aca="false">IFERROR(IF(OR(NOT(ISNUMBER('Price History'!I88)),NOT(ISNUMBER('Price History'!I87)),'Price History'!I87=0),"",'Price History'!I88/'Price History'!I87-1),"")</f>
        <v>-0.0682242990654206</v>
      </c>
      <c r="J87" s="137" t="n">
        <f aca="false">IFERROR(IF(OR(NOT(ISNUMBER('Price History'!J88)),NOT(ISNUMBER('Price History'!J87)),'Price History'!J87=0),"",'Price History'!J88/'Price History'!J87-1),"")</f>
        <v>0.0187234827522598</v>
      </c>
      <c r="K87" s="137" t="n">
        <f aca="false">IFERROR(IF(OR(NOT(ISNUMBER('Price History'!K88)),NOT(ISNUMBER('Price History'!K87)),'Price History'!K87=0),"",'Price History'!K88/'Price History'!K87-1),"")</f>
        <v>-0.0561785400175902</v>
      </c>
      <c r="L87" s="137" t="n">
        <f aca="false">IFERROR(IF(OR(NOT(ISNUMBER('Price History'!L88)),NOT(ISNUMBER('Price History'!L87)),'Price History'!L87=0),"",'Price History'!L88/'Price History'!L87-1),"")</f>
        <v>-0.0649578453007412</v>
      </c>
      <c r="M87" s="137" t="n">
        <f aca="false">IFERROR(IF(OR(NOT(ISNUMBER('Price History'!M88)),NOT(ISNUMBER('Price History'!M87)),'Price History'!M87=0),"",'Price History'!M88/'Price History'!M87-1),"")</f>
        <v>-0.16224754597766</v>
      </c>
      <c r="N87" s="137" t="n">
        <f aca="false">IFERROR(IF(OR(NOT(ISNUMBER('Price History'!N88)),NOT(ISNUMBER('Price History'!N87)),'Price History'!N87=0),"",'Price History'!N88/'Price History'!N87-1),"")</f>
        <v>-0.0208863275039746</v>
      </c>
      <c r="O87" s="137" t="n">
        <f aca="false">IFERROR(IF(OR(NOT(ISNUMBER('Price History'!O88)),NOT(ISNUMBER('Price History'!O87)),'Price History'!O87=0),"",'Price History'!O88/'Price History'!O87-1),"")</f>
        <v>-0.00842249032551778</v>
      </c>
      <c r="P87" s="137" t="str">
        <f aca="false">IFERROR(IF(OR(NOT(ISNUMBER('Price History'!P88)),NOT(ISNUMBER('Price History'!P87)),'Price History'!P87=0),"",'Price History'!P88/'Price History'!P87-1),"")</f>
        <v/>
      </c>
      <c r="Q87" s="137" t="n">
        <f aca="false">IFERROR(IF(OR(NOT(ISNUMBER('Price History'!Q88)),NOT(ISNUMBER('Price History'!Q87)),'Price History'!Q87=0),"",'Price History'!Q88/'Price History'!Q87-1),"")</f>
        <v>0.0294117647058823</v>
      </c>
      <c r="R87" s="137" t="n">
        <f aca="false">IFERROR(IF(OR(NOT(ISNUMBER('Price History'!R88)),NOT(ISNUMBER('Price History'!R87)),'Price History'!R87=0),"",'Price History'!R88/'Price History'!R87-1),"")</f>
        <v>-0.0187499999999999</v>
      </c>
      <c r="S87" s="137" t="n">
        <f aca="false">IFERROR(IF(OR(NOT(ISNUMBER('Price History'!S88)),NOT(ISNUMBER('Price History'!S87)),'Price History'!S87=0),"",'Price History'!S88/'Price History'!S87-1),"")</f>
        <v>-0.0215453194650818</v>
      </c>
      <c r="T87" s="137" t="n">
        <f aca="false">IFERROR(IF(OR(NOT(ISNUMBER('Price History'!T88)),NOT(ISNUMBER('Price History'!T87)),'Price History'!T87=0),"",'Price History'!T88/'Price History'!T87-1),"")</f>
        <v>-0.0164407268531872</v>
      </c>
      <c r="U87" s="137" t="str">
        <f aca="false">IFERROR(IF(OR(NOT(ISNUMBER('Price History'!U88)),NOT(ISNUMBER('Price History'!U87)),'Price History'!U87=0),"",'Price History'!U88/'Price History'!U87-1),"")</f>
        <v/>
      </c>
      <c r="W87" s="138" t="n">
        <f aca="false">'Price History'!B3+('Price History'!B158-'Price History'!B3)*0.545454545454545</f>
        <v>367.700909090909</v>
      </c>
      <c r="X87" s="138" t="n">
        <f aca="false">'Price History'!C3+('Price History'!C158-'Price History'!C3)*0.545454545454545</f>
        <v>118.254545454545</v>
      </c>
      <c r="Y87" s="138" t="n">
        <f aca="false">'Price History'!D3+('Price History'!D158-'Price History'!D3)*0.545454545454545</f>
        <v>1189.35454545455</v>
      </c>
      <c r="Z87" s="138" t="n">
        <f aca="false">'Price History'!E3+('Price History'!E158-'Price History'!E3)*0.545454545454545</f>
        <v>250.052727272727</v>
      </c>
      <c r="AA87" s="138" t="n">
        <f aca="false">'Price History'!F3+('Price History'!F158-'Price History'!F3)*0.545454545454545</f>
        <v>120.950909090909</v>
      </c>
      <c r="AB87" s="138" t="n">
        <f aca="false">'Price History'!G3+('Price History'!G158-'Price History'!G3)*0.545454545454545</f>
        <v>121.492727272727</v>
      </c>
      <c r="AC87" s="138" t="n">
        <f aca="false">'Price History'!H3+('Price History'!H158-'Price History'!H3)*0.545454545454545</f>
        <v>478.184545454545</v>
      </c>
      <c r="AD87" s="138" t="n">
        <f aca="false">'Price History'!I3+('Price History'!I158-'Price History'!I3)*0.545454545454545</f>
        <v>128.068181818182</v>
      </c>
      <c r="AE87" s="138" t="n">
        <f aca="false">'Price History'!J3+('Price History'!J158-'Price History'!J3)*0.545454545454545</f>
        <v>135.019090909091</v>
      </c>
      <c r="AF87" s="138" t="n">
        <f aca="false">'Price History'!K3+('Price History'!K158-'Price History'!K3)*0.545454545454545</f>
        <v>74.1281818181818</v>
      </c>
      <c r="AG87" s="138" t="n">
        <f aca="false">'Price History'!L3+('Price History'!L158-'Price History'!L3)*0.545454545454545</f>
        <v>262.313636363636</v>
      </c>
      <c r="AH87" s="138" t="n">
        <f aca="false">'Price History'!M3+('Price History'!M158-'Price History'!M3)*0.545454545454545</f>
        <v>146.997272727273</v>
      </c>
      <c r="AI87" s="138" t="n">
        <f aca="false">'Price History'!N3+('Price History'!N158-'Price History'!N3)*0.545454545454545</f>
        <v>419.263636363636</v>
      </c>
      <c r="AJ87" s="138" t="n">
        <f aca="false">'Price History'!O3+('Price History'!O158-'Price History'!O3)*0.545454545454545</f>
        <v>105.993636363636</v>
      </c>
      <c r="AK87" s="138" t="n">
        <f aca="false">'Price History'!Q3+('Price History'!Q151-'Price History'!Q3)*0.545454545454545</f>
        <v>59.9909090909091</v>
      </c>
      <c r="AL87" s="138" t="n">
        <f aca="false">'Price History'!R3+('Price History'!R158-'Price History'!R3)*0.545454545454545</f>
        <v>53.5090909090909</v>
      </c>
      <c r="AM87" s="138" t="n">
        <f aca="false">'Price History'!S3+('Price History'!S158-'Price History'!S3)*0.545454545454545</f>
        <v>105.061818181818</v>
      </c>
      <c r="AN87" s="138" t="n">
        <f aca="false">'Price History'!T3+('Price History'!T158-'Price History'!T3)*0.545454545454545</f>
        <v>39.3627272727273</v>
      </c>
    </row>
    <row r="88" customFormat="false" ht="15" hidden="false" customHeight="true" outlineLevel="0" collapsed="false">
      <c r="A88" s="136" t="n">
        <f aca="false">IF('Price History'!A89="","",'Price History'!A89)</f>
        <v>45751</v>
      </c>
      <c r="B88" s="137" t="n">
        <f aca="false">IFERROR(IF(OR(NOT(ISNUMBER('Price History'!B89)),NOT(ISNUMBER('Price History'!B88)),'Price History'!B88=0),"",'Price History'!B89/'Price History'!B88-1),"")</f>
        <v>-0.0949936480775712</v>
      </c>
      <c r="C88" s="137" t="n">
        <f aca="false">IFERROR(IF(OR(NOT(ISNUMBER('Price History'!C89)),NOT(ISNUMBER('Price History'!C88)),'Price History'!C88=0),"",'Price History'!C89/'Price History'!C88-1),"")</f>
        <v>-0.174108288426995</v>
      </c>
      <c r="D88" s="137" t="n">
        <f aca="false">IFERROR(IF(OR(NOT(ISNUMBER('Price History'!D89)),NOT(ISNUMBER('Price History'!D88)),'Price History'!D88=0),"",'Price History'!D89/'Price History'!D88-1),"")</f>
        <v>-0.102330338877524</v>
      </c>
      <c r="E88" s="137" t="n">
        <f aca="false">IFERROR(IF(OR(NOT(ISNUMBER('Price History'!E89)),NOT(ISNUMBER('Price History'!E88)),'Price History'!E88=0),"",'Price History'!E89/'Price History'!E88-1),"")</f>
        <v>-0.134992904446547</v>
      </c>
      <c r="F88" s="137" t="n">
        <f aca="false">IFERROR(IF(OR(NOT(ISNUMBER('Price History'!F89)),NOT(ISNUMBER('Price History'!F88)),'Price History'!F88=0),"",'Price History'!F89/'Price History'!F88-1),"")</f>
        <v>-0.0993503584229392</v>
      </c>
      <c r="G88" s="137" t="n">
        <f aca="false">IFERROR(IF(OR(NOT(ISNUMBER('Price History'!G89)),NOT(ISNUMBER('Price History'!G88)),'Price History'!G88=0),"",'Price History'!G89/'Price History'!G88-1),"")</f>
        <v>-0.144150831353919</v>
      </c>
      <c r="H88" s="137" t="n">
        <f aca="false">IFERROR(IF(OR(NOT(ISNUMBER('Price History'!H89)),NOT(ISNUMBER('Price History'!H88)),'Price History'!H88=0),"",'Price History'!H89/'Price History'!H88-1),"")</f>
        <v>-0.268204432383537</v>
      </c>
      <c r="I88" s="137" t="n">
        <f aca="false">IFERROR(IF(OR(NOT(ISNUMBER('Price History'!I89)),NOT(ISNUMBER('Price History'!I88)),'Price History'!I88=0),"",'Price History'!I89/'Price History'!I88-1),"")</f>
        <v>-0.140056533236072</v>
      </c>
      <c r="J88" s="137" t="n">
        <f aca="false">IFERROR(IF(OR(NOT(ISNUMBER('Price History'!J89)),NOT(ISNUMBER('Price History'!J88)),'Price History'!J88=0),"",'Price History'!J89/'Price History'!J88-1),"")</f>
        <v>-0.11063829787234</v>
      </c>
      <c r="K88" s="137" t="n">
        <f aca="false">IFERROR(IF(OR(NOT(ISNUMBER('Price History'!K89)),NOT(ISNUMBER('Price History'!K88)),'Price History'!K88=0),"",'Price History'!K89/'Price History'!K88-1),"")</f>
        <v>-0.137914967967385</v>
      </c>
      <c r="L88" s="137" t="n">
        <f aca="false">IFERROR(IF(OR(NOT(ISNUMBER('Price History'!L89)),NOT(ISNUMBER('Price History'!L88)),'Price History'!L88=0),"",'Price History'!L89/'Price History'!L88-1),"")</f>
        <v>-0.111649016641452</v>
      </c>
      <c r="M88" s="137" t="n">
        <f aca="false">IFERROR(IF(OR(NOT(ISNUMBER('Price History'!M89)),NOT(ISNUMBER('Price History'!M88)),'Price History'!M88=0),"",'Price History'!M89/'Price History'!M88-1),"")</f>
        <v>-0.19986531986532</v>
      </c>
      <c r="N88" s="137" t="n">
        <f aca="false">IFERROR(IF(OR(NOT(ISNUMBER('Price History'!N89)),NOT(ISNUMBER('Price History'!N88)),'Price History'!N88=0),"",'Price History'!N89/'Price History'!N88-1),"")</f>
        <v>-0.0366762061336743</v>
      </c>
      <c r="O88" s="137" t="n">
        <f aca="false">IFERROR(IF(OR(NOT(ISNUMBER('Price History'!O89)),NOT(ISNUMBER('Price History'!O88)),'Price History'!O88=0),"",'Price History'!O89/'Price History'!O88-1),"")</f>
        <v>-0.104683195592287</v>
      </c>
      <c r="P88" s="137" t="str">
        <f aca="false">IFERROR(IF(OR(NOT(ISNUMBER('Price History'!P89)),NOT(ISNUMBER('Price History'!P88)),'Price History'!P88=0),"",'Price History'!P89/'Price History'!P88-1),"")</f>
        <v/>
      </c>
      <c r="Q88" s="137" t="n">
        <f aca="false">IFERROR(IF(OR(NOT(ISNUMBER('Price History'!Q89)),NOT(ISNUMBER('Price History'!Q88)),'Price History'!Q88=0),"",'Price History'!Q89/'Price History'!Q88-1),"")</f>
        <v>-0.0165584415584417</v>
      </c>
      <c r="R88" s="137" t="n">
        <f aca="false">IFERROR(IF(OR(NOT(ISNUMBER('Price History'!R89)),NOT(ISNUMBER('Price History'!R88)),'Price History'!R88=0),"",'Price History'!R89/'Price History'!R88-1),"")</f>
        <v>-0.100559737502413</v>
      </c>
      <c r="S88" s="137" t="n">
        <f aca="false">IFERROR(IF(OR(NOT(ISNUMBER('Price History'!S89)),NOT(ISNUMBER('Price History'!S88)),'Price History'!S88=0),"",'Price History'!S89/'Price History'!S88-1),"")</f>
        <v>-0.107061503416857</v>
      </c>
      <c r="T88" s="137" t="n">
        <f aca="false">IFERROR(IF(OR(NOT(ISNUMBER('Price History'!T89)),NOT(ISNUMBER('Price History'!T88)),'Price History'!T88=0),"",'Price History'!T89/'Price History'!T88-1),"")</f>
        <v>-0.092375366568915</v>
      </c>
      <c r="U88" s="137" t="str">
        <f aca="false">IFERROR(IF(OR(NOT(ISNUMBER('Price History'!U89)),NOT(ISNUMBER('Price History'!U88)),'Price History'!U88=0),"",'Price History'!U89/'Price History'!U88-1),"")</f>
        <v/>
      </c>
      <c r="W88" s="138" t="n">
        <f aca="false">'Price History'!B3+('Price History'!B158-'Price History'!B3)*0.551948051948052</f>
        <v>366.025324675325</v>
      </c>
      <c r="X88" s="138" t="n">
        <f aca="false">'Price History'!C3+('Price History'!C158-'Price History'!C3)*0.551948051948052</f>
        <v>119.141623376623</v>
      </c>
      <c r="Y88" s="138" t="n">
        <f aca="false">'Price History'!D3+('Price History'!D158-'Price History'!D3)*0.551948051948052</f>
        <v>1195.63519480519</v>
      </c>
      <c r="Z88" s="138" t="n">
        <f aca="false">'Price History'!E3+('Price History'!E158-'Price History'!E3)*0.551948051948052</f>
        <v>252.041688311688</v>
      </c>
      <c r="AA88" s="138" t="n">
        <f aca="false">'Price History'!F3+('Price History'!F158-'Price History'!F3)*0.551948051948052</f>
        <v>121.94961038961</v>
      </c>
      <c r="AB88" s="138" t="n">
        <f aca="false">'Price History'!G3+('Price History'!G158-'Price History'!G3)*0.551948051948052</f>
        <v>122.368831168831</v>
      </c>
      <c r="AC88" s="138" t="n">
        <f aca="false">'Price History'!H3+('Price History'!H158-'Price History'!H3)*0.551948051948052</f>
        <v>483.110909090909</v>
      </c>
      <c r="AD88" s="138" t="n">
        <f aca="false">'Price History'!I3+('Price History'!I158-'Price History'!I3)*0.551948051948052</f>
        <v>129.106493506494</v>
      </c>
      <c r="AE88" s="138" t="n">
        <f aca="false">'Price History'!J3+('Price History'!J158-'Price History'!J3)*0.551948051948052</f>
        <v>135.156103896104</v>
      </c>
      <c r="AF88" s="138" t="n">
        <f aca="false">'Price History'!K3+('Price History'!K158-'Price History'!K3)*0.551948051948052</f>
        <v>74.8272077922078</v>
      </c>
      <c r="AG88" s="138" t="n">
        <f aca="false">'Price History'!L3+('Price History'!L158-'Price History'!L3)*0.551948051948052</f>
        <v>264.341298701299</v>
      </c>
      <c r="AH88" s="138" t="n">
        <f aca="false">'Price History'!M3+('Price History'!M158-'Price History'!M3)*0.551948051948052</f>
        <v>148.348311688312</v>
      </c>
      <c r="AI88" s="138" t="n">
        <f aca="false">'Price History'!N3+('Price History'!N158-'Price History'!N3)*0.551948051948052</f>
        <v>420.08987012987</v>
      </c>
      <c r="AJ88" s="138" t="n">
        <f aca="false">'Price History'!O3+('Price History'!O158-'Price History'!O3)*0.551948051948052</f>
        <v>106.269155844156</v>
      </c>
      <c r="AK88" s="138" t="n">
        <f aca="false">'Price History'!Q3+('Price History'!Q151-'Price History'!Q3)*0.551948051948052</f>
        <v>60.1117532467533</v>
      </c>
      <c r="AL88" s="138" t="n">
        <f aca="false">'Price History'!R3+('Price History'!R158-'Price History'!R3)*0.551948051948052</f>
        <v>53.5768181818182</v>
      </c>
      <c r="AM88" s="138" t="n">
        <f aca="false">'Price History'!S3+('Price History'!S158-'Price History'!S3)*0.551948051948052</f>
        <v>105.615649350649</v>
      </c>
      <c r="AN88" s="138" t="n">
        <f aca="false">'Price History'!T3+('Price History'!T158-'Price History'!T3)*0.551948051948052</f>
        <v>39.510974025974</v>
      </c>
    </row>
    <row r="89" customFormat="false" ht="15" hidden="false" customHeight="true" outlineLevel="0" collapsed="false">
      <c r="A89" s="136" t="n">
        <f aca="false">IF('Price History'!A90="","",'Price History'!A90)</f>
        <v>45758</v>
      </c>
      <c r="B89" s="137" t="n">
        <f aca="false">IFERROR(IF(OR(NOT(ISNUMBER('Price History'!B90)),NOT(ISNUMBER('Price History'!B89)),'Price History'!B89=0),"",'Price History'!B90/'Price History'!B89-1),"")</f>
        <v>0.00974016672873646</v>
      </c>
      <c r="C89" s="137" t="n">
        <f aca="false">IFERROR(IF(OR(NOT(ISNUMBER('Price History'!C90)),NOT(ISNUMBER('Price History'!C89)),'Price History'!C89=0),"",'Price History'!C90/'Price History'!C89-1),"")</f>
        <v>0.128942053751748</v>
      </c>
      <c r="D89" s="137" t="n">
        <f aca="false">IFERROR(IF(OR(NOT(ISNUMBER('Price History'!D90)),NOT(ISNUMBER('Price History'!D89)),'Price History'!D89=0),"",'Price History'!D90/'Price History'!D89-1),"")</f>
        <v>0.104467013458839</v>
      </c>
      <c r="E89" s="137" t="n">
        <f aca="false">IFERROR(IF(OR(NOT(ISNUMBER('Price History'!E90)),NOT(ISNUMBER('Price History'!E89)),'Price History'!E89=0),"",'Price History'!E90/'Price History'!E89-1),"")</f>
        <v>0.243694032401395</v>
      </c>
      <c r="F89" s="137" t="n">
        <f aca="false">IFERROR(IF(OR(NOT(ISNUMBER('Price History'!F90)),NOT(ISNUMBER('Price History'!F89)),'Price History'!F89=0),"",'Price History'!F90/'Price History'!F89-1),"")</f>
        <v>0.174978236537744</v>
      </c>
      <c r="G89" s="137" t="n">
        <f aca="false">IFERROR(IF(OR(NOT(ISNUMBER('Price History'!G90)),NOT(ISNUMBER('Price History'!G89)),'Price History'!G89=0),"",'Price History'!G90/'Price History'!G89-1),"")</f>
        <v>0.162532523850824</v>
      </c>
      <c r="H89" s="137" t="n">
        <f aca="false">IFERROR(IF(OR(NOT(ISNUMBER('Price History'!H90)),NOT(ISNUMBER('Price History'!H89)),'Price History'!H89=0),"",'Price History'!H90/'Price History'!H89-1),"")</f>
        <v>0.074629171817058</v>
      </c>
      <c r="I89" s="137" t="n">
        <f aca="false">IFERROR(IF(OR(NOT(ISNUMBER('Price History'!I90)),NOT(ISNUMBER('Price History'!I89)),'Price History'!I89=0),"",'Price History'!I90/'Price History'!I89-1),"")</f>
        <v>0.17622733538331</v>
      </c>
      <c r="J89" s="137" t="n">
        <f aca="false">IFERROR(IF(OR(NOT(ISNUMBER('Price History'!J90)),NOT(ISNUMBER('Price History'!J89)),'Price History'!J89=0),"",'Price History'!J90/'Price History'!J89-1),"")</f>
        <v>-0.0203603787030439</v>
      </c>
      <c r="K89" s="137" t="n">
        <f aca="false">IFERROR(IF(OR(NOT(ISNUMBER('Price History'!K90)),NOT(ISNUMBER('Price History'!K89)),'Price History'!K89=0),"",'Price History'!K90/'Price History'!K89-1),"")</f>
        <v>0.196459937846237</v>
      </c>
      <c r="L89" s="137" t="n">
        <f aca="false">IFERROR(IF(OR(NOT(ISNUMBER('Price History'!L90)),NOT(ISNUMBER('Price History'!L89)),'Price History'!L89=0),"",'Price History'!L90/'Price History'!L89-1),"")</f>
        <v>0.0700272479564033</v>
      </c>
      <c r="M89" s="137" t="n">
        <f aca="false">IFERROR(IF(OR(NOT(ISNUMBER('Price History'!M90)),NOT(ISNUMBER('Price History'!M89)),'Price History'!M89=0),"",'Price History'!M90/'Price History'!M89-1),"")</f>
        <v>0.171688267968356</v>
      </c>
      <c r="N89" s="137" t="n">
        <f aca="false">IFERROR(IF(OR(NOT(ISNUMBER('Price History'!N90)),NOT(ISNUMBER('Price History'!N89)),'Price History'!N89=0),"",'Price History'!N90/'Price History'!N89-1),"")</f>
        <v>0.0202267076819351</v>
      </c>
      <c r="O89" s="137" t="n">
        <f aca="false">IFERROR(IF(OR(NOT(ISNUMBER('Price History'!O90)),NOT(ISNUMBER('Price History'!O89)),'Price History'!O89=0),"",'Price History'!O90/'Price History'!O89-1),"")</f>
        <v>0.0125641025641026</v>
      </c>
      <c r="P89" s="137" t="str">
        <f aca="false">IFERROR(IF(OR(NOT(ISNUMBER('Price History'!P90)),NOT(ISNUMBER('Price History'!P89)),'Price History'!P89=0),"",'Price History'!P90/'Price History'!P89-1),"")</f>
        <v/>
      </c>
      <c r="Q89" s="137" t="n">
        <f aca="false">IFERROR(IF(OR(NOT(ISNUMBER('Price History'!Q90)),NOT(ISNUMBER('Price History'!Q89)),'Price History'!Q89=0),"",'Price History'!Q90/'Price History'!Q89-1),"")</f>
        <v>0.0108946847144273</v>
      </c>
      <c r="R89" s="137" t="n">
        <f aca="false">IFERROR(IF(OR(NOT(ISNUMBER('Price History'!R90)),NOT(ISNUMBER('Price History'!R89)),'Price History'!R89=0),"",'Price History'!R90/'Price History'!R89-1),"")</f>
        <v>0.0630901287553647</v>
      </c>
      <c r="S89" s="137" t="n">
        <f aca="false">IFERROR(IF(OR(NOT(ISNUMBER('Price History'!S90)),NOT(ISNUMBER('Price History'!S89)),'Price History'!S89=0),"",'Price History'!S90/'Price History'!S89-1),"")</f>
        <v>0.0911078717201166</v>
      </c>
      <c r="T89" s="137" t="n">
        <f aca="false">IFERROR(IF(OR(NOT(ISNUMBER('Price History'!T90)),NOT(ISNUMBER('Price History'!T89)),'Price History'!T89=0),"",'Price History'!T90/'Price History'!T89-1),"")</f>
        <v>0.0197092084006463</v>
      </c>
      <c r="U89" s="137" t="str">
        <f aca="false">IFERROR(IF(OR(NOT(ISNUMBER('Price History'!U90)),NOT(ISNUMBER('Price History'!U89)),'Price History'!U89=0),"",'Price History'!U90/'Price History'!U89-1),"")</f>
        <v/>
      </c>
      <c r="W89" s="138" t="n">
        <f aca="false">'Price History'!B3+('Price History'!B158-'Price History'!B3)*0.558441558441558</f>
        <v>364.34974025974</v>
      </c>
      <c r="X89" s="138" t="n">
        <f aca="false">'Price History'!C3+('Price History'!C158-'Price History'!C3)*0.558441558441558</f>
        <v>120.028701298701</v>
      </c>
      <c r="Y89" s="138" t="n">
        <f aca="false">'Price History'!D3+('Price History'!D158-'Price History'!D3)*0.558441558441558</f>
        <v>1201.91584415584</v>
      </c>
      <c r="Z89" s="138" t="n">
        <f aca="false">'Price History'!E3+('Price History'!E158-'Price History'!E3)*0.558441558441558</f>
        <v>254.030649350649</v>
      </c>
      <c r="AA89" s="138" t="n">
        <f aca="false">'Price History'!F3+('Price History'!F158-'Price History'!F3)*0.558441558441558</f>
        <v>122.948311688312</v>
      </c>
      <c r="AB89" s="138" t="n">
        <f aca="false">'Price History'!G3+('Price History'!G158-'Price History'!G3)*0.558441558441558</f>
        <v>123.244935064935</v>
      </c>
      <c r="AC89" s="138" t="n">
        <f aca="false">'Price History'!H3+('Price History'!H158-'Price History'!H3)*0.558441558441558</f>
        <v>488.037272727272</v>
      </c>
      <c r="AD89" s="138" t="n">
        <f aca="false">'Price History'!I3+('Price History'!I158-'Price History'!I3)*0.558441558441558</f>
        <v>130.144805194805</v>
      </c>
      <c r="AE89" s="138" t="n">
        <f aca="false">'Price History'!J3+('Price History'!J158-'Price History'!J3)*0.558441558441558</f>
        <v>135.293116883117</v>
      </c>
      <c r="AF89" s="138" t="n">
        <f aca="false">'Price History'!K3+('Price History'!K158-'Price History'!K3)*0.558441558441558</f>
        <v>75.5262337662337</v>
      </c>
      <c r="AG89" s="138" t="n">
        <f aca="false">'Price History'!L3+('Price History'!L158-'Price History'!L3)*0.558441558441558</f>
        <v>266.368961038961</v>
      </c>
      <c r="AH89" s="138" t="n">
        <f aca="false">'Price History'!M3+('Price History'!M158-'Price History'!M3)*0.558441558441558</f>
        <v>149.699350649351</v>
      </c>
      <c r="AI89" s="138" t="n">
        <f aca="false">'Price History'!N3+('Price History'!N158-'Price History'!N3)*0.558441558441558</f>
        <v>420.916103896104</v>
      </c>
      <c r="AJ89" s="138" t="n">
        <f aca="false">'Price History'!O3+('Price History'!O158-'Price History'!O3)*0.558441558441558</f>
        <v>106.544675324675</v>
      </c>
      <c r="AK89" s="138" t="n">
        <f aca="false">'Price History'!Q3+('Price History'!Q151-'Price History'!Q3)*0.558441558441558</f>
        <v>60.2325974025974</v>
      </c>
      <c r="AL89" s="138" t="n">
        <f aca="false">'Price History'!R3+('Price History'!R158-'Price History'!R3)*0.558441558441558</f>
        <v>53.6445454545455</v>
      </c>
      <c r="AM89" s="138" t="n">
        <f aca="false">'Price History'!S3+('Price History'!S158-'Price History'!S3)*0.558441558441558</f>
        <v>106.16948051948</v>
      </c>
      <c r="AN89" s="138" t="n">
        <f aca="false">'Price History'!T3+('Price History'!T158-'Price History'!T3)*0.558441558441558</f>
        <v>39.6592207792208</v>
      </c>
    </row>
    <row r="90" customFormat="false" ht="15" hidden="false" customHeight="true" outlineLevel="0" collapsed="false">
      <c r="A90" s="136" t="n">
        <f aca="false">IF('Price History'!A91="","",'Price History'!A91)</f>
        <v>45764</v>
      </c>
      <c r="B90" s="137" t="n">
        <f aca="false">IFERROR(IF(OR(NOT(ISNUMBER('Price History'!B91)),NOT(ISNUMBER('Price History'!B90)),'Price History'!B90=0),"",'Price History'!B91/'Price History'!B90-1),"")</f>
        <v>-0.0104122336652765</v>
      </c>
      <c r="C90" s="137" t="n">
        <f aca="false">IFERROR(IF(OR(NOT(ISNUMBER('Price History'!C91)),NOT(ISNUMBER('Price History'!C90)),'Price History'!C90=0),"",'Price History'!C91/'Price History'!C90-1),"")</f>
        <v>-0.0202284298885372</v>
      </c>
      <c r="D90" s="137" t="n">
        <f aca="false">IFERROR(IF(OR(NOT(ISNUMBER('Price History'!D91)),NOT(ISNUMBER('Price History'!D90)),'Price History'!D90=0),"",'Price History'!D91/'Price History'!D90-1),"")</f>
        <v>-0.0428372781507453</v>
      </c>
      <c r="E90" s="137" t="n">
        <f aca="false">IFERROR(IF(OR(NOT(ISNUMBER('Price History'!E91)),NOT(ISNUMBER('Price History'!E90)),'Price History'!E90=0),"",'Price History'!E91/'Price History'!E90-1),"")</f>
        <v>-0.0601846762669012</v>
      </c>
      <c r="F90" s="137" t="n">
        <f aca="false">IFERROR(IF(OR(NOT(ISNUMBER('Price History'!F91)),NOT(ISNUMBER('Price History'!F90)),'Price History'!F90=0),"",'Price History'!F91/'Price History'!F90-1),"")</f>
        <v>-0.00603302286198149</v>
      </c>
      <c r="G90" s="137" t="n">
        <f aca="false">IFERROR(IF(OR(NOT(ISNUMBER('Price History'!G91)),NOT(ISNUMBER('Price History'!G90)),'Price History'!G90=0),"",'Price History'!G91/'Price History'!G90-1),"")</f>
        <v>-0.0534168904804536</v>
      </c>
      <c r="H90" s="137" t="n">
        <f aca="false">IFERROR(IF(OR(NOT(ISNUMBER('Price History'!H91)),NOT(ISNUMBER('Price History'!H90)),'Price History'!H90=0),"",'Price History'!H91/'Price History'!H90-1),"")</f>
        <v>-0.0107836089144501</v>
      </c>
      <c r="I90" s="137" t="n">
        <f aca="false">IFERROR(IF(OR(NOT(ISNUMBER('Price History'!I91)),NOT(ISNUMBER('Price History'!I90)),'Price History'!I90=0),"",'Price History'!I91/'Price History'!I90-1),"")</f>
        <v>-0.0850987108987651</v>
      </c>
      <c r="J90" s="137" t="n">
        <f aca="false">IFERROR(IF(OR(NOT(ISNUMBER('Price History'!J91)),NOT(ISNUMBER('Price History'!J90)),'Price History'!J90=0),"",'Price History'!J91/'Price History'!J90-1),"")</f>
        <v>0.0609996882469084</v>
      </c>
      <c r="K90" s="137" t="n">
        <f aca="false">IFERROR(IF(OR(NOT(ISNUMBER('Price History'!K91)),NOT(ISNUMBER('Price History'!K90)),'Price History'!K90=0),"",'Price History'!K91/'Price History'!K90-1),"")</f>
        <v>0.0590626764539808</v>
      </c>
      <c r="L90" s="137" t="n">
        <f aca="false">IFERROR(IF(OR(NOT(ISNUMBER('Price History'!L91)),NOT(ISNUMBER('Price History'!L90)),'Price History'!L90=0),"",'Price History'!L91/'Price History'!L90-1),"")</f>
        <v>-0.0339954163483576</v>
      </c>
      <c r="M90" s="137" t="n">
        <f aca="false">IFERROR(IF(OR(NOT(ISNUMBER('Price History'!M91)),NOT(ISNUMBER('Price History'!M90)),'Price History'!M90=0),"",'Price History'!M91/'Price History'!M90-1),"")</f>
        <v>0.0517167073696307</v>
      </c>
      <c r="N90" s="137" t="n">
        <f aca="false">IFERROR(IF(OR(NOT(ISNUMBER('Price History'!N91)),NOT(ISNUMBER('Price History'!N90)),'Price History'!N90=0),"",'Price History'!N91/'Price History'!N90-1),"")</f>
        <v>0.0100780636900581</v>
      </c>
      <c r="O90" s="137" t="n">
        <f aca="false">IFERROR(IF(OR(NOT(ISNUMBER('Price History'!O91)),NOT(ISNUMBER('Price History'!O90)),'Price History'!O90=0),"",'Price History'!O91/'Price History'!O90-1),"")</f>
        <v>0.0186123069131425</v>
      </c>
      <c r="P90" s="137" t="str">
        <f aca="false">IFERROR(IF(OR(NOT(ISNUMBER('Price History'!P91)),NOT(ISNUMBER('Price History'!P90)),'Price History'!P90=0),"",'Price History'!P91/'Price History'!P90-1),"")</f>
        <v/>
      </c>
      <c r="Q90" s="137" t="n">
        <f aca="false">IFERROR(IF(OR(NOT(ISNUMBER('Price History'!Q91)),NOT(ISNUMBER('Price History'!Q90)),'Price History'!Q90=0),"",'Price History'!Q91/'Price History'!Q90-1),"")</f>
        <v>0.00963422599608088</v>
      </c>
      <c r="R90" s="137" t="n">
        <f aca="false">IFERROR(IF(OR(NOT(ISNUMBER('Price History'!R91)),NOT(ISNUMBER('Price History'!R90)),'Price History'!R90=0),"",'Price History'!R91/'Price History'!R90-1),"")</f>
        <v>-0.0161485668146951</v>
      </c>
      <c r="S90" s="137" t="n">
        <f aca="false">IFERROR(IF(OR(NOT(ISNUMBER('Price History'!S91)),NOT(ISNUMBER('Price History'!S90)),'Price History'!S90=0),"",'Price History'!S91/'Price History'!S90-1),"")</f>
        <v>-0.0173680694722778</v>
      </c>
      <c r="T90" s="137" t="n">
        <f aca="false">IFERROR(IF(OR(NOT(ISNUMBER('Price History'!T91)),NOT(ISNUMBER('Price History'!T90)),'Price History'!T90=0),"",'Price History'!T91/'Price History'!T90-1),"")</f>
        <v>0.00697084917617241</v>
      </c>
      <c r="U90" s="137" t="str">
        <f aca="false">IFERROR(IF(OR(NOT(ISNUMBER('Price History'!U91)),NOT(ISNUMBER('Price History'!U90)),'Price History'!U90=0),"",'Price History'!U91/'Price History'!U90-1),"")</f>
        <v/>
      </c>
      <c r="W90" s="138" t="n">
        <f aca="false">'Price History'!B3+('Price History'!B158-'Price History'!B3)*0.564935064935065</f>
        <v>362.674155844156</v>
      </c>
      <c r="X90" s="138" t="n">
        <f aca="false">'Price History'!C3+('Price History'!C158-'Price History'!C3)*0.564935064935065</f>
        <v>120.915779220779</v>
      </c>
      <c r="Y90" s="138" t="n">
        <f aca="false">'Price History'!D3+('Price History'!D158-'Price History'!D3)*0.564935064935065</f>
        <v>1208.19649350649</v>
      </c>
      <c r="Z90" s="138" t="n">
        <f aca="false">'Price History'!E3+('Price History'!E158-'Price History'!E3)*0.564935064935065</f>
        <v>256.01961038961</v>
      </c>
      <c r="AA90" s="138" t="n">
        <f aca="false">'Price History'!F3+('Price History'!F158-'Price History'!F3)*0.564935064935065</f>
        <v>123.947012987013</v>
      </c>
      <c r="AB90" s="138" t="n">
        <f aca="false">'Price History'!G3+('Price History'!G158-'Price History'!G3)*0.564935064935065</f>
        <v>124.121038961039</v>
      </c>
      <c r="AC90" s="138" t="n">
        <f aca="false">'Price History'!H3+('Price History'!H158-'Price History'!H3)*0.564935064935065</f>
        <v>492.963636363636</v>
      </c>
      <c r="AD90" s="138" t="n">
        <f aca="false">'Price History'!I3+('Price History'!I158-'Price History'!I3)*0.564935064935065</f>
        <v>131.183116883117</v>
      </c>
      <c r="AE90" s="138" t="n">
        <f aca="false">'Price History'!J3+('Price History'!J158-'Price History'!J3)*0.564935064935065</f>
        <v>135.43012987013</v>
      </c>
      <c r="AF90" s="138" t="n">
        <f aca="false">'Price History'!K3+('Price History'!K158-'Price History'!K3)*0.564935064935065</f>
        <v>76.2252597402597</v>
      </c>
      <c r="AG90" s="138" t="n">
        <f aca="false">'Price History'!L3+('Price History'!L158-'Price History'!L3)*0.564935064935065</f>
        <v>268.396623376623</v>
      </c>
      <c r="AH90" s="138" t="n">
        <f aca="false">'Price History'!M3+('Price History'!M158-'Price History'!M3)*0.564935064935065</f>
        <v>151.05038961039</v>
      </c>
      <c r="AI90" s="138" t="n">
        <f aca="false">'Price History'!N3+('Price History'!N158-'Price History'!N3)*0.564935064935065</f>
        <v>421.742337662338</v>
      </c>
      <c r="AJ90" s="138" t="n">
        <f aca="false">'Price History'!O3+('Price History'!O158-'Price History'!O3)*0.564935064935065</f>
        <v>106.820194805195</v>
      </c>
      <c r="AK90" s="138" t="n">
        <f aca="false">'Price History'!Q3+('Price History'!Q151-'Price History'!Q3)*0.564935064935065</f>
        <v>60.3534415584416</v>
      </c>
      <c r="AL90" s="138" t="n">
        <f aca="false">'Price History'!R3+('Price History'!R158-'Price History'!R3)*0.564935064935065</f>
        <v>53.7122727272727</v>
      </c>
      <c r="AM90" s="138" t="n">
        <f aca="false">'Price History'!S3+('Price History'!S158-'Price History'!S3)*0.564935064935065</f>
        <v>106.723311688312</v>
      </c>
      <c r="AN90" s="138" t="n">
        <f aca="false">'Price History'!T3+('Price History'!T158-'Price History'!T3)*0.564935064935065</f>
        <v>39.8074675324675</v>
      </c>
    </row>
    <row r="91" customFormat="false" ht="15" hidden="false" customHeight="true" outlineLevel="0" collapsed="false">
      <c r="A91" s="136" t="n">
        <f aca="false">IF('Price History'!A92="","",'Price History'!A92)</f>
        <v>45772</v>
      </c>
      <c r="B91" s="137" t="n">
        <f aca="false">IFERROR(IF(OR(NOT(ISNUMBER('Price History'!B92)),NOT(ISNUMBER('Price History'!B91)),'Price History'!B91=0),"",'Price History'!B92/'Price History'!B91-1),"")</f>
        <v>0.0542431192660551</v>
      </c>
      <c r="C91" s="137" t="n">
        <f aca="false">IFERROR(IF(OR(NOT(ISNUMBER('Price History'!C92)),NOT(ISNUMBER('Price History'!C91)),'Price History'!C91=0),"",'Price History'!C92/'Price History'!C91-1),"")</f>
        <v>0.0942415730337078</v>
      </c>
      <c r="D91" s="137" t="n">
        <f aca="false">IFERROR(IF(OR(NOT(ISNUMBER('Price History'!D92)),NOT(ISNUMBER('Price History'!D91)),'Price History'!D91=0),"",'Price History'!D92/'Price History'!D91-1),"")</f>
        <v>0.0579698825293677</v>
      </c>
      <c r="E91" s="137" t="n">
        <f aca="false">IFERROR(IF(OR(NOT(ISNUMBER('Price History'!E92)),NOT(ISNUMBER('Price History'!E91)),'Price History'!E91=0),"",'Price History'!E92/'Price History'!E91-1),"")</f>
        <v>0.12468565413182</v>
      </c>
      <c r="F91" s="137" t="n">
        <f aca="false">IFERROR(IF(OR(NOT(ISNUMBER('Price History'!F92)),NOT(ISNUMBER('Price History'!F91)),'Price History'!F91=0),"",'Price History'!F92/'Price History'!F91-1),"")</f>
        <v>0.131082951762326</v>
      </c>
      <c r="G91" s="137" t="n">
        <f aca="false">IFERROR(IF(OR(NOT(ISNUMBER('Price History'!G92)),NOT(ISNUMBER('Price History'!G91)),'Price History'!G91=0),"",'Price History'!G92/'Price History'!G91-1),"")</f>
        <v>0.0948928121059267</v>
      </c>
      <c r="H91" s="137" t="n">
        <f aca="false">IFERROR(IF(OR(NOT(ISNUMBER('Price History'!H92)),NOT(ISNUMBER('Price History'!H91)),'Price History'!H91=0),"",'Price History'!H92/'Price History'!H91-1),"")</f>
        <v>0.159593023255814</v>
      </c>
      <c r="I91" s="137" t="n">
        <f aca="false">IFERROR(IF(OR(NOT(ISNUMBER('Price History'!I92)),NOT(ISNUMBER('Price History'!I91)),'Price History'!I91=0),"",'Price History'!I92/'Price History'!I91-1),"")</f>
        <v>0.0938023450586265</v>
      </c>
      <c r="J91" s="137" t="n">
        <f aca="false">IFERROR(IF(OR(NOT(ISNUMBER('Price History'!J92)),NOT(ISNUMBER('Price History'!J91)),'Price History'!J91=0),"",'Price History'!J92/'Price History'!J91-1),"")</f>
        <v>0.00137120470127328</v>
      </c>
      <c r="K91" s="137" t="n">
        <f aca="false">IFERROR(IF(OR(NOT(ISNUMBER('Price History'!K92)),NOT(ISNUMBER('Price History'!K91)),'Price History'!K91=0),"",'Price History'!K92/'Price History'!K91-1),"")</f>
        <v>0.202601834079761</v>
      </c>
      <c r="L91" s="137" t="n">
        <f aca="false">IFERROR(IF(OR(NOT(ISNUMBER('Price History'!L92)),NOT(ISNUMBER('Price History'!L91)),'Price History'!L91=0),"",'Price History'!L92/'Price History'!L91-1),"")</f>
        <v>0.0880453407143798</v>
      </c>
      <c r="M91" s="137" t="n">
        <f aca="false">IFERROR(IF(OR(NOT(ISNUMBER('Price History'!M92)),NOT(ISNUMBER('Price History'!M91)),'Price History'!M91=0),"",'Price History'!M92/'Price History'!M91-1),"")</f>
        <v>0.187679278787051</v>
      </c>
      <c r="N91" s="137" t="n">
        <f aca="false">IFERROR(IF(OR(NOT(ISNUMBER('Price History'!N92)),NOT(ISNUMBER('Price History'!N91)),'Price History'!N91=0),"",'Price History'!N92/'Price History'!N91-1),"")</f>
        <v>0.00969126967900214</v>
      </c>
      <c r="O91" s="137" t="n">
        <f aca="false">IFERROR(IF(OR(NOT(ISNUMBER('Price History'!O92)),NOT(ISNUMBER('Price History'!O91)),'Price History'!O91=0),"",'Price History'!O92/'Price History'!O91-1),"")</f>
        <v>0.0280919825978867</v>
      </c>
      <c r="P91" s="137" t="str">
        <f aca="false">IFERROR(IF(OR(NOT(ISNUMBER('Price History'!P92)),NOT(ISNUMBER('Price History'!P91)),'Price History'!P91=0),"",'Price History'!P92/'Price History'!P91-1),"")</f>
        <v/>
      </c>
      <c r="Q91" s="137" t="n">
        <f aca="false">IFERROR(IF(OR(NOT(ISNUMBER('Price History'!Q92)),NOT(ISNUMBER('Price History'!Q91)),'Price History'!Q91=0),"",'Price History'!Q92/'Price History'!Q91-1),"")</f>
        <v>-0.00016173378618789</v>
      </c>
      <c r="R91" s="137" t="n">
        <f aca="false">IFERROR(IF(OR(NOT(ISNUMBER('Price History'!R92)),NOT(ISNUMBER('Price History'!R91)),'Price History'!R91=0),"",'Price History'!R92/'Price History'!R91-1),"")</f>
        <v>0.0482150184653263</v>
      </c>
      <c r="S91" s="137" t="n">
        <f aca="false">IFERROR(IF(OR(NOT(ISNUMBER('Price History'!S92)),NOT(ISNUMBER('Price History'!S91)),'Price History'!S91=0),"",'Price History'!S92/'Price History'!S91-1),"")</f>
        <v>0.0652617267165192</v>
      </c>
      <c r="T91" s="137" t="n">
        <f aca="false">IFERROR(IF(OR(NOT(ISNUMBER('Price History'!T92)),NOT(ISNUMBER('Price History'!T91)),'Price History'!T91=0),"",'Price History'!T92/'Price History'!T91-1),"")</f>
        <v>0.0330396475770924</v>
      </c>
      <c r="U91" s="137" t="str">
        <f aca="false">IFERROR(IF(OR(NOT(ISNUMBER('Price History'!U92)),NOT(ISNUMBER('Price History'!U91)),'Price History'!U91=0),"",'Price History'!U92/'Price History'!U91-1),"")</f>
        <v/>
      </c>
      <c r="W91" s="138" t="n">
        <f aca="false">'Price History'!B3+('Price History'!B158-'Price History'!B3)*0.571428571428571</f>
        <v>360.998571428572</v>
      </c>
      <c r="X91" s="138" t="n">
        <f aca="false">'Price History'!C3+('Price History'!C158-'Price History'!C3)*0.571428571428571</f>
        <v>121.802857142857</v>
      </c>
      <c r="Y91" s="138" t="n">
        <f aca="false">'Price History'!D3+('Price History'!D158-'Price History'!D3)*0.571428571428571</f>
        <v>1214.47714285714</v>
      </c>
      <c r="Z91" s="138" t="n">
        <f aca="false">'Price History'!E3+('Price History'!E158-'Price History'!E3)*0.571428571428571</f>
        <v>258.008571428571</v>
      </c>
      <c r="AA91" s="138" t="n">
        <f aca="false">'Price History'!F3+('Price History'!F158-'Price History'!F3)*0.571428571428571</f>
        <v>124.945714285714</v>
      </c>
      <c r="AB91" s="138" t="n">
        <f aca="false">'Price History'!G3+('Price History'!G158-'Price History'!G3)*0.571428571428571</f>
        <v>124.997142857143</v>
      </c>
      <c r="AC91" s="138" t="n">
        <f aca="false">'Price History'!H3+('Price History'!H158-'Price History'!H3)*0.571428571428571</f>
        <v>497.89</v>
      </c>
      <c r="AD91" s="138" t="n">
        <f aca="false">'Price History'!I3+('Price History'!I158-'Price History'!I3)*0.571428571428571</f>
        <v>132.221428571429</v>
      </c>
      <c r="AE91" s="138" t="n">
        <f aca="false">'Price History'!J3+('Price History'!J158-'Price History'!J3)*0.571428571428571</f>
        <v>135.567142857143</v>
      </c>
      <c r="AF91" s="138" t="n">
        <f aca="false">'Price History'!K3+('Price History'!K158-'Price History'!K3)*0.571428571428571</f>
        <v>76.9242857142857</v>
      </c>
      <c r="AG91" s="138" t="n">
        <f aca="false">'Price History'!L3+('Price History'!L158-'Price History'!L3)*0.571428571428571</f>
        <v>270.424285714286</v>
      </c>
      <c r="AH91" s="138" t="n">
        <f aca="false">'Price History'!M3+('Price History'!M158-'Price History'!M3)*0.571428571428571</f>
        <v>152.401428571428</v>
      </c>
      <c r="AI91" s="138" t="n">
        <f aca="false">'Price History'!N3+('Price History'!N158-'Price History'!N3)*0.571428571428571</f>
        <v>422.568571428571</v>
      </c>
      <c r="AJ91" s="138" t="n">
        <f aca="false">'Price History'!O3+('Price History'!O158-'Price History'!O3)*0.571428571428571</f>
        <v>107.095714285714</v>
      </c>
      <c r="AK91" s="138" t="n">
        <f aca="false">'Price History'!Q3+('Price History'!Q151-'Price History'!Q3)*0.571428571428571</f>
        <v>60.4742857142857</v>
      </c>
      <c r="AL91" s="138" t="n">
        <f aca="false">'Price History'!R3+('Price History'!R158-'Price History'!R3)*0.571428571428571</f>
        <v>53.78</v>
      </c>
      <c r="AM91" s="138" t="n">
        <f aca="false">'Price History'!S3+('Price History'!S158-'Price History'!S3)*0.571428571428571</f>
        <v>107.277142857143</v>
      </c>
      <c r="AN91" s="138" t="n">
        <f aca="false">'Price History'!T3+('Price History'!T158-'Price History'!T3)*0.571428571428571</f>
        <v>39.9557142857143</v>
      </c>
    </row>
    <row r="92" customFormat="false" ht="15" hidden="false" customHeight="true" outlineLevel="0" collapsed="false">
      <c r="A92" s="136" t="n">
        <f aca="false">IF('Price History'!A93="","",'Price History'!A93)</f>
        <v>45779</v>
      </c>
      <c r="B92" s="137" t="n">
        <f aca="false">IFERROR(IF(OR(NOT(ISNUMBER('Price History'!B93)),NOT(ISNUMBER('Price History'!B92)),'Price History'!B92=0),"",'Price History'!B93/'Price History'!B92-1),"")</f>
        <v>0.0357609050364407</v>
      </c>
      <c r="C92" s="137" t="n">
        <f aca="false">IFERROR(IF(OR(NOT(ISNUMBER('Price History'!C93)),NOT(ISNUMBER('Price History'!C92)),'Price History'!C92=0),"",'Price History'!C93/'Price History'!C92-1),"")</f>
        <v>0.168271082017713</v>
      </c>
      <c r="D92" s="137" t="n">
        <f aca="false">IFERROR(IF(OR(NOT(ISNUMBER('Price History'!D93)),NOT(ISNUMBER('Price History'!D92)),'Price History'!D92=0),"",'Price History'!D93/'Price History'!D92-1),"")</f>
        <v>0.019283299127379</v>
      </c>
      <c r="E92" s="137" t="n">
        <f aca="false">IFERROR(IF(OR(NOT(ISNUMBER('Price History'!E93)),NOT(ISNUMBER('Price History'!E92)),'Price History'!E92=0),"",'Price History'!E93/'Price History'!E92-1),"")</f>
        <v>0.0589152930164838</v>
      </c>
      <c r="F92" s="137" t="n">
        <f aca="false">IFERROR(IF(OR(NOT(ISNUMBER('Price History'!F93)),NOT(ISNUMBER('Price History'!F92)),'Price History'!F92=0),"",'Price History'!F93/'Price History'!F92-1),"")</f>
        <v>0.0369986819807946</v>
      </c>
      <c r="G92" s="137" t="n">
        <f aca="false">IFERROR(IF(OR(NOT(ISNUMBER('Price History'!G93)),NOT(ISNUMBER('Price History'!G92)),'Price History'!G92=0),"",'Price History'!G93/'Price History'!G92-1),"")</f>
        <v>0.00518283904405403</v>
      </c>
      <c r="H92" s="137" t="n">
        <f aca="false">IFERROR(IF(OR(NOT(ISNUMBER('Price History'!H93)),NOT(ISNUMBER('Price History'!H92)),'Price History'!H92=0),"",'Price History'!H93/'Price History'!H92-1),"")</f>
        <v>0.0117824016044121</v>
      </c>
      <c r="I92" s="137" t="n">
        <f aca="false">IFERROR(IF(OR(NOT(ISNUMBER('Price History'!I93)),NOT(ISNUMBER('Price History'!I92)),'Price History'!I92=0),"",'Price History'!I93/'Price History'!I92-1),"")</f>
        <v>0.0314386091343122</v>
      </c>
      <c r="J92" s="137" t="n">
        <f aca="false">IFERROR(IF(OR(NOT(ISNUMBER('Price History'!J93)),NOT(ISNUMBER('Price History'!J92)),'Price History'!J92=0),"",'Price History'!J93/'Price History'!J92-1),"")</f>
        <v>0.0310054773082942</v>
      </c>
      <c r="K92" s="137" t="n">
        <f aca="false">IFERROR(IF(OR(NOT(ISNUMBER('Price History'!K93)),NOT(ISNUMBER('Price History'!K92)),'Price History'!K92=0),"",'Price History'!K93/'Price History'!K92-1),"")</f>
        <v>0.101968434119525</v>
      </c>
      <c r="L92" s="137" t="n">
        <f aca="false">IFERROR(IF(OR(NOT(ISNUMBER('Price History'!L93)),NOT(ISNUMBER('Price History'!L92)),'Price History'!L92=0),"",'Price History'!L93/'Price History'!L92-1),"")</f>
        <v>0.0858873410054513</v>
      </c>
      <c r="M92" s="137" t="n">
        <f aca="false">IFERROR(IF(OR(NOT(ISNUMBER('Price History'!M93)),NOT(ISNUMBER('Price History'!M92)),'Price History'!M92=0),"",'Price History'!M93/'Price History'!M92-1),"")</f>
        <v>0.0925819436457733</v>
      </c>
      <c r="N92" s="137" t="n">
        <f aca="false">IFERROR(IF(OR(NOT(ISNUMBER('Price History'!N93)),NOT(ISNUMBER('Price History'!N92)),'Price History'!N92=0),"",'Price History'!N93/'Price History'!N92-1),"")</f>
        <v>0.0148023651385063</v>
      </c>
      <c r="O92" s="137" t="n">
        <f aca="false">IFERROR(IF(OR(NOT(ISNUMBER('Price History'!O93)),NOT(ISNUMBER('Price History'!O92)),'Price History'!O92=0),"",'Price History'!O93/'Price History'!O92-1),"")</f>
        <v>0.0339741264659654</v>
      </c>
      <c r="P92" s="137" t="str">
        <f aca="false">IFERROR(IF(OR(NOT(ISNUMBER('Price History'!P93)),NOT(ISNUMBER('Price History'!P92)),'Price History'!P92=0),"",'Price History'!P93/'Price History'!P92-1),"")</f>
        <v/>
      </c>
      <c r="Q92" s="137" t="n">
        <f aca="false">IFERROR(IF(OR(NOT(ISNUMBER('Price History'!Q93)),NOT(ISNUMBER('Price History'!Q92)),'Price History'!Q92=0),"",'Price History'!Q93/'Price History'!Q92-1),"")</f>
        <v>0.000808799741184085</v>
      </c>
      <c r="R92" s="137" t="n">
        <f aca="false">IFERROR(IF(OR(NOT(ISNUMBER('Price History'!R93)),NOT(ISNUMBER('Price History'!R92)),'Price History'!R92=0),"",'Price History'!R93/'Price History'!R92-1),"")</f>
        <v>0.00782932080641996</v>
      </c>
      <c r="S92" s="137" t="n">
        <f aca="false">IFERROR(IF(OR(NOT(ISNUMBER('Price History'!S93)),NOT(ISNUMBER('Price History'!S92)),'Price History'!S92=0),"",'Price History'!S93/'Price History'!S92-1),"")</f>
        <v>0.0402042118698149</v>
      </c>
      <c r="T92" s="137" t="n">
        <f aca="false">IFERROR(IF(OR(NOT(ISNUMBER('Price History'!T93)),NOT(ISNUMBER('Price History'!T92)),'Price History'!T92=0),"",'Price History'!T93/'Price History'!T92-1),"")</f>
        <v>0.0191897654584223</v>
      </c>
      <c r="U92" s="137" t="str">
        <f aca="false">IFERROR(IF(OR(NOT(ISNUMBER('Price History'!U93)),NOT(ISNUMBER('Price History'!U92)),'Price History'!U92=0),"",'Price History'!U93/'Price History'!U92-1),"")</f>
        <v/>
      </c>
      <c r="W92" s="138" t="n">
        <f aca="false">'Price History'!B3+('Price History'!B158-'Price History'!B3)*0.577922077922078</f>
        <v>359.322987012987</v>
      </c>
      <c r="X92" s="138" t="n">
        <f aca="false">'Price History'!C3+('Price History'!C158-'Price History'!C3)*0.577922077922078</f>
        <v>122.689935064935</v>
      </c>
      <c r="Y92" s="138" t="n">
        <f aca="false">'Price History'!D3+('Price History'!D158-'Price History'!D3)*0.577922077922078</f>
        <v>1220.75779220779</v>
      </c>
      <c r="Z92" s="138" t="n">
        <f aca="false">'Price History'!E3+('Price History'!E158-'Price History'!E3)*0.577922077922078</f>
        <v>259.997532467532</v>
      </c>
      <c r="AA92" s="138" t="n">
        <f aca="false">'Price History'!F3+('Price History'!F158-'Price History'!F3)*0.577922077922078</f>
        <v>125.944415584416</v>
      </c>
      <c r="AB92" s="138" t="n">
        <f aca="false">'Price History'!G3+('Price History'!G158-'Price History'!G3)*0.577922077922078</f>
        <v>125.873246753247</v>
      </c>
      <c r="AC92" s="138" t="n">
        <f aca="false">'Price History'!H3+('Price History'!H158-'Price History'!H3)*0.577922077922078</f>
        <v>502.816363636364</v>
      </c>
      <c r="AD92" s="138" t="n">
        <f aca="false">'Price History'!I3+('Price History'!I158-'Price History'!I3)*0.577922077922078</f>
        <v>133.25974025974</v>
      </c>
      <c r="AE92" s="138" t="n">
        <f aca="false">'Price History'!J3+('Price History'!J158-'Price History'!J3)*0.577922077922078</f>
        <v>135.704155844156</v>
      </c>
      <c r="AF92" s="138" t="n">
        <f aca="false">'Price History'!K3+('Price History'!K158-'Price History'!K3)*0.577922077922078</f>
        <v>77.6233116883117</v>
      </c>
      <c r="AG92" s="138" t="n">
        <f aca="false">'Price History'!L3+('Price History'!L158-'Price History'!L3)*0.577922077922078</f>
        <v>272.451948051948</v>
      </c>
      <c r="AH92" s="138" t="n">
        <f aca="false">'Price History'!M3+('Price History'!M158-'Price History'!M3)*0.577922077922078</f>
        <v>153.752467532468</v>
      </c>
      <c r="AI92" s="138" t="n">
        <f aca="false">'Price History'!N3+('Price History'!N158-'Price History'!N3)*0.577922077922078</f>
        <v>423.394805194805</v>
      </c>
      <c r="AJ92" s="138" t="n">
        <f aca="false">'Price History'!O3+('Price History'!O158-'Price History'!O3)*0.577922077922078</f>
        <v>107.371233766234</v>
      </c>
      <c r="AK92" s="138" t="n">
        <f aca="false">'Price History'!Q3+('Price History'!Q151-'Price History'!Q3)*0.577922077922078</f>
        <v>60.5951298701299</v>
      </c>
      <c r="AL92" s="138" t="n">
        <f aca="false">'Price History'!R3+('Price History'!R158-'Price History'!R3)*0.577922077922078</f>
        <v>53.8477272727273</v>
      </c>
      <c r="AM92" s="138" t="n">
        <f aca="false">'Price History'!S3+('Price History'!S158-'Price History'!S3)*0.577922077922078</f>
        <v>107.830974025974</v>
      </c>
      <c r="AN92" s="138" t="n">
        <f aca="false">'Price History'!T3+('Price History'!T158-'Price History'!T3)*0.577922077922078</f>
        <v>40.103961038961</v>
      </c>
    </row>
    <row r="93" customFormat="false" ht="15" hidden="false" customHeight="true" outlineLevel="0" collapsed="false">
      <c r="A93" s="136" t="n">
        <f aca="false">IF('Price History'!A94="","",'Price History'!A94)</f>
        <v>45786</v>
      </c>
      <c r="B93" s="137" t="n">
        <f aca="false">IFERROR(IF(OR(NOT(ISNUMBER('Price History'!B94)),NOT(ISNUMBER('Price History'!B93)),'Price History'!B93=0),"",'Price History'!B94/'Price History'!B93-1),"")</f>
        <v>0.00632761834746765</v>
      </c>
      <c r="C93" s="137" t="n">
        <f aca="false">IFERROR(IF(OR(NOT(ISNUMBER('Price History'!C94)),NOT(ISNUMBER('Price History'!C93)),'Price History'!C93=0),"",'Price History'!C94/'Price History'!C93-1),"")</f>
        <v>-0.049439683586025</v>
      </c>
      <c r="D93" s="137" t="n">
        <f aca="false">IFERROR(IF(OR(NOT(ISNUMBER('Price History'!D94)),NOT(ISNUMBER('Price History'!D93)),'Price History'!D93=0),"",'Price History'!D94/'Price History'!D93-1),"")</f>
        <v>0.0230034910839743</v>
      </c>
      <c r="E93" s="137" t="n">
        <f aca="false">IFERROR(IF(OR(NOT(ISNUMBER('Price History'!E94)),NOT(ISNUMBER('Price History'!E93)),'Price History'!E93=0),"",'Price History'!E94/'Price History'!E93-1),"")</f>
        <v>0.0223924572775487</v>
      </c>
      <c r="F93" s="137" t="n">
        <f aca="false">IFERROR(IF(OR(NOT(ISNUMBER('Price History'!F94)),NOT(ISNUMBER('Price History'!F93)),'Price History'!F93=0),"",'Price History'!F94/'Price History'!F93-1),"")</f>
        <v>-0.0681797548797095</v>
      </c>
      <c r="G93" s="137" t="n">
        <f aca="false">IFERROR(IF(OR(NOT(ISNUMBER('Price History'!G94)),NOT(ISNUMBER('Price History'!G93)),'Price History'!G93=0),"",'Price History'!G94/'Price History'!G93-1),"")</f>
        <v>0.00429676310512761</v>
      </c>
      <c r="H93" s="137" t="n">
        <f aca="false">IFERROR(IF(OR(NOT(ISNUMBER('Price History'!H94)),NOT(ISNUMBER('Price History'!H93)),'Price History'!H93=0),"",'Price History'!H94/'Price History'!H93-1),"")</f>
        <v>0.0636769078295343</v>
      </c>
      <c r="I93" s="137" t="n">
        <f aca="false">IFERROR(IF(OR(NOT(ISNUMBER('Price History'!I94)),NOT(ISNUMBER('Price History'!I93)),'Price History'!I93=0),"",'Price History'!I94/'Price History'!I93-1),"")</f>
        <v>0.0187772925764194</v>
      </c>
      <c r="J93" s="137" t="n">
        <f aca="false">IFERROR(IF(OR(NOT(ISNUMBER('Price History'!J94)),NOT(ISNUMBER('Price History'!J93)),'Price History'!J93=0),"",'Price History'!J94/'Price History'!J93-1),"")</f>
        <v>0.0142301489422256</v>
      </c>
      <c r="K93" s="137" t="n">
        <f aca="false">IFERROR(IF(OR(NOT(ISNUMBER('Price History'!K94)),NOT(ISNUMBER('Price History'!K93)),'Price History'!K93=0),"",'Price History'!K94/'Price History'!K93-1),"")</f>
        <v>-0.0561635017701964</v>
      </c>
      <c r="L93" s="137" t="n">
        <f aca="false">IFERROR(IF(OR(NOT(ISNUMBER('Price History'!L94)),NOT(ISNUMBER('Price History'!L93)),'Price History'!L93=0),"",'Price History'!L94/'Price History'!L93-1),"")</f>
        <v>-0.0153949129852744</v>
      </c>
      <c r="M93" s="137" t="n">
        <f aca="false">IFERROR(IF(OR(NOT(ISNUMBER('Price History'!M94)),NOT(ISNUMBER('Price History'!M93)),'Price History'!M93=0),"",'Price History'!M94/'Price History'!M93-1),"")</f>
        <v>-0.00989473684210529</v>
      </c>
      <c r="N93" s="137" t="n">
        <f aca="false">IFERROR(IF(OR(NOT(ISNUMBER('Price History'!N94)),NOT(ISNUMBER('Price History'!N93)),'Price History'!N93=0),"",'Price History'!N94/'Price History'!N93-1),"")</f>
        <v>-0.151970467923775</v>
      </c>
      <c r="O93" s="137" t="n">
        <f aca="false">IFERROR(IF(OR(NOT(ISNUMBER('Price History'!O94)),NOT(ISNUMBER('Price History'!O93)),'Price History'!O93=0),"",'Price History'!O94/'Price History'!O93-1),"")</f>
        <v>0.0115762394761461</v>
      </c>
      <c r="P93" s="137" t="str">
        <f aca="false">IFERROR(IF(OR(NOT(ISNUMBER('Price History'!P94)),NOT(ISNUMBER('Price History'!P93)),'Price History'!P93=0),"",'Price History'!P94/'Price History'!P93-1),"")</f>
        <v/>
      </c>
      <c r="Q93" s="137" t="n">
        <f aca="false">IFERROR(IF(OR(NOT(ISNUMBER('Price History'!Q94)),NOT(ISNUMBER('Price History'!Q93)),'Price History'!Q93=0),"",'Price History'!Q94/'Price History'!Q93-1),"")</f>
        <v>0.0108291579117505</v>
      </c>
      <c r="R93" s="137" t="n">
        <f aca="false">IFERROR(IF(OR(NOT(ISNUMBER('Price History'!R94)),NOT(ISNUMBER('Price History'!R93)),'Price History'!R93=0),"",'Price History'!R94/'Price History'!R93-1),"")</f>
        <v>0.00271897455816661</v>
      </c>
      <c r="S93" s="137" t="n">
        <f aca="false">IFERROR(IF(OR(NOT(ISNUMBER('Price History'!S94)),NOT(ISNUMBER('Price History'!S93)),'Price History'!S93=0),"",'Price History'!S94/'Price History'!S93-1),"")</f>
        <v>0.00695296523517386</v>
      </c>
      <c r="T93" s="137" t="n">
        <f aca="false">IFERROR(IF(OR(NOT(ISNUMBER('Price History'!T94)),NOT(ISNUMBER('Price History'!T93)),'Price History'!T93=0),"",'Price History'!T94/'Price History'!T93-1),"")</f>
        <v>-0.00179318589360433</v>
      </c>
      <c r="U93" s="137" t="str">
        <f aca="false">IFERROR(IF(OR(NOT(ISNUMBER('Price History'!U94)),NOT(ISNUMBER('Price History'!U93)),'Price History'!U93=0),"",'Price History'!U94/'Price History'!U93-1),"")</f>
        <v/>
      </c>
      <c r="W93" s="138" t="n">
        <f aca="false">'Price History'!B3+('Price History'!B158-'Price History'!B3)*0.584415584415584</f>
        <v>357.647402597403</v>
      </c>
      <c r="X93" s="138" t="n">
        <f aca="false">'Price History'!C3+('Price History'!C158-'Price History'!C3)*0.584415584415584</f>
        <v>123.577012987013</v>
      </c>
      <c r="Y93" s="138" t="n">
        <f aca="false">'Price History'!D3+('Price History'!D158-'Price History'!D3)*0.584415584415584</f>
        <v>1227.03844155844</v>
      </c>
      <c r="Z93" s="138" t="n">
        <f aca="false">'Price History'!E3+('Price History'!E158-'Price History'!E3)*0.584415584415584</f>
        <v>261.986493506493</v>
      </c>
      <c r="AA93" s="138" t="n">
        <f aca="false">'Price History'!F3+('Price History'!F158-'Price History'!F3)*0.584415584415584</f>
        <v>126.943116883117</v>
      </c>
      <c r="AB93" s="138" t="n">
        <f aca="false">'Price History'!G3+('Price History'!G158-'Price History'!G3)*0.584415584415584</f>
        <v>126.749350649351</v>
      </c>
      <c r="AC93" s="138" t="n">
        <f aca="false">'Price History'!H3+('Price History'!H158-'Price History'!H3)*0.584415584415584</f>
        <v>507.742727272727</v>
      </c>
      <c r="AD93" s="138" t="n">
        <f aca="false">'Price History'!I3+('Price History'!I158-'Price History'!I3)*0.584415584415584</f>
        <v>134.298051948052</v>
      </c>
      <c r="AE93" s="138" t="n">
        <f aca="false">'Price History'!J3+('Price History'!J158-'Price History'!J3)*0.584415584415584</f>
        <v>135.841168831169</v>
      </c>
      <c r="AF93" s="138" t="n">
        <f aca="false">'Price History'!K3+('Price History'!K158-'Price History'!K3)*0.584415584415584</f>
        <v>78.3223376623376</v>
      </c>
      <c r="AG93" s="138" t="n">
        <f aca="false">'Price History'!L3+('Price History'!L158-'Price History'!L3)*0.584415584415584</f>
        <v>274.47961038961</v>
      </c>
      <c r="AH93" s="138" t="n">
        <f aca="false">'Price History'!M3+('Price History'!M158-'Price History'!M3)*0.584415584415584</f>
        <v>155.103506493506</v>
      </c>
      <c r="AI93" s="138" t="n">
        <f aca="false">'Price History'!N3+('Price History'!N158-'Price History'!N3)*0.584415584415584</f>
        <v>424.221038961039</v>
      </c>
      <c r="AJ93" s="138" t="n">
        <f aca="false">'Price History'!O3+('Price History'!O158-'Price History'!O3)*0.584415584415584</f>
        <v>107.646753246753</v>
      </c>
      <c r="AK93" s="138" t="n">
        <f aca="false">'Price History'!Q3+('Price History'!Q151-'Price History'!Q3)*0.584415584415584</f>
        <v>60.715974025974</v>
      </c>
      <c r="AL93" s="138" t="n">
        <f aca="false">'Price History'!R3+('Price History'!R158-'Price History'!R3)*0.584415584415584</f>
        <v>53.9154545454545</v>
      </c>
      <c r="AM93" s="138" t="n">
        <f aca="false">'Price History'!S3+('Price History'!S158-'Price History'!S3)*0.584415584415584</f>
        <v>108.384805194805</v>
      </c>
      <c r="AN93" s="138" t="n">
        <f aca="false">'Price History'!T3+('Price History'!T158-'Price History'!T3)*0.584415584415584</f>
        <v>40.2522077922078</v>
      </c>
    </row>
    <row r="94" customFormat="false" ht="15" hidden="false" customHeight="true" outlineLevel="0" collapsed="false">
      <c r="A94" s="136" t="n">
        <f aca="false">IF('Price History'!A95="","",'Price History'!A95)</f>
        <v>45793</v>
      </c>
      <c r="B94" s="137" t="n">
        <f aca="false">IFERROR(IF(OR(NOT(ISNUMBER('Price History'!B95)),NOT(ISNUMBER('Price History'!B94)),'Price History'!B94=0),"",'Price History'!B95/'Price History'!B94-1),"")</f>
        <v>0.088316635357963</v>
      </c>
      <c r="C94" s="137" t="n">
        <f aca="false">IFERROR(IF(OR(NOT(ISNUMBER('Price History'!C95)),NOT(ISNUMBER('Price History'!C94)),'Price History'!C94=0),"",'Price History'!C95/'Price History'!C94-1),"")</f>
        <v>0.114424410540916</v>
      </c>
      <c r="D94" s="137" t="n">
        <f aca="false">IFERROR(IF(OR(NOT(ISNUMBER('Price History'!D95)),NOT(ISNUMBER('Price History'!D94)),'Price History'!D94=0),"",'Price History'!D95/'Price History'!D94-1),"")</f>
        <v>0.0593166338624489</v>
      </c>
      <c r="E94" s="137" t="n">
        <f aca="false">IFERROR(IF(OR(NOT(ISNUMBER('Price History'!E95)),NOT(ISNUMBER('Price History'!E94)),'Price History'!E94=0),"",'Price History'!E95/'Price History'!E94-1),"")</f>
        <v>0.098030739673391</v>
      </c>
      <c r="F94" s="137" t="n">
        <f aca="false">IFERROR(IF(OR(NOT(ISNUMBER('Price History'!F95)),NOT(ISNUMBER('Price History'!F94)),'Price History'!F94=0),"",'Price History'!F95/'Price History'!F94-1),"")</f>
        <v>0.0699532346063911</v>
      </c>
      <c r="G94" s="137" t="n">
        <f aca="false">IFERROR(IF(OR(NOT(ISNUMBER('Price History'!G95)),NOT(ISNUMBER('Price History'!G94)),'Price History'!G94=0),"",'Price History'!G95/'Price History'!G94-1),"")</f>
        <v>0.128351397604107</v>
      </c>
      <c r="H94" s="137" t="n">
        <f aca="false">IFERROR(IF(OR(NOT(ISNUMBER('Price History'!H95)),NOT(ISNUMBER('Price History'!H94)),'Price History'!H94=0),"",'Price History'!H95/'Price History'!H94-1),"")</f>
        <v>0.141392965292336</v>
      </c>
      <c r="I94" s="137" t="n">
        <f aca="false">IFERROR(IF(OR(NOT(ISNUMBER('Price History'!I95)),NOT(ISNUMBER('Price History'!I94)),'Price History'!I94=0),"",'Price History'!I95/'Price History'!I94-1),"")</f>
        <v>0.160737248178311</v>
      </c>
      <c r="J94" s="137" t="n">
        <f aca="false">IFERROR(IF(OR(NOT(ISNUMBER('Price History'!J95)),NOT(ISNUMBER('Price History'!J94)),'Price History'!J94=0),"",'Price History'!J95/'Price History'!J94-1),"")</f>
        <v>0.0340473295295107</v>
      </c>
      <c r="K94" s="137" t="n">
        <f aca="false">IFERROR(IF(OR(NOT(ISNUMBER('Price History'!K95)),NOT(ISNUMBER('Price History'!K94)),'Price History'!K94=0),"",'Price History'!K95/'Price History'!K94-1),"")</f>
        <v>0.104177323103154</v>
      </c>
      <c r="L94" s="137" t="n">
        <f aca="false">IFERROR(IF(OR(NOT(ISNUMBER('Price History'!L95)),NOT(ISNUMBER('Price History'!L94)),'Price History'!L94=0),"",'Price History'!L95/'Price History'!L94-1),"")</f>
        <v>0.100271923861319</v>
      </c>
      <c r="M94" s="137" t="n">
        <f aca="false">IFERROR(IF(OR(NOT(ISNUMBER('Price History'!M95)),NOT(ISNUMBER('Price History'!M94)),'Price History'!M94=0),"",'Price History'!M95/'Price History'!M94-1),"")</f>
        <v>0.127365511375718</v>
      </c>
      <c r="N94" s="137" t="n">
        <f aca="false">IFERROR(IF(OR(NOT(ISNUMBER('Price History'!N95)),NOT(ISNUMBER('Price History'!N94)),'Price History'!N94=0),"",'Price History'!N95/'Price History'!N94-1),"")</f>
        <v>0.0321419327513588</v>
      </c>
      <c r="O94" s="137" t="n">
        <f aca="false">IFERROR(IF(OR(NOT(ISNUMBER('Price History'!O95)),NOT(ISNUMBER('Price History'!O94)),'Price History'!O94=0),"",'Price History'!O95/'Price History'!O94-1),"")</f>
        <v>0.0488960813778754</v>
      </c>
      <c r="P94" s="137" t="str">
        <f aca="false">IFERROR(IF(OR(NOT(ISNUMBER('Price History'!P95)),NOT(ISNUMBER('Price History'!P94)),'Price History'!P94=0),"",'Price History'!P95/'Price History'!P94-1),"")</f>
        <v/>
      </c>
      <c r="Q94" s="137" t="n">
        <f aca="false">IFERROR(IF(OR(NOT(ISNUMBER('Price History'!Q95)),NOT(ISNUMBER('Price History'!Q94)),'Price History'!Q94=0),"",'Price History'!Q95/'Price History'!Q94-1),"")</f>
        <v>0.00655580428525759</v>
      </c>
      <c r="R94" s="137" t="n">
        <f aca="false">IFERROR(IF(OR(NOT(ISNUMBER('Price History'!R95)),NOT(ISNUMBER('Price History'!R94)),'Price History'!R94=0),"",'Price History'!R95/'Price History'!R94-1),"")</f>
        <v>0.0172380398992833</v>
      </c>
      <c r="S94" s="137" t="n">
        <f aca="false">IFERROR(IF(OR(NOT(ISNUMBER('Price History'!S95)),NOT(ISNUMBER('Price History'!S94)),'Price History'!S94=0),"",'Price History'!S95/'Price History'!S94-1),"")</f>
        <v>0.0682372055239642</v>
      </c>
      <c r="T94" s="137" t="n">
        <f aca="false">IFERROR(IF(OR(NOT(ISNUMBER('Price History'!T95)),NOT(ISNUMBER('Price History'!T94)),'Price History'!T94=0),"",'Price History'!T95/'Price History'!T94-1),"")</f>
        <v>0.0431137724550901</v>
      </c>
      <c r="U94" s="137" t="str">
        <f aca="false">IFERROR(IF(OR(NOT(ISNUMBER('Price History'!U95)),NOT(ISNUMBER('Price History'!U94)),'Price History'!U94=0),"",'Price History'!U95/'Price History'!U94-1),"")</f>
        <v/>
      </c>
      <c r="W94" s="138" t="n">
        <f aca="false">'Price History'!B3+('Price History'!B158-'Price History'!B3)*0.590909090909091</f>
        <v>355.971818181818</v>
      </c>
      <c r="X94" s="138" t="n">
        <f aca="false">'Price History'!C3+('Price History'!C158-'Price History'!C3)*0.590909090909091</f>
        <v>124.464090909091</v>
      </c>
      <c r="Y94" s="138" t="n">
        <f aca="false">'Price History'!D3+('Price History'!D158-'Price History'!D3)*0.590909090909091</f>
        <v>1233.31909090909</v>
      </c>
      <c r="Z94" s="138" t="n">
        <f aca="false">'Price History'!E3+('Price History'!E158-'Price History'!E3)*0.590909090909091</f>
        <v>263.975454545455</v>
      </c>
      <c r="AA94" s="138" t="n">
        <f aca="false">'Price History'!F3+('Price History'!F158-'Price History'!F3)*0.590909090909091</f>
        <v>127.941818181818</v>
      </c>
      <c r="AB94" s="138" t="n">
        <f aca="false">'Price History'!G3+('Price History'!G158-'Price History'!G3)*0.590909090909091</f>
        <v>127.625454545455</v>
      </c>
      <c r="AC94" s="138" t="n">
        <f aca="false">'Price History'!H3+('Price History'!H158-'Price History'!H3)*0.590909090909091</f>
        <v>512.669090909091</v>
      </c>
      <c r="AD94" s="138" t="n">
        <f aca="false">'Price History'!I3+('Price History'!I158-'Price History'!I3)*0.590909090909091</f>
        <v>135.336363636364</v>
      </c>
      <c r="AE94" s="138" t="n">
        <f aca="false">'Price History'!J3+('Price History'!J158-'Price History'!J3)*0.590909090909091</f>
        <v>135.978181818182</v>
      </c>
      <c r="AF94" s="138" t="n">
        <f aca="false">'Price History'!K3+('Price History'!K158-'Price History'!K3)*0.590909090909091</f>
        <v>79.0213636363637</v>
      </c>
      <c r="AG94" s="138" t="n">
        <f aca="false">'Price History'!L3+('Price History'!L158-'Price History'!L3)*0.590909090909091</f>
        <v>276.507272727273</v>
      </c>
      <c r="AH94" s="138" t="n">
        <f aca="false">'Price History'!M3+('Price History'!M158-'Price History'!M3)*0.590909090909091</f>
        <v>156.454545454546</v>
      </c>
      <c r="AI94" s="138" t="n">
        <f aca="false">'Price History'!N3+('Price History'!N158-'Price History'!N3)*0.590909090909091</f>
        <v>425.047272727273</v>
      </c>
      <c r="AJ94" s="138" t="n">
        <f aca="false">'Price History'!O3+('Price History'!O158-'Price History'!O3)*0.590909090909091</f>
        <v>107.922272727273</v>
      </c>
      <c r="AK94" s="138" t="n">
        <f aca="false">'Price History'!Q3+('Price History'!Q151-'Price History'!Q3)*0.590909090909091</f>
        <v>60.8368181818182</v>
      </c>
      <c r="AL94" s="138" t="n">
        <f aca="false">'Price History'!R3+('Price History'!R158-'Price History'!R3)*0.590909090909091</f>
        <v>53.9831818181818</v>
      </c>
      <c r="AM94" s="138" t="n">
        <f aca="false">'Price History'!S3+('Price History'!S158-'Price History'!S3)*0.590909090909091</f>
        <v>108.938636363636</v>
      </c>
      <c r="AN94" s="138" t="n">
        <f aca="false">'Price History'!T3+('Price History'!T158-'Price History'!T3)*0.590909090909091</f>
        <v>40.4004545454546</v>
      </c>
    </row>
    <row r="95" customFormat="false" ht="15" hidden="false" customHeight="true" outlineLevel="0" collapsed="false">
      <c r="A95" s="136" t="n">
        <f aca="false">IF('Price History'!A96="","",'Price History'!A96)</f>
        <v>45800</v>
      </c>
      <c r="B95" s="137" t="n">
        <f aca="false">IFERROR(IF(OR(NOT(ISNUMBER('Price History'!B96)),NOT(ISNUMBER('Price History'!B95)),'Price History'!B95=0),"",'Price History'!B96/'Price History'!B95-1),"")</f>
        <v>-0.0226308345120226</v>
      </c>
      <c r="C95" s="137" t="n">
        <f aca="false">IFERROR(IF(OR(NOT(ISNUMBER('Price History'!C96)),NOT(ISNUMBER('Price History'!C95)),'Price History'!C95=0),"",'Price History'!C96/'Price History'!C95-1),"")</f>
        <v>-0.0541381456129434</v>
      </c>
      <c r="D95" s="137" t="n">
        <f aca="false">IFERROR(IF(OR(NOT(ISNUMBER('Price History'!D96)),NOT(ISNUMBER('Price History'!D95)),'Price History'!D95=0),"",'Price History'!D96/'Price History'!D95-1),"")</f>
        <v>-0.0208661943590429</v>
      </c>
      <c r="E95" s="137" t="n">
        <f aca="false">IFERROR(IF(OR(NOT(ISNUMBER('Price History'!E96)),NOT(ISNUMBER('Price History'!E95)),'Price History'!E95=0),"",'Price History'!E96/'Price History'!E95-1),"")</f>
        <v>0.000481168802764387</v>
      </c>
      <c r="F95" s="137" t="n">
        <f aca="false">IFERROR(IF(OR(NOT(ISNUMBER('Price History'!F96)),NOT(ISNUMBER('Price History'!F95)),'Price History'!F95=0),"",'Price History'!F96/'Price History'!F95-1),"")</f>
        <v>0.0371517027863779</v>
      </c>
      <c r="G95" s="137" t="n">
        <f aca="false">IFERROR(IF(OR(NOT(ISNUMBER('Price History'!G96)),NOT(ISNUMBER('Price History'!G95)),'Price History'!G95=0),"",'Price History'!G96/'Price History'!G95-1),"")</f>
        <v>-0.0429726996966634</v>
      </c>
      <c r="H95" s="137" t="n">
        <f aca="false">IFERROR(IF(OR(NOT(ISNUMBER('Price History'!H96)),NOT(ISNUMBER('Price History'!H95)),'Price History'!H95=0),"",'Price History'!H96/'Price History'!H95-1),"")</f>
        <v>-0.0472448979591836</v>
      </c>
      <c r="I95" s="137" t="n">
        <f aca="false">IFERROR(IF(OR(NOT(ISNUMBER('Price History'!I96)),NOT(ISNUMBER('Price History'!I95)),'Price History'!I95=0),"",'Price History'!I96/'Price History'!I95-1),"")</f>
        <v>-0.0303545051698672</v>
      </c>
      <c r="J95" s="137" t="n">
        <f aca="false">IFERROR(IF(OR(NOT(ISNUMBER('Price History'!J96)),NOT(ISNUMBER('Price History'!J95)),'Price History'!J95=0),"",'Price History'!J96/'Price History'!J95-1),"")</f>
        <v>-0.0588873812754409</v>
      </c>
      <c r="K95" s="137" t="n">
        <f aca="false">IFERROR(IF(OR(NOT(ISNUMBER('Price History'!K96)),NOT(ISNUMBER('Price History'!K95)),'Price History'!K95=0),"",'Price History'!K96/'Price History'!K95-1),"")</f>
        <v>-0.0479462631253861</v>
      </c>
      <c r="L95" s="137" t="n">
        <f aca="false">IFERROR(IF(OR(NOT(ISNUMBER('Price History'!L96)),NOT(ISNUMBER('Price History'!L95)),'Price History'!L95=0),"",'Price History'!L96/'Price History'!L95-1),"")</f>
        <v>-0.0115333127381321</v>
      </c>
      <c r="M95" s="137" t="n">
        <f aca="false">IFERROR(IF(OR(NOT(ISNUMBER('Price History'!M96)),NOT(ISNUMBER('Price History'!M95)),'Price History'!M95=0),"",'Price History'!M96/'Price History'!M95-1),"")</f>
        <v>-0.0179177668804226</v>
      </c>
      <c r="N95" s="137" t="n">
        <f aca="false">IFERROR(IF(OR(NOT(ISNUMBER('Price History'!N96)),NOT(ISNUMBER('Price History'!N95)),'Price History'!N95=0),"",'Price History'!N96/'Price History'!N95-1),"")</f>
        <v>-0.00604126296591812</v>
      </c>
      <c r="O95" s="137" t="n">
        <f aca="false">IFERROR(IF(OR(NOT(ISNUMBER('Price History'!O96)),NOT(ISNUMBER('Price History'!O95)),'Price History'!O95=0),"",'Price History'!O96/'Price History'!O95-1),"")</f>
        <v>-0.0400044081992506</v>
      </c>
      <c r="P95" s="137" t="str">
        <f aca="false">IFERROR(IF(OR(NOT(ISNUMBER('Price History'!P96)),NOT(ISNUMBER('Price History'!P95)),'Price History'!P95=0),"",'Price History'!P96/'Price History'!P95-1),"")</f>
        <v/>
      </c>
      <c r="Q95" s="137" t="n">
        <f aca="false">IFERROR(IF(OR(NOT(ISNUMBER('Price History'!Q96)),NOT(ISNUMBER('Price History'!Q95)),'Price History'!Q95=0),"",'Price History'!Q96/'Price History'!Q95-1),"")</f>
        <v>0.0015885623510723</v>
      </c>
      <c r="R95" s="137" t="n">
        <f aca="false">IFERROR(IF(OR(NOT(ISNUMBER('Price History'!R96)),NOT(ISNUMBER('Price History'!R95)),'Price History'!R95=0),"",'Price History'!R96/'Price History'!R95-1),"")</f>
        <v>-0.00913937547600918</v>
      </c>
      <c r="S95" s="137" t="n">
        <f aca="false">IFERROR(IF(OR(NOT(ISNUMBER('Price History'!S96)),NOT(ISNUMBER('Price History'!S95)),'Price History'!S95=0),"",'Price History'!S96/'Price History'!S95-1),"")</f>
        <v>-0.0223384030418252</v>
      </c>
      <c r="T95" s="137" t="n">
        <f aca="false">IFERROR(IF(OR(NOT(ISNUMBER('Price History'!T96)),NOT(ISNUMBER('Price History'!T95)),'Price History'!T95=0),"",'Price History'!T96/'Price History'!T95-1),"")</f>
        <v>-0.0347301951779564</v>
      </c>
      <c r="U95" s="137" t="str">
        <f aca="false">IFERROR(IF(OR(NOT(ISNUMBER('Price History'!U96)),NOT(ISNUMBER('Price History'!U95)),'Price History'!U95=0),"",'Price History'!U96/'Price History'!U95-1),"")</f>
        <v/>
      </c>
      <c r="W95" s="138" t="n">
        <f aca="false">'Price History'!B3+('Price History'!B158-'Price History'!B3)*0.597402597402597</f>
        <v>354.296233766234</v>
      </c>
      <c r="X95" s="138" t="n">
        <f aca="false">'Price History'!C3+('Price History'!C158-'Price History'!C3)*0.597402597402597</f>
        <v>125.351168831169</v>
      </c>
      <c r="Y95" s="138" t="n">
        <f aca="false">'Price History'!D3+('Price History'!D158-'Price History'!D3)*0.597402597402597</f>
        <v>1239.59974025974</v>
      </c>
      <c r="Z95" s="138" t="n">
        <f aca="false">'Price History'!E3+('Price History'!E158-'Price History'!E3)*0.597402597402597</f>
        <v>265.964415584415</v>
      </c>
      <c r="AA95" s="138" t="n">
        <f aca="false">'Price History'!F3+('Price History'!F158-'Price History'!F3)*0.597402597402597</f>
        <v>128.940519480519</v>
      </c>
      <c r="AB95" s="138" t="n">
        <f aca="false">'Price History'!G3+('Price History'!G158-'Price History'!G3)*0.597402597402597</f>
        <v>128.501558441558</v>
      </c>
      <c r="AC95" s="138" t="n">
        <f aca="false">'Price History'!H3+('Price History'!H158-'Price History'!H3)*0.597402597402597</f>
        <v>517.595454545454</v>
      </c>
      <c r="AD95" s="138" t="n">
        <f aca="false">'Price History'!I3+('Price History'!I158-'Price History'!I3)*0.597402597402597</f>
        <v>136.374675324675</v>
      </c>
      <c r="AE95" s="138" t="n">
        <f aca="false">'Price History'!J3+('Price History'!J158-'Price History'!J3)*0.597402597402597</f>
        <v>136.115194805195</v>
      </c>
      <c r="AF95" s="138" t="n">
        <f aca="false">'Price History'!K3+('Price History'!K158-'Price History'!K3)*0.597402597402597</f>
        <v>79.7203896103896</v>
      </c>
      <c r="AG95" s="138" t="n">
        <f aca="false">'Price History'!L3+('Price History'!L158-'Price History'!L3)*0.597402597402597</f>
        <v>278.534935064935</v>
      </c>
      <c r="AH95" s="138" t="n">
        <f aca="false">'Price History'!M3+('Price History'!M158-'Price History'!M3)*0.597402597402597</f>
        <v>157.805584415584</v>
      </c>
      <c r="AI95" s="138" t="n">
        <f aca="false">'Price History'!N3+('Price History'!N158-'Price History'!N3)*0.597402597402597</f>
        <v>425.873506493506</v>
      </c>
      <c r="AJ95" s="138" t="n">
        <f aca="false">'Price History'!O3+('Price History'!O158-'Price History'!O3)*0.597402597402597</f>
        <v>108.197792207792</v>
      </c>
      <c r="AK95" s="138" t="n">
        <f aca="false">'Price History'!Q3+('Price History'!Q151-'Price History'!Q3)*0.597402597402597</f>
        <v>60.9576623376623</v>
      </c>
      <c r="AL95" s="138" t="n">
        <f aca="false">'Price History'!R3+('Price History'!R158-'Price History'!R3)*0.597402597402597</f>
        <v>54.0509090909091</v>
      </c>
      <c r="AM95" s="138" t="n">
        <f aca="false">'Price History'!S3+('Price History'!S158-'Price History'!S3)*0.597402597402597</f>
        <v>109.492467532468</v>
      </c>
      <c r="AN95" s="138" t="n">
        <f aca="false">'Price History'!T3+('Price History'!T158-'Price History'!T3)*0.597402597402597</f>
        <v>40.5487012987013</v>
      </c>
    </row>
    <row r="96" customFormat="false" ht="15" hidden="false" customHeight="true" outlineLevel="0" collapsed="false">
      <c r="A96" s="136" t="n">
        <f aca="false">IF('Price History'!A97="","",'Price History'!A97)</f>
        <v>45807</v>
      </c>
      <c r="B96" s="137" t="n">
        <f aca="false">IFERROR(IF(OR(NOT(ISNUMBER('Price History'!B97)),NOT(ISNUMBER('Price History'!B96)),'Price History'!B96=0),"",'Price History'!B97/'Price History'!B96-1),"")</f>
        <v>0.018151046137997</v>
      </c>
      <c r="C96" s="137" t="n">
        <f aca="false">IFERROR(IF(OR(NOT(ISNUMBER('Price History'!C97)),NOT(ISNUMBER('Price History'!C96)),'Price History'!C96=0),"",'Price History'!C97/'Price History'!C96-1),"")</f>
        <v>-0.05</v>
      </c>
      <c r="D96" s="137" t="n">
        <f aca="false">IFERROR(IF(OR(NOT(ISNUMBER('Price History'!D97)),NOT(ISNUMBER('Price History'!D96)),'Price History'!D96=0),"",'Price History'!D97/'Price History'!D96-1),"")</f>
        <v>0.00584308318202287</v>
      </c>
      <c r="E96" s="137" t="n">
        <f aca="false">IFERROR(IF(OR(NOT(ISNUMBER('Price History'!E97)),NOT(ISNUMBER('Price History'!E96)),'Price History'!E96=0),"",'Price History'!E97/'Price History'!E96-1),"")</f>
        <v>0.0583683105981112</v>
      </c>
      <c r="F96" s="137" t="n">
        <f aca="false">IFERROR(IF(OR(NOT(ISNUMBER('Price History'!F97)),NOT(ISNUMBER('Price History'!F96)),'Price History'!F96=0),"",'Price History'!F97/'Price History'!F96-1),"")</f>
        <v>0.0345917471466197</v>
      </c>
      <c r="G96" s="137" t="n">
        <f aca="false">IFERROR(IF(OR(NOT(ISNUMBER('Price History'!G97)),NOT(ISNUMBER('Price History'!G96)),'Price History'!G96=0),"",'Price History'!G97/'Price History'!G96-1),"")</f>
        <v>-0.00039619651347067</v>
      </c>
      <c r="H96" s="137" t="n">
        <f aca="false">IFERROR(IF(OR(NOT(ISNUMBER('Price History'!H97)),NOT(ISNUMBER('Price History'!H96)),'Price History'!H96=0),"",'Price History'!H97/'Price History'!H96-1),"")</f>
        <v>0.011673985220092</v>
      </c>
      <c r="I96" s="137" t="n">
        <f aca="false">IFERROR(IF(OR(NOT(ISNUMBER('Price History'!I97)),NOT(ISNUMBER('Price History'!I96)),'Price History'!I96=0),"",'Price History'!I97/'Price History'!I96-1),"")</f>
        <v>0.029248229111128</v>
      </c>
      <c r="J96" s="137" t="n">
        <f aca="false">IFERROR(IF(OR(NOT(ISNUMBER('Price History'!J97)),NOT(ISNUMBER('Price History'!J96)),'Price History'!J96=0),"",'Price History'!J97/'Price History'!J96-1),"")</f>
        <v>0.043829296424452</v>
      </c>
      <c r="K96" s="137" t="n">
        <f aca="false">IFERROR(IF(OR(NOT(ISNUMBER('Price History'!K97)),NOT(ISNUMBER('Price History'!K96)),'Price History'!K96=0),"",'Price History'!K97/'Price History'!K96-1),"")</f>
        <v>0.0686886708296164</v>
      </c>
      <c r="L96" s="137" t="n">
        <f aca="false">IFERROR(IF(OR(NOT(ISNUMBER('Price History'!L97)),NOT(ISNUMBER('Price History'!L96)),'Price History'!L96=0),"",'Price History'!L97/'Price History'!L96-1),"")</f>
        <v>0.00697989373893115</v>
      </c>
      <c r="M96" s="137" t="n">
        <f aca="false">IFERROR(IF(OR(NOT(ISNUMBER('Price History'!M97)),NOT(ISNUMBER('Price History'!M96)),'Price History'!M96=0),"",'Price History'!M97/'Price History'!M96-1),"")</f>
        <v>0.0363933166890724</v>
      </c>
      <c r="N96" s="137" t="n">
        <f aca="false">IFERROR(IF(OR(NOT(ISNUMBER('Price History'!N97)),NOT(ISNUMBER('Price History'!N96)),'Price History'!N96=0),"",'Price History'!N97/'Price History'!N96-1),"")</f>
        <v>0.013876146788991</v>
      </c>
      <c r="O96" s="137" t="n">
        <f aca="false">IFERROR(IF(OR(NOT(ISNUMBER('Price History'!O97)),NOT(ISNUMBER('Price History'!O96)),'Price History'!O96=0),"",'Price History'!O97/'Price History'!O96-1),"")</f>
        <v>0.0117093330272069</v>
      </c>
      <c r="P96" s="137" t="str">
        <f aca="false">IFERROR(IF(OR(NOT(ISNUMBER('Price History'!P97)),NOT(ISNUMBER('Price History'!P96)),'Price History'!P96=0),"",'Price History'!P97/'Price History'!P96-1),"")</f>
        <v/>
      </c>
      <c r="Q96" s="137" t="n">
        <f aca="false">IFERROR(IF(OR(NOT(ISNUMBER('Price History'!Q97)),NOT(ISNUMBER('Price History'!Q96)),'Price History'!Q96=0),"",'Price History'!Q97/'Price History'!Q96-1),"")</f>
        <v>0.00348929421094368</v>
      </c>
      <c r="R96" s="137" t="n">
        <f aca="false">IFERROR(IF(OR(NOT(ISNUMBER('Price History'!R97)),NOT(ISNUMBER('Price History'!R96)),'Price History'!R96=0),"",'Price History'!R97/'Price History'!R96-1),"")</f>
        <v>0.0113374327440432</v>
      </c>
      <c r="S96" s="137" t="n">
        <f aca="false">IFERROR(IF(OR(NOT(ISNUMBER('Price History'!S97)),NOT(ISNUMBER('Price History'!S96)),'Price History'!S96=0),"",'Price History'!S97/'Price History'!S96-1),"")</f>
        <v>0.0243072435585805</v>
      </c>
      <c r="T96" s="137" t="n">
        <f aca="false">IFERROR(IF(OR(NOT(ISNUMBER('Price History'!T97)),NOT(ISNUMBER('Price History'!T96)),'Price History'!T96=0),"",'Price History'!T97/'Price History'!T96-1),"")</f>
        <v>0.007731192387749</v>
      </c>
      <c r="U96" s="137" t="str">
        <f aca="false">IFERROR(IF(OR(NOT(ISNUMBER('Price History'!U97)),NOT(ISNUMBER('Price History'!U96)),'Price History'!U96=0),"",'Price History'!U97/'Price History'!U96-1),"")</f>
        <v/>
      </c>
      <c r="W96" s="138" t="n">
        <f aca="false">'Price History'!B3+('Price History'!B158-'Price History'!B3)*0.603896103896104</f>
        <v>352.620649350649</v>
      </c>
      <c r="X96" s="138" t="n">
        <f aca="false">'Price History'!C3+('Price History'!C158-'Price History'!C3)*0.603896103896104</f>
        <v>126.238246753247</v>
      </c>
      <c r="Y96" s="138" t="n">
        <f aca="false">'Price History'!D3+('Price History'!D158-'Price History'!D3)*0.603896103896104</f>
        <v>1245.88038961039</v>
      </c>
      <c r="Z96" s="138" t="n">
        <f aca="false">'Price History'!E3+('Price History'!E158-'Price History'!E3)*0.603896103896104</f>
        <v>267.953376623377</v>
      </c>
      <c r="AA96" s="138" t="n">
        <f aca="false">'Price History'!F3+('Price History'!F158-'Price History'!F3)*0.603896103896104</f>
        <v>129.939220779221</v>
      </c>
      <c r="AB96" s="138" t="n">
        <f aca="false">'Price History'!G3+('Price History'!G158-'Price History'!G3)*0.603896103896104</f>
        <v>129.377662337662</v>
      </c>
      <c r="AC96" s="138" t="n">
        <f aca="false">'Price History'!H3+('Price History'!H158-'Price History'!H3)*0.603896103896104</f>
        <v>522.521818181818</v>
      </c>
      <c r="AD96" s="138" t="n">
        <f aca="false">'Price History'!I3+('Price History'!I158-'Price History'!I3)*0.603896103896104</f>
        <v>137.412987012987</v>
      </c>
      <c r="AE96" s="138" t="n">
        <f aca="false">'Price History'!J3+('Price History'!J158-'Price History'!J3)*0.603896103896104</f>
        <v>136.252207792208</v>
      </c>
      <c r="AF96" s="138" t="n">
        <f aca="false">'Price History'!K3+('Price History'!K158-'Price History'!K3)*0.603896103896104</f>
        <v>80.4194155844156</v>
      </c>
      <c r="AG96" s="138" t="n">
        <f aca="false">'Price History'!L3+('Price History'!L158-'Price History'!L3)*0.603896103896104</f>
        <v>280.562597402597</v>
      </c>
      <c r="AH96" s="138" t="n">
        <f aca="false">'Price History'!M3+('Price History'!M158-'Price History'!M3)*0.603896103896104</f>
        <v>159.156623376623</v>
      </c>
      <c r="AI96" s="138" t="n">
        <f aca="false">'Price History'!N3+('Price History'!N158-'Price History'!N3)*0.603896103896104</f>
        <v>426.69974025974</v>
      </c>
      <c r="AJ96" s="138" t="n">
        <f aca="false">'Price History'!O3+('Price History'!O158-'Price History'!O3)*0.603896103896104</f>
        <v>108.473311688312</v>
      </c>
      <c r="AK96" s="138" t="n">
        <f aca="false">'Price History'!Q3+('Price History'!Q151-'Price History'!Q3)*0.603896103896104</f>
        <v>61.0785064935065</v>
      </c>
      <c r="AL96" s="138" t="n">
        <f aca="false">'Price History'!R3+('Price History'!R158-'Price History'!R3)*0.603896103896104</f>
        <v>54.1186363636364</v>
      </c>
      <c r="AM96" s="138" t="n">
        <f aca="false">'Price History'!S3+('Price History'!S158-'Price History'!S3)*0.603896103896104</f>
        <v>110.046298701299</v>
      </c>
      <c r="AN96" s="138" t="n">
        <f aca="false">'Price History'!T3+('Price History'!T158-'Price History'!T3)*0.603896103896104</f>
        <v>40.6969480519481</v>
      </c>
    </row>
    <row r="97" customFormat="false" ht="15" hidden="false" customHeight="true" outlineLevel="0" collapsed="false">
      <c r="A97" s="136" t="n">
        <f aca="false">IF('Price History'!A98="","",'Price History'!A98)</f>
        <v>45814</v>
      </c>
      <c r="B97" s="137" t="n">
        <f aca="false">IFERROR(IF(OR(NOT(ISNUMBER('Price History'!B98)),NOT(ISNUMBER('Price History'!B97)),'Price History'!B97=0),"",'Price History'!B98/'Price History'!B97-1),"")</f>
        <v>0.00440868245440762</v>
      </c>
      <c r="C97" s="137" t="n">
        <f aca="false">IFERROR(IF(OR(NOT(ISNUMBER('Price History'!C98)),NOT(ISNUMBER('Price History'!C97)),'Price History'!C97=0),"",'Price History'!C98/'Price History'!C97-1),"")</f>
        <v>0.122460757156048</v>
      </c>
      <c r="D97" s="137" t="n">
        <f aca="false">IFERROR(IF(OR(NOT(ISNUMBER('Price History'!D98)),NOT(ISNUMBER('Price History'!D97)),'Price History'!D97=0),"",'Price History'!D98/'Price History'!D97-1),"")</f>
        <v>0.0220557297392674</v>
      </c>
      <c r="E97" s="137" t="n">
        <f aca="false">IFERROR(IF(OR(NOT(ISNUMBER('Price History'!E98)),NOT(ISNUMBER('Price History'!E97)),'Price History'!E97=0),"",'Price History'!E98/'Price History'!E97-1),"")</f>
        <v>0.0200768372784732</v>
      </c>
      <c r="F97" s="137" t="n">
        <f aca="false">IFERROR(IF(OR(NOT(ISNUMBER('Price History'!F98)),NOT(ISNUMBER('Price History'!F97)),'Price History'!F97=0),"",'Price History'!F98/'Price History'!F97-1),"")</f>
        <v>-0.00627970128988464</v>
      </c>
      <c r="G97" s="137" t="n">
        <f aca="false">IFERROR(IF(OR(NOT(ISNUMBER('Price History'!G98)),NOT(ISNUMBER('Price History'!G97)),'Price History'!G97=0),"",'Price History'!G98/'Price History'!G97-1),"")</f>
        <v>0.0675122209010437</v>
      </c>
      <c r="H97" s="137" t="n">
        <f aca="false">IFERROR(IF(OR(NOT(ISNUMBER('Price History'!H98)),NOT(ISNUMBER('Price History'!H97)),'Price History'!H97=0),"",'Price History'!H98/'Price History'!H97-1),"")</f>
        <v>0.14926953207707</v>
      </c>
      <c r="I97" s="137" t="n">
        <f aca="false">IFERROR(IF(OR(NOT(ISNUMBER('Price History'!I98)),NOT(ISNUMBER('Price History'!I97)),'Price History'!I97=0),"",'Price History'!I98/'Price History'!I97-1),"")</f>
        <v>0.0487678531784208</v>
      </c>
      <c r="J97" s="137" t="n">
        <f aca="false">IFERROR(IF(OR(NOT(ISNUMBER('Price History'!J98)),NOT(ISNUMBER('Price History'!J97)),'Price History'!J97=0),"",'Price History'!J98/'Price History'!J97-1),"")</f>
        <v>0.00174953959484347</v>
      </c>
      <c r="K97" s="137" t="n">
        <f aca="false">IFERROR(IF(OR(NOT(ISNUMBER('Price History'!K98)),NOT(ISNUMBER('Price History'!K97)),'Price History'!K97=0),"",'Price History'!K98/'Price History'!K97-1),"")</f>
        <v>-0.0308089239641828</v>
      </c>
      <c r="L97" s="137" t="n">
        <f aca="false">IFERROR(IF(OR(NOT(ISNUMBER('Price History'!L98)),NOT(ISNUMBER('Price History'!L97)),'Price History'!L97=0),"",'Price History'!L98/'Price History'!L97-1),"")</f>
        <v>0.0613490585557626</v>
      </c>
      <c r="M97" s="137" t="n">
        <f aca="false">IFERROR(IF(OR(NOT(ISNUMBER('Price History'!M98)),NOT(ISNUMBER('Price History'!M97)),'Price History'!M97=0),"",'Price History'!M98/'Price History'!M97-1),"")</f>
        <v>0.0688409154081349</v>
      </c>
      <c r="N97" s="137" t="n">
        <f aca="false">IFERROR(IF(OR(NOT(ISNUMBER('Price History'!N98)),NOT(ISNUMBER('Price History'!N97)),'Price History'!N97=0),"",'Price History'!N98/'Price History'!N97-1),"")</f>
        <v>0.0191154846736794</v>
      </c>
      <c r="O97" s="137" t="n">
        <f aca="false">IFERROR(IF(OR(NOT(ISNUMBER('Price History'!O98)),NOT(ISNUMBER('Price History'!O97)),'Price History'!O97=0),"",'Price History'!O98/'Price History'!O97-1),"")</f>
        <v>0.0184954045160559</v>
      </c>
      <c r="P97" s="137" t="str">
        <f aca="false">IFERROR(IF(OR(NOT(ISNUMBER('Price History'!P98)),NOT(ISNUMBER('Price History'!P97)),'Price History'!P97=0),"",'Price History'!P98/'Price History'!P97-1),"")</f>
        <v/>
      </c>
      <c r="Q97" s="137" t="n">
        <f aca="false">IFERROR(IF(OR(NOT(ISNUMBER('Price History'!Q98)),NOT(ISNUMBER('Price History'!Q97)),'Price History'!Q97=0),"",'Price History'!Q98/'Price History'!Q97-1),"")</f>
        <v>0.00221273905484432</v>
      </c>
      <c r="R97" s="137" t="n">
        <f aca="false">IFERROR(IF(OR(NOT(ISNUMBER('Price History'!R98)),NOT(ISNUMBER('Price History'!R97)),'Price History'!R97=0),"",'Price History'!R98/'Price History'!R97-1),"")</f>
        <v>0.00133003990119707</v>
      </c>
      <c r="S97" s="137" t="n">
        <f aca="false">IFERROR(IF(OR(NOT(ISNUMBER('Price History'!S98)),NOT(ISNUMBER('Price History'!S97)),'Price History'!S97=0),"",'Price History'!S98/'Price History'!S97-1),"")</f>
        <v>0.0149027052681538</v>
      </c>
      <c r="T97" s="137" t="n">
        <f aca="false">IFERROR(IF(OR(NOT(ISNUMBER('Price History'!T98)),NOT(ISNUMBER('Price History'!T97)),'Price History'!T97=0),"",'Price History'!T98/'Price History'!T97-1),"")</f>
        <v>0.023605783416937</v>
      </c>
      <c r="U97" s="137" t="str">
        <f aca="false">IFERROR(IF(OR(NOT(ISNUMBER('Price History'!U98)),NOT(ISNUMBER('Price History'!U97)),'Price History'!U97=0),"",'Price History'!U98/'Price History'!U97-1),"")</f>
        <v/>
      </c>
      <c r="W97" s="138" t="n">
        <f aca="false">'Price History'!B3+('Price History'!B158-'Price History'!B3)*0.61038961038961</f>
        <v>350.945064935065</v>
      </c>
      <c r="X97" s="138" t="n">
        <f aca="false">'Price History'!C3+('Price History'!C158-'Price History'!C3)*0.61038961038961</f>
        <v>127.125324675325</v>
      </c>
      <c r="Y97" s="138" t="n">
        <f aca="false">'Price History'!D3+('Price History'!D158-'Price History'!D3)*0.61038961038961</f>
        <v>1252.16103896104</v>
      </c>
      <c r="Z97" s="138" t="n">
        <f aca="false">'Price History'!E3+('Price History'!E158-'Price History'!E3)*0.61038961038961</f>
        <v>269.942337662338</v>
      </c>
      <c r="AA97" s="138" t="n">
        <f aca="false">'Price History'!F3+('Price History'!F158-'Price History'!F3)*0.61038961038961</f>
        <v>130.937922077922</v>
      </c>
      <c r="AB97" s="138" t="n">
        <f aca="false">'Price History'!G3+('Price History'!G158-'Price History'!G3)*0.61038961038961</f>
        <v>130.253766233766</v>
      </c>
      <c r="AC97" s="138" t="n">
        <f aca="false">'Price History'!H3+('Price History'!H158-'Price History'!H3)*0.61038961038961</f>
        <v>527.448181818182</v>
      </c>
      <c r="AD97" s="138" t="n">
        <f aca="false">'Price History'!I3+('Price History'!I158-'Price History'!I3)*0.61038961038961</f>
        <v>138.451298701299</v>
      </c>
      <c r="AE97" s="138" t="n">
        <f aca="false">'Price History'!J3+('Price History'!J158-'Price History'!J3)*0.61038961038961</f>
        <v>136.389220779221</v>
      </c>
      <c r="AF97" s="138" t="n">
        <f aca="false">'Price History'!K3+('Price History'!K158-'Price History'!K3)*0.61038961038961</f>
        <v>81.1184415584415</v>
      </c>
      <c r="AG97" s="138" t="n">
        <f aca="false">'Price History'!L3+('Price History'!L158-'Price History'!L3)*0.61038961038961</f>
        <v>282.59025974026</v>
      </c>
      <c r="AH97" s="138" t="n">
        <f aca="false">'Price History'!M3+('Price History'!M158-'Price History'!M3)*0.61038961038961</f>
        <v>160.507662337662</v>
      </c>
      <c r="AI97" s="138" t="n">
        <f aca="false">'Price History'!N3+('Price History'!N158-'Price History'!N3)*0.61038961038961</f>
        <v>427.525974025974</v>
      </c>
      <c r="AJ97" s="138" t="n">
        <f aca="false">'Price History'!O3+('Price History'!O158-'Price History'!O3)*0.61038961038961</f>
        <v>108.748831168831</v>
      </c>
      <c r="AK97" s="138" t="n">
        <f aca="false">'Price History'!Q3+('Price History'!Q151-'Price History'!Q3)*0.61038961038961</f>
        <v>61.1993506493507</v>
      </c>
      <c r="AL97" s="138" t="n">
        <f aca="false">'Price History'!R3+('Price History'!R158-'Price History'!R3)*0.61038961038961</f>
        <v>54.1863636363636</v>
      </c>
      <c r="AM97" s="138" t="n">
        <f aca="false">'Price History'!S3+('Price History'!S158-'Price History'!S3)*0.61038961038961</f>
        <v>110.60012987013</v>
      </c>
      <c r="AN97" s="138" t="n">
        <f aca="false">'Price History'!T3+('Price History'!T158-'Price History'!T3)*0.61038961038961</f>
        <v>40.8451948051948</v>
      </c>
    </row>
    <row r="98" customFormat="false" ht="15" hidden="false" customHeight="true" outlineLevel="0" collapsed="false">
      <c r="A98" s="136" t="n">
        <f aca="false">IF('Price History'!A99="","",'Price History'!A99)</f>
        <v>45821</v>
      </c>
      <c r="B98" s="137" t="n">
        <f aca="false">IFERROR(IF(OR(NOT(ISNUMBER('Price History'!B99)),NOT(ISNUMBER('Price History'!B98)),'Price History'!B98=0),"",'Price History'!B99/'Price History'!B98-1),"")</f>
        <v>-0.06053919217116</v>
      </c>
      <c r="C98" s="137" t="n">
        <f aca="false">IFERROR(IF(OR(NOT(ISNUMBER('Price History'!C99)),NOT(ISNUMBER('Price History'!C98)),'Price History'!C98=0),"",'Price History'!C99/'Price History'!C98-1),"")</f>
        <v>-0.0503856041131106</v>
      </c>
      <c r="D98" s="137" t="n">
        <f aca="false">IFERROR(IF(OR(NOT(ISNUMBER('Price History'!D99)),NOT(ISNUMBER('Price History'!D98)),'Price History'!D98=0),"",'Price History'!D99/'Price History'!D98-1),"")</f>
        <v>0.0105973280922154</v>
      </c>
      <c r="E98" s="137" t="n">
        <f aca="false">IFERROR(IF(OR(NOT(ISNUMBER('Price History'!E99)),NOT(ISNUMBER('Price History'!E98)),'Price History'!E98=0),"",'Price History'!E99/'Price History'!E98-1),"")</f>
        <v>0.00716802332644861</v>
      </c>
      <c r="F98" s="137" t="n">
        <f aca="false">IFERROR(IF(OR(NOT(ISNUMBER('Price History'!F99)),NOT(ISNUMBER('Price History'!F98)),'Price History'!F98=0),"",'Price History'!F99/'Price History'!F98-1),"")</f>
        <v>0.026131511528608</v>
      </c>
      <c r="G98" s="137" t="n">
        <f aca="false">IFERROR(IF(OR(NOT(ISNUMBER('Price History'!G99)),NOT(ISNUMBER('Price History'!G98)),'Price History'!G98=0),"",'Price History'!G99/'Price History'!G98-1),"")</f>
        <v>0.0738861386138614</v>
      </c>
      <c r="H98" s="137" t="n">
        <f aca="false">IFERROR(IF(OR(NOT(ISNUMBER('Price History'!H99)),NOT(ISNUMBER('Price History'!H98)),'Price History'!H98=0),"",'Price History'!H99/'Price History'!H98-1),"")</f>
        <v>0.06484893146647</v>
      </c>
      <c r="I98" s="137" t="n">
        <f aca="false">IFERROR(IF(OR(NOT(ISNUMBER('Price History'!I99)),NOT(ISNUMBER('Price History'!I98)),'Price History'!I98=0),"",'Price History'!I99/'Price History'!I98-1),"")</f>
        <v>0.00176404177250911</v>
      </c>
      <c r="J98" s="137" t="n">
        <f aca="false">IFERROR(IF(OR(NOT(ISNUMBER('Price History'!J99)),NOT(ISNUMBER('Price History'!J98)),'Price History'!J98=0),"",'Price History'!J99/'Price History'!J98-1),"")</f>
        <v>-0.0138799522014892</v>
      </c>
      <c r="K98" s="137" t="n">
        <f aca="false">IFERROR(IF(OR(NOT(ISNUMBER('Price History'!K99)),NOT(ISNUMBER('Price History'!K98)),'Price History'!K98=0),"",'Price History'!K99/'Price History'!K98-1),"")</f>
        <v>0.0757907923582839</v>
      </c>
      <c r="L98" s="137" t="n">
        <f aca="false">IFERROR(IF(OR(NOT(ISNUMBER('Price History'!L99)),NOT(ISNUMBER('Price History'!L98)),'Price History'!L98=0),"",'Price History'!L99/'Price History'!L98-1),"")</f>
        <v>0.0288527146895408</v>
      </c>
      <c r="M98" s="137" t="n">
        <f aca="false">IFERROR(IF(OR(NOT(ISNUMBER('Price History'!M99)),NOT(ISNUMBER('Price History'!M98)),'Price History'!M98=0),"",'Price History'!M99/'Price History'!M98-1),"")</f>
        <v>-0.0380547850208044</v>
      </c>
      <c r="N98" s="137" t="n">
        <f aca="false">IFERROR(IF(OR(NOT(ISNUMBER('Price History'!N99)),NOT(ISNUMBER('Price History'!N98)),'Price History'!N98=0),"",'Price History'!N99/'Price History'!N98-1),"")</f>
        <v>0.0109877913429524</v>
      </c>
      <c r="O98" s="137" t="n">
        <f aca="false">IFERROR(IF(OR(NOT(ISNUMBER('Price History'!O99)),NOT(ISNUMBER('Price History'!O98)),'Price History'!O98=0),"",'Price History'!O99/'Price History'!O98-1),"")</f>
        <v>-0.00601604278074874</v>
      </c>
      <c r="P98" s="137" t="str">
        <f aca="false">IFERROR(IF(OR(NOT(ISNUMBER('Price History'!P99)),NOT(ISNUMBER('Price History'!P98)),'Price History'!P98=0),"",'Price History'!P99/'Price History'!P98-1),"")</f>
        <v/>
      </c>
      <c r="Q98" s="137" t="n">
        <f aca="false">IFERROR(IF(OR(NOT(ISNUMBER('Price History'!Q99)),NOT(ISNUMBER('Price History'!Q98)),'Price History'!Q98=0),"",'Price History'!Q99/'Price History'!Q98-1),"")</f>
        <v>-0.010408452925406</v>
      </c>
      <c r="R98" s="137" t="n">
        <f aca="false">IFERROR(IF(OR(NOT(ISNUMBER('Price History'!R99)),NOT(ISNUMBER('Price History'!R98)),'Price History'!R98=0),"",'Price History'!R99/'Price History'!R98-1),"")</f>
        <v>-0.00208728652751422</v>
      </c>
      <c r="S98" s="137" t="n">
        <f aca="false">IFERROR(IF(OR(NOT(ISNUMBER('Price History'!S99)),NOT(ISNUMBER('Price History'!S98)),'Price History'!S98=0),"",'Price History'!S99/'Price History'!S98-1),"")</f>
        <v>-0.00710811821922941</v>
      </c>
      <c r="T98" s="137" t="n">
        <f aca="false">IFERROR(IF(OR(NOT(ISNUMBER('Price History'!T99)),NOT(ISNUMBER('Price History'!T98)),'Price History'!T98=0),"",'Price History'!T99/'Price History'!T98-1),"")</f>
        <v>0.0109541654655521</v>
      </c>
      <c r="U98" s="137" t="str">
        <f aca="false">IFERROR(IF(OR(NOT(ISNUMBER('Price History'!U99)),NOT(ISNUMBER('Price History'!U98)),'Price History'!U98=0),"",'Price History'!U99/'Price History'!U98-1),"")</f>
        <v/>
      </c>
      <c r="W98" s="138" t="n">
        <f aca="false">'Price History'!B3+('Price History'!B158-'Price History'!B3)*0.616883116883117</f>
        <v>349.26948051948</v>
      </c>
      <c r="X98" s="138" t="n">
        <f aca="false">'Price History'!C3+('Price History'!C158-'Price History'!C3)*0.616883116883117</f>
        <v>128.012402597403</v>
      </c>
      <c r="Y98" s="138" t="n">
        <f aca="false">'Price History'!D3+('Price History'!D158-'Price History'!D3)*0.616883116883117</f>
        <v>1258.44168831169</v>
      </c>
      <c r="Z98" s="138" t="n">
        <f aca="false">'Price History'!E3+('Price History'!E158-'Price History'!E3)*0.616883116883117</f>
        <v>271.931298701299</v>
      </c>
      <c r="AA98" s="138" t="n">
        <f aca="false">'Price History'!F3+('Price History'!F158-'Price History'!F3)*0.616883116883117</f>
        <v>131.936623376623</v>
      </c>
      <c r="AB98" s="138" t="n">
        <f aca="false">'Price History'!G3+('Price History'!G158-'Price History'!G3)*0.616883116883117</f>
        <v>131.12987012987</v>
      </c>
      <c r="AC98" s="138" t="n">
        <f aca="false">'Price History'!H3+('Price History'!H158-'Price History'!H3)*0.616883116883117</f>
        <v>532.374545454546</v>
      </c>
      <c r="AD98" s="138" t="n">
        <f aca="false">'Price History'!I3+('Price History'!I158-'Price History'!I3)*0.616883116883117</f>
        <v>139.48961038961</v>
      </c>
      <c r="AE98" s="138" t="n">
        <f aca="false">'Price History'!J3+('Price History'!J158-'Price History'!J3)*0.616883116883117</f>
        <v>136.526233766234</v>
      </c>
      <c r="AF98" s="138" t="n">
        <f aca="false">'Price History'!K3+('Price History'!K158-'Price History'!K3)*0.616883116883117</f>
        <v>81.8174675324676</v>
      </c>
      <c r="AG98" s="138" t="n">
        <f aca="false">'Price History'!L3+('Price History'!L158-'Price History'!L3)*0.616883116883117</f>
        <v>284.617922077922</v>
      </c>
      <c r="AH98" s="138" t="n">
        <f aca="false">'Price History'!M3+('Price History'!M158-'Price History'!M3)*0.616883116883117</f>
        <v>161.858701298701</v>
      </c>
      <c r="AI98" s="138" t="n">
        <f aca="false">'Price History'!N3+('Price History'!N158-'Price History'!N3)*0.616883116883117</f>
        <v>428.352207792208</v>
      </c>
      <c r="AJ98" s="138" t="n">
        <f aca="false">'Price History'!O3+('Price History'!O158-'Price History'!O3)*0.616883116883117</f>
        <v>109.024350649351</v>
      </c>
      <c r="AK98" s="138" t="n">
        <f aca="false">'Price History'!Q3+('Price History'!Q151-'Price History'!Q3)*0.616883116883117</f>
        <v>61.3201948051948</v>
      </c>
      <c r="AL98" s="138" t="n">
        <f aca="false">'Price History'!R3+('Price History'!R158-'Price History'!R3)*0.616883116883117</f>
        <v>54.2540909090909</v>
      </c>
      <c r="AM98" s="138" t="n">
        <f aca="false">'Price History'!S3+('Price History'!S158-'Price History'!S3)*0.616883116883117</f>
        <v>111.153961038961</v>
      </c>
      <c r="AN98" s="138" t="n">
        <f aca="false">'Price History'!T3+('Price History'!T158-'Price History'!T3)*0.616883116883117</f>
        <v>40.9934415584416</v>
      </c>
    </row>
    <row r="99" customFormat="false" ht="15" hidden="false" customHeight="true" outlineLevel="0" collapsed="false">
      <c r="A99" s="136" t="n">
        <f aca="false">IF('Price History'!A100="","",'Price History'!A100)</f>
        <v>45828</v>
      </c>
      <c r="B99" s="137" t="n">
        <f aca="false">IFERROR(IF(OR(NOT(ISNUMBER('Price History'!B100)),NOT(ISNUMBER('Price History'!B99)),'Price History'!B99=0),"",'Price History'!B100/'Price History'!B99-1),"")</f>
        <v>-0.0376838235294117</v>
      </c>
      <c r="C99" s="137" t="n">
        <f aca="false">IFERROR(IF(OR(NOT(ISNUMBER('Price History'!C100)),NOT(ISNUMBER('Price History'!C99)),'Price History'!C99=0),"",'Price History'!C100/'Price History'!C99-1),"")</f>
        <v>-0.0660530590146182</v>
      </c>
      <c r="D99" s="137" t="n">
        <f aca="false">IFERROR(IF(OR(NOT(ISNUMBER('Price History'!D100)),NOT(ISNUMBER('Price History'!D99)),'Price History'!D99=0),"",'Price History'!D100/'Price History'!D99-1),"")</f>
        <v>-0.00587385019710907</v>
      </c>
      <c r="E99" s="137" t="n">
        <f aca="false">IFERROR(IF(OR(NOT(ISNUMBER('Price History'!E100)),NOT(ISNUMBER('Price History'!E99)),'Price History'!E99=0),"",'Price History'!E100/'Price History'!E99-1),"")</f>
        <v>0.00518697225572984</v>
      </c>
      <c r="F99" s="137" t="n">
        <f aca="false">IFERROR(IF(OR(NOT(ISNUMBER('Price History'!F100)),NOT(ISNUMBER('Price History'!F99)),'Price History'!F99=0),"",'Price History'!F100/'Price History'!F99-1),"")</f>
        <v>-0.00898801597869503</v>
      </c>
      <c r="G99" s="137" t="n">
        <f aca="false">IFERROR(IF(OR(NOT(ISNUMBER('Price History'!G100)),NOT(ISNUMBER('Price History'!G99)),'Price History'!G99=0),"",'Price History'!G100/'Price History'!G99-1),"")</f>
        <v>-0.0203987553301832</v>
      </c>
      <c r="H99" s="137" t="n">
        <f aca="false">IFERROR(IF(OR(NOT(ISNUMBER('Price History'!H100)),NOT(ISNUMBER('Price History'!H99)),'Price History'!H99=0),"",'Price History'!H100/'Price History'!H99-1),"")</f>
        <v>0.0692041522491349</v>
      </c>
      <c r="I99" s="137" t="n">
        <f aca="false">IFERROR(IF(OR(NOT(ISNUMBER('Price History'!I100)),NOT(ISNUMBER('Price History'!I99)),'Price History'!I99=0),"",'Price History'!I100/'Price History'!I99-1),"")</f>
        <v>0.0132422342748468</v>
      </c>
      <c r="J99" s="137" t="n">
        <f aca="false">IFERROR(IF(OR(NOT(ISNUMBER('Price History'!J100)),NOT(ISNUMBER('Price History'!J99)),'Price History'!J99=0),"",'Price History'!J100/'Price History'!J99-1),"")</f>
        <v>-0.0148210290827741</v>
      </c>
      <c r="K99" s="137" t="n">
        <f aca="false">IFERROR(IF(OR(NOT(ISNUMBER('Price History'!K100)),NOT(ISNUMBER('Price History'!K99)),'Price History'!K99=0),"",'Price History'!K100/'Price History'!K99-1),"")</f>
        <v>-0.000727802037845615</v>
      </c>
      <c r="L99" s="137" t="n">
        <f aca="false">IFERROR(IF(OR(NOT(ISNUMBER('Price History'!L100)),NOT(ISNUMBER('Price History'!L99)),'Price History'!L99=0),"",'Price History'!L100/'Price History'!L99-1),"")</f>
        <v>-0.00753197536712458</v>
      </c>
      <c r="M99" s="137" t="n">
        <f aca="false">IFERROR(IF(OR(NOT(ISNUMBER('Price History'!M100)),NOT(ISNUMBER('Price History'!M99)),'Price History'!M99=0),"",'Price History'!M100/'Price History'!M99-1),"")</f>
        <v>0.0682166351266109</v>
      </c>
      <c r="N99" s="137" t="n">
        <f aca="false">IFERROR(IF(OR(NOT(ISNUMBER('Price History'!N100)),NOT(ISNUMBER('Price History'!N99)),'Price History'!N99=0),"",'Price History'!N100/'Price History'!N99-1),"")</f>
        <v>-0.0320122955318916</v>
      </c>
      <c r="O99" s="137" t="n">
        <f aca="false">IFERROR(IF(OR(NOT(ISNUMBER('Price History'!O100)),NOT(ISNUMBER('Price History'!O99)),'Price History'!O99=0),"",'Price History'!O100/'Price History'!O99-1),"")</f>
        <v>0.00168123739071957</v>
      </c>
      <c r="P99" s="137" t="str">
        <f aca="false">IFERROR(IF(OR(NOT(ISNUMBER('Price History'!P100)),NOT(ISNUMBER('Price History'!P99)),'Price History'!P99=0),"",'Price History'!P100/'Price History'!P99-1),"")</f>
        <v/>
      </c>
      <c r="Q99" s="137" t="n">
        <f aca="false">IFERROR(IF(OR(NOT(ISNUMBER('Price History'!Q100)),NOT(ISNUMBER('Price History'!Q99)),'Price History'!Q99=0),"",'Price History'!Q100/'Price History'!Q99-1),"")</f>
        <v>0.0114741035856574</v>
      </c>
      <c r="R99" s="137" t="n">
        <f aca="false">IFERROR(IF(OR(NOT(ISNUMBER('Price History'!R100)),NOT(ISNUMBER('Price History'!R99)),'Price History'!R99=0),"",'Price History'!R100/'Price History'!R99-1),"")</f>
        <v>0.00304240349876395</v>
      </c>
      <c r="S99" s="137" t="n">
        <f aca="false">IFERROR(IF(OR(NOT(ISNUMBER('Price History'!S100)),NOT(ISNUMBER('Price History'!S99)),'Price History'!S99=0),"",'Price History'!S100/'Price History'!S99-1),"")</f>
        <v>0.00706480783722685</v>
      </c>
      <c r="T99" s="137" t="n">
        <f aca="false">IFERROR(IF(OR(NOT(ISNUMBER('Price History'!T100)),NOT(ISNUMBER('Price History'!T99)),'Price History'!T99=0),"",'Price History'!T100/'Price History'!T99-1),"")</f>
        <v>-0.00114057599087536</v>
      </c>
      <c r="U99" s="137" t="str">
        <f aca="false">IFERROR(IF(OR(NOT(ISNUMBER('Price History'!U100)),NOT(ISNUMBER('Price History'!U99)),'Price History'!U99=0),"",'Price History'!U100/'Price History'!U99-1),"")</f>
        <v/>
      </c>
      <c r="W99" s="138" t="n">
        <f aca="false">'Price History'!B3+('Price History'!B158-'Price History'!B3)*0.623376623376623</f>
        <v>347.593896103896</v>
      </c>
      <c r="X99" s="138" t="n">
        <f aca="false">'Price History'!C3+('Price History'!C158-'Price History'!C3)*0.623376623376623</f>
        <v>128.89948051948</v>
      </c>
      <c r="Y99" s="138" t="n">
        <f aca="false">'Price History'!D3+('Price History'!D158-'Price History'!D3)*0.623376623376623</f>
        <v>1264.72233766234</v>
      </c>
      <c r="Z99" s="138" t="n">
        <f aca="false">'Price History'!E3+('Price History'!E158-'Price History'!E3)*0.623376623376623</f>
        <v>273.92025974026</v>
      </c>
      <c r="AA99" s="138" t="n">
        <f aca="false">'Price History'!F3+('Price History'!F158-'Price History'!F3)*0.623376623376623</f>
        <v>132.935324675325</v>
      </c>
      <c r="AB99" s="138" t="n">
        <f aca="false">'Price History'!G3+('Price History'!G158-'Price History'!G3)*0.623376623376623</f>
        <v>132.005974025974</v>
      </c>
      <c r="AC99" s="138" t="n">
        <f aca="false">'Price History'!H3+('Price History'!H158-'Price History'!H3)*0.623376623376623</f>
        <v>537.300909090909</v>
      </c>
      <c r="AD99" s="138" t="n">
        <f aca="false">'Price History'!I3+('Price History'!I158-'Price History'!I3)*0.623376623376623</f>
        <v>140.527922077922</v>
      </c>
      <c r="AE99" s="138" t="n">
        <f aca="false">'Price History'!J3+('Price History'!J158-'Price History'!J3)*0.623376623376623</f>
        <v>136.663246753247</v>
      </c>
      <c r="AF99" s="138" t="n">
        <f aca="false">'Price History'!K3+('Price History'!K158-'Price History'!K3)*0.623376623376623</f>
        <v>82.5164935064935</v>
      </c>
      <c r="AG99" s="138" t="n">
        <f aca="false">'Price History'!L3+('Price History'!L158-'Price History'!L3)*0.623376623376623</f>
        <v>286.645584415584</v>
      </c>
      <c r="AH99" s="138" t="n">
        <f aca="false">'Price History'!M3+('Price History'!M158-'Price History'!M3)*0.623376623376623</f>
        <v>163.20974025974</v>
      </c>
      <c r="AI99" s="138" t="n">
        <f aca="false">'Price History'!N3+('Price History'!N158-'Price History'!N3)*0.623376623376623</f>
        <v>429.178441558442</v>
      </c>
      <c r="AJ99" s="138" t="n">
        <f aca="false">'Price History'!O3+('Price History'!O158-'Price History'!O3)*0.623376623376623</f>
        <v>109.29987012987</v>
      </c>
      <c r="AK99" s="138" t="n">
        <f aca="false">'Price History'!Q3+('Price History'!Q151-'Price History'!Q3)*0.623376623376623</f>
        <v>61.441038961039</v>
      </c>
      <c r="AL99" s="138" t="n">
        <f aca="false">'Price History'!R3+('Price History'!R158-'Price History'!R3)*0.623376623376623</f>
        <v>54.3218181818182</v>
      </c>
      <c r="AM99" s="138" t="n">
        <f aca="false">'Price History'!S3+('Price History'!S158-'Price History'!S3)*0.623376623376623</f>
        <v>111.707792207792</v>
      </c>
      <c r="AN99" s="138" t="n">
        <f aca="false">'Price History'!T3+('Price History'!T158-'Price History'!T3)*0.623376623376623</f>
        <v>41.1416883116883</v>
      </c>
    </row>
    <row r="100" customFormat="false" ht="15" hidden="false" customHeight="true" outlineLevel="0" collapsed="false">
      <c r="A100" s="136" t="n">
        <f aca="false">IF('Price History'!A101="","",'Price History'!A101)</f>
        <v>45835</v>
      </c>
      <c r="B100" s="137" t="n">
        <f aca="false">IFERROR(IF(OR(NOT(ISNUMBER('Price History'!B101)),NOT(ISNUMBER('Price History'!B100)),'Price History'!B100=0),"",'Price History'!B101/'Price History'!B100-1),"")</f>
        <v>0.0236389684813754</v>
      </c>
      <c r="C100" s="137" t="n">
        <f aca="false">IFERROR(IF(OR(NOT(ISNUMBER('Price History'!C101)),NOT(ISNUMBER('Price History'!C100)),'Price History'!C100=0),"",'Price History'!C101/'Price History'!C100-1),"")</f>
        <v>0.152347826086957</v>
      </c>
      <c r="D100" s="137" t="n">
        <f aca="false">IFERROR(IF(OR(NOT(ISNUMBER('Price History'!D101)),NOT(ISNUMBER('Price History'!D100)),'Price History'!D100=0),"",'Price History'!D101/'Price History'!D100-1),"")</f>
        <v>0.0521063275745841</v>
      </c>
      <c r="E100" s="137" t="n">
        <f aca="false">IFERROR(IF(OR(NOT(ISNUMBER('Price History'!E101)),NOT(ISNUMBER('Price History'!E100)),'Price History'!E100=0),"",'Price History'!E101/'Price History'!E100-1),"")</f>
        <v>0.0774430977239091</v>
      </c>
      <c r="F100" s="137" t="n">
        <f aca="false">IFERROR(IF(OR(NOT(ISNUMBER('Price History'!F101)),NOT(ISNUMBER('Price History'!F100)),'Price History'!F100=0),"",'Price History'!F101/'Price History'!F100-1),"")</f>
        <v>0.0482868659724556</v>
      </c>
      <c r="G100" s="137" t="n">
        <f aca="false">IFERROR(IF(OR(NOT(ISNUMBER('Price History'!G101)),NOT(ISNUMBER('Price History'!G100)),'Price History'!G100=0),"",'Price History'!G101/'Price History'!G100-1),"")</f>
        <v>0.0469411764705883</v>
      </c>
      <c r="H100" s="137" t="n">
        <f aca="false">IFERROR(IF(OR(NOT(ISNUMBER('Price History'!H101)),NOT(ISNUMBER('Price History'!H100)),'Price History'!H100=0),"",'Price History'!H101/'Price History'!H100-1),"")</f>
        <v>0.00938511326860847</v>
      </c>
      <c r="I100" s="137" t="n">
        <f aca="false">IFERROR(IF(OR(NOT(ISNUMBER('Price History'!I101)),NOT(ISNUMBER('Price History'!I100)),'Price History'!I100=0),"",'Price History'!I101/'Price History'!I100-1),"")</f>
        <v>0.0966284323948559</v>
      </c>
      <c r="J100" s="137" t="n">
        <f aca="false">IFERROR(IF(OR(NOT(ISNUMBER('Price History'!J101)),NOT(ISNUMBER('Price History'!J100)),'Price History'!J100=0),"",'Price History'!J101/'Price History'!J100-1),"")</f>
        <v>-0.000662314315450829</v>
      </c>
      <c r="K100" s="137" t="n">
        <f aca="false">IFERROR(IF(OR(NOT(ISNUMBER('Price History'!K101)),NOT(ISNUMBER('Price History'!K100)),'Price History'!K100=0),"",'Price History'!K101/'Price History'!K100-1),"")</f>
        <v>-0.0477785870356883</v>
      </c>
      <c r="L100" s="137" t="n">
        <f aca="false">IFERROR(IF(OR(NOT(ISNUMBER('Price History'!L101)),NOT(ISNUMBER('Price History'!L100)),'Price History'!L100=0),"",'Price History'!L101/'Price History'!L100-1),"")</f>
        <v>0.0909741778435398</v>
      </c>
      <c r="M100" s="137" t="n">
        <f aca="false">IFERROR(IF(OR(NOT(ISNUMBER('Price History'!M101)),NOT(ISNUMBER('Price History'!M100)),'Price History'!M100=0),"",'Price History'!M101/'Price History'!M100-1),"")</f>
        <v>0.0727180698498395</v>
      </c>
      <c r="N100" s="137" t="n">
        <f aca="false">IFERROR(IF(OR(NOT(ISNUMBER('Price History'!N101)),NOT(ISNUMBER('Price History'!N100)),'Price History'!N100=0),"",'Price History'!N101/'Price History'!N100-1),"")</f>
        <v>0.000975344205774942</v>
      </c>
      <c r="O100" s="137" t="n">
        <f aca="false">IFERROR(IF(OR(NOT(ISNUMBER('Price History'!O101)),NOT(ISNUMBER('Price History'!O100)),'Price History'!O100=0),"",'Price History'!O101/'Price History'!O100-1),"")</f>
        <v>0.0205885643952108</v>
      </c>
      <c r="P100" s="137" t="str">
        <f aca="false">IFERROR(IF(OR(NOT(ISNUMBER('Price History'!P101)),NOT(ISNUMBER('Price History'!P100)),'Price History'!P100=0),"",'Price History'!P101/'Price History'!P100-1),"")</f>
        <v/>
      </c>
      <c r="Q100" s="137" t="n">
        <f aca="false">IFERROR(IF(OR(NOT(ISNUMBER('Price History'!Q101)),NOT(ISNUMBER('Price History'!Q100)),'Price History'!Q100=0),"",'Price History'!Q101/'Price History'!Q100-1),"")</f>
        <v>0.00740507326295892</v>
      </c>
      <c r="R100" s="137" t="n">
        <f aca="false">IFERROR(IF(OR(NOT(ISNUMBER('Price History'!R101)),NOT(ISNUMBER('Price History'!R100)),'Price History'!R100=0),"",'Price History'!R101/'Price History'!R100-1),"")</f>
        <v>0.0288151658767772</v>
      </c>
      <c r="S100" s="137" t="n">
        <f aca="false">IFERROR(IF(OR(NOT(ISNUMBER('Price History'!S101)),NOT(ISNUMBER('Price History'!S100)),'Price History'!S100=0),"",'Price History'!S101/'Price History'!S100-1),"")</f>
        <v>0.0461135534561781</v>
      </c>
      <c r="T100" s="137" t="n">
        <f aca="false">IFERROR(IF(OR(NOT(ISNUMBER('Price History'!T101)),NOT(ISNUMBER('Price History'!T100)),'Price History'!T100=0),"",'Price History'!T101/'Price History'!T100-1),"")</f>
        <v>0.00856408792463603</v>
      </c>
      <c r="U100" s="137" t="str">
        <f aca="false">IFERROR(IF(OR(NOT(ISNUMBER('Price History'!U101)),NOT(ISNUMBER('Price History'!U100)),'Price History'!U100=0),"",'Price History'!U101/'Price History'!U100-1),"")</f>
        <v/>
      </c>
      <c r="W100" s="138" t="n">
        <f aca="false">'Price History'!B3+('Price History'!B158-'Price History'!B3)*0.62987012987013</f>
        <v>345.918311688312</v>
      </c>
      <c r="X100" s="138" t="n">
        <f aca="false">'Price History'!C3+('Price History'!C158-'Price History'!C3)*0.62987012987013</f>
        <v>129.786558441558</v>
      </c>
      <c r="Y100" s="138" t="n">
        <f aca="false">'Price History'!D3+('Price History'!D158-'Price History'!D3)*0.62987012987013</f>
        <v>1271.00298701299</v>
      </c>
      <c r="Z100" s="138" t="n">
        <f aca="false">'Price History'!E3+('Price History'!E158-'Price History'!E3)*0.62987012987013</f>
        <v>275.909220779221</v>
      </c>
      <c r="AA100" s="138" t="n">
        <f aca="false">'Price History'!F3+('Price History'!F158-'Price History'!F3)*0.62987012987013</f>
        <v>133.934025974026</v>
      </c>
      <c r="AB100" s="138" t="n">
        <f aca="false">'Price History'!G3+('Price History'!G158-'Price History'!G3)*0.62987012987013</f>
        <v>132.882077922078</v>
      </c>
      <c r="AC100" s="138" t="n">
        <f aca="false">'Price History'!H3+('Price History'!H158-'Price History'!H3)*0.62987012987013</f>
        <v>542.227272727273</v>
      </c>
      <c r="AD100" s="138" t="n">
        <f aca="false">'Price History'!I3+('Price History'!I158-'Price History'!I3)*0.62987012987013</f>
        <v>141.566233766234</v>
      </c>
      <c r="AE100" s="138" t="n">
        <f aca="false">'Price History'!J3+('Price History'!J158-'Price History'!J3)*0.62987012987013</f>
        <v>136.80025974026</v>
      </c>
      <c r="AF100" s="138" t="n">
        <f aca="false">'Price History'!K3+('Price History'!K158-'Price History'!K3)*0.62987012987013</f>
        <v>83.2155194805195</v>
      </c>
      <c r="AG100" s="138" t="n">
        <f aca="false">'Price History'!L3+('Price History'!L158-'Price History'!L3)*0.62987012987013</f>
        <v>288.673246753247</v>
      </c>
      <c r="AH100" s="138" t="n">
        <f aca="false">'Price History'!M3+('Price History'!M158-'Price History'!M3)*0.62987012987013</f>
        <v>164.560779220779</v>
      </c>
      <c r="AI100" s="138" t="n">
        <f aca="false">'Price History'!N3+('Price History'!N158-'Price History'!N3)*0.62987012987013</f>
        <v>430.004675324675</v>
      </c>
      <c r="AJ100" s="138" t="n">
        <f aca="false">'Price History'!O3+('Price History'!O158-'Price History'!O3)*0.62987012987013</f>
        <v>109.57538961039</v>
      </c>
      <c r="AK100" s="138" t="n">
        <f aca="false">'Price History'!Q3+('Price History'!Q151-'Price History'!Q3)*0.62987012987013</f>
        <v>61.5618831168831</v>
      </c>
      <c r="AL100" s="138" t="n">
        <f aca="false">'Price History'!R3+('Price History'!R158-'Price History'!R3)*0.62987012987013</f>
        <v>54.3895454545455</v>
      </c>
      <c r="AM100" s="138" t="n">
        <f aca="false">'Price History'!S3+('Price History'!S158-'Price History'!S3)*0.62987012987013</f>
        <v>112.261623376623</v>
      </c>
      <c r="AN100" s="138" t="n">
        <f aca="false">'Price History'!T3+('Price History'!T158-'Price History'!T3)*0.62987012987013</f>
        <v>41.2899350649351</v>
      </c>
    </row>
    <row r="101" customFormat="false" ht="15" hidden="false" customHeight="true" outlineLevel="0" collapsed="false">
      <c r="A101" s="136" t="n">
        <f aca="false">IF('Price History'!A102="","",'Price History'!A102)</f>
        <v>45841</v>
      </c>
      <c r="B101" s="137" t="n">
        <f aca="false">IFERROR(IF(OR(NOT(ISNUMBER('Price History'!B102)),NOT(ISNUMBER('Price History'!B101)),'Price History'!B101=0),"",'Price History'!B102/'Price History'!B101-1),"")</f>
        <v>-0.0168986341134696</v>
      </c>
      <c r="C101" s="137" t="n">
        <f aca="false">IFERROR(IF(OR(NOT(ISNUMBER('Price History'!C102)),NOT(ISNUMBER('Price History'!C101)),'Price History'!C101=0),"",'Price History'!C102/'Price History'!C101-1),"")</f>
        <v>0.0314921018211087</v>
      </c>
      <c r="D101" s="137" t="n">
        <f aca="false">IFERROR(IF(OR(NOT(ISNUMBER('Price History'!D102)),NOT(ISNUMBER('Price History'!D101)),'Price History'!D101=0),"",'Price History'!D102/'Price History'!D101-1),"")</f>
        <v>-0.00182172247000445</v>
      </c>
      <c r="E101" s="137" t="n">
        <f aca="false">IFERROR(IF(OR(NOT(ISNUMBER('Price History'!E102)),NOT(ISNUMBER('Price History'!E101)),'Price History'!E101=0),"",'Price History'!E102/'Price History'!E101-1),"")</f>
        <v>0.0216447002041953</v>
      </c>
      <c r="F101" s="137" t="n">
        <f aca="false">IFERROR(IF(OR(NOT(ISNUMBER('Price History'!F102)),NOT(ISNUMBER('Price History'!F101)),'Price History'!F101=0),"",'Price History'!F102/'Price History'!F101-1),"")</f>
        <v>0.029640310822719</v>
      </c>
      <c r="G101" s="137" t="n">
        <f aca="false">IFERROR(IF(OR(NOT(ISNUMBER('Price History'!G102)),NOT(ISNUMBER('Price History'!G101)),'Price History'!G101=0),"",'Price History'!G102/'Price History'!G101-1),"")</f>
        <v>0.0389931452972243</v>
      </c>
      <c r="H101" s="137" t="n">
        <f aca="false">IFERROR(IF(OR(NOT(ISNUMBER('Price History'!H102)),NOT(ISNUMBER('Price History'!H101)),'Price History'!H101=0),"",'Price History'!H102/'Price History'!H101-1),"")</f>
        <v>-0.0197980121833921</v>
      </c>
      <c r="I101" s="137" t="n">
        <f aca="false">IFERROR(IF(OR(NOT(ISNUMBER('Price History'!I102)),NOT(ISNUMBER('Price History'!I101)),'Price History'!I101=0),"",'Price History'!I102/'Price History'!I101-1),"")</f>
        <v>0.0100792393026941</v>
      </c>
      <c r="J101" s="137" t="n">
        <f aca="false">IFERROR(IF(OR(NOT(ISNUMBER('Price History'!J102)),NOT(ISNUMBER('Price History'!J101)),'Price History'!J101=0),"",'Price History'!J102/'Price History'!J101-1),"")</f>
        <v>0.0227229691346336</v>
      </c>
      <c r="K101" s="137" t="n">
        <f aca="false">IFERROR(IF(OR(NOT(ISNUMBER('Price History'!K102)),NOT(ISNUMBER('Price History'!K101)),'Price History'!K101=0),"",'Price History'!K102/'Price History'!K101-1),"")</f>
        <v>0.0276885421447148</v>
      </c>
      <c r="L101" s="137" t="n">
        <f aca="false">IFERROR(IF(OR(NOT(ISNUMBER('Price History'!L102)),NOT(ISNUMBER('Price History'!L101)),'Price History'!L101=0),"",'Price History'!L102/'Price History'!L101-1),"")</f>
        <v>0.0272564203526273</v>
      </c>
      <c r="M101" s="137" t="n">
        <f aca="false">IFERROR(IF(OR(NOT(ISNUMBER('Price History'!M102)),NOT(ISNUMBER('Price History'!M101)),'Price History'!M101=0),"",'Price History'!M102/'Price History'!M101-1),"")</f>
        <v>0.00534759358288772</v>
      </c>
      <c r="N101" s="137" t="n">
        <f aca="false">IFERROR(IF(OR(NOT(ISNUMBER('Price History'!N102)),NOT(ISNUMBER('Price History'!N101)),'Price History'!N101=0),"",'Price History'!N102/'Price History'!N101-1),"")</f>
        <v>0.0415137094946747</v>
      </c>
      <c r="O101" s="137" t="n">
        <f aca="false">IFERROR(IF(OR(NOT(ISNUMBER('Price History'!O102)),NOT(ISNUMBER('Price History'!O101)),'Price History'!O101=0),"",'Price History'!O102/'Price History'!O101-1),"")</f>
        <v>0.041662098454117</v>
      </c>
      <c r="P101" s="137" t="str">
        <f aca="false">IFERROR(IF(OR(NOT(ISNUMBER('Price History'!P102)),NOT(ISNUMBER('Price History'!P101)),'Price History'!P101=0),"",'Price History'!P102/'Price History'!P101-1),"")</f>
        <v/>
      </c>
      <c r="Q101" s="137" t="n">
        <f aca="false">IFERROR(IF(OR(NOT(ISNUMBER('Price History'!Q102)),NOT(ISNUMBER('Price History'!Q101)),'Price History'!Q101=0),"",'Price History'!Q102/'Price History'!Q101-1),"")</f>
        <v>0.00359712230215825</v>
      </c>
      <c r="R101" s="137" t="n">
        <f aca="false">IFERROR(IF(OR(NOT(ISNUMBER('Price History'!R102)),NOT(ISNUMBER('Price History'!R101)),'Price History'!R101=0),"",'Price History'!R102/'Price History'!R101-1),"")</f>
        <v>-0.00202690252441506</v>
      </c>
      <c r="S101" s="137" t="n">
        <f aca="false">IFERROR(IF(OR(NOT(ISNUMBER('Price History'!S102)),NOT(ISNUMBER('Price History'!S101)),'Price History'!S101=0),"",'Price History'!S102/'Price History'!S101-1),"")</f>
        <v>0.00599070100143062</v>
      </c>
      <c r="T101" s="137" t="n">
        <f aca="false">IFERROR(IF(OR(NOT(ISNUMBER('Price History'!T102)),NOT(ISNUMBER('Price History'!T101)),'Price History'!T101=0),"",'Price History'!T102/'Price History'!T101-1),"")</f>
        <v>0.0124540050948203</v>
      </c>
      <c r="U101" s="137" t="str">
        <f aca="false">IFERROR(IF(OR(NOT(ISNUMBER('Price History'!U102)),NOT(ISNUMBER('Price History'!U101)),'Price History'!U101=0),"",'Price History'!U102/'Price History'!U101-1),"")</f>
        <v/>
      </c>
      <c r="W101" s="138" t="n">
        <f aca="false">'Price History'!B3+('Price History'!B158-'Price History'!B3)*0.636363636363636</f>
        <v>344.242727272727</v>
      </c>
      <c r="X101" s="138" t="n">
        <f aca="false">'Price History'!C3+('Price History'!C158-'Price History'!C3)*0.636363636363636</f>
        <v>130.673636363636</v>
      </c>
      <c r="Y101" s="138" t="n">
        <f aca="false">'Price History'!D3+('Price History'!D158-'Price History'!D3)*0.636363636363636</f>
        <v>1277.28363636364</v>
      </c>
      <c r="Z101" s="138" t="n">
        <f aca="false">'Price History'!E3+('Price History'!E158-'Price History'!E3)*0.636363636363636</f>
        <v>277.898181818182</v>
      </c>
      <c r="AA101" s="138" t="n">
        <f aca="false">'Price History'!F3+('Price History'!F158-'Price History'!F3)*0.636363636363636</f>
        <v>134.932727272727</v>
      </c>
      <c r="AB101" s="138" t="n">
        <f aca="false">'Price History'!G3+('Price History'!G158-'Price History'!G3)*0.636363636363636</f>
        <v>133.758181818182</v>
      </c>
      <c r="AC101" s="138" t="n">
        <f aca="false">'Price History'!H3+('Price History'!H158-'Price History'!H3)*0.636363636363636</f>
        <v>547.153636363636</v>
      </c>
      <c r="AD101" s="138" t="n">
        <f aca="false">'Price History'!I3+('Price History'!I158-'Price History'!I3)*0.636363636363636</f>
        <v>142.604545454545</v>
      </c>
      <c r="AE101" s="138" t="n">
        <f aca="false">'Price History'!J3+('Price History'!J158-'Price History'!J3)*0.636363636363636</f>
        <v>136.937272727273</v>
      </c>
      <c r="AF101" s="138" t="n">
        <f aca="false">'Price History'!K3+('Price History'!K158-'Price History'!K3)*0.636363636363636</f>
        <v>83.9145454545454</v>
      </c>
      <c r="AG101" s="138" t="n">
        <f aca="false">'Price History'!L3+('Price History'!L158-'Price History'!L3)*0.636363636363636</f>
        <v>290.700909090909</v>
      </c>
      <c r="AH101" s="138" t="n">
        <f aca="false">'Price History'!M3+('Price History'!M158-'Price History'!M3)*0.636363636363636</f>
        <v>165.911818181818</v>
      </c>
      <c r="AI101" s="138" t="n">
        <f aca="false">'Price History'!N3+('Price History'!N158-'Price History'!N3)*0.636363636363636</f>
        <v>430.830909090909</v>
      </c>
      <c r="AJ101" s="138" t="n">
        <f aca="false">'Price History'!O3+('Price History'!O158-'Price History'!O3)*0.636363636363636</f>
        <v>109.850909090909</v>
      </c>
      <c r="AK101" s="138" t="n">
        <f aca="false">'Price History'!Q3+('Price History'!Q151-'Price History'!Q3)*0.636363636363636</f>
        <v>61.6827272727273</v>
      </c>
      <c r="AL101" s="138" t="n">
        <f aca="false">'Price History'!R3+('Price History'!R158-'Price History'!R3)*0.636363636363636</f>
        <v>54.4572727272727</v>
      </c>
      <c r="AM101" s="138" t="n">
        <f aca="false">'Price History'!S3+('Price History'!S158-'Price History'!S3)*0.636363636363636</f>
        <v>112.815454545455</v>
      </c>
      <c r="AN101" s="138" t="n">
        <f aca="false">'Price History'!T3+('Price History'!T158-'Price History'!T3)*0.636363636363636</f>
        <v>41.4381818181818</v>
      </c>
    </row>
    <row r="102" customFormat="false" ht="15" hidden="false" customHeight="true" outlineLevel="0" collapsed="false">
      <c r="A102" s="136" t="n">
        <f aca="false">IF('Price History'!A103="","",'Price History'!A103)</f>
        <v>45849</v>
      </c>
      <c r="B102" s="137" t="n">
        <f aca="false">IFERROR(IF(OR(NOT(ISNUMBER('Price History'!B103)),NOT(ISNUMBER('Price History'!B102)),'Price History'!B102=0),"",'Price History'!B103/'Price History'!B102-1),"")</f>
        <v>-0.0420764018876381</v>
      </c>
      <c r="C102" s="137" t="n">
        <f aca="false">IFERROR(IF(OR(NOT(ISNUMBER('Price History'!C103)),NOT(ISNUMBER('Price History'!C102)),'Price History'!C102=0),"",'Price History'!C103/'Price History'!C102-1),"")</f>
        <v>0.0590128755364807</v>
      </c>
      <c r="D102" s="137" t="n">
        <f aca="false">IFERROR(IF(OR(NOT(ISNUMBER('Price History'!D103)),NOT(ISNUMBER('Price History'!D102)),'Price History'!D102=0),"",'Price History'!D103/'Price History'!D102-1),"")</f>
        <v>0.00935179358086846</v>
      </c>
      <c r="E102" s="137" t="n">
        <f aca="false">IFERROR(IF(OR(NOT(ISNUMBER('Price History'!E103)),NOT(ISNUMBER('Price History'!E102)),'Price History'!E102=0),"",'Price History'!E103/'Price History'!E102-1),"")</f>
        <v>-0.00290718802238543</v>
      </c>
      <c r="F102" s="137" t="n">
        <f aca="false">IFERROR(IF(OR(NOT(ISNUMBER('Price History'!F103)),NOT(ISNUMBER('Price History'!F102)),'Price History'!F102=0),"",'Price History'!F103/'Price History'!F102-1),"")</f>
        <v>-0.0694001400451256</v>
      </c>
      <c r="G102" s="137" t="n">
        <f aca="false">IFERROR(IF(OR(NOT(ISNUMBER('Price History'!G103)),NOT(ISNUMBER('Price History'!G102)),'Price History'!G102=0),"",'Price History'!G103/'Price History'!G102-1),"")</f>
        <v>0</v>
      </c>
      <c r="H102" s="137" t="n">
        <f aca="false">IFERROR(IF(OR(NOT(ISNUMBER('Price History'!H103)),NOT(ISNUMBER('Price History'!H102)),'Price History'!H102=0),"",'Price History'!H103/'Price History'!H102-1),"")</f>
        <v>0.0183171150543788</v>
      </c>
      <c r="I102" s="137" t="n">
        <f aca="false">IFERROR(IF(OR(NOT(ISNUMBER('Price History'!I103)),NOT(ISNUMBER('Price History'!I102)),'Price History'!I102=0),"",'Price History'!I103/'Price History'!I102-1),"")</f>
        <v>0.0350194552529182</v>
      </c>
      <c r="J102" s="137" t="n">
        <f aca="false">IFERROR(IF(OR(NOT(ISNUMBER('Price History'!J103)),NOT(ISNUMBER('Price History'!J102)),'Price History'!J102=0),"",'Price History'!J103/'Price History'!J102-1),"")</f>
        <v>0.0106461766339567</v>
      </c>
      <c r="K102" s="137" t="n">
        <f aca="false">IFERROR(IF(OR(NOT(ISNUMBER('Price History'!K103)),NOT(ISNUMBER('Price History'!K102)),'Price History'!K102=0),"",'Price History'!K103/'Price History'!K102-1),"")</f>
        <v>0.0576064304852633</v>
      </c>
      <c r="L102" s="137" t="n">
        <f aca="false">IFERROR(IF(OR(NOT(ISNUMBER('Price History'!L103)),NOT(ISNUMBER('Price History'!L102)),'Price History'!L102=0),"",'Price History'!L103/'Price History'!L102-1),"")</f>
        <v>-0.0187393526405452</v>
      </c>
      <c r="M102" s="137" t="n">
        <f aca="false">IFERROR(IF(OR(NOT(ISNUMBER('Price History'!M103)),NOT(ISNUMBER('Price History'!M102)),'Price History'!M102=0),"",'Price History'!M103/'Price History'!M102-1),"")</f>
        <v>-0.0355131414267835</v>
      </c>
      <c r="N102" s="137" t="n">
        <f aca="false">IFERROR(IF(OR(NOT(ISNUMBER('Price History'!N103)),NOT(ISNUMBER('Price History'!N102)),'Price History'!N102=0),"",'Price History'!N103/'Price History'!N102-1),"")</f>
        <v>0.0200818067098909</v>
      </c>
      <c r="O102" s="137" t="n">
        <f aca="false">IFERROR(IF(OR(NOT(ISNUMBER('Price History'!O103)),NOT(ISNUMBER('Price History'!O102)),'Price History'!O102=0),"",'Price History'!O103/'Price History'!O102-1),"")</f>
        <v>-0.00136827702347131</v>
      </c>
      <c r="P102" s="137" t="str">
        <f aca="false">IFERROR(IF(OR(NOT(ISNUMBER('Price History'!P103)),NOT(ISNUMBER('Price History'!P102)),'Price History'!P102=0),"",'Price History'!P103/'Price History'!P102-1),"")</f>
        <v/>
      </c>
      <c r="Q102" s="137" t="n">
        <f aca="false">IFERROR(IF(OR(NOT(ISNUMBER('Price History'!Q103)),NOT(ISNUMBER('Price History'!Q102)),'Price History'!Q102=0),"",'Price History'!Q103/'Price History'!Q102-1),"")</f>
        <v>0.000155836060464543</v>
      </c>
      <c r="R102" s="137" t="n">
        <f aca="false">IFERROR(IF(OR(NOT(ISNUMBER('Price History'!R103)),NOT(ISNUMBER('Price History'!R102)),'Price History'!R102=0),"",'Price History'!R103/'Price History'!R102-1),"")</f>
        <v>0.00369276218611536</v>
      </c>
      <c r="S102" s="137" t="n">
        <f aca="false">IFERROR(IF(OR(NOT(ISNUMBER('Price History'!S103)),NOT(ISNUMBER('Price History'!S102)),'Price History'!S102=0),"",'Price History'!S103/'Price History'!S102-1),"")</f>
        <v>-0.00302195360412416</v>
      </c>
      <c r="T102" s="137" t="n">
        <f aca="false">IFERROR(IF(OR(NOT(ISNUMBER('Price History'!T103)),NOT(ISNUMBER('Price History'!T102)),'Price History'!T102=0),"",'Price History'!T103/'Price History'!T102-1),"")</f>
        <v>0.00195694716242656</v>
      </c>
      <c r="U102" s="137" t="str">
        <f aca="false">IFERROR(IF(OR(NOT(ISNUMBER('Price History'!U103)),NOT(ISNUMBER('Price History'!U102)),'Price History'!U102=0),"",'Price History'!U103/'Price History'!U102-1),"")</f>
        <v/>
      </c>
      <c r="W102" s="138" t="n">
        <f aca="false">'Price History'!B3+('Price History'!B158-'Price History'!B3)*0.642857142857143</f>
        <v>342.567142857143</v>
      </c>
      <c r="X102" s="138" t="n">
        <f aca="false">'Price History'!C3+('Price History'!C158-'Price History'!C3)*0.642857142857143</f>
        <v>131.560714285714</v>
      </c>
      <c r="Y102" s="138" t="n">
        <f aca="false">'Price History'!D3+('Price History'!D158-'Price History'!D3)*0.642857142857143</f>
        <v>1283.56428571429</v>
      </c>
      <c r="Z102" s="138" t="n">
        <f aca="false">'Price History'!E3+('Price History'!E158-'Price History'!E3)*0.642857142857143</f>
        <v>279.887142857143</v>
      </c>
      <c r="AA102" s="138" t="n">
        <f aca="false">'Price History'!F3+('Price History'!F158-'Price History'!F3)*0.642857142857143</f>
        <v>135.931428571429</v>
      </c>
      <c r="AB102" s="138" t="n">
        <f aca="false">'Price History'!G3+('Price History'!G158-'Price History'!G3)*0.642857142857143</f>
        <v>134.634285714286</v>
      </c>
      <c r="AC102" s="138" t="n">
        <f aca="false">'Price History'!H3+('Price History'!H158-'Price History'!H3)*0.642857142857143</f>
        <v>552.08</v>
      </c>
      <c r="AD102" s="138" t="n">
        <f aca="false">'Price History'!I3+('Price History'!I158-'Price History'!I3)*0.642857142857143</f>
        <v>143.642857142857</v>
      </c>
      <c r="AE102" s="138" t="n">
        <f aca="false">'Price History'!J3+('Price History'!J158-'Price History'!J3)*0.642857142857143</f>
        <v>137.074285714286</v>
      </c>
      <c r="AF102" s="138" t="n">
        <f aca="false">'Price History'!K3+('Price History'!K158-'Price History'!K3)*0.642857142857143</f>
        <v>84.6135714285715</v>
      </c>
      <c r="AG102" s="138" t="n">
        <f aca="false">'Price History'!L3+('Price History'!L158-'Price History'!L3)*0.642857142857143</f>
        <v>292.728571428571</v>
      </c>
      <c r="AH102" s="138" t="n">
        <f aca="false">'Price History'!M3+('Price History'!M158-'Price History'!M3)*0.642857142857143</f>
        <v>167.262857142857</v>
      </c>
      <c r="AI102" s="138" t="n">
        <f aca="false">'Price History'!N3+('Price History'!N158-'Price History'!N3)*0.642857142857143</f>
        <v>431.657142857143</v>
      </c>
      <c r="AJ102" s="138" t="n">
        <f aca="false">'Price History'!O3+('Price History'!O158-'Price History'!O3)*0.642857142857143</f>
        <v>110.126428571429</v>
      </c>
      <c r="AK102" s="138" t="n">
        <f aca="false">'Price History'!Q3+('Price History'!Q151-'Price History'!Q3)*0.642857142857143</f>
        <v>61.8035714285714</v>
      </c>
      <c r="AL102" s="138" t="n">
        <f aca="false">'Price History'!R3+('Price History'!R158-'Price History'!R3)*0.642857142857143</f>
        <v>54.525</v>
      </c>
      <c r="AM102" s="138" t="n">
        <f aca="false">'Price History'!S3+('Price History'!S158-'Price History'!S3)*0.642857142857143</f>
        <v>113.369285714286</v>
      </c>
      <c r="AN102" s="138" t="n">
        <f aca="false">'Price History'!T3+('Price History'!T158-'Price History'!T3)*0.642857142857143</f>
        <v>41.5864285714286</v>
      </c>
    </row>
    <row r="103" customFormat="false" ht="15" hidden="false" customHeight="true" outlineLevel="0" collapsed="false">
      <c r="A103" s="136" t="n">
        <f aca="false">IF('Price History'!A104="","",'Price History'!A104)</f>
        <v>45856</v>
      </c>
      <c r="B103" s="137" t="n">
        <f aca="false">IFERROR(IF(OR(NOT(ISNUMBER('Price History'!B104)),NOT(ISNUMBER('Price History'!B103)),'Price History'!B103=0),"",'Price History'!B104/'Price History'!B103-1),"")</f>
        <v>0.00671528828952805</v>
      </c>
      <c r="C103" s="137" t="n">
        <f aca="false">IFERROR(IF(OR(NOT(ISNUMBER('Price History'!C104)),NOT(ISNUMBER('Price History'!C103)),'Price History'!C103=0),"",'Price History'!C104/'Price History'!C103-1),"")</f>
        <v>0.0295661785023489</v>
      </c>
      <c r="D103" s="137" t="n">
        <f aca="false">IFERROR(IF(OR(NOT(ISNUMBER('Price History'!D104)),NOT(ISNUMBER('Price History'!D103)),'Price History'!D103=0),"",'Price History'!D104/'Price History'!D103-1),"")</f>
        <v>-0.0839848864614118</v>
      </c>
      <c r="E103" s="137" t="n">
        <f aca="false">IFERROR(IF(OR(NOT(ISNUMBER('Price History'!E104)),NOT(ISNUMBER('Price History'!E103)),'Price History'!E103=0),"",'Price History'!E104/'Price History'!E103-1),"")</f>
        <v>0.0326554413586995</v>
      </c>
      <c r="F103" s="137" t="n">
        <f aca="false">IFERROR(IF(OR(NOT(ISNUMBER('Price History'!F104)),NOT(ISNUMBER('Price History'!F103)),'Price History'!F103=0),"",'Price History'!F104/'Price History'!F103-1),"")</f>
        <v>-0.00518351308419029</v>
      </c>
      <c r="G103" s="137" t="n">
        <f aca="false">IFERROR(IF(OR(NOT(ISNUMBER('Price History'!G104)),NOT(ISNUMBER('Price History'!G103)),'Price History'!G103=0),"",'Price History'!G104/'Price History'!G103-1),"")</f>
        <v>0.00703006705602438</v>
      </c>
      <c r="H103" s="137" t="n">
        <f aca="false">IFERROR(IF(OR(NOT(ISNUMBER('Price History'!H104)),NOT(ISNUMBER('Price History'!H103)),'Price History'!H103=0),"",'Price History'!H104/'Price History'!H103-1),"")</f>
        <v>-0.0814261623705131</v>
      </c>
      <c r="I103" s="137" t="n">
        <f aca="false">IFERROR(IF(OR(NOT(ISNUMBER('Price History'!I104)),NOT(ISNUMBER('Price History'!I103)),'Price History'!I103=0),"",'Price History'!I104/'Price History'!I103-1),"")</f>
        <v>0.0454159592529713</v>
      </c>
      <c r="J103" s="137" t="n">
        <f aca="false">IFERROR(IF(OR(NOT(ISNUMBER('Price History'!J104)),NOT(ISNUMBER('Price History'!J103)),'Price History'!J103=0),"",'Price History'!J104/'Price History'!J103-1),"")</f>
        <v>-0.0218924612988917</v>
      </c>
      <c r="K103" s="137" t="n">
        <f aca="false">IFERROR(IF(OR(NOT(ISNUMBER('Price History'!K104)),NOT(ISNUMBER('Price History'!K103)),'Price History'!K103=0),"",'Price History'!K104/'Price History'!K103-1),"")</f>
        <v>0.08036593947924</v>
      </c>
      <c r="L103" s="137" t="n">
        <f aca="false">IFERROR(IF(OR(NOT(ISNUMBER('Price History'!L104)),NOT(ISNUMBER('Price History'!L103)),'Price History'!L103=0),"",'Price History'!L104/'Price History'!L103-1),"")</f>
        <v>0.0434027777777777</v>
      </c>
      <c r="M103" s="137" t="n">
        <f aca="false">IFERROR(IF(OR(NOT(ISNUMBER('Price History'!M104)),NOT(ISNUMBER('Price History'!M103)),'Price History'!M103=0),"",'Price History'!M104/'Price History'!M103-1),"")</f>
        <v>0.0467153284671533</v>
      </c>
      <c r="N103" s="137" t="n">
        <f aca="false">IFERROR(IF(OR(NOT(ISNUMBER('Price History'!N104)),NOT(ISNUMBER('Price History'!N103)),'Price History'!N103=0),"",'Price History'!N104/'Price History'!N103-1),"")</f>
        <v>-0.0192812200063986</v>
      </c>
      <c r="O103" s="137" t="n">
        <f aca="false">IFERROR(IF(OR(NOT(ISNUMBER('Price History'!O104)),NOT(ISNUMBER('Price History'!O103)),'Price History'!O103=0),"",'Price History'!O104/'Price History'!O103-1),"")</f>
        <v>-0.0116989881956155</v>
      </c>
      <c r="P103" s="137" t="str">
        <f aca="false">IFERROR(IF(OR(NOT(ISNUMBER('Price History'!P104)),NOT(ISNUMBER('Price History'!P103)),'Price History'!P103=0),"",'Price History'!P104/'Price History'!P103-1),"")</f>
        <v/>
      </c>
      <c r="Q103" s="137" t="n">
        <f aca="false">IFERROR(IF(OR(NOT(ISNUMBER('Price History'!Q104)),NOT(ISNUMBER('Price History'!Q103)),'Price History'!Q103=0),"",'Price History'!Q104/'Price History'!Q103-1),"")</f>
        <v>0.00218136491118703</v>
      </c>
      <c r="R103" s="137" t="n">
        <f aca="false">IFERROR(IF(OR(NOT(ISNUMBER('Price History'!R104)),NOT(ISNUMBER('Price History'!R103)),'Price History'!R103=0),"",'Price History'!R104/'Price History'!R103-1),"")</f>
        <v>0.00607064017660042</v>
      </c>
      <c r="S103" s="137" t="n">
        <f aca="false">IFERROR(IF(OR(NOT(ISNUMBER('Price History'!S104)),NOT(ISNUMBER('Price History'!S103)),'Price History'!S103=0),"",'Price History'!S104/'Price History'!S103-1),"")</f>
        <v>0.014798965855398</v>
      </c>
      <c r="T103" s="137" t="n">
        <f aca="false">IFERROR(IF(OR(NOT(ISNUMBER('Price History'!T104)),NOT(ISNUMBER('Price History'!T103)),'Price History'!T103=0),"",'Price History'!T104/'Price History'!T103-1),"")</f>
        <v>-0.0212053571428573</v>
      </c>
      <c r="U103" s="137" t="str">
        <f aca="false">IFERROR(IF(OR(NOT(ISNUMBER('Price History'!U104)),NOT(ISNUMBER('Price History'!U103)),'Price History'!U103=0),"",'Price History'!U104/'Price History'!U103-1),"")</f>
        <v/>
      </c>
      <c r="W103" s="138" t="n">
        <f aca="false">'Price History'!B3+('Price History'!B158-'Price History'!B3)*0.649350649350649</f>
        <v>340.891558441559</v>
      </c>
      <c r="X103" s="138" t="n">
        <f aca="false">'Price History'!C3+('Price History'!C158-'Price History'!C3)*0.649350649350649</f>
        <v>132.447792207792</v>
      </c>
      <c r="Y103" s="138" t="n">
        <f aca="false">'Price History'!D3+('Price History'!D158-'Price History'!D3)*0.649350649350649</f>
        <v>1289.84493506493</v>
      </c>
      <c r="Z103" s="138" t="n">
        <f aca="false">'Price History'!E3+('Price History'!E158-'Price History'!E3)*0.649350649350649</f>
        <v>281.876103896104</v>
      </c>
      <c r="AA103" s="138" t="n">
        <f aca="false">'Price History'!F3+('Price History'!F158-'Price History'!F3)*0.649350649350649</f>
        <v>136.93012987013</v>
      </c>
      <c r="AB103" s="138" t="n">
        <f aca="false">'Price History'!G3+('Price History'!G158-'Price History'!G3)*0.649350649350649</f>
        <v>135.51038961039</v>
      </c>
      <c r="AC103" s="138" t="n">
        <f aca="false">'Price History'!H3+('Price History'!H158-'Price History'!H3)*0.649350649350649</f>
        <v>557.006363636363</v>
      </c>
      <c r="AD103" s="138" t="n">
        <f aca="false">'Price History'!I3+('Price History'!I158-'Price History'!I3)*0.649350649350649</f>
        <v>144.681168831169</v>
      </c>
      <c r="AE103" s="138" t="n">
        <f aca="false">'Price History'!J3+('Price History'!J158-'Price History'!J3)*0.649350649350649</f>
        <v>137.211298701299</v>
      </c>
      <c r="AF103" s="138" t="n">
        <f aca="false">'Price History'!K3+('Price History'!K158-'Price History'!K3)*0.649350649350649</f>
        <v>85.3125974025974</v>
      </c>
      <c r="AG103" s="138" t="n">
        <f aca="false">'Price History'!L3+('Price History'!L158-'Price History'!L3)*0.649350649350649</f>
        <v>294.756233766234</v>
      </c>
      <c r="AH103" s="138" t="n">
        <f aca="false">'Price History'!M3+('Price History'!M158-'Price History'!M3)*0.649350649350649</f>
        <v>168.613896103896</v>
      </c>
      <c r="AI103" s="138" t="n">
        <f aca="false">'Price History'!N3+('Price History'!N158-'Price History'!N3)*0.649350649350649</f>
        <v>432.483376623377</v>
      </c>
      <c r="AJ103" s="138" t="n">
        <f aca="false">'Price History'!O3+('Price History'!O158-'Price History'!O3)*0.649350649350649</f>
        <v>110.401948051948</v>
      </c>
      <c r="AK103" s="138" t="n">
        <f aca="false">'Price History'!Q3+('Price History'!Q151-'Price History'!Q3)*0.649350649350649</f>
        <v>61.9244155844156</v>
      </c>
      <c r="AL103" s="138" t="n">
        <f aca="false">'Price History'!R3+('Price History'!R158-'Price History'!R3)*0.649350649350649</f>
        <v>54.5927272727273</v>
      </c>
      <c r="AM103" s="138" t="n">
        <f aca="false">'Price History'!S3+('Price History'!S158-'Price History'!S3)*0.649350649350649</f>
        <v>113.923116883117</v>
      </c>
      <c r="AN103" s="138" t="n">
        <f aca="false">'Price History'!T3+('Price History'!T158-'Price History'!T3)*0.649350649350649</f>
        <v>41.7346753246753</v>
      </c>
    </row>
    <row r="104" customFormat="false" ht="15" hidden="false" customHeight="true" outlineLevel="0" collapsed="false">
      <c r="A104" s="136" t="n">
        <f aca="false">IF('Price History'!A105="","",'Price History'!A105)</f>
        <v>45863</v>
      </c>
      <c r="B104" s="137" t="n">
        <f aca="false">IFERROR(IF(OR(NOT(ISNUMBER('Price History'!B105)),NOT(ISNUMBER('Price History'!B104)),'Price History'!B104=0),"",'Price History'!B105/'Price History'!B104-1),"")</f>
        <v>0.0135323546297055</v>
      </c>
      <c r="C104" s="137" t="n">
        <f aca="false">IFERROR(IF(OR(NOT(ISNUMBER('Price History'!C105)),NOT(ISNUMBER('Price History'!C104)),'Price History'!C104=0),"",'Price History'!C105/'Price History'!C104-1),"")</f>
        <v>0.0223653605296117</v>
      </c>
      <c r="D104" s="137" t="n">
        <f aca="false">IFERROR(IF(OR(NOT(ISNUMBER('Price History'!D105)),NOT(ISNUMBER('Price History'!D104)),'Price History'!D104=0),"",'Price History'!D105/'Price History'!D104-1),"")</f>
        <v>-0.0317596449671922</v>
      </c>
      <c r="E104" s="137" t="n">
        <f aca="false">IFERROR(IF(OR(NOT(ISNUMBER('Price History'!E105)),NOT(ISNUMBER('Price History'!E104)),'Price History'!E104=0),"",'Price History'!E105/'Price History'!E104-1),"")</f>
        <v>0.0241406084562716</v>
      </c>
      <c r="F104" s="137" t="n">
        <f aca="false">IFERROR(IF(OR(NOT(ISNUMBER('Price History'!F105)),NOT(ISNUMBER('Price History'!F104)),'Price History'!F104=0),"",'Price History'!F105/'Price History'!F104-1),"")</f>
        <v>-0.0168921758130934</v>
      </c>
      <c r="G104" s="137" t="n">
        <f aca="false">IFERROR(IF(OR(NOT(ISNUMBER('Price History'!G105)),NOT(ISNUMBER('Price History'!G104)),'Price History'!G104=0),"",'Price History'!G105/'Price History'!G104-1),"")</f>
        <v>-0.0311459563956611</v>
      </c>
      <c r="H104" s="137" t="n">
        <f aca="false">IFERROR(IF(OR(NOT(ISNUMBER('Price History'!H105)),NOT(ISNUMBER('Price History'!H104)),'Price History'!H104=0),"",'Price History'!H105/'Price History'!H104-1),"")</f>
        <v>-0.0273625316898329</v>
      </c>
      <c r="I104" s="137" t="n">
        <f aca="false">IFERROR(IF(OR(NOT(ISNUMBER('Price History'!I105)),NOT(ISNUMBER('Price History'!I104)),'Price History'!I104=0),"",'Price History'!I105/'Price History'!I104-1),"")</f>
        <v>0.00632213908706003</v>
      </c>
      <c r="J104" s="137" t="n">
        <f aca="false">IFERROR(IF(OR(NOT(ISNUMBER('Price History'!J105)),NOT(ISNUMBER('Price History'!J104)),'Price History'!J104=0),"",'Price History'!J105/'Price History'!J104-1),"")</f>
        <v>0.0328713242180183</v>
      </c>
      <c r="K104" s="137" t="n">
        <f aca="false">IFERROR(IF(OR(NOT(ISNUMBER('Price History'!K105)),NOT(ISNUMBER('Price History'!K104)),'Price History'!K104=0),"",'Price History'!K105/'Price History'!K104-1),"")</f>
        <v>0.0343929129755081</v>
      </c>
      <c r="L104" s="137" t="n">
        <f aca="false">IFERROR(IF(OR(NOT(ISNUMBER('Price History'!L105)),NOT(ISNUMBER('Price History'!L104)),'Price History'!L104=0),"",'Price History'!L105/'Price History'!L104-1),"")</f>
        <v>0.021630615640599</v>
      </c>
      <c r="M104" s="137" t="n">
        <f aca="false">IFERROR(IF(OR(NOT(ISNUMBER('Price History'!M105)),NOT(ISNUMBER('Price History'!M104)),'Price History'!M104=0),"",'Price History'!M105/'Price History'!M104-1),"")</f>
        <v>0.0651634898496822</v>
      </c>
      <c r="N104" s="137" t="n">
        <f aca="false">IFERROR(IF(OR(NOT(ISNUMBER('Price History'!N105)),NOT(ISNUMBER('Price History'!N104)),'Price History'!N104=0),"",'Price History'!N105/'Price History'!N104-1),"")</f>
        <v>0.0214001435375482</v>
      </c>
      <c r="O104" s="137" t="n">
        <f aca="false">IFERROR(IF(OR(NOT(ISNUMBER('Price History'!O105)),NOT(ISNUMBER('Price History'!O104)),'Price History'!O104=0),"",'Price History'!O105/'Price History'!O104-1),"")</f>
        <v>0.014716860403114</v>
      </c>
      <c r="P104" s="137" t="str">
        <f aca="false">IFERROR(IF(OR(NOT(ISNUMBER('Price History'!P105)),NOT(ISNUMBER('Price History'!P104)),'Price History'!P104=0),"",'Price History'!P105/'Price History'!P104-1),"")</f>
        <v/>
      </c>
      <c r="Q104" s="137" t="n">
        <f aca="false">IFERROR(IF(OR(NOT(ISNUMBER('Price History'!Q105)),NOT(ISNUMBER('Price History'!Q104)),'Price History'!Q104=0),"",'Price History'!Q105/'Price History'!Q104-1),"")</f>
        <v>0.00855099502487589</v>
      </c>
      <c r="R104" s="137" t="n">
        <f aca="false">IFERROR(IF(OR(NOT(ISNUMBER('Price History'!R105)),NOT(ISNUMBER('Price History'!R104)),'Price History'!R104=0),"",'Price History'!R105/'Price History'!R104-1),"")</f>
        <v>0.00713110257816796</v>
      </c>
      <c r="S104" s="137" t="n">
        <f aca="false">IFERROR(IF(OR(NOT(ISNUMBER('Price History'!S105)),NOT(ISNUMBER('Price History'!S104)),'Price History'!S104=0),"",'Price History'!S105/'Price History'!S104-1),"")</f>
        <v>0.0105420363700255</v>
      </c>
      <c r="T104" s="137" t="n">
        <f aca="false">IFERROR(IF(OR(NOT(ISNUMBER('Price History'!T105)),NOT(ISNUMBER('Price History'!T104)),'Price History'!T104=0),"",'Price History'!T105/'Price History'!T104-1),"")</f>
        <v>0.0219498289623719</v>
      </c>
      <c r="U104" s="137" t="str">
        <f aca="false">IFERROR(IF(OR(NOT(ISNUMBER('Price History'!U105)),NOT(ISNUMBER('Price History'!U104)),'Price History'!U104=0),"",'Price History'!U105/'Price History'!U104-1),"")</f>
        <v/>
      </c>
      <c r="W104" s="138" t="n">
        <f aca="false">'Price History'!B3+('Price History'!B158-'Price History'!B3)*0.655844155844156</f>
        <v>339.215974025974</v>
      </c>
      <c r="X104" s="138" t="n">
        <f aca="false">'Price History'!C3+('Price History'!C158-'Price History'!C3)*0.655844155844156</f>
        <v>133.33487012987</v>
      </c>
      <c r="Y104" s="138" t="n">
        <f aca="false">'Price History'!D3+('Price History'!D158-'Price History'!D3)*0.655844155844156</f>
        <v>1296.12558441558</v>
      </c>
      <c r="Z104" s="138" t="n">
        <f aca="false">'Price History'!E3+('Price History'!E158-'Price History'!E3)*0.655844155844156</f>
        <v>283.865064935065</v>
      </c>
      <c r="AA104" s="138" t="n">
        <f aca="false">'Price History'!F3+('Price History'!F158-'Price History'!F3)*0.655844155844156</f>
        <v>137.928831168831</v>
      </c>
      <c r="AB104" s="138" t="n">
        <f aca="false">'Price History'!G3+('Price History'!G158-'Price History'!G3)*0.655844155844156</f>
        <v>136.386493506494</v>
      </c>
      <c r="AC104" s="138" t="n">
        <f aca="false">'Price History'!H3+('Price History'!H158-'Price History'!H3)*0.655844155844156</f>
        <v>561.932727272727</v>
      </c>
      <c r="AD104" s="138" t="n">
        <f aca="false">'Price History'!I3+('Price History'!I158-'Price History'!I3)*0.655844155844156</f>
        <v>145.719480519481</v>
      </c>
      <c r="AE104" s="138" t="n">
        <f aca="false">'Price History'!J3+('Price History'!J158-'Price History'!J3)*0.655844155844156</f>
        <v>137.348311688312</v>
      </c>
      <c r="AF104" s="138" t="n">
        <f aca="false">'Price History'!K3+('Price History'!K158-'Price History'!K3)*0.655844155844156</f>
        <v>86.0116233766234</v>
      </c>
      <c r="AG104" s="138" t="n">
        <f aca="false">'Price History'!L3+('Price History'!L158-'Price History'!L3)*0.655844155844156</f>
        <v>296.783896103896</v>
      </c>
      <c r="AH104" s="138" t="n">
        <f aca="false">'Price History'!M3+('Price History'!M158-'Price History'!M3)*0.655844155844156</f>
        <v>169.964935064935</v>
      </c>
      <c r="AI104" s="138" t="n">
        <f aca="false">'Price History'!N3+('Price History'!N158-'Price History'!N3)*0.655844155844156</f>
        <v>433.30961038961</v>
      </c>
      <c r="AJ104" s="138" t="n">
        <f aca="false">'Price History'!O3+('Price History'!O158-'Price History'!O3)*0.655844155844156</f>
        <v>110.677467532468</v>
      </c>
      <c r="AK104" s="138" t="n">
        <f aca="false">'Price History'!Q3+('Price History'!Q151-'Price History'!Q3)*0.655844155844156</f>
        <v>62.0452597402597</v>
      </c>
      <c r="AL104" s="138" t="n">
        <f aca="false">'Price History'!R3+('Price History'!R158-'Price History'!R3)*0.655844155844156</f>
        <v>54.6604545454546</v>
      </c>
      <c r="AM104" s="138" t="n">
        <f aca="false">'Price History'!S3+('Price History'!S158-'Price History'!S3)*0.655844155844156</f>
        <v>114.476948051948</v>
      </c>
      <c r="AN104" s="138" t="n">
        <f aca="false">'Price History'!T3+('Price History'!T158-'Price History'!T3)*0.655844155844156</f>
        <v>41.8829220779221</v>
      </c>
    </row>
    <row r="105" customFormat="false" ht="15" hidden="false" customHeight="true" outlineLevel="0" collapsed="false">
      <c r="A105" s="136" t="n">
        <f aca="false">IF('Price History'!A106="","",'Price History'!A106)</f>
        <v>45870</v>
      </c>
      <c r="B105" s="137" t="n">
        <f aca="false">IFERROR(IF(OR(NOT(ISNUMBER('Price History'!B106)),NOT(ISNUMBER('Price History'!B105)),'Price History'!B105=0),"",'Price History'!B106/'Price History'!B105-1),"")</f>
        <v>-0.06187624750499</v>
      </c>
      <c r="C105" s="137" t="n">
        <f aca="false">IFERROR(IF(OR(NOT(ISNUMBER('Price History'!C106)),NOT(ISNUMBER('Price History'!C105)),'Price History'!C105=0),"",'Price History'!C106/'Price History'!C105-1),"")</f>
        <v>0.0287889394469723</v>
      </c>
      <c r="D105" s="137" t="n">
        <f aca="false">IFERROR(IF(OR(NOT(ISNUMBER('Price History'!D106)),NOT(ISNUMBER('Price History'!D105)),'Price History'!D105=0),"",'Price History'!D106/'Price History'!D105-1),"")</f>
        <v>-0.0301300527240772</v>
      </c>
      <c r="E105" s="137" t="n">
        <f aca="false">IFERROR(IF(OR(NOT(ISNUMBER('Price History'!E106)),NOT(ISNUMBER('Price History'!E105)),'Price History'!E105=0),"",'Price History'!E106/'Price History'!E105-1),"")</f>
        <v>-0.00530705079605764</v>
      </c>
      <c r="F105" s="137" t="n">
        <f aca="false">IFERROR(IF(OR(NOT(ISNUMBER('Price History'!F106)),NOT(ISNUMBER('Price History'!F105)),'Price History'!F105=0),"",'Price History'!F106/'Price History'!F105-1),"")</f>
        <v>-0.0453923747649171</v>
      </c>
      <c r="G105" s="137" t="n">
        <f aca="false">IFERROR(IF(OR(NOT(ISNUMBER('Price History'!G106)),NOT(ISNUMBER('Price History'!G105)),'Price History'!G105=0),"",'Price History'!G106/'Price History'!G105-1),"")</f>
        <v>-0.0171821305841924</v>
      </c>
      <c r="H105" s="137" t="n">
        <f aca="false">IFERROR(IF(OR(NOT(ISNUMBER('Price History'!H106)),NOT(ISNUMBER('Price History'!H105)),'Price History'!H105=0),"",'Price History'!H106/'Price History'!H105-1),"")</f>
        <v>-0.0573431601653784</v>
      </c>
      <c r="I105" s="137" t="n">
        <f aca="false">IFERROR(IF(OR(NOT(ISNUMBER('Price History'!I106)),NOT(ISNUMBER('Price History'!I105)),'Price History'!I105=0),"",'Price History'!I106/'Price History'!I105-1),"")</f>
        <v>0.00126801152737754</v>
      </c>
      <c r="J105" s="137" t="n">
        <f aca="false">IFERROR(IF(OR(NOT(ISNUMBER('Price History'!J106)),NOT(ISNUMBER('Price History'!J105)),'Price History'!J105=0),"",'Price History'!J106/'Price History'!J105-1),"")</f>
        <v>-0.0487804878048781</v>
      </c>
      <c r="K105" s="137" t="n">
        <f aca="false">IFERROR(IF(OR(NOT(ISNUMBER('Price History'!K106)),NOT(ISNUMBER('Price History'!K105)),'Price History'!K105=0),"",'Price History'!K106/'Price History'!K105-1),"")</f>
        <v>-0.0285264483627204</v>
      </c>
      <c r="L105" s="137" t="n">
        <f aca="false">IFERROR(IF(OR(NOT(ISNUMBER('Price History'!L106)),NOT(ISNUMBER('Price History'!L105)),'Price History'!L105=0),"",'Price History'!L106/'Price History'!L105-1),"")</f>
        <v>-0.0423045602605863</v>
      </c>
      <c r="M105" s="137" t="n">
        <f aca="false">IFERROR(IF(OR(NOT(ISNUMBER('Price History'!M106)),NOT(ISNUMBER('Price History'!M105)),'Price History'!M105=0),"",'Price History'!M106/'Price History'!M105-1),"")</f>
        <v>0.0299701753109769</v>
      </c>
      <c r="N105" s="137" t="n">
        <f aca="false">IFERROR(IF(OR(NOT(ISNUMBER('Price History'!N106)),NOT(ISNUMBER('Price History'!N105)),'Price History'!N105=0),"",'Price History'!N106/'Price History'!N105-1),"")</f>
        <v>-0.0160119237730224</v>
      </c>
      <c r="O105" s="137" t="n">
        <f aca="false">IFERROR(IF(OR(NOT(ISNUMBER('Price History'!O106)),NOT(ISNUMBER('Price History'!O105)),'Price History'!O105=0),"",'Price History'!O106/'Price History'!O105-1),"")</f>
        <v>-0.0502364687335786</v>
      </c>
      <c r="P105" s="137" t="str">
        <f aca="false">IFERROR(IF(OR(NOT(ISNUMBER('Price History'!P106)),NOT(ISNUMBER('Price History'!P105)),'Price History'!P105=0),"",'Price History'!P106/'Price History'!P105-1),"")</f>
        <v/>
      </c>
      <c r="Q105" s="137" t="n">
        <f aca="false">IFERROR(IF(OR(NOT(ISNUMBER('Price History'!Q106)),NOT(ISNUMBER('Price History'!Q105)),'Price History'!Q105=0),"",'Price History'!Q106/'Price History'!Q105-1),"")</f>
        <v>0.00200400801603196</v>
      </c>
      <c r="R105" s="137" t="n">
        <f aca="false">IFERROR(IF(OR(NOT(ISNUMBER('Price History'!R106)),NOT(ISNUMBER('Price History'!R105)),'Price History'!R105=0),"",'Price History'!R106/'Price History'!R105-1),"")</f>
        <v>-0.0230573710965867</v>
      </c>
      <c r="S105" s="137" t="n">
        <f aca="false">IFERROR(IF(OR(NOT(ISNUMBER('Price History'!S106)),NOT(ISNUMBER('Price History'!S105)),'Price History'!S105=0),"",'Price History'!S106/'Price History'!S105-1),"")</f>
        <v>-0.0156480918021386</v>
      </c>
      <c r="T105" s="137" t="n">
        <f aca="false">IFERROR(IF(OR(NOT(ISNUMBER('Price History'!T106)),NOT(ISNUMBER('Price History'!T105)),'Price History'!T105=0),"",'Price History'!T106/'Price History'!T105-1),"")</f>
        <v>-0.0418410041841004</v>
      </c>
      <c r="U105" s="137" t="str">
        <f aca="false">IFERROR(IF(OR(NOT(ISNUMBER('Price History'!U106)),NOT(ISNUMBER('Price History'!U105)),'Price History'!U105=0),"",'Price History'!U106/'Price History'!U105-1),"")</f>
        <v/>
      </c>
      <c r="W105" s="138" t="n">
        <f aca="false">'Price History'!B3+('Price History'!B158-'Price History'!B3)*0.662337662337662</f>
        <v>337.54038961039</v>
      </c>
      <c r="X105" s="138" t="n">
        <f aca="false">'Price History'!C3+('Price History'!C158-'Price History'!C3)*0.662337662337662</f>
        <v>134.221948051948</v>
      </c>
      <c r="Y105" s="138" t="n">
        <f aca="false">'Price History'!D3+('Price History'!D158-'Price History'!D3)*0.662337662337662</f>
        <v>1302.40623376623</v>
      </c>
      <c r="Z105" s="138" t="n">
        <f aca="false">'Price History'!E3+('Price History'!E158-'Price History'!E3)*0.662337662337662</f>
        <v>285.854025974026</v>
      </c>
      <c r="AA105" s="138" t="n">
        <f aca="false">'Price History'!F3+('Price History'!F158-'Price History'!F3)*0.662337662337662</f>
        <v>138.927532467532</v>
      </c>
      <c r="AB105" s="138" t="n">
        <f aca="false">'Price History'!G3+('Price History'!G158-'Price History'!G3)*0.662337662337662</f>
        <v>137.262597402597</v>
      </c>
      <c r="AC105" s="138" t="n">
        <f aca="false">'Price History'!H3+('Price History'!H158-'Price History'!H3)*0.662337662337662</f>
        <v>566.859090909091</v>
      </c>
      <c r="AD105" s="138" t="n">
        <f aca="false">'Price History'!I3+('Price History'!I158-'Price History'!I3)*0.662337662337662</f>
        <v>146.757792207792</v>
      </c>
      <c r="AE105" s="138" t="n">
        <f aca="false">'Price History'!J3+('Price History'!J158-'Price History'!J3)*0.662337662337662</f>
        <v>137.485324675325</v>
      </c>
      <c r="AF105" s="138" t="n">
        <f aca="false">'Price History'!K3+('Price History'!K158-'Price History'!K3)*0.662337662337662</f>
        <v>86.7106493506493</v>
      </c>
      <c r="AG105" s="138" t="n">
        <f aca="false">'Price History'!L3+('Price History'!L158-'Price History'!L3)*0.662337662337662</f>
        <v>298.811558441558</v>
      </c>
      <c r="AH105" s="138" t="n">
        <f aca="false">'Price History'!M3+('Price History'!M158-'Price History'!M3)*0.662337662337662</f>
        <v>171.315974025974</v>
      </c>
      <c r="AI105" s="138" t="n">
        <f aca="false">'Price History'!N3+('Price History'!N158-'Price History'!N3)*0.662337662337662</f>
        <v>434.135844155844</v>
      </c>
      <c r="AJ105" s="138" t="n">
        <f aca="false">'Price History'!O3+('Price History'!O158-'Price History'!O3)*0.662337662337662</f>
        <v>110.952987012987</v>
      </c>
      <c r="AK105" s="138" t="n">
        <f aca="false">'Price History'!Q3+('Price History'!Q151-'Price History'!Q3)*0.662337662337662</f>
        <v>62.1661038961039</v>
      </c>
      <c r="AL105" s="138" t="n">
        <f aca="false">'Price History'!R3+('Price History'!R158-'Price History'!R3)*0.662337662337662</f>
        <v>54.7281818181818</v>
      </c>
      <c r="AM105" s="138" t="n">
        <f aca="false">'Price History'!S3+('Price History'!S158-'Price History'!S3)*0.662337662337662</f>
        <v>115.030779220779</v>
      </c>
      <c r="AN105" s="138" t="n">
        <f aca="false">'Price History'!T3+('Price History'!T158-'Price History'!T3)*0.662337662337662</f>
        <v>42.0311688311688</v>
      </c>
    </row>
    <row r="106" customFormat="false" ht="15" hidden="false" customHeight="true" outlineLevel="0" collapsed="false">
      <c r="A106" s="136" t="n">
        <f aca="false">IF('Price History'!A107="","",'Price History'!A107)</f>
        <v>45877</v>
      </c>
      <c r="B106" s="137" t="n">
        <f aca="false">IFERROR(IF(OR(NOT(ISNUMBER('Price History'!B107)),NOT(ISNUMBER('Price History'!B106)),'Price History'!B106=0),"",'Price History'!B107/'Price History'!B106-1),"")</f>
        <v>-0.0194077055779184</v>
      </c>
      <c r="C106" s="137" t="n">
        <f aca="false">IFERROR(IF(OR(NOT(ISNUMBER('Price History'!C107)),NOT(ISNUMBER('Price History'!C106)),'Price History'!C106=0),"",'Price History'!C107/'Price History'!C106-1),"")</f>
        <v>0.183805392532109</v>
      </c>
      <c r="D106" s="137" t="n">
        <f aca="false">IFERROR(IF(OR(NOT(ISNUMBER('Price History'!D107)),NOT(ISNUMBER('Price History'!D106)),'Price History'!D106=0),"",'Price History'!D107/'Price History'!D106-1),"")</f>
        <v>0.0471137398161838</v>
      </c>
      <c r="E106" s="137" t="n">
        <f aca="false">IFERROR(IF(OR(NOT(ISNUMBER('Price History'!E107)),NOT(ISNUMBER('Price History'!E106)),'Price History'!E106=0),"",'Price History'!E107/'Price History'!E106-1),"")</f>
        <v>0.0565756651884701</v>
      </c>
      <c r="F106" s="137" t="n">
        <f aca="false">IFERROR(IF(OR(NOT(ISNUMBER('Price History'!F107)),NOT(ISNUMBER('Price History'!F106)),'Price History'!F106=0),"",'Price History'!F107/'Price History'!F106-1),"")</f>
        <v>-0.0497000089549565</v>
      </c>
      <c r="G106" s="137" t="n">
        <f aca="false">IFERROR(IF(OR(NOT(ISNUMBER('Price History'!G107)),NOT(ISNUMBER('Price History'!G106)),'Price History'!G106=0),"",'Price History'!G107/'Price History'!G106-1),"")</f>
        <v>0.0318069027746448</v>
      </c>
      <c r="H106" s="137" t="n">
        <f aca="false">IFERROR(IF(OR(NOT(ISNUMBER('Price History'!H107)),NOT(ISNUMBER('Price History'!H106)),'Price History'!H106=0),"",'Price History'!H107/'Price History'!H106-1),"")</f>
        <v>0.13358123569794</v>
      </c>
      <c r="I106" s="137" t="n">
        <f aca="false">IFERROR(IF(OR(NOT(ISNUMBER('Price History'!I107)),NOT(ISNUMBER('Price History'!I106)),'Price History'!I106=0),"",'Price History'!I107/'Price History'!I106-1),"")</f>
        <v>0.0516923785401795</v>
      </c>
      <c r="J106" s="137" t="n">
        <f aca="false">IFERROR(IF(OR(NOT(ISNUMBER('Price History'!J107)),NOT(ISNUMBER('Price History'!J106)),'Price History'!J106=0),"",'Price History'!J107/'Price History'!J106-1),"")</f>
        <v>0.00733962443999636</v>
      </c>
      <c r="K106" s="137" t="n">
        <f aca="false">IFERROR(IF(OR(NOT(ISNUMBER('Price History'!K107)),NOT(ISNUMBER('Price History'!K106)),'Price History'!K106=0),"",'Price History'!K107/'Price History'!K106-1),"")</f>
        <v>0.211901212160498</v>
      </c>
      <c r="L106" s="137" t="n">
        <f aca="false">IFERROR(IF(OR(NOT(ISNUMBER('Price History'!L107)),NOT(ISNUMBER('Price History'!L106)),'Price History'!L106=0),"",'Price History'!L107/'Price History'!L106-1),"")</f>
        <v>0.0281450618596149</v>
      </c>
      <c r="M106" s="137" t="n">
        <f aca="false">IFERROR(IF(OR(NOT(ISNUMBER('Price History'!M107)),NOT(ISNUMBER('Price History'!M106)),'Price History'!M106=0),"",'Price History'!M107/'Price History'!M106-1),"")</f>
        <v>-0.011723991807331</v>
      </c>
      <c r="N106" s="137" t="n">
        <f aca="false">IFERROR(IF(OR(NOT(ISNUMBER('Price History'!N107)),NOT(ISNUMBER('Price History'!N106)),'Price History'!N106=0),"",'Price History'!N107/'Price History'!N106-1),"")</f>
        <v>-0.206846558327743</v>
      </c>
      <c r="O106" s="137" t="n">
        <f aca="false">IFERROR(IF(OR(NOT(ISNUMBER('Price History'!O107)),NOT(ISNUMBER('Price History'!O106)),'Price History'!O106=0),"",'Price History'!O107/'Price History'!O106-1),"")</f>
        <v>0.0232378001549185</v>
      </c>
      <c r="P106" s="137" t="str">
        <f aca="false">IFERROR(IF(OR(NOT(ISNUMBER('Price History'!P107)),NOT(ISNUMBER('Price History'!P106)),'Price History'!P106=0),"",'Price History'!P107/'Price History'!P106-1),"")</f>
        <v/>
      </c>
      <c r="Q106" s="137" t="n">
        <f aca="false">IFERROR(IF(OR(NOT(ISNUMBER('Price History'!Q107)),NOT(ISNUMBER('Price History'!Q106)),'Price History'!Q106=0),"",'Price History'!Q107/'Price History'!Q106-1),"")</f>
        <v>-0.00169230769230766</v>
      </c>
      <c r="R106" s="137" t="n">
        <f aca="false">IFERROR(IF(OR(NOT(ISNUMBER('Price History'!R107)),NOT(ISNUMBER('Price History'!R106)),'Price History'!R106=0),"",'Price History'!R107/'Price History'!R106-1),"")</f>
        <v>0.0280616985690392</v>
      </c>
      <c r="S106" s="137" t="n">
        <f aca="false">IFERROR(IF(OR(NOT(ISNUMBER('Price History'!S107)),NOT(ISNUMBER('Price History'!S106)),'Price History'!S106=0),"",'Price History'!S107/'Price History'!S106-1),"")</f>
        <v>0.0349730636757042</v>
      </c>
      <c r="T106" s="137" t="n">
        <f aca="false">IFERROR(IF(OR(NOT(ISNUMBER('Price History'!T107)),NOT(ISNUMBER('Price History'!T106)),'Price History'!T106=0),"",'Price History'!T107/'Price History'!T106-1),"")</f>
        <v>0.00989810771470157</v>
      </c>
      <c r="U106" s="137" t="str">
        <f aca="false">IFERROR(IF(OR(NOT(ISNUMBER('Price History'!U107)),NOT(ISNUMBER('Price History'!U106)),'Price History'!U106=0),"",'Price History'!U107/'Price History'!U106-1),"")</f>
        <v/>
      </c>
      <c r="W106" s="138" t="n">
        <f aca="false">'Price History'!B3+('Price History'!B158-'Price History'!B3)*0.668831168831169</f>
        <v>335.864805194805</v>
      </c>
      <c r="X106" s="138" t="n">
        <f aca="false">'Price History'!C3+('Price History'!C158-'Price History'!C3)*0.668831168831169</f>
        <v>135.109025974026</v>
      </c>
      <c r="Y106" s="138" t="n">
        <f aca="false">'Price History'!D3+('Price History'!D158-'Price History'!D3)*0.668831168831169</f>
        <v>1308.68688311688</v>
      </c>
      <c r="Z106" s="138" t="n">
        <f aca="false">'Price History'!E3+('Price History'!E158-'Price History'!E3)*0.668831168831169</f>
        <v>287.842987012987</v>
      </c>
      <c r="AA106" s="138" t="n">
        <f aca="false">'Price History'!F3+('Price History'!F158-'Price History'!F3)*0.668831168831169</f>
        <v>139.926233766234</v>
      </c>
      <c r="AB106" s="138" t="n">
        <f aca="false">'Price History'!G3+('Price History'!G158-'Price History'!G3)*0.668831168831169</f>
        <v>138.138701298701</v>
      </c>
      <c r="AC106" s="138" t="n">
        <f aca="false">'Price History'!H3+('Price History'!H158-'Price History'!H3)*0.668831168831169</f>
        <v>571.785454545455</v>
      </c>
      <c r="AD106" s="138" t="n">
        <f aca="false">'Price History'!I3+('Price History'!I158-'Price History'!I3)*0.668831168831169</f>
        <v>147.796103896104</v>
      </c>
      <c r="AE106" s="138" t="n">
        <f aca="false">'Price History'!J3+('Price History'!J158-'Price History'!J3)*0.668831168831169</f>
        <v>137.622337662338</v>
      </c>
      <c r="AF106" s="138" t="n">
        <f aca="false">'Price History'!K3+('Price History'!K158-'Price History'!K3)*0.668831168831169</f>
        <v>87.4096753246754</v>
      </c>
      <c r="AG106" s="138" t="n">
        <f aca="false">'Price History'!L3+('Price History'!L158-'Price History'!L3)*0.668831168831169</f>
        <v>300.839220779221</v>
      </c>
      <c r="AH106" s="138" t="n">
        <f aca="false">'Price History'!M3+('Price History'!M158-'Price History'!M3)*0.668831168831169</f>
        <v>172.667012987013</v>
      </c>
      <c r="AI106" s="138" t="n">
        <f aca="false">'Price History'!N3+('Price History'!N158-'Price History'!N3)*0.668831168831169</f>
        <v>434.962077922078</v>
      </c>
      <c r="AJ106" s="138" t="n">
        <f aca="false">'Price History'!O3+('Price History'!O158-'Price History'!O3)*0.668831168831169</f>
        <v>111.228506493507</v>
      </c>
      <c r="AK106" s="138" t="n">
        <f aca="false">'Price History'!Q3+('Price History'!Q151-'Price History'!Q3)*0.668831168831169</f>
        <v>62.2869480519481</v>
      </c>
      <c r="AL106" s="138" t="n">
        <f aca="false">'Price History'!R3+('Price History'!R158-'Price History'!R3)*0.668831168831169</f>
        <v>54.7959090909091</v>
      </c>
      <c r="AM106" s="138" t="n">
        <f aca="false">'Price History'!S3+('Price History'!S158-'Price History'!S3)*0.668831168831169</f>
        <v>115.58461038961</v>
      </c>
      <c r="AN106" s="138" t="n">
        <f aca="false">'Price History'!T3+('Price History'!T158-'Price History'!T3)*0.668831168831169</f>
        <v>42.1794155844156</v>
      </c>
    </row>
    <row r="107" customFormat="false" ht="15" hidden="false" customHeight="true" outlineLevel="0" collapsed="false">
      <c r="A107" s="136" t="n">
        <f aca="false">IF('Price History'!A108="","",'Price History'!A108)</f>
        <v>45884</v>
      </c>
      <c r="B107" s="137" t="n">
        <f aca="false">IFERROR(IF(OR(NOT(ISNUMBER('Price History'!B108)),NOT(ISNUMBER('Price History'!B107)),'Price History'!B107=0),"",'Price History'!B108/'Price History'!B107-1),"")</f>
        <v>0.0404632751795924</v>
      </c>
      <c r="C107" s="137" t="n">
        <f aca="false">IFERROR(IF(OR(NOT(ISNUMBER('Price History'!C108)),NOT(ISNUMBER('Price History'!C107)),'Price History'!C107=0),"",'Price History'!C108/'Price History'!C107-1),"")</f>
        <v>-0.0135076878861905</v>
      </c>
      <c r="D107" s="137" t="n">
        <f aca="false">IFERROR(IF(OR(NOT(ISNUMBER('Price History'!D108)),NOT(ISNUMBER('Price History'!D107)),'Price History'!D107=0),"",'Price History'!D108/'Price History'!D107-1),"")</f>
        <v>0.0274670506146859</v>
      </c>
      <c r="E107" s="137" t="n">
        <f aca="false">IFERROR(IF(OR(NOT(ISNUMBER('Price History'!E108)),NOT(ISNUMBER('Price History'!E107)),'Price History'!E107=0),"",'Price History'!E108/'Price History'!E107-1),"")</f>
        <v>0.00449224513886604</v>
      </c>
      <c r="F107" s="137" t="n">
        <f aca="false">IFERROR(IF(OR(NOT(ISNUMBER('Price History'!F108)),NOT(ISNUMBER('Price History'!F107)),'Price History'!F107=0),"",'Price History'!F108/'Price History'!F107-1),"")</f>
        <v>0.00810403316999619</v>
      </c>
      <c r="G107" s="137" t="n">
        <f aca="false">IFERROR(IF(OR(NOT(ISNUMBER('Price History'!G108)),NOT(ISNUMBER('Price History'!G107)),'Price History'!G107=0),"",'Price History'!G108/'Price History'!G107-1),"")</f>
        <v>-0.0436160909488413</v>
      </c>
      <c r="H107" s="137" t="n">
        <f aca="false">IFERROR(IF(OR(NOT(ISNUMBER('Price History'!H108)),NOT(ISNUMBER('Price History'!H107)),'Price History'!H107=0),"",'Price History'!H108/'Price History'!H107-1),"")</f>
        <v>0.0166540499621499</v>
      </c>
      <c r="I107" s="137" t="n">
        <f aca="false">IFERROR(IF(OR(NOT(ISNUMBER('Price History'!I108)),NOT(ISNUMBER('Price History'!I107)),'Price History'!I107=0),"",'Price History'!I108/'Price History'!I107-1),"")</f>
        <v>-0.0123152709359606</v>
      </c>
      <c r="J107" s="137" t="n">
        <f aca="false">IFERROR(IF(OR(NOT(ISNUMBER('Price History'!J108)),NOT(ISNUMBER('Price History'!J107)),'Price History'!J107=0),"",'Price History'!J108/'Price History'!J107-1),"")</f>
        <v>0.00861090083270244</v>
      </c>
      <c r="K107" s="137" t="n">
        <f aca="false">IFERROR(IF(OR(NOT(ISNUMBER('Price History'!K108)),NOT(ISNUMBER('Price History'!K107)),'Price History'!K107=0),"",'Price History'!K108/'Price History'!K107-1),"")</f>
        <v>-0.0523641420624734</v>
      </c>
      <c r="L107" s="137" t="n">
        <f aca="false">IFERROR(IF(OR(NOT(ISNUMBER('Price History'!L108)),NOT(ISNUMBER('Price History'!L107)),'Price History'!L107=0),"",'Price History'!L108/'Price History'!L107-1),"")</f>
        <v>-0.0121986519455817</v>
      </c>
      <c r="M107" s="137" t="n">
        <f aca="false">IFERROR(IF(OR(NOT(ISNUMBER('Price History'!M108)),NOT(ISNUMBER('Price History'!M107)),'Price History'!M107=0),"",'Price History'!M108/'Price History'!M107-1),"")</f>
        <v>-0.0490245122561281</v>
      </c>
      <c r="N107" s="137" t="n">
        <f aca="false">IFERROR(IF(OR(NOT(ISNUMBER('Price History'!N108)),NOT(ISNUMBER('Price History'!N107)),'Price History'!N107=0),"",'Price History'!N108/'Price History'!N107-1),"")</f>
        <v>0.0716156490423965</v>
      </c>
      <c r="O107" s="137" t="n">
        <f aca="false">IFERROR(IF(OR(NOT(ISNUMBER('Price History'!O108)),NOT(ISNUMBER('Price History'!O107)),'Price History'!O107=0),"",'Price History'!O108/'Price History'!O107-1),"")</f>
        <v>0.029847518113983</v>
      </c>
      <c r="P107" s="137" t="str">
        <f aca="false">IFERROR(IF(OR(NOT(ISNUMBER('Price History'!P108)),NOT(ISNUMBER('Price History'!P107)),'Price History'!P107=0),"",'Price History'!P108/'Price History'!P107-1),"")</f>
        <v/>
      </c>
      <c r="Q107" s="137" t="n">
        <f aca="false">IFERROR(IF(OR(NOT(ISNUMBER('Price History'!Q108)),NOT(ISNUMBER('Price History'!Q107)),'Price History'!Q107=0),"",'Price History'!Q108/'Price History'!Q107-1),"")</f>
        <v>0.00323624595469241</v>
      </c>
      <c r="R107" s="137" t="n">
        <f aca="false">IFERROR(IF(OR(NOT(ISNUMBER('Price History'!R108)),NOT(ISNUMBER('Price History'!R107)),'Price History'!R107=0),"",'Price History'!R108/'Price History'!R107-1),"")</f>
        <v>0.00867678958785234</v>
      </c>
      <c r="S107" s="137" t="n">
        <f aca="false">IFERROR(IF(OR(NOT(ISNUMBER('Price History'!S108)),NOT(ISNUMBER('Price History'!S107)),'Price History'!S107=0),"",'Price History'!S108/'Price History'!S107-1),"")</f>
        <v>0.00102397815513267</v>
      </c>
      <c r="T107" s="137" t="n">
        <f aca="false">IFERROR(IF(OR(NOT(ISNUMBER('Price History'!T108)),NOT(ISNUMBER('Price History'!T107)),'Price History'!T107=0),"",'Price History'!T108/'Price History'!T107-1),"")</f>
        <v>0.0394926491784378</v>
      </c>
      <c r="U107" s="137" t="str">
        <f aca="false">IFERROR(IF(OR(NOT(ISNUMBER('Price History'!U108)),NOT(ISNUMBER('Price History'!U107)),'Price History'!U107=0),"",'Price History'!U108/'Price History'!U107-1),"")</f>
        <v/>
      </c>
      <c r="W107" s="138" t="n">
        <f aca="false">'Price History'!B3+('Price History'!B158-'Price History'!B3)*0.675324675324675</f>
        <v>334.189220779221</v>
      </c>
      <c r="X107" s="138" t="n">
        <f aca="false">'Price History'!C3+('Price History'!C158-'Price History'!C3)*0.675324675324675</f>
        <v>135.996103896104</v>
      </c>
      <c r="Y107" s="138" t="n">
        <f aca="false">'Price History'!D3+('Price History'!D158-'Price History'!D3)*0.675324675324675</f>
        <v>1314.96753246753</v>
      </c>
      <c r="Z107" s="138" t="n">
        <f aca="false">'Price History'!E3+('Price History'!E158-'Price History'!E3)*0.675324675324675</f>
        <v>289.831948051948</v>
      </c>
      <c r="AA107" s="138" t="n">
        <f aca="false">'Price History'!F3+('Price History'!F158-'Price History'!F3)*0.675324675324675</f>
        <v>140.924935064935</v>
      </c>
      <c r="AB107" s="138" t="n">
        <f aca="false">'Price History'!G3+('Price History'!G158-'Price History'!G3)*0.675324675324675</f>
        <v>139.014805194805</v>
      </c>
      <c r="AC107" s="138" t="n">
        <f aca="false">'Price History'!H3+('Price History'!H158-'Price History'!H3)*0.675324675324675</f>
        <v>576.711818181818</v>
      </c>
      <c r="AD107" s="138" t="n">
        <f aca="false">'Price History'!I3+('Price History'!I158-'Price History'!I3)*0.675324675324675</f>
        <v>148.834415584416</v>
      </c>
      <c r="AE107" s="138" t="n">
        <f aca="false">'Price History'!J3+('Price History'!J158-'Price History'!J3)*0.675324675324675</f>
        <v>137.759350649351</v>
      </c>
      <c r="AF107" s="138" t="n">
        <f aca="false">'Price History'!K3+('Price History'!K158-'Price History'!K3)*0.675324675324675</f>
        <v>88.1087012987013</v>
      </c>
      <c r="AG107" s="138" t="n">
        <f aca="false">'Price History'!L3+('Price History'!L158-'Price History'!L3)*0.675324675324675</f>
        <v>302.866883116883</v>
      </c>
      <c r="AH107" s="138" t="n">
        <f aca="false">'Price History'!M3+('Price History'!M158-'Price History'!M3)*0.675324675324675</f>
        <v>174.018051948052</v>
      </c>
      <c r="AI107" s="138" t="n">
        <f aca="false">'Price History'!N3+('Price History'!N158-'Price History'!N3)*0.675324675324675</f>
        <v>435.788311688312</v>
      </c>
      <c r="AJ107" s="138" t="n">
        <f aca="false">'Price History'!O3+('Price History'!O158-'Price History'!O3)*0.675324675324675</f>
        <v>111.504025974026</v>
      </c>
      <c r="AK107" s="138" t="n">
        <f aca="false">'Price History'!Q3+('Price History'!Q151-'Price History'!Q3)*0.675324675324675</f>
        <v>62.4077922077922</v>
      </c>
      <c r="AL107" s="138" t="n">
        <f aca="false">'Price History'!R3+('Price History'!R158-'Price History'!R3)*0.675324675324675</f>
        <v>54.8636363636364</v>
      </c>
      <c r="AM107" s="138" t="n">
        <f aca="false">'Price History'!S3+('Price History'!S158-'Price History'!S3)*0.675324675324675</f>
        <v>116.138441558442</v>
      </c>
      <c r="AN107" s="138" t="n">
        <f aca="false">'Price History'!T3+('Price History'!T158-'Price History'!T3)*0.675324675324675</f>
        <v>42.3276623376623</v>
      </c>
    </row>
    <row r="108" customFormat="false" ht="15" hidden="false" customHeight="true" outlineLevel="0" collapsed="false">
      <c r="A108" s="136" t="n">
        <f aca="false">IF('Price History'!A109="","",'Price History'!A109)</f>
        <v>45891</v>
      </c>
      <c r="B108" s="137" t="n">
        <f aca="false">IFERROR(IF(OR(NOT(ISNUMBER('Price History'!B109)),NOT(ISNUMBER('Price History'!B108)),'Price History'!B108=0),"",'Price History'!B109/'Price History'!B108-1),"")</f>
        <v>0.0204029871776805</v>
      </c>
      <c r="C108" s="137" t="n">
        <f aca="false">IFERROR(IF(OR(NOT(ISNUMBER('Price History'!C109)),NOT(ISNUMBER('Price History'!C108)),'Price History'!C108=0),"",'Price History'!C109/'Price History'!C108-1),"")</f>
        <v>-0.029497450837582</v>
      </c>
      <c r="D108" s="137" t="n">
        <f aca="false">IFERROR(IF(OR(NOT(ISNUMBER('Price History'!D109)),NOT(ISNUMBER('Price History'!D108)),'Price History'!D108=0),"",'Price History'!D109/'Price History'!D108-1),"")</f>
        <v>0.0171526355502858</v>
      </c>
      <c r="E108" s="137" t="n">
        <f aca="false">IFERROR(IF(OR(NOT(ISNUMBER('Price History'!E109)),NOT(ISNUMBER('Price History'!E108)),'Price History'!E108=0),"",'Price History'!E109/'Price History'!E108-1),"")</f>
        <v>-0.0402820395638832</v>
      </c>
      <c r="F108" s="137" t="n">
        <f aca="false">IFERROR(IF(OR(NOT(ISNUMBER('Price History'!F109)),NOT(ISNUMBER('Price History'!F108)),'Price History'!F108=0),"",'Price History'!F109/'Price History'!F108-1),"")</f>
        <v>-0.0171994765376706</v>
      </c>
      <c r="G108" s="137" t="n">
        <f aca="false">IFERROR(IF(OR(NOT(ISNUMBER('Price History'!G109)),NOT(ISNUMBER('Price History'!G108)),'Price History'!G108=0),"",'Price History'!G109/'Price History'!G108-1),"")</f>
        <v>-0.00525774374214194</v>
      </c>
      <c r="H108" s="137" t="n">
        <f aca="false">IFERROR(IF(OR(NOT(ISNUMBER('Price History'!H109)),NOT(ISNUMBER('Price History'!H108)),'Price History'!H108=0),"",'Price History'!H109/'Price History'!H108-1),"")</f>
        <v>-0.0263919913957144</v>
      </c>
      <c r="I108" s="137" t="n">
        <f aca="false">IFERROR(IF(OR(NOT(ISNUMBER('Price History'!I109)),NOT(ISNUMBER('Price History'!I108)),'Price History'!I108=0),"",'Price History'!I109/'Price History'!I108-1),"")</f>
        <v>-0.0136325852036574</v>
      </c>
      <c r="J108" s="137" t="n">
        <f aca="false">IFERROR(IF(OR(NOT(ISNUMBER('Price History'!J109)),NOT(ISNUMBER('Price History'!J108)),'Price History'!J108=0),"",'Price History'!J109/'Price History'!J108-1),"")</f>
        <v>0.0533821183975982</v>
      </c>
      <c r="K108" s="137" t="n">
        <f aca="false">IFERROR(IF(OR(NOT(ISNUMBER('Price History'!K109)),NOT(ISNUMBER('Price History'!K108)),'Price History'!K108=0),"",'Price History'!K109/'Price History'!K108-1),"")</f>
        <v>-0.104024383360614</v>
      </c>
      <c r="L108" s="137" t="n">
        <f aca="false">IFERROR(IF(OR(NOT(ISNUMBER('Price History'!L109)),NOT(ISNUMBER('Price History'!L108)),'Price History'!L108=0),"",'Price History'!L109/'Price History'!L108-1),"")</f>
        <v>-0.0246567314132619</v>
      </c>
      <c r="M108" s="137" t="n">
        <f aca="false">IFERROR(IF(OR(NOT(ISNUMBER('Price History'!M109)),NOT(ISNUMBER('Price History'!M108)),'Price History'!M108=0),"",'Price History'!M109/'Price History'!M108-1),"")</f>
        <v>-0.0533553768693169</v>
      </c>
      <c r="N108" s="137" t="n">
        <f aca="false">IFERROR(IF(OR(NOT(ISNUMBER('Price History'!N109)),NOT(ISNUMBER('Price History'!N108)),'Price History'!N108=0),"",'Price History'!N109/'Price History'!N108-1),"")</f>
        <v>0.00593192291046107</v>
      </c>
      <c r="O108" s="137" t="n">
        <f aca="false">IFERROR(IF(OR(NOT(ISNUMBER('Price History'!O109)),NOT(ISNUMBER('Price History'!O108)),'Price History'!O108=0),"",'Price History'!O109/'Price History'!O108-1),"")</f>
        <v>0.0397983828625432</v>
      </c>
      <c r="P108" s="137" t="str">
        <f aca="false">IFERROR(IF(OR(NOT(ISNUMBER('Price History'!P109)),NOT(ISNUMBER('Price History'!P108)),'Price History'!P108=0),"",'Price History'!P109/'Price History'!P108-1),"")</f>
        <v/>
      </c>
      <c r="Q108" s="137" t="n">
        <f aca="false">IFERROR(IF(OR(NOT(ISNUMBER('Price History'!Q109)),NOT(ISNUMBER('Price History'!Q108)),'Price History'!Q108=0),"",'Price History'!Q109/'Price History'!Q108-1),"")</f>
        <v>-0.0125960061443932</v>
      </c>
      <c r="R108" s="137" t="n">
        <f aca="false">IFERROR(IF(OR(NOT(ISNUMBER('Price History'!R109)),NOT(ISNUMBER('Price History'!R108)),'Price History'!R108=0),"",'Price History'!R109/'Price History'!R108-1),"")</f>
        <v>-0.00232974910394257</v>
      </c>
      <c r="S108" s="137" t="n">
        <f aca="false">IFERROR(IF(OR(NOT(ISNUMBER('Price History'!S109)),NOT(ISNUMBER('Price History'!S108)),'Price History'!S108=0),"",'Price History'!S109/'Price History'!S108-1),"")</f>
        <v>-0.00681953797630208</v>
      </c>
      <c r="T108" s="137" t="n">
        <f aca="false">IFERROR(IF(OR(NOT(ISNUMBER('Price History'!T109)),NOT(ISNUMBER('Price History'!T108)),'Price History'!T108=0),"",'Price History'!T109/'Price History'!T108-1),"")</f>
        <v>0.0257903494176373</v>
      </c>
      <c r="U108" s="137" t="str">
        <f aca="false">IFERROR(IF(OR(NOT(ISNUMBER('Price History'!U109)),NOT(ISNUMBER('Price History'!U108)),'Price History'!U108=0),"",'Price History'!U109/'Price History'!U108-1),"")</f>
        <v/>
      </c>
      <c r="W108" s="138" t="n">
        <f aca="false">'Price History'!B3+('Price History'!B158-'Price History'!B3)*0.681818181818182</f>
        <v>332.513636363636</v>
      </c>
      <c r="X108" s="138" t="n">
        <f aca="false">'Price History'!C3+('Price History'!C158-'Price History'!C3)*0.681818181818182</f>
        <v>136.883181818182</v>
      </c>
      <c r="Y108" s="138" t="n">
        <f aca="false">'Price History'!D3+('Price History'!D158-'Price History'!D3)*0.681818181818182</f>
        <v>1321.24818181818</v>
      </c>
      <c r="Z108" s="138" t="n">
        <f aca="false">'Price History'!E3+('Price History'!E158-'Price History'!E3)*0.681818181818182</f>
        <v>291.820909090909</v>
      </c>
      <c r="AA108" s="138" t="n">
        <f aca="false">'Price History'!F3+('Price History'!F158-'Price History'!F3)*0.681818181818182</f>
        <v>141.923636363636</v>
      </c>
      <c r="AB108" s="138" t="n">
        <f aca="false">'Price History'!G3+('Price History'!G158-'Price History'!G3)*0.681818181818182</f>
        <v>139.890909090909</v>
      </c>
      <c r="AC108" s="138" t="n">
        <f aca="false">'Price History'!H3+('Price History'!H158-'Price History'!H3)*0.681818181818182</f>
        <v>581.638181818182</v>
      </c>
      <c r="AD108" s="138" t="n">
        <f aca="false">'Price History'!I3+('Price History'!I158-'Price History'!I3)*0.681818181818182</f>
        <v>149.872727272727</v>
      </c>
      <c r="AE108" s="138" t="n">
        <f aca="false">'Price History'!J3+('Price History'!J158-'Price History'!J3)*0.681818181818182</f>
        <v>137.896363636364</v>
      </c>
      <c r="AF108" s="138" t="n">
        <f aca="false">'Price History'!K3+('Price History'!K158-'Price History'!K3)*0.681818181818182</f>
        <v>88.8077272727273</v>
      </c>
      <c r="AG108" s="138" t="n">
        <f aca="false">'Price History'!L3+('Price History'!L158-'Price History'!L3)*0.681818181818182</f>
        <v>304.894545454546</v>
      </c>
      <c r="AH108" s="138" t="n">
        <f aca="false">'Price History'!M3+('Price History'!M158-'Price History'!M3)*0.681818181818182</f>
        <v>175.369090909091</v>
      </c>
      <c r="AI108" s="138" t="n">
        <f aca="false">'Price History'!N3+('Price History'!N158-'Price History'!N3)*0.681818181818182</f>
        <v>436.614545454545</v>
      </c>
      <c r="AJ108" s="138" t="n">
        <f aca="false">'Price History'!O3+('Price History'!O158-'Price History'!O3)*0.681818181818182</f>
        <v>111.779545454545</v>
      </c>
      <c r="AK108" s="138" t="n">
        <f aca="false">'Price History'!Q3+('Price History'!Q151-'Price History'!Q3)*0.681818181818182</f>
        <v>62.5286363636364</v>
      </c>
      <c r="AL108" s="138" t="n">
        <f aca="false">'Price History'!R3+('Price History'!R158-'Price History'!R3)*0.681818181818182</f>
        <v>54.9313636363636</v>
      </c>
      <c r="AM108" s="138" t="n">
        <f aca="false">'Price History'!S3+('Price History'!S158-'Price History'!S3)*0.681818181818182</f>
        <v>116.692272727273</v>
      </c>
      <c r="AN108" s="138" t="n">
        <f aca="false">'Price History'!T3+('Price History'!T158-'Price History'!T3)*0.681818181818182</f>
        <v>42.4759090909091</v>
      </c>
    </row>
    <row r="109" customFormat="false" ht="15" hidden="false" customHeight="true" outlineLevel="0" collapsed="false">
      <c r="A109" s="136" t="n">
        <f aca="false">IF('Price History'!A110="","",'Price History'!A110)</f>
        <v>45898</v>
      </c>
      <c r="B109" s="137" t="n">
        <f aca="false">IFERROR(IF(OR(NOT(ISNUMBER('Price History'!B110)),NOT(ISNUMBER('Price History'!B109)),'Price History'!B109=0),"",'Price History'!B110/'Price History'!B109-1),"")</f>
        <v>-0.0148858018724626</v>
      </c>
      <c r="C109" s="137" t="n">
        <f aca="false">IFERROR(IF(OR(NOT(ISNUMBER('Price History'!C110)),NOT(ISNUMBER('Price History'!C109)),'Price History'!C109=0),"",'Price History'!C110/'Price History'!C109-1),"")</f>
        <v>0.024765478424015</v>
      </c>
      <c r="D109" s="137" t="n">
        <f aca="false">IFERROR(IF(OR(NOT(ISNUMBER('Price History'!D110)),NOT(ISNUMBER('Price History'!D109)),'Price History'!D109=0),"",'Price History'!D110/'Price History'!D109-1),"")</f>
        <v>-0.0162540237650518</v>
      </c>
      <c r="E109" s="137" t="n">
        <f aca="false">IFERROR(IF(OR(NOT(ISNUMBER('Price History'!E110)),NOT(ISNUMBER('Price History'!E109)),'Price History'!E109=0),"",'Price History'!E110/'Price History'!E109-1),"")</f>
        <v>0.0115306122448979</v>
      </c>
      <c r="F109" s="137" t="n">
        <f aca="false">IFERROR(IF(OR(NOT(ISNUMBER('Price History'!F110)),NOT(ISNUMBER('Price History'!F109)),'Price History'!F109=0),"",'Price History'!F110/'Price History'!F109-1),"")</f>
        <v>0.00751379113562867</v>
      </c>
      <c r="G109" s="137" t="n">
        <f aca="false">IFERROR(IF(OR(NOT(ISNUMBER('Price History'!G110)),NOT(ISNUMBER('Price History'!G109)),'Price History'!G109=0),"",'Price History'!G110/'Price History'!G109-1),"")</f>
        <v>0.00195334941974035</v>
      </c>
      <c r="H109" s="137" t="n">
        <f aca="false">IFERROR(IF(OR(NOT(ISNUMBER('Price History'!H110)),NOT(ISNUMBER('Price History'!H109)),'Price History'!H109=0),"",'Price History'!H110/'Price History'!H109-1),"")</f>
        <v>0.0113018354860639</v>
      </c>
      <c r="I109" s="137" t="n">
        <f aca="false">IFERROR(IF(OR(NOT(ISNUMBER('Price History'!I110)),NOT(ISNUMBER('Price History'!I109)),'Price History'!I109=0),"",'Price History'!I110/'Price History'!I109-1),"")</f>
        <v>-0.0214056969492669</v>
      </c>
      <c r="J109" s="137" t="n">
        <f aca="false">IFERROR(IF(OR(NOT(ISNUMBER('Price History'!J110)),NOT(ISNUMBER('Price History'!J109)),'Price History'!J109=0),"",'Price History'!J110/'Price History'!J109-1),"")</f>
        <v>0.0133594584966157</v>
      </c>
      <c r="K109" s="137" t="n">
        <f aca="false">IFERROR(IF(OR(NOT(ISNUMBER('Price History'!K110)),NOT(ISNUMBER('Price History'!K109)),'Price History'!K109=0),"",'Price History'!K110/'Price History'!K109-1),"")</f>
        <v>-0.0127882071311579</v>
      </c>
      <c r="L109" s="137" t="n">
        <f aca="false">IFERROR(IF(OR(NOT(ISNUMBER('Price History'!L110)),NOT(ISNUMBER('Price History'!L109)),'Price History'!L109=0),"",'Price History'!L110/'Price History'!L109-1),"")</f>
        <v>-0.00909910296579253</v>
      </c>
      <c r="M109" s="137" t="n">
        <f aca="false">IFERROR(IF(OR(NOT(ISNUMBER('Price History'!M110)),NOT(ISNUMBER('Price History'!M109)),'Price History'!M109=0),"",'Price History'!M110/'Price History'!M109-1),"")</f>
        <v>0.0125426688894181</v>
      </c>
      <c r="N109" s="137" t="n">
        <f aca="false">IFERROR(IF(OR(NOT(ISNUMBER('Price History'!N110)),NOT(ISNUMBER('Price History'!N109)),'Price History'!N109=0),"",'Price History'!N110/'Price History'!N109-1),"")</f>
        <v>-0.0103765944523183</v>
      </c>
      <c r="O109" s="137" t="n">
        <f aca="false">IFERROR(IF(OR(NOT(ISNUMBER('Price History'!O110)),NOT(ISNUMBER('Price History'!O109)),'Price History'!O109=0),"",'Price History'!O110/'Price History'!O109-1),"")</f>
        <v>0.00838214502120782</v>
      </c>
      <c r="P109" s="137" t="str">
        <f aca="false">IFERROR(IF(OR(NOT(ISNUMBER('Price History'!P110)),NOT(ISNUMBER('Price History'!P109)),'Price History'!P109=0),"",'Price History'!P110/'Price History'!P109-1),"")</f>
        <v/>
      </c>
      <c r="Q109" s="137" t="n">
        <f aca="false">IFERROR(IF(OR(NOT(ISNUMBER('Price History'!Q110)),NOT(ISNUMBER('Price History'!Q109)),'Price History'!Q109=0),"",'Price History'!Q110/'Price History'!Q109-1),"")</f>
        <v>0.00980087118855</v>
      </c>
      <c r="R109" s="137" t="n">
        <f aca="false">IFERROR(IF(OR(NOT(ISNUMBER('Price History'!R110)),NOT(ISNUMBER('Price History'!R109)),'Price History'!R109=0),"",'Price History'!R110/'Price History'!R109-1),"")</f>
        <v>0.000179629962277605</v>
      </c>
      <c r="S109" s="137" t="n">
        <f aca="false">IFERROR(IF(OR(NOT(ISNUMBER('Price History'!S110)),NOT(ISNUMBER('Price History'!S109)),'Price History'!S109=0),"",'Price History'!S110/'Price History'!S109-1),"")</f>
        <v>-0.000257488627585678</v>
      </c>
      <c r="T109" s="137" t="n">
        <f aca="false">IFERROR(IF(OR(NOT(ISNUMBER('Price History'!T110)),NOT(ISNUMBER('Price History'!T109)),'Price History'!T109=0),"",'Price History'!T110/'Price History'!T109-1),"")</f>
        <v>0.00919167342524996</v>
      </c>
      <c r="U109" s="137" t="str">
        <f aca="false">IFERROR(IF(OR(NOT(ISNUMBER('Price History'!U110)),NOT(ISNUMBER('Price History'!U109)),'Price History'!U109=0),"",'Price History'!U110/'Price History'!U109-1),"")</f>
        <v/>
      </c>
      <c r="W109" s="138" t="n">
        <f aca="false">'Price History'!B3+('Price History'!B158-'Price History'!B3)*0.688311688311688</f>
        <v>330.838051948052</v>
      </c>
      <c r="X109" s="138" t="n">
        <f aca="false">'Price History'!C3+('Price History'!C158-'Price History'!C3)*0.688311688311688</f>
        <v>137.77025974026</v>
      </c>
      <c r="Y109" s="138" t="n">
        <f aca="false">'Price History'!D3+('Price History'!D158-'Price History'!D3)*0.688311688311688</f>
        <v>1327.52883116883</v>
      </c>
      <c r="Z109" s="138" t="n">
        <f aca="false">'Price History'!E3+('Price History'!E158-'Price History'!E3)*0.688311688311688</f>
        <v>293.80987012987</v>
      </c>
      <c r="AA109" s="138" t="n">
        <f aca="false">'Price History'!F3+('Price History'!F158-'Price History'!F3)*0.688311688311688</f>
        <v>142.922337662338</v>
      </c>
      <c r="AB109" s="138" t="n">
        <f aca="false">'Price History'!G3+('Price History'!G158-'Price History'!G3)*0.688311688311688</f>
        <v>140.767012987013</v>
      </c>
      <c r="AC109" s="138" t="n">
        <f aca="false">'Price History'!H3+('Price History'!H158-'Price History'!H3)*0.688311688311688</f>
        <v>586.564545454545</v>
      </c>
      <c r="AD109" s="138" t="n">
        <f aca="false">'Price History'!I3+('Price History'!I158-'Price History'!I3)*0.688311688311688</f>
        <v>150.911038961039</v>
      </c>
      <c r="AE109" s="138" t="n">
        <f aca="false">'Price History'!J3+('Price History'!J158-'Price History'!J3)*0.688311688311688</f>
        <v>138.033376623377</v>
      </c>
      <c r="AF109" s="138" t="n">
        <f aca="false">'Price History'!K3+('Price History'!K158-'Price History'!K3)*0.688311688311688</f>
        <v>89.5067532467532</v>
      </c>
      <c r="AG109" s="138" t="n">
        <f aca="false">'Price History'!L3+('Price History'!L158-'Price History'!L3)*0.688311688311688</f>
        <v>306.922207792208</v>
      </c>
      <c r="AH109" s="138" t="n">
        <f aca="false">'Price History'!M3+('Price History'!M158-'Price History'!M3)*0.688311688311688</f>
        <v>176.72012987013</v>
      </c>
      <c r="AI109" s="138" t="n">
        <f aca="false">'Price History'!N3+('Price History'!N158-'Price History'!N3)*0.688311688311688</f>
        <v>437.440779220779</v>
      </c>
      <c r="AJ109" s="138" t="n">
        <f aca="false">'Price History'!O3+('Price History'!O158-'Price History'!O3)*0.688311688311688</f>
        <v>112.055064935065</v>
      </c>
      <c r="AK109" s="138" t="n">
        <f aca="false">'Price History'!Q3+('Price History'!Q151-'Price History'!Q3)*0.688311688311688</f>
        <v>62.6494805194805</v>
      </c>
      <c r="AL109" s="138" t="n">
        <f aca="false">'Price History'!R3+('Price History'!R158-'Price History'!R3)*0.688311688311688</f>
        <v>54.9990909090909</v>
      </c>
      <c r="AM109" s="138" t="n">
        <f aca="false">'Price History'!S3+('Price History'!S158-'Price History'!S3)*0.688311688311688</f>
        <v>117.246103896104</v>
      </c>
      <c r="AN109" s="138" t="n">
        <f aca="false">'Price History'!T3+('Price History'!T158-'Price History'!T3)*0.688311688311688</f>
        <v>42.6241558441558</v>
      </c>
    </row>
    <row r="110" customFormat="false" ht="15" hidden="false" customHeight="true" outlineLevel="0" collapsed="false">
      <c r="A110" s="136" t="n">
        <f aca="false">IF('Price History'!A111="","",'Price History'!A111)</f>
        <v>45905</v>
      </c>
      <c r="B110" s="137" t="n">
        <f aca="false">IFERROR(IF(OR(NOT(ISNUMBER('Price History'!B111)),NOT(ISNUMBER('Price History'!B110)),'Price History'!B110=0),"",'Price History'!B111/'Price History'!B110-1),"")</f>
        <v>-0.0216708718811325</v>
      </c>
      <c r="C110" s="137" t="n">
        <f aca="false">IFERROR(IF(OR(NOT(ISNUMBER('Price History'!C111)),NOT(ISNUMBER('Price History'!C110)),'Price History'!C110=0),"",'Price History'!C111/'Price History'!C110-1),"")</f>
        <v>0.0461369461735626</v>
      </c>
      <c r="D110" s="137" t="n">
        <f aca="false">IFERROR(IF(OR(NOT(ISNUMBER('Price History'!D111)),NOT(ISNUMBER('Price History'!D110)),'Price History'!D110=0),"",'Price History'!D111/'Price History'!D110-1),"")</f>
        <v>0.0526244916646468</v>
      </c>
      <c r="E110" s="137" t="n">
        <f aca="false">IFERROR(IF(OR(NOT(ISNUMBER('Price History'!E111)),NOT(ISNUMBER('Price History'!E110)),'Price History'!E110=0),"",'Price History'!E111/'Price History'!E110-1),"")</f>
        <v>0.126097044285282</v>
      </c>
      <c r="F110" s="137" t="n">
        <f aca="false">IFERROR(IF(OR(NOT(ISNUMBER('Price History'!F111)),NOT(ISNUMBER('Price History'!F110)),'Price History'!F110=0),"",'Price History'!F111/'Price History'!F110-1),"")</f>
        <v>-0.0143490984612481</v>
      </c>
      <c r="G110" s="137" t="n">
        <f aca="false">IFERROR(IF(OR(NOT(ISNUMBER('Price History'!G111)),NOT(ISNUMBER('Price History'!G110)),'Price History'!G110=0),"",'Price History'!G111/'Price History'!G110-1),"")</f>
        <v>0.0379587155963304</v>
      </c>
      <c r="H110" s="137" t="n">
        <f aca="false">IFERROR(IF(OR(NOT(ISNUMBER('Price History'!H111)),NOT(ISNUMBER('Price History'!H110)),'Price History'!H110=0),"",'Price History'!H111/'Price History'!H110-1),"")</f>
        <v>0.103856818754726</v>
      </c>
      <c r="I110" s="137" t="n">
        <f aca="false">IFERROR(IF(OR(NOT(ISNUMBER('Price History'!I111)),NOT(ISNUMBER('Price History'!I110)),'Price History'!I110=0),"",'Price History'!I111/'Price History'!I110-1),"")</f>
        <v>-0.0411069009071076</v>
      </c>
      <c r="J110" s="137" t="n">
        <f aca="false">IFERROR(IF(OR(NOT(ISNUMBER('Price History'!J111)),NOT(ISNUMBER('Price History'!J110)),'Price History'!J110=0),"",'Price History'!J111/'Price History'!J110-1),"")</f>
        <v>-0.00114255580945677</v>
      </c>
      <c r="K110" s="137" t="n">
        <f aca="false">IFERROR(IF(OR(NOT(ISNUMBER('Price History'!K111)),NOT(ISNUMBER('Price History'!K110)),'Price History'!K110=0),"",'Price History'!K111/'Price History'!K110-1),"")</f>
        <v>-0.0229723693446493</v>
      </c>
      <c r="L110" s="137" t="n">
        <f aca="false">IFERROR(IF(OR(NOT(ISNUMBER('Price History'!L111)),NOT(ISNUMBER('Price History'!L110)),'Price History'!L110=0),"",'Price History'!L111/'Price History'!L110-1),"")</f>
        <v>0.0543162818902412</v>
      </c>
      <c r="M110" s="137" t="n">
        <f aca="false">IFERROR(IF(OR(NOT(ISNUMBER('Price History'!M111)),NOT(ISNUMBER('Price History'!M110)),'Price History'!M110=0),"",'Price History'!M111/'Price History'!M110-1),"")</f>
        <v>-0.0278322226577813</v>
      </c>
      <c r="N110" s="137" t="n">
        <f aca="false">IFERROR(IF(OR(NOT(ISNUMBER('Price History'!N111)),NOT(ISNUMBER('Price History'!N110)),'Price History'!N110=0),"",'Price History'!N111/'Price History'!N110-1),"")</f>
        <v>0.0130428111094063</v>
      </c>
      <c r="O110" s="137" t="n">
        <f aca="false">IFERROR(IF(OR(NOT(ISNUMBER('Price History'!O111)),NOT(ISNUMBER('Price History'!O110)),'Price History'!O110=0),"",'Price History'!O111/'Price History'!O110-1),"")</f>
        <v>0.0109163745618428</v>
      </c>
      <c r="P110" s="137" t="str">
        <f aca="false">IFERROR(IF(OR(NOT(ISNUMBER('Price History'!P111)),NOT(ISNUMBER('Price History'!P110)),'Price History'!P110=0),"",'Price History'!P111/'Price History'!P110-1),"")</f>
        <v/>
      </c>
      <c r="Q110" s="137" t="n">
        <f aca="false">IFERROR(IF(OR(NOT(ISNUMBER('Price History'!Q111)),NOT(ISNUMBER('Price History'!Q110)),'Price History'!Q110=0),"",'Price History'!Q111/'Price History'!Q110-1),"")</f>
        <v>0.0100138653520259</v>
      </c>
      <c r="R110" s="137" t="n">
        <f aca="false">IFERROR(IF(OR(NOT(ISNUMBER('Price History'!R111)),NOT(ISNUMBER('Price History'!R110)),'Price History'!R110=0),"",'Price History'!R111/'Price History'!R110-1),"")</f>
        <v>0.00179597701149437</v>
      </c>
      <c r="S110" s="137" t="n">
        <f aca="false">IFERROR(IF(OR(NOT(ISNUMBER('Price History'!S111)),NOT(ISNUMBER('Price History'!S110)),'Price History'!S110=0),"",'Price History'!S111/'Price History'!S110-1),"")</f>
        <v>0.0048935439560438</v>
      </c>
      <c r="T110" s="137" t="n">
        <f aca="false">IFERROR(IF(OR(NOT(ISNUMBER('Price History'!T111)),NOT(ISNUMBER('Price History'!T110)),'Price History'!T110=0),"",'Price History'!T111/'Price History'!T110-1),"")</f>
        <v>0.00750066970265206</v>
      </c>
      <c r="U110" s="137" t="str">
        <f aca="false">IFERROR(IF(OR(NOT(ISNUMBER('Price History'!U111)),NOT(ISNUMBER('Price History'!U110)),'Price History'!U110=0),"",'Price History'!U111/'Price History'!U110-1),"")</f>
        <v/>
      </c>
      <c r="W110" s="138" t="n">
        <f aca="false">'Price History'!B3+('Price History'!B158-'Price History'!B3)*0.694805194805195</f>
        <v>329.162467532468</v>
      </c>
      <c r="X110" s="138" t="n">
        <f aca="false">'Price History'!C3+('Price History'!C158-'Price History'!C3)*0.694805194805195</f>
        <v>138.657337662338</v>
      </c>
      <c r="Y110" s="138" t="n">
        <f aca="false">'Price History'!D3+('Price History'!D158-'Price History'!D3)*0.694805194805195</f>
        <v>1333.80948051948</v>
      </c>
      <c r="Z110" s="138" t="n">
        <f aca="false">'Price History'!E3+('Price History'!E158-'Price History'!E3)*0.694805194805195</f>
        <v>295.798831168831</v>
      </c>
      <c r="AA110" s="138" t="n">
        <f aca="false">'Price History'!F3+('Price History'!F158-'Price History'!F3)*0.694805194805195</f>
        <v>143.921038961039</v>
      </c>
      <c r="AB110" s="138" t="n">
        <f aca="false">'Price History'!G3+('Price History'!G158-'Price History'!G3)*0.694805194805195</f>
        <v>141.643116883117</v>
      </c>
      <c r="AC110" s="138" t="n">
        <f aca="false">'Price History'!H3+('Price History'!H158-'Price History'!H3)*0.694805194805195</f>
        <v>591.490909090909</v>
      </c>
      <c r="AD110" s="138" t="n">
        <f aca="false">'Price History'!I3+('Price History'!I158-'Price History'!I3)*0.694805194805195</f>
        <v>151.949350649351</v>
      </c>
      <c r="AE110" s="138" t="n">
        <f aca="false">'Price History'!J3+('Price History'!J158-'Price History'!J3)*0.694805194805195</f>
        <v>138.17038961039</v>
      </c>
      <c r="AF110" s="138" t="n">
        <f aca="false">'Price History'!K3+('Price History'!K158-'Price History'!K3)*0.694805194805195</f>
        <v>90.2057792207792</v>
      </c>
      <c r="AG110" s="138" t="n">
        <f aca="false">'Price History'!L3+('Price History'!L158-'Price History'!L3)*0.694805194805195</f>
        <v>308.94987012987</v>
      </c>
      <c r="AH110" s="138" t="n">
        <f aca="false">'Price History'!M3+('Price History'!M158-'Price History'!M3)*0.694805194805195</f>
        <v>178.071168831169</v>
      </c>
      <c r="AI110" s="138" t="n">
        <f aca="false">'Price History'!N3+('Price History'!N158-'Price History'!N3)*0.694805194805195</f>
        <v>438.267012987013</v>
      </c>
      <c r="AJ110" s="138" t="n">
        <f aca="false">'Price History'!O3+('Price History'!O158-'Price History'!O3)*0.694805194805195</f>
        <v>112.330584415584</v>
      </c>
      <c r="AK110" s="138" t="n">
        <f aca="false">'Price History'!Q3+('Price History'!Q151-'Price History'!Q3)*0.694805194805195</f>
        <v>62.7703246753247</v>
      </c>
      <c r="AL110" s="138" t="n">
        <f aca="false">'Price History'!R3+('Price History'!R158-'Price History'!R3)*0.694805194805195</f>
        <v>55.0668181818182</v>
      </c>
      <c r="AM110" s="138" t="n">
        <f aca="false">'Price History'!S3+('Price History'!S158-'Price History'!S3)*0.694805194805195</f>
        <v>117.799935064935</v>
      </c>
      <c r="AN110" s="138" t="n">
        <f aca="false">'Price History'!T3+('Price History'!T158-'Price History'!T3)*0.694805194805195</f>
        <v>42.7724025974026</v>
      </c>
    </row>
    <row r="111" customFormat="false" ht="15" hidden="false" customHeight="true" outlineLevel="0" collapsed="false">
      <c r="A111" s="136" t="n">
        <f aca="false">IF('Price History'!A112="","",'Price History'!A112)</f>
        <v>45912</v>
      </c>
      <c r="B111" s="137" t="n">
        <f aca="false">IFERROR(IF(OR(NOT(ISNUMBER('Price History'!B112)),NOT(ISNUMBER('Price History'!B111)),'Price History'!B111=0),"",'Price History'!B112/'Price History'!B111-1),"")</f>
        <v>0.00111757457661121</v>
      </c>
      <c r="C111" s="137" t="n">
        <f aca="false">IFERROR(IF(OR(NOT(ISNUMBER('Price History'!C112)),NOT(ISNUMBER('Price History'!C111)),'Price History'!C111=0),"",'Price History'!C112/'Price History'!C111-1),"")</f>
        <v>-0.0242212110605531</v>
      </c>
      <c r="D111" s="137" t="n">
        <f aca="false">IFERROR(IF(OR(NOT(ISNUMBER('Price History'!D112)),NOT(ISNUMBER('Price History'!D111)),'Price History'!D111=0),"",'Price History'!D112/'Price History'!D111-1),"")</f>
        <v>0.0411538953562747</v>
      </c>
      <c r="E111" s="137" t="n">
        <f aca="false">IFERROR(IF(OR(NOT(ISNUMBER('Price History'!E112)),NOT(ISNUMBER('Price History'!E111)),'Price History'!E111=0),"",'Price History'!E112/'Price History'!E111-1),"")</f>
        <v>0.0745916569619876</v>
      </c>
      <c r="F111" s="137" t="n">
        <f aca="false">IFERROR(IF(OR(NOT(ISNUMBER('Price History'!F112)),NOT(ISNUMBER('Price History'!F111)),'Price History'!F111=0),"",'Price History'!F112/'Price History'!F111-1),"")</f>
        <v>0.0442486351882003</v>
      </c>
      <c r="G111" s="137" t="n">
        <f aca="false">IFERROR(IF(OR(NOT(ISNUMBER('Price History'!G112)),NOT(ISNUMBER('Price History'!G111)),'Price History'!G111=0),"",'Price History'!G112/'Price History'!G111-1),"")</f>
        <v>0.0650756822450558</v>
      </c>
      <c r="H111" s="137" t="n">
        <f aca="false">IFERROR(IF(OR(NOT(ISNUMBER('Price History'!H112)),NOT(ISNUMBER('Price History'!H111)),'Price History'!H111=0),"",'Price History'!H112/'Price History'!H111-1),"")</f>
        <v>0.196848595569765</v>
      </c>
      <c r="I111" s="137" t="n">
        <f aca="false">IFERROR(IF(OR(NOT(ISNUMBER('Price History'!I112)),NOT(ISNUMBER('Price History'!I111)),'Price History'!I111=0),"",'Price History'!I112/'Price History'!I111-1),"")</f>
        <v>0.0646629146210034</v>
      </c>
      <c r="J111" s="137" t="n">
        <f aca="false">IFERROR(IF(OR(NOT(ISNUMBER('Price History'!J112)),NOT(ISNUMBER('Price History'!J111)),'Price History'!J111=0),"",'Price History'!J112/'Price History'!J111-1),"")</f>
        <v>0.014958205015398</v>
      </c>
      <c r="K111" s="137" t="n">
        <f aca="false">IFERROR(IF(OR(NOT(ISNUMBER('Price History'!K112)),NOT(ISNUMBER('Price History'!K111)),'Price History'!K111=0),"",'Price History'!K112/'Price History'!K111-1),"")</f>
        <v>0.119652537391418</v>
      </c>
      <c r="L111" s="137" t="n">
        <f aca="false">IFERROR(IF(OR(NOT(ISNUMBER('Price History'!L112)),NOT(ISNUMBER('Price History'!L111)),'Price History'!L111=0),"",'Price History'!L112/'Price History'!L111-1),"")</f>
        <v>0.0654040507785219</v>
      </c>
      <c r="M111" s="137" t="n">
        <f aca="false">IFERROR(IF(OR(NOT(ISNUMBER('Price History'!M112)),NOT(ISNUMBER('Price History'!M111)),'Price History'!M111=0),"",'Price History'!M112/'Price History'!M111-1),"")</f>
        <v>0.0874193548387097</v>
      </c>
      <c r="N111" s="137" t="n">
        <f aca="false">IFERROR(IF(OR(NOT(ISNUMBER('Price History'!N112)),NOT(ISNUMBER('Price History'!N111)),'Price History'!N111=0),"",'Price History'!N112/'Price History'!N111-1),"")</f>
        <v>-0.00401393517116033</v>
      </c>
      <c r="O111" s="137" t="n">
        <f aca="false">IFERROR(IF(OR(NOT(ISNUMBER('Price History'!O112)),NOT(ISNUMBER('Price History'!O111)),'Price History'!O111=0),"",'Price History'!O112/'Price History'!O111-1),"")</f>
        <v>-0.00792550029720618</v>
      </c>
      <c r="P111" s="137" t="str">
        <f aca="false">IFERROR(IF(OR(NOT(ISNUMBER('Price History'!P112)),NOT(ISNUMBER('Price History'!P111)),'Price History'!P111=0),"",'Price History'!P112/'Price History'!P111-1),"")</f>
        <v/>
      </c>
      <c r="Q111" s="137" t="n">
        <f aca="false">IFERROR(IF(OR(NOT(ISNUMBER('Price History'!Q112)),NOT(ISNUMBER('Price History'!Q111)),'Price History'!Q111=0),"",'Price History'!Q112/'Price History'!Q111-1),"")</f>
        <v>0.000610128126906639</v>
      </c>
      <c r="R111" s="137" t="n">
        <f aca="false">IFERROR(IF(OR(NOT(ISNUMBER('Price History'!R112)),NOT(ISNUMBER('Price History'!R111)),'Price History'!R111=0),"",'Price History'!R112/'Price History'!R111-1),"")</f>
        <v>0.0136249551810685</v>
      </c>
      <c r="S111" s="137" t="n">
        <f aca="false">IFERROR(IF(OR(NOT(ISNUMBER('Price History'!S112)),NOT(ISNUMBER('Price History'!S111)),'Price History'!S111=0),"",'Price History'!S112/'Price History'!S111-1),"")</f>
        <v>0.0293037163605296</v>
      </c>
      <c r="T111" s="137" t="n">
        <f aca="false">IFERROR(IF(OR(NOT(ISNUMBER('Price History'!T112)),NOT(ISNUMBER('Price History'!T111)),'Price History'!T111=0),"",'Price History'!T112/'Price History'!T111-1),"")</f>
        <v>-0.00292475405477266</v>
      </c>
      <c r="U111" s="137" t="str">
        <f aca="false">IFERROR(IF(OR(NOT(ISNUMBER('Price History'!U112)),NOT(ISNUMBER('Price History'!U111)),'Price History'!U111=0),"",'Price History'!U112/'Price History'!U111-1),"")</f>
        <v/>
      </c>
      <c r="W111" s="138" t="n">
        <f aca="false">'Price History'!B3+('Price History'!B158-'Price History'!B3)*0.701298701298701</f>
        <v>327.486883116883</v>
      </c>
      <c r="X111" s="138" t="n">
        <f aca="false">'Price History'!C3+('Price History'!C158-'Price History'!C3)*0.701298701298701</f>
        <v>139.544415584416</v>
      </c>
      <c r="Y111" s="138" t="n">
        <f aca="false">'Price History'!D3+('Price History'!D158-'Price History'!D3)*0.701298701298701</f>
        <v>1340.09012987013</v>
      </c>
      <c r="Z111" s="138" t="n">
        <f aca="false">'Price History'!E3+('Price History'!E158-'Price History'!E3)*0.701298701298701</f>
        <v>297.787792207792</v>
      </c>
      <c r="AA111" s="138" t="n">
        <f aca="false">'Price History'!F3+('Price History'!F158-'Price History'!F3)*0.701298701298701</f>
        <v>144.91974025974</v>
      </c>
      <c r="AB111" s="138" t="n">
        <f aca="false">'Price History'!G3+('Price History'!G158-'Price History'!G3)*0.701298701298701</f>
        <v>142.519220779221</v>
      </c>
      <c r="AC111" s="138" t="n">
        <f aca="false">'Price History'!H3+('Price History'!H158-'Price History'!H3)*0.701298701298701</f>
        <v>596.417272727273</v>
      </c>
      <c r="AD111" s="138" t="n">
        <f aca="false">'Price History'!I3+('Price History'!I158-'Price History'!I3)*0.701298701298701</f>
        <v>152.987662337662</v>
      </c>
      <c r="AE111" s="138" t="n">
        <f aca="false">'Price History'!J3+('Price History'!J158-'Price History'!J3)*0.701298701298701</f>
        <v>138.307402597403</v>
      </c>
      <c r="AF111" s="138" t="n">
        <f aca="false">'Price History'!K3+('Price History'!K158-'Price History'!K3)*0.701298701298701</f>
        <v>90.9048051948052</v>
      </c>
      <c r="AG111" s="138" t="n">
        <f aca="false">'Price History'!L3+('Price History'!L158-'Price History'!L3)*0.701298701298701</f>
        <v>310.977532467532</v>
      </c>
      <c r="AH111" s="138" t="n">
        <f aca="false">'Price History'!M3+('Price History'!M158-'Price History'!M3)*0.701298701298701</f>
        <v>179.422207792208</v>
      </c>
      <c r="AI111" s="138" t="n">
        <f aca="false">'Price History'!N3+('Price History'!N158-'Price History'!N3)*0.701298701298701</f>
        <v>439.093246753247</v>
      </c>
      <c r="AJ111" s="138" t="n">
        <f aca="false">'Price History'!O3+('Price History'!O158-'Price History'!O3)*0.701298701298701</f>
        <v>112.606103896104</v>
      </c>
      <c r="AK111" s="138" t="n">
        <f aca="false">'Price History'!Q3+('Price History'!Q151-'Price History'!Q3)*0.701298701298701</f>
        <v>62.8911688311688</v>
      </c>
      <c r="AL111" s="138" t="n">
        <f aca="false">'Price History'!R3+('Price History'!R158-'Price History'!R3)*0.701298701298701</f>
        <v>55.1345454545455</v>
      </c>
      <c r="AM111" s="138" t="n">
        <f aca="false">'Price History'!S3+('Price History'!S158-'Price History'!S3)*0.701298701298701</f>
        <v>118.353766233766</v>
      </c>
      <c r="AN111" s="138" t="n">
        <f aca="false">'Price History'!T3+('Price History'!T158-'Price History'!T3)*0.701298701298701</f>
        <v>42.9206493506493</v>
      </c>
    </row>
    <row r="112" customFormat="false" ht="15" hidden="false" customHeight="true" outlineLevel="0" collapsed="false">
      <c r="A112" s="136" t="n">
        <f aca="false">IF('Price History'!A113="","",'Price History'!A113)</f>
        <v>45919</v>
      </c>
      <c r="B112" s="137" t="n">
        <f aca="false">IFERROR(IF(OR(NOT(ISNUMBER('Price History'!B113)),NOT(ISNUMBER('Price History'!B112)),'Price History'!B112=0),"",'Price History'!B113/'Price History'!B112-1),"")</f>
        <v>0.0473437142202884</v>
      </c>
      <c r="C112" s="137" t="n">
        <f aca="false">IFERROR(IF(OR(NOT(ISNUMBER('Price History'!C113)),NOT(ISNUMBER('Price History'!C112)),'Price History'!C112=0),"",'Price History'!C113/'Price History'!C112-1),"")</f>
        <v>0.0733194633761392</v>
      </c>
      <c r="D112" s="137" t="n">
        <f aca="false">IFERROR(IF(OR(NOT(ISNUMBER('Price History'!D113)),NOT(ISNUMBER('Price History'!D112)),'Price History'!D112=0),"",'Price History'!D113/'Price History'!D112-1),"")</f>
        <v>0.145330335311536</v>
      </c>
      <c r="E112" s="137" t="n">
        <f aca="false">IFERROR(IF(OR(NOT(ISNUMBER('Price History'!E113)),NOT(ISNUMBER('Price History'!E112)),'Price History'!E112=0),"",'Price History'!E113/'Price History'!E112-1),"")</f>
        <v>-0.0414872037124517</v>
      </c>
      <c r="F112" s="137" t="n">
        <f aca="false">IFERROR(IF(OR(NOT(ISNUMBER('Price History'!F113)),NOT(ISNUMBER('Price History'!F112)),'Price History'!F112=0),"",'Price History'!F113/'Price History'!F112-1),"")</f>
        <v>0.152343391727048</v>
      </c>
      <c r="G112" s="137" t="n">
        <f aca="false">IFERROR(IF(OR(NOT(ISNUMBER('Price History'!G113)),NOT(ISNUMBER('Price History'!G112)),'Price History'!G112=0),"",'Price History'!G113/'Price History'!G112-1),"")</f>
        <v>0.083817427385892</v>
      </c>
      <c r="H112" s="137" t="n">
        <f aca="false">IFERROR(IF(OR(NOT(ISNUMBER('Price History'!H113)),NOT(ISNUMBER('Price History'!H112)),'Price History'!H112=0),"",'Price History'!H113/'Price History'!H112-1),"")</f>
        <v>0.0349806016663488</v>
      </c>
      <c r="I112" s="137" t="n">
        <f aca="false">IFERROR(IF(OR(NOT(ISNUMBER('Price History'!I113)),NOT(ISNUMBER('Price History'!I112)),'Price History'!I112=0),"",'Price History'!I113/'Price History'!I112-1),"")</f>
        <v>-0.00646721403666628</v>
      </c>
      <c r="J112" s="137" t="n">
        <f aca="false">IFERROR(IF(OR(NOT(ISNUMBER('Price History'!J113)),NOT(ISNUMBER('Price History'!J112)),'Price History'!J112=0),"",'Price History'!J113/'Price History'!J112-1),"")</f>
        <v>-0.0159514521022973</v>
      </c>
      <c r="K112" s="137" t="n">
        <f aca="false">IFERROR(IF(OR(NOT(ISNUMBER('Price History'!K113)),NOT(ISNUMBER('Price History'!K112)),'Price History'!K112=0),"",'Price History'!K113/'Price History'!K112-1),"")</f>
        <v>0.0639328005599953</v>
      </c>
      <c r="L112" s="137" t="n">
        <f aca="false">IFERROR(IF(OR(NOT(ISNUMBER('Price History'!L113)),NOT(ISNUMBER('Price History'!L112)),'Price History'!L112=0),"",'Price History'!L113/'Price History'!L112-1),"")</f>
        <v>0.0213627424517024</v>
      </c>
      <c r="M112" s="137" t="n">
        <f aca="false">IFERROR(IF(OR(NOT(ISNUMBER('Price History'!M113)),NOT(ISNUMBER('Price History'!M112)),'Price History'!M112=0),"",'Price History'!M113/'Price History'!M112-1),"")</f>
        <v>0.0649658854939186</v>
      </c>
      <c r="N112" s="137" t="n">
        <f aca="false">IFERROR(IF(OR(NOT(ISNUMBER('Price History'!N113)),NOT(ISNUMBER('Price History'!N112)),'Price History'!N112=0),"",'Price History'!N113/'Price History'!N112-1),"")</f>
        <v>-0.0289204876688718</v>
      </c>
      <c r="O112" s="137" t="n">
        <f aca="false">IFERROR(IF(OR(NOT(ISNUMBER('Price History'!O113)),NOT(ISNUMBER('Price History'!O112)),'Price History'!O112=0),"",'Price History'!O113/'Price History'!O112-1),"")</f>
        <v>0.00569203115638106</v>
      </c>
      <c r="P112" s="137" t="str">
        <f aca="false">IFERROR(IF(OR(NOT(ISNUMBER('Price History'!P113)),NOT(ISNUMBER('Price History'!P112)),'Price History'!P112=0),"",'Price History'!P113/'Price History'!P112-1),"")</f>
        <v/>
      </c>
      <c r="Q112" s="137" t="n">
        <f aca="false">IFERROR(IF(OR(NOT(ISNUMBER('Price History'!Q113)),NOT(ISNUMBER('Price History'!Q112)),'Price History'!Q112=0),"",'Price History'!Q113/'Price History'!Q112-1),"")</f>
        <v>-0.00503048780487803</v>
      </c>
      <c r="R112" s="137" t="n">
        <f aca="false">IFERROR(IF(OR(NOT(ISNUMBER('Price History'!R113)),NOT(ISNUMBER('Price History'!R112)),'Price History'!R112=0),"",'Price History'!R113/'Price History'!R112-1),"")</f>
        <v>0.0109656880084896</v>
      </c>
      <c r="S112" s="137" t="n">
        <f aca="false">IFERROR(IF(OR(NOT(ISNUMBER('Price History'!S113)),NOT(ISNUMBER('Price History'!S112)),'Price History'!S112=0),"",'Price History'!S113/'Price History'!S112-1),"")</f>
        <v>0.0120351925630811</v>
      </c>
      <c r="T112" s="137" t="n">
        <f aca="false">IFERROR(IF(OR(NOT(ISNUMBER('Price History'!T113)),NOT(ISNUMBER('Price History'!T112)),'Price History'!T112=0),"",'Price History'!T113/'Price History'!T112-1),"")</f>
        <v>-0.0013333333333333</v>
      </c>
      <c r="U112" s="137" t="str">
        <f aca="false">IFERROR(IF(OR(NOT(ISNUMBER('Price History'!U113)),NOT(ISNUMBER('Price History'!U112)),'Price History'!U112=0),"",'Price History'!U113/'Price History'!U112-1),"")</f>
        <v/>
      </c>
      <c r="W112" s="138" t="n">
        <f aca="false">'Price History'!B3+('Price History'!B158-'Price History'!B3)*0.707792207792208</f>
        <v>325.811298701299</v>
      </c>
      <c r="X112" s="138" t="n">
        <f aca="false">'Price History'!C3+('Price History'!C158-'Price History'!C3)*0.707792207792208</f>
        <v>140.431493506494</v>
      </c>
      <c r="Y112" s="138" t="n">
        <f aca="false">'Price History'!D3+('Price History'!D158-'Price History'!D3)*0.707792207792208</f>
        <v>1346.37077922078</v>
      </c>
      <c r="Z112" s="138" t="n">
        <f aca="false">'Price History'!E3+('Price History'!E158-'Price History'!E3)*0.707792207792208</f>
        <v>299.776753246753</v>
      </c>
      <c r="AA112" s="138" t="n">
        <f aca="false">'Price History'!F3+('Price History'!F158-'Price History'!F3)*0.707792207792208</f>
        <v>145.918441558442</v>
      </c>
      <c r="AB112" s="138" t="n">
        <f aca="false">'Price History'!G3+('Price History'!G158-'Price History'!G3)*0.707792207792208</f>
        <v>143.395324675325</v>
      </c>
      <c r="AC112" s="138" t="n">
        <f aca="false">'Price History'!H3+('Price History'!H158-'Price History'!H3)*0.707792207792208</f>
        <v>601.343636363637</v>
      </c>
      <c r="AD112" s="138" t="n">
        <f aca="false">'Price History'!I3+('Price History'!I158-'Price History'!I3)*0.707792207792208</f>
        <v>154.025974025974</v>
      </c>
      <c r="AE112" s="138" t="n">
        <f aca="false">'Price History'!J3+('Price History'!J158-'Price History'!J3)*0.707792207792208</f>
        <v>138.444415584416</v>
      </c>
      <c r="AF112" s="138" t="n">
        <f aca="false">'Price History'!K3+('Price History'!K158-'Price History'!K3)*0.707792207792208</f>
        <v>91.6038311688312</v>
      </c>
      <c r="AG112" s="138" t="n">
        <f aca="false">'Price History'!L3+('Price History'!L158-'Price History'!L3)*0.707792207792208</f>
        <v>313.005194805195</v>
      </c>
      <c r="AH112" s="138" t="n">
        <f aca="false">'Price History'!M3+('Price History'!M158-'Price History'!M3)*0.707792207792208</f>
        <v>180.773246753247</v>
      </c>
      <c r="AI112" s="138" t="n">
        <f aca="false">'Price History'!N3+('Price History'!N158-'Price History'!N3)*0.707792207792208</f>
        <v>439.919480519481</v>
      </c>
      <c r="AJ112" s="138" t="n">
        <f aca="false">'Price History'!O3+('Price History'!O158-'Price History'!O3)*0.707792207792208</f>
        <v>112.881623376623</v>
      </c>
      <c r="AK112" s="138" t="n">
        <f aca="false">'Price History'!Q3+('Price History'!Q151-'Price History'!Q3)*0.707792207792208</f>
        <v>63.012012987013</v>
      </c>
      <c r="AL112" s="138" t="n">
        <f aca="false">'Price History'!R3+('Price History'!R158-'Price History'!R3)*0.707792207792208</f>
        <v>55.2022727272727</v>
      </c>
      <c r="AM112" s="138" t="n">
        <f aca="false">'Price History'!S3+('Price History'!S158-'Price History'!S3)*0.707792207792208</f>
        <v>118.907597402597</v>
      </c>
      <c r="AN112" s="138" t="n">
        <f aca="false">'Price History'!T3+('Price History'!T158-'Price History'!T3)*0.707792207792208</f>
        <v>43.0688961038961</v>
      </c>
    </row>
    <row r="113" customFormat="false" ht="15" hidden="false" customHeight="true" outlineLevel="0" collapsed="false">
      <c r="A113" s="136" t="n">
        <f aca="false">IF('Price History'!A114="","",'Price History'!A114)</f>
        <v>45926</v>
      </c>
      <c r="B113" s="137" t="n">
        <f aca="false">IFERROR(IF(OR(NOT(ISNUMBER('Price History'!B114)),NOT(ISNUMBER('Price History'!B113)),'Price History'!B113=0),"",'Price History'!B114/'Price History'!B113-1),"")</f>
        <v>-0.0151134189669307</v>
      </c>
      <c r="C113" s="137" t="n">
        <f aca="false">IFERROR(IF(OR(NOT(ISNUMBER('Price History'!C114)),NOT(ISNUMBER('Price History'!C113)),'Price History'!C113=0),"",'Price History'!C114/'Price History'!C113-1),"")</f>
        <v>-0.0475235612592742</v>
      </c>
      <c r="D113" s="137" t="n">
        <f aca="false">IFERROR(IF(OR(NOT(ISNUMBER('Price History'!D114)),NOT(ISNUMBER('Price History'!D113)),'Price History'!D113=0),"",'Price History'!D114/'Price History'!D113-1),"")</f>
        <v>0.020779917395269</v>
      </c>
      <c r="E113" s="137" t="n">
        <f aca="false">IFERROR(IF(OR(NOT(ISNUMBER('Price History'!E114)),NOT(ISNUMBER('Price History'!E113)),'Price History'!E113=0),"",'Price History'!E114/'Price History'!E113-1),"")</f>
        <v>-0.0301791615933207</v>
      </c>
      <c r="F113" s="137" t="n">
        <f aca="false">IFERROR(IF(OR(NOT(ISNUMBER('Price History'!F114)),NOT(ISNUMBER('Price History'!F113)),'Price History'!F113=0),"",'Price History'!F114/'Price History'!F113-1),"")</f>
        <v>-0.0420248328557784</v>
      </c>
      <c r="G113" s="137" t="n">
        <f aca="false">IFERROR(IF(OR(NOT(ISNUMBER('Price History'!G114)),NOT(ISNUMBER('Price History'!G113)),'Price History'!G113=0),"",'Price History'!G114/'Price History'!G113-1),"")</f>
        <v>0.0186638591117918</v>
      </c>
      <c r="H113" s="137" t="n">
        <f aca="false">IFERROR(IF(OR(NOT(ISNUMBER('Price History'!H114)),NOT(ISNUMBER('Price History'!H113)),'Price History'!H113=0),"",'Price History'!H114/'Price History'!H113-1),"")</f>
        <v>-0.0335525102931235</v>
      </c>
      <c r="I113" s="137" t="n">
        <f aca="false">IFERROR(IF(OR(NOT(ISNUMBER('Price History'!I114)),NOT(ISNUMBER('Price History'!I113)),'Price History'!I113=0),"",'Price History'!I114/'Price History'!I113-1),"")</f>
        <v>0.00860361125261799</v>
      </c>
      <c r="J113" s="137" t="n">
        <f aca="false">IFERROR(IF(OR(NOT(ISNUMBER('Price History'!J114)),NOT(ISNUMBER('Price History'!J113)),'Price History'!J113=0),"",'Price History'!J114/'Price History'!J113-1),"")</f>
        <v>0.0059906616157166</v>
      </c>
      <c r="K113" s="137" t="n">
        <f aca="false">IFERROR(IF(OR(NOT(ISNUMBER('Price History'!K114)),NOT(ISNUMBER('Price History'!K113)),'Price History'!K113=0),"",'Price History'!K114/'Price History'!K113-1),"")</f>
        <v>-0.0264268874390043</v>
      </c>
      <c r="L113" s="137" t="n">
        <f aca="false">IFERROR(IF(OR(NOT(ISNUMBER('Price History'!L114)),NOT(ISNUMBER('Price History'!L113)),'Price History'!L113=0),"",'Price History'!L114/'Price History'!L113-1),"")</f>
        <v>0.0320534601880167</v>
      </c>
      <c r="M113" s="137" t="n">
        <f aca="false">IFERROR(IF(OR(NOT(ISNUMBER('Price History'!M114)),NOT(ISNUMBER('Price History'!M113)),'Price History'!M113=0),"",'Price History'!M114/'Price History'!M113-1),"")</f>
        <v>-0.0346796657381615</v>
      </c>
      <c r="N113" s="137" t="n">
        <f aca="false">IFERROR(IF(OR(NOT(ISNUMBER('Price History'!N114)),NOT(ISNUMBER('Price History'!N113)),'Price History'!N113=0),"",'Price History'!N114/'Price History'!N113-1),"")</f>
        <v>0.00683858843182295</v>
      </c>
      <c r="O113" s="137" t="n">
        <f aca="false">IFERROR(IF(OR(NOT(ISNUMBER('Price History'!O114)),NOT(ISNUMBER('Price History'!O113)),'Price History'!O113=0),"",'Price History'!O114/'Price History'!O113-1),"")</f>
        <v>-0.00158872008737954</v>
      </c>
      <c r="P113" s="137" t="str">
        <f aca="false">IFERROR(IF(OR(NOT(ISNUMBER('Price History'!P114)),NOT(ISNUMBER('Price History'!P113)),'Price History'!P113=0),"",'Price History'!P114/'Price History'!P113-1),"")</f>
        <v/>
      </c>
      <c r="Q113" s="137" t="n">
        <f aca="false">IFERROR(IF(OR(NOT(ISNUMBER('Price History'!Q114)),NOT(ISNUMBER('Price History'!Q113)),'Price History'!Q113=0),"",'Price History'!Q114/'Price History'!Q113-1),"")</f>
        <v>0.00153209744139748</v>
      </c>
      <c r="R113" s="137" t="n">
        <f aca="false">IFERROR(IF(OR(NOT(ISNUMBER('Price History'!R114)),NOT(ISNUMBER('Price History'!R113)),'Price History'!R113=0),"",'Price History'!R114/'Price History'!R113-1),"")</f>
        <v>0.00157452764170762</v>
      </c>
      <c r="S113" s="137" t="n">
        <f aca="false">IFERROR(IF(OR(NOT(ISNUMBER('Price History'!S114)),NOT(ISNUMBER('Price History'!S113)),'Price History'!S113=0),"",'Price History'!S114/'Price History'!S113-1),"")</f>
        <v>-0.0110719265152137</v>
      </c>
      <c r="T113" s="137" t="n">
        <f aca="false">IFERROR(IF(OR(NOT(ISNUMBER('Price History'!T114)),NOT(ISNUMBER('Price History'!T113)),'Price History'!T113=0),"",'Price History'!T114/'Price History'!T113-1),"")</f>
        <v>0.0077436582109478</v>
      </c>
      <c r="U113" s="137" t="str">
        <f aca="false">IFERROR(IF(OR(NOT(ISNUMBER('Price History'!U114)),NOT(ISNUMBER('Price History'!U113)),'Price History'!U113=0),"",'Price History'!U114/'Price History'!U113-1),"")</f>
        <v/>
      </c>
      <c r="W113" s="138" t="n">
        <f aca="false">'Price History'!B3+('Price History'!B158-'Price History'!B3)*0.714285714285714</f>
        <v>324.135714285714</v>
      </c>
      <c r="X113" s="138" t="n">
        <f aca="false">'Price History'!C3+('Price History'!C158-'Price History'!C3)*0.714285714285714</f>
        <v>141.318571428571</v>
      </c>
      <c r="Y113" s="138" t="n">
        <f aca="false">'Price History'!D3+('Price History'!D158-'Price History'!D3)*0.714285714285714</f>
        <v>1352.65142857143</v>
      </c>
      <c r="Z113" s="138" t="n">
        <f aca="false">'Price History'!E3+('Price History'!E158-'Price History'!E3)*0.714285714285714</f>
        <v>301.765714285714</v>
      </c>
      <c r="AA113" s="138" t="n">
        <f aca="false">'Price History'!F3+('Price History'!F158-'Price History'!F3)*0.714285714285714</f>
        <v>146.917142857143</v>
      </c>
      <c r="AB113" s="138" t="n">
        <f aca="false">'Price History'!G3+('Price History'!G158-'Price History'!G3)*0.714285714285714</f>
        <v>144.271428571429</v>
      </c>
      <c r="AC113" s="138" t="n">
        <f aca="false">'Price History'!H3+('Price History'!H158-'Price History'!H3)*0.714285714285714</f>
        <v>606.27</v>
      </c>
      <c r="AD113" s="138" t="n">
        <f aca="false">'Price History'!I3+('Price History'!I158-'Price History'!I3)*0.714285714285714</f>
        <v>155.064285714286</v>
      </c>
      <c r="AE113" s="138" t="n">
        <f aca="false">'Price History'!J3+('Price History'!J158-'Price History'!J3)*0.714285714285714</f>
        <v>138.581428571429</v>
      </c>
      <c r="AF113" s="138" t="n">
        <f aca="false">'Price History'!K3+('Price History'!K158-'Price History'!K3)*0.714285714285714</f>
        <v>92.3028571428571</v>
      </c>
      <c r="AG113" s="138" t="n">
        <f aca="false">'Price History'!L3+('Price History'!L158-'Price History'!L3)*0.714285714285714</f>
        <v>315.032857142857</v>
      </c>
      <c r="AH113" s="138" t="n">
        <f aca="false">'Price History'!M3+('Price History'!M158-'Price History'!M3)*0.714285714285714</f>
        <v>182.124285714286</v>
      </c>
      <c r="AI113" s="138" t="n">
        <f aca="false">'Price History'!N3+('Price History'!N158-'Price History'!N3)*0.714285714285714</f>
        <v>440.745714285714</v>
      </c>
      <c r="AJ113" s="138" t="n">
        <f aca="false">'Price History'!O3+('Price History'!O158-'Price History'!O3)*0.714285714285714</f>
        <v>113.157142857143</v>
      </c>
      <c r="AK113" s="138" t="n">
        <f aca="false">'Price History'!Q3+('Price History'!Q151-'Price History'!Q3)*0.714285714285714</f>
        <v>63.1328571428571</v>
      </c>
      <c r="AL113" s="138" t="n">
        <f aca="false">'Price History'!R3+('Price History'!R158-'Price History'!R3)*0.714285714285714</f>
        <v>55.27</v>
      </c>
      <c r="AM113" s="138" t="n">
        <f aca="false">'Price History'!S3+('Price History'!S158-'Price History'!S3)*0.714285714285714</f>
        <v>119.461428571429</v>
      </c>
      <c r="AN113" s="138" t="n">
        <f aca="false">'Price History'!T3+('Price History'!T158-'Price History'!T3)*0.714285714285714</f>
        <v>43.2171428571428</v>
      </c>
    </row>
    <row r="114" customFormat="false" ht="15" hidden="false" customHeight="true" outlineLevel="0" collapsed="false">
      <c r="A114" s="136" t="n">
        <f aca="false">IF('Price History'!A115="","",'Price History'!A115)</f>
        <v>45933</v>
      </c>
      <c r="B114" s="137" t="n">
        <f aca="false">IFERROR(IF(OR(NOT(ISNUMBER('Price History'!B115)),NOT(ISNUMBER('Price History'!B114)),'Price History'!B114=0),"",'Price History'!B115/'Price History'!B114-1),"")</f>
        <v>-0.0378222382551267</v>
      </c>
      <c r="C114" s="137" t="n">
        <f aca="false">IFERROR(IF(OR(NOT(ISNUMBER('Price History'!C115)),NOT(ISNUMBER('Price History'!C114)),'Price History'!C114=0),"",'Price History'!C115/'Price History'!C114-1),"")</f>
        <v>0.0210526315789474</v>
      </c>
      <c r="D114" s="137" t="n">
        <f aca="false">IFERROR(IF(OR(NOT(ISNUMBER('Price History'!D115)),NOT(ISNUMBER('Price History'!D114)),'Price History'!D114=0),"",'Price History'!D115/'Price History'!D114-1),"")</f>
        <v>0.0848116697494536</v>
      </c>
      <c r="E114" s="137" t="n">
        <f aca="false">IFERROR(IF(OR(NOT(ISNUMBER('Price History'!E115)),NOT(ISNUMBER('Price History'!E114)),'Price History'!E114=0),"",'Price History'!E115/'Price History'!E114-1),"")</f>
        <v>0.0114787911398082</v>
      </c>
      <c r="F114" s="137" t="n">
        <f aca="false">IFERROR(IF(OR(NOT(ISNUMBER('Price History'!F115)),NOT(ISNUMBER('Price History'!F114)),'Price History'!F114=0),"",'Price History'!F115/'Price History'!F114-1),"")</f>
        <v>0.0175307411100034</v>
      </c>
      <c r="G114" s="137" t="n">
        <f aca="false">IFERROR(IF(OR(NOT(ISNUMBER('Price History'!G115)),NOT(ISNUMBER('Price History'!G114)),'Price History'!G114=0),"",'Price History'!G115/'Price History'!G114-1),"")</f>
        <v>0.0350465094428263</v>
      </c>
      <c r="H114" s="137" t="n">
        <f aca="false">IFERROR(IF(OR(NOT(ISNUMBER('Price History'!H115)),NOT(ISNUMBER('Price History'!H114)),'Price History'!H114=0),"",'Price History'!H115/'Price History'!H114-1),"")</f>
        <v>0.194315508361417</v>
      </c>
      <c r="I114" s="137" t="n">
        <f aca="false">IFERROR(IF(OR(NOT(ISNUMBER('Price History'!I115)),NOT(ISNUMBER('Price History'!I114)),'Price History'!I114=0),"",'Price History'!I115/'Price History'!I114-1),"")</f>
        <v>0.0529210393400303</v>
      </c>
      <c r="J114" s="137" t="n">
        <f aca="false">IFERROR(IF(OR(NOT(ISNUMBER('Price History'!J115)),NOT(ISNUMBER('Price History'!J114)),'Price History'!J114=0),"",'Price History'!J115/'Price History'!J114-1),"")</f>
        <v>0.0251335493475786</v>
      </c>
      <c r="K114" s="137" t="n">
        <f aca="false">IFERROR(IF(OR(NOT(ISNUMBER('Price History'!K115)),NOT(ISNUMBER('Price History'!K114)),'Price History'!K114=0),"",'Price History'!K115/'Price History'!K114-1),"")</f>
        <v>-0.025342118601115</v>
      </c>
      <c r="L114" s="137" t="n">
        <f aca="false">IFERROR(IF(OR(NOT(ISNUMBER('Price History'!L115)),NOT(ISNUMBER('Price History'!L114)),'Price History'!L114=0),"",'Price History'!L115/'Price History'!L114-1),"")</f>
        <v>0.0688835235586771</v>
      </c>
      <c r="M114" s="137" t="n">
        <f aca="false">IFERROR(IF(OR(NOT(ISNUMBER('Price History'!M115)),NOT(ISNUMBER('Price History'!M114)),'Price History'!M114=0),"",'Price History'!M115/'Price History'!M114-1),"")</f>
        <v>0.155677391429808</v>
      </c>
      <c r="N114" s="137" t="n">
        <f aca="false">IFERROR(IF(OR(NOT(ISNUMBER('Price History'!N115)),NOT(ISNUMBER('Price History'!N114)),'Price History'!N114=0),"",'Price History'!N115/'Price History'!N114-1),"")</f>
        <v>0.0455228910665215</v>
      </c>
      <c r="O114" s="137" t="n">
        <f aca="false">IFERROR(IF(OR(NOT(ISNUMBER('Price History'!O115)),NOT(ISNUMBER('Price History'!O114)),'Price History'!O114=0),"",'Price History'!O115/'Price History'!O114-1),"")</f>
        <v>0.00109398309298858</v>
      </c>
      <c r="P114" s="137" t="str">
        <f aca="false">IFERROR(IF(OR(NOT(ISNUMBER('Price History'!P115)),NOT(ISNUMBER('Price History'!P114)),'Price History'!P114=0),"",'Price History'!P115/'Price History'!P114-1),"")</f>
        <v/>
      </c>
      <c r="Q114" s="137" t="n">
        <f aca="false">IFERROR(IF(OR(NOT(ISNUMBER('Price History'!Q115)),NOT(ISNUMBER('Price History'!Q114)),'Price History'!Q114=0),"",'Price History'!Q115/'Price History'!Q114-1),"")</f>
        <v>-0.00887257151598586</v>
      </c>
      <c r="R114" s="137" t="n">
        <f aca="false">IFERROR(IF(OR(NOT(ISNUMBER('Price History'!R115)),NOT(ISNUMBER('Price History'!R114)),'Price History'!R114=0),"",'Price History'!R115/'Price History'!R114-1),"")</f>
        <v>0.00052401746724895</v>
      </c>
      <c r="S114" s="137" t="n">
        <f aca="false">IFERROR(IF(OR(NOT(ISNUMBER('Price History'!S115)),NOT(ISNUMBER('Price History'!S114)),'Price History'!S114=0),"",'Price History'!S115/'Price History'!S114-1),"")</f>
        <v>-0.00406369215458613</v>
      </c>
      <c r="T114" s="137" t="n">
        <f aca="false">IFERROR(IF(OR(NOT(ISNUMBER('Price History'!T115)),NOT(ISNUMBER('Price History'!T114)),'Price History'!T114=0),"",'Price History'!T115/'Price History'!T114-1),"")</f>
        <v>0.00344462109167987</v>
      </c>
      <c r="U114" s="137" t="str">
        <f aca="false">IFERROR(IF(OR(NOT(ISNUMBER('Price History'!U115)),NOT(ISNUMBER('Price History'!U114)),'Price History'!U114=0),"",'Price History'!U115/'Price History'!U114-1),"")</f>
        <v/>
      </c>
      <c r="W114" s="138" t="n">
        <f aca="false">'Price History'!B3+('Price History'!B158-'Price History'!B3)*0.720779220779221</f>
        <v>322.46012987013</v>
      </c>
      <c r="X114" s="138" t="n">
        <f aca="false">'Price History'!C3+('Price History'!C158-'Price History'!C3)*0.720779220779221</f>
        <v>142.205649350649</v>
      </c>
      <c r="Y114" s="138" t="n">
        <f aca="false">'Price History'!D3+('Price History'!D158-'Price History'!D3)*0.720779220779221</f>
        <v>1358.93207792208</v>
      </c>
      <c r="Z114" s="138" t="n">
        <f aca="false">'Price History'!E3+('Price History'!E158-'Price History'!E3)*0.720779220779221</f>
        <v>303.754675324675</v>
      </c>
      <c r="AA114" s="138" t="n">
        <f aca="false">'Price History'!F3+('Price History'!F158-'Price History'!F3)*0.720779220779221</f>
        <v>147.915844155844</v>
      </c>
      <c r="AB114" s="138" t="n">
        <f aca="false">'Price History'!G3+('Price History'!G158-'Price History'!G3)*0.720779220779221</f>
        <v>145.147532467532</v>
      </c>
      <c r="AC114" s="138" t="n">
        <f aca="false">'Price History'!H3+('Price History'!H158-'Price History'!H3)*0.720779220779221</f>
        <v>611.196363636364</v>
      </c>
      <c r="AD114" s="138" t="n">
        <f aca="false">'Price History'!I3+('Price History'!I158-'Price History'!I3)*0.720779220779221</f>
        <v>156.102597402597</v>
      </c>
      <c r="AE114" s="138" t="n">
        <f aca="false">'Price History'!J3+('Price History'!J158-'Price History'!J3)*0.720779220779221</f>
        <v>138.718441558442</v>
      </c>
      <c r="AF114" s="138" t="n">
        <f aca="false">'Price History'!K3+('Price History'!K158-'Price History'!K3)*0.720779220779221</f>
        <v>93.0018831168831</v>
      </c>
      <c r="AG114" s="138" t="n">
        <f aca="false">'Price History'!L3+('Price History'!L158-'Price History'!L3)*0.720779220779221</f>
        <v>317.06051948052</v>
      </c>
      <c r="AH114" s="138" t="n">
        <f aca="false">'Price History'!M3+('Price History'!M158-'Price History'!M3)*0.720779220779221</f>
        <v>183.475324675325</v>
      </c>
      <c r="AI114" s="138" t="n">
        <f aca="false">'Price History'!N3+('Price History'!N158-'Price History'!N3)*0.720779220779221</f>
        <v>441.571948051948</v>
      </c>
      <c r="AJ114" s="138" t="n">
        <f aca="false">'Price History'!O3+('Price History'!O158-'Price History'!O3)*0.720779220779221</f>
        <v>113.432662337662</v>
      </c>
      <c r="AK114" s="138" t="n">
        <f aca="false">'Price History'!Q3+('Price History'!Q151-'Price History'!Q3)*0.720779220779221</f>
        <v>63.2537012987013</v>
      </c>
      <c r="AL114" s="138" t="n">
        <f aca="false">'Price History'!R3+('Price History'!R158-'Price History'!R3)*0.720779220779221</f>
        <v>55.3377272727273</v>
      </c>
      <c r="AM114" s="138" t="n">
        <f aca="false">'Price History'!S3+('Price History'!S158-'Price History'!S3)*0.720779220779221</f>
        <v>120.01525974026</v>
      </c>
      <c r="AN114" s="138" t="n">
        <f aca="false">'Price History'!T3+('Price History'!T158-'Price History'!T3)*0.720779220779221</f>
        <v>43.3653896103896</v>
      </c>
    </row>
    <row r="115" customFormat="false" ht="15" hidden="false" customHeight="true" outlineLevel="0" collapsed="false">
      <c r="A115" s="136" t="n">
        <f aca="false">IF('Price History'!A116="","",'Price History'!A116)</f>
        <v>45940</v>
      </c>
      <c r="B115" s="137" t="n">
        <f aca="false">IFERROR(IF(OR(NOT(ISNUMBER('Price History'!B116)),NOT(ISNUMBER('Price History'!B115)),'Price History'!B115=0),"",'Price History'!B116/'Price History'!B115-1),"")</f>
        <v>-0.026619368979639</v>
      </c>
      <c r="C115" s="137" t="n">
        <f aca="false">IFERROR(IF(OR(NOT(ISNUMBER('Price History'!C116)),NOT(ISNUMBER('Price History'!C115)),'Price History'!C115=0),"",'Price History'!C116/'Price History'!C115-1),"")</f>
        <v>0.059106529209622</v>
      </c>
      <c r="D115" s="137" t="n">
        <f aca="false">IFERROR(IF(OR(NOT(ISNUMBER('Price History'!D116)),NOT(ISNUMBER('Price History'!D115)),'Price History'!D115=0),"",'Price History'!D116/'Price History'!D115-1),"")</f>
        <v>-0.0930324930731821</v>
      </c>
      <c r="E115" s="137" t="n">
        <f aca="false">IFERROR(IF(OR(NOT(ISNUMBER('Price History'!E116)),NOT(ISNUMBER('Price History'!E115)),'Price History'!E115=0),"",'Price History'!E116/'Price History'!E115-1),"")</f>
        <v>-0.0406064367408459</v>
      </c>
      <c r="F115" s="137" t="n">
        <f aca="false">IFERROR(IF(OR(NOT(ISNUMBER('Price History'!F116)),NOT(ISNUMBER('Price History'!F115)),'Price History'!F115=0),"",'Price History'!F116/'Price History'!F115-1),"")</f>
        <v>0.00775700171470573</v>
      </c>
      <c r="G115" s="137" t="n">
        <f aca="false">IFERROR(IF(OR(NOT(ISNUMBER('Price History'!G116)),NOT(ISNUMBER('Price History'!G115)),'Price History'!G115=0),"",'Price History'!G116/'Price History'!G115-1),"")</f>
        <v>-0.107843137254902</v>
      </c>
      <c r="H115" s="137" t="n">
        <f aca="false">IFERROR(IF(OR(NOT(ISNUMBER('Price History'!H116)),NOT(ISNUMBER('Price History'!H115)),'Price History'!H115=0),"",'Price History'!H116/'Price History'!H115-1),"")</f>
        <v>-0.03316829047543</v>
      </c>
      <c r="I115" s="137" t="n">
        <f aca="false">IFERROR(IF(OR(NOT(ISNUMBER('Price History'!I116)),NOT(ISNUMBER('Price History'!I115)),'Price History'!I115=0),"",'Price History'!I116/'Price History'!I115-1),"")</f>
        <v>-0.0237714529367872</v>
      </c>
      <c r="J115" s="137" t="n">
        <f aca="false">IFERROR(IF(OR(NOT(ISNUMBER('Price History'!J116)),NOT(ISNUMBER('Price History'!J115)),'Price History'!J115=0),"",'Price History'!J116/'Price History'!J115-1),"")</f>
        <v>-0.0498035195626174</v>
      </c>
      <c r="K115" s="137" t="n">
        <f aca="false">IFERROR(IF(OR(NOT(ISNUMBER('Price History'!K116)),NOT(ISNUMBER('Price History'!K115)),'Price History'!K115=0),"",'Price History'!K116/'Price History'!K115-1),"")</f>
        <v>0.0136938810885769</v>
      </c>
      <c r="L115" s="137" t="n">
        <f aca="false">IFERROR(IF(OR(NOT(ISNUMBER('Price History'!L116)),NOT(ISNUMBER('Price History'!L115)),'Price History'!L115=0),"",'Price History'!L116/'Price History'!L115-1),"")</f>
        <v>-0.0394606249358294</v>
      </c>
      <c r="M115" s="137" t="n">
        <f aca="false">IFERROR(IF(OR(NOT(ISNUMBER('Price History'!M116)),NOT(ISNUMBER('Price History'!M115)),'Price History'!M115=0),"",'Price History'!M116/'Price History'!M115-1),"")</f>
        <v>0.0549937578027466</v>
      </c>
      <c r="N115" s="137" t="n">
        <f aca="false">IFERROR(IF(OR(NOT(ISNUMBER('Price History'!N116)),NOT(ISNUMBER('Price History'!N115)),'Price History'!N115=0),"",'Price History'!N116/'Price History'!N115-1),"")</f>
        <v>0.0111331515001241</v>
      </c>
      <c r="O115" s="137" t="n">
        <f aca="false">IFERROR(IF(OR(NOT(ISNUMBER('Price History'!O116)),NOT(ISNUMBER('Price History'!O115)),'Price History'!O115=0),"",'Price History'!O116/'Price History'!O115-1),"")</f>
        <v>-0.05434134710908</v>
      </c>
      <c r="P115" s="137" t="str">
        <f aca="false">IFERROR(IF(OR(NOT(ISNUMBER('Price History'!P116)),NOT(ISNUMBER('Price History'!P115)),'Price History'!P115=0),"",'Price History'!P116/'Price History'!P115-1),"")</f>
        <v/>
      </c>
      <c r="Q115" s="137" t="n">
        <f aca="false">IFERROR(IF(OR(NOT(ISNUMBER('Price History'!Q116)),NOT(ISNUMBER('Price History'!Q115)),'Price History'!Q115=0),"",'Price History'!Q116/'Price History'!Q115-1),"")</f>
        <v>0.0217626176879147</v>
      </c>
      <c r="R115" s="137" t="n">
        <f aca="false">IFERROR(IF(OR(NOT(ISNUMBER('Price History'!R116)),NOT(ISNUMBER('Price History'!R115)),'Price History'!R115=0),"",'Price History'!R116/'Price History'!R115-1),"")</f>
        <v>-0.0165851955307264</v>
      </c>
      <c r="S115" s="137" t="n">
        <f aca="false">IFERROR(IF(OR(NOT(ISNUMBER('Price History'!S116)),NOT(ISNUMBER('Price History'!S115)),'Price History'!S115=0),"",'Price History'!S116/'Price History'!S115-1),"")</f>
        <v>-0.0132400699475393</v>
      </c>
      <c r="T115" s="137" t="n">
        <f aca="false">IFERROR(IF(OR(NOT(ISNUMBER('Price History'!T116)),NOT(ISNUMBER('Price History'!T115)),'Price History'!T115=0),"",'Price History'!T116/'Price History'!T115-1),"")</f>
        <v>-0.0340639028254555</v>
      </c>
      <c r="U115" s="137" t="str">
        <f aca="false">IFERROR(IF(OR(NOT(ISNUMBER('Price History'!U116)),NOT(ISNUMBER('Price History'!U115)),'Price History'!U115=0),"",'Price History'!U116/'Price History'!U115-1),"")</f>
        <v/>
      </c>
      <c r="W115" s="138" t="n">
        <f aca="false">'Price History'!B3+('Price History'!B158-'Price History'!B3)*0.727272727272727</f>
        <v>320.784545454546</v>
      </c>
      <c r="X115" s="138" t="n">
        <f aca="false">'Price History'!C3+('Price History'!C158-'Price History'!C3)*0.727272727272727</f>
        <v>143.092727272727</v>
      </c>
      <c r="Y115" s="138" t="n">
        <f aca="false">'Price History'!D3+('Price History'!D158-'Price History'!D3)*0.727272727272727</f>
        <v>1365.21272727273</v>
      </c>
      <c r="Z115" s="138" t="n">
        <f aca="false">'Price History'!E3+('Price History'!E158-'Price History'!E3)*0.727272727272727</f>
        <v>305.743636363636</v>
      </c>
      <c r="AA115" s="138" t="n">
        <f aca="false">'Price History'!F3+('Price History'!F158-'Price History'!F3)*0.727272727272727</f>
        <v>148.914545454545</v>
      </c>
      <c r="AB115" s="138" t="n">
        <f aca="false">'Price History'!G3+('Price History'!G158-'Price History'!G3)*0.727272727272727</f>
        <v>146.023636363636</v>
      </c>
      <c r="AC115" s="138" t="n">
        <f aca="false">'Price History'!H3+('Price History'!H158-'Price History'!H3)*0.727272727272727</f>
        <v>616.122727272727</v>
      </c>
      <c r="AD115" s="138" t="n">
        <f aca="false">'Price History'!I3+('Price History'!I158-'Price History'!I3)*0.727272727272727</f>
        <v>157.140909090909</v>
      </c>
      <c r="AE115" s="138" t="n">
        <f aca="false">'Price History'!J3+('Price History'!J158-'Price History'!J3)*0.727272727272727</f>
        <v>138.855454545455</v>
      </c>
      <c r="AF115" s="138" t="n">
        <f aca="false">'Price History'!K3+('Price History'!K158-'Price History'!K3)*0.727272727272727</f>
        <v>93.7009090909091</v>
      </c>
      <c r="AG115" s="138" t="n">
        <f aca="false">'Price History'!L3+('Price History'!L158-'Price History'!L3)*0.727272727272727</f>
        <v>319.088181818182</v>
      </c>
      <c r="AH115" s="138" t="n">
        <f aca="false">'Price History'!M3+('Price History'!M158-'Price History'!M3)*0.727272727272727</f>
        <v>184.826363636364</v>
      </c>
      <c r="AI115" s="138" t="n">
        <f aca="false">'Price History'!N3+('Price History'!N158-'Price History'!N3)*0.727272727272727</f>
        <v>442.398181818182</v>
      </c>
      <c r="AJ115" s="138" t="n">
        <f aca="false">'Price History'!O3+('Price History'!O158-'Price History'!O3)*0.727272727272727</f>
        <v>113.708181818182</v>
      </c>
      <c r="AK115" s="138" t="n">
        <f aca="false">'Price History'!Q3+('Price History'!Q151-'Price History'!Q3)*0.727272727272727</f>
        <v>63.3745454545455</v>
      </c>
      <c r="AL115" s="138" t="n">
        <f aca="false">'Price History'!R3+('Price History'!R158-'Price History'!R3)*0.727272727272727</f>
        <v>55.4054545454545</v>
      </c>
      <c r="AM115" s="138" t="n">
        <f aca="false">'Price History'!S3+('Price History'!S158-'Price History'!S3)*0.727272727272727</f>
        <v>120.569090909091</v>
      </c>
      <c r="AN115" s="138" t="n">
        <f aca="false">'Price History'!T3+('Price History'!T158-'Price History'!T3)*0.727272727272727</f>
        <v>43.5136363636364</v>
      </c>
    </row>
    <row r="116" customFormat="false" ht="15" hidden="false" customHeight="true" outlineLevel="0" collapsed="false">
      <c r="A116" s="136" t="n">
        <f aca="false">IF('Price History'!A117="","",'Price History'!A117)</f>
        <v>45947</v>
      </c>
      <c r="B116" s="137" t="n">
        <f aca="false">IFERROR(IF(OR(NOT(ISNUMBER('Price History'!B117)),NOT(ISNUMBER('Price History'!B116)),'Price History'!B116=0),"",'Price History'!B117/'Price History'!B116-1),"")</f>
        <v>-0.0125922194897929</v>
      </c>
      <c r="C116" s="137" t="n">
        <f aca="false">IFERROR(IF(OR(NOT(ISNUMBER('Price History'!C117)),NOT(ISNUMBER('Price History'!C116)),'Price History'!C116=0),"",'Price History'!C117/'Price History'!C116-1),"")</f>
        <v>-0.0713822193380922</v>
      </c>
      <c r="D116" s="137" t="n">
        <f aca="false">IFERROR(IF(OR(NOT(ISNUMBER('Price History'!D117)),NOT(ISNUMBER('Price History'!D116)),'Price History'!D116=0),"",'Price History'!D117/'Price History'!D116-1),"")</f>
        <v>0.099424262169004</v>
      </c>
      <c r="E116" s="137" t="n">
        <f aca="false">IFERROR(IF(OR(NOT(ISNUMBER('Price History'!E117)),NOT(ISNUMBER('Price History'!E116)),'Price History'!E116=0),"",'Price History'!E117/'Price History'!E116-1),"")</f>
        <v>0.0760866216923883</v>
      </c>
      <c r="F116" s="137" t="n">
        <f aca="false">IFERROR(IF(OR(NOT(ISNUMBER('Price History'!F117)),NOT(ISNUMBER('Price History'!F116)),'Price History'!F116=0),"",'Price History'!F117/'Price History'!F116-1),"")</f>
        <v>-0.0183114568141306</v>
      </c>
      <c r="G116" s="137" t="n">
        <f aca="false">IFERROR(IF(OR(NOT(ISNUMBER('Price History'!G117)),NOT(ISNUMBER('Price History'!G116)),'Price History'!G116=0),"",'Price History'!G117/'Price History'!G116-1),"")</f>
        <v>0.126068376068376</v>
      </c>
      <c r="H116" s="137" t="n">
        <f aca="false">IFERROR(IF(OR(NOT(ISNUMBER('Price History'!H117)),NOT(ISNUMBER('Price History'!H116)),'Price History'!H116=0),"",'Price History'!H117/'Price History'!H116-1),"")</f>
        <v>0.11442731277533</v>
      </c>
      <c r="I116" s="137" t="n">
        <f aca="false">IFERROR(IF(OR(NOT(ISNUMBER('Price History'!I117)),NOT(ISNUMBER('Price History'!I116)),'Price History'!I116=0),"",'Price History'!I117/'Price History'!I116-1),"")</f>
        <v>0.000327582441581153</v>
      </c>
      <c r="J116" s="137" t="n">
        <f aca="false">IFERROR(IF(OR(NOT(ISNUMBER('Price History'!J117)),NOT(ISNUMBER('Price History'!J116)),'Price History'!J116=0),"",'Price History'!J117/'Price History'!J116-1),"")</f>
        <v>0.11552638676616</v>
      </c>
      <c r="K116" s="137" t="n">
        <f aca="false">IFERROR(IF(OR(NOT(ISNUMBER('Price History'!K117)),NOT(ISNUMBER('Price History'!K116)),'Price History'!K116=0),"",'Price History'!K117/'Price History'!K116-1),"")</f>
        <v>0.0154468764249887</v>
      </c>
      <c r="L116" s="137" t="n">
        <f aca="false">IFERROR(IF(OR(NOT(ISNUMBER('Price History'!L117)),NOT(ISNUMBER('Price History'!L116)),'Price History'!L116=0),"",'Price History'!L117/'Price History'!L116-1),"")</f>
        <v>0.0513788926102756</v>
      </c>
      <c r="M116" s="137" t="n">
        <f aca="false">IFERROR(IF(OR(NOT(ISNUMBER('Price History'!M117)),NOT(ISNUMBER('Price History'!M116)),'Price History'!M116=0),"",'Price History'!M117/'Price History'!M116-1),"")</f>
        <v>0.0295248801846044</v>
      </c>
      <c r="N116" s="137" t="n">
        <f aca="false">IFERROR(IF(OR(NOT(ISNUMBER('Price History'!N117)),NOT(ISNUMBER('Price History'!N116)),'Price History'!N116=0),"",'Price History'!N117/'Price History'!N116-1),"")</f>
        <v>0.022119228034037</v>
      </c>
      <c r="O116" s="137" t="n">
        <f aca="false">IFERROR(IF(OR(NOT(ISNUMBER('Price History'!O117)),NOT(ISNUMBER('Price History'!O116)),'Price History'!O116=0),"",'Price History'!O117/'Price History'!O116-1),"")</f>
        <v>0.0196449206849461</v>
      </c>
      <c r="P116" s="137" t="str">
        <f aca="false">IFERROR(IF(OR(NOT(ISNUMBER('Price History'!P117)),NOT(ISNUMBER('Price History'!P116)),'Price History'!P116=0),"",'Price History'!P117/'Price History'!P116-1),"")</f>
        <v/>
      </c>
      <c r="Q116" s="137" t="n">
        <f aca="false">IFERROR(IF(OR(NOT(ISNUMBER('Price History'!Q117)),NOT(ISNUMBER('Price History'!Q116)),'Price History'!Q116=0),"",'Price History'!Q117/'Price History'!Q116-1),"")</f>
        <v>0.00226586102719017</v>
      </c>
      <c r="R116" s="137" t="n">
        <f aca="false">IFERROR(IF(OR(NOT(ISNUMBER('Price History'!R117)),NOT(ISNUMBER('Price History'!R116)),'Price History'!R116=0),"",'Price History'!R117/'Price History'!R116-1),"")</f>
        <v>0.0204154091958104</v>
      </c>
      <c r="S116" s="137" t="n">
        <f aca="false">IFERROR(IF(OR(NOT(ISNUMBER('Price History'!S117)),NOT(ISNUMBER('Price History'!S116)),'Price History'!S116=0),"",'Price History'!S117/'Price History'!S116-1),"")</f>
        <v>0.0162025316455696</v>
      </c>
      <c r="T116" s="137" t="n">
        <f aca="false">IFERROR(IF(OR(NOT(ISNUMBER('Price History'!T117)),NOT(ISNUMBER('Price History'!T116)),'Price History'!T116=0),"",'Price History'!T117/'Price History'!T116-1),"")</f>
        <v>0.0139420448332424</v>
      </c>
      <c r="U116" s="137" t="str">
        <f aca="false">IFERROR(IF(OR(NOT(ISNUMBER('Price History'!U117)),NOT(ISNUMBER('Price History'!U116)),'Price History'!U116=0),"",'Price History'!U117/'Price History'!U116-1),"")</f>
        <v/>
      </c>
      <c r="W116" s="138" t="n">
        <f aca="false">'Price History'!B3+('Price History'!B158-'Price History'!B3)*0.733766233766234</f>
        <v>319.108961038961</v>
      </c>
      <c r="X116" s="138" t="n">
        <f aca="false">'Price History'!C3+('Price History'!C158-'Price History'!C3)*0.733766233766234</f>
        <v>143.979805194805</v>
      </c>
      <c r="Y116" s="138" t="n">
        <f aca="false">'Price History'!D3+('Price History'!D158-'Price History'!D3)*0.733766233766234</f>
        <v>1371.49337662338</v>
      </c>
      <c r="Z116" s="138" t="n">
        <f aca="false">'Price History'!E3+('Price History'!E158-'Price History'!E3)*0.733766233766234</f>
        <v>307.732597402597</v>
      </c>
      <c r="AA116" s="138" t="n">
        <f aca="false">'Price History'!F3+('Price History'!F158-'Price History'!F3)*0.733766233766234</f>
        <v>149.913246753247</v>
      </c>
      <c r="AB116" s="138" t="n">
        <f aca="false">'Price History'!G3+('Price History'!G158-'Price History'!G3)*0.733766233766234</f>
        <v>146.89974025974</v>
      </c>
      <c r="AC116" s="138" t="n">
        <f aca="false">'Price History'!H3+('Price History'!H158-'Price History'!H3)*0.733766233766234</f>
        <v>621.049090909091</v>
      </c>
      <c r="AD116" s="138" t="n">
        <f aca="false">'Price History'!I3+('Price History'!I158-'Price History'!I3)*0.733766233766234</f>
        <v>158.179220779221</v>
      </c>
      <c r="AE116" s="138" t="n">
        <f aca="false">'Price History'!J3+('Price History'!J158-'Price History'!J3)*0.733766233766234</f>
        <v>138.992467532468</v>
      </c>
      <c r="AF116" s="138" t="n">
        <f aca="false">'Price History'!K3+('Price History'!K158-'Price History'!K3)*0.733766233766234</f>
        <v>94.3999350649351</v>
      </c>
      <c r="AG116" s="138" t="n">
        <f aca="false">'Price History'!L3+('Price History'!L158-'Price History'!L3)*0.733766233766234</f>
        <v>321.115844155844</v>
      </c>
      <c r="AH116" s="138" t="n">
        <f aca="false">'Price History'!M3+('Price History'!M158-'Price History'!M3)*0.733766233766234</f>
        <v>186.177402597403</v>
      </c>
      <c r="AI116" s="138" t="n">
        <f aca="false">'Price History'!N3+('Price History'!N158-'Price History'!N3)*0.733766233766234</f>
        <v>443.224415584416</v>
      </c>
      <c r="AJ116" s="138" t="n">
        <f aca="false">'Price History'!O3+('Price History'!O158-'Price History'!O3)*0.733766233766234</f>
        <v>113.983701298701</v>
      </c>
      <c r="AK116" s="138" t="n">
        <f aca="false">'Price History'!Q3+('Price History'!Q151-'Price History'!Q3)*0.733766233766234</f>
        <v>63.4953896103896</v>
      </c>
      <c r="AL116" s="138" t="n">
        <f aca="false">'Price History'!R3+('Price History'!R158-'Price History'!R3)*0.733766233766234</f>
        <v>55.4731818181818</v>
      </c>
      <c r="AM116" s="138" t="n">
        <f aca="false">'Price History'!S3+('Price History'!S158-'Price History'!S3)*0.733766233766234</f>
        <v>121.122922077922</v>
      </c>
      <c r="AN116" s="138" t="n">
        <f aca="false">'Price History'!T3+('Price History'!T158-'Price History'!T3)*0.733766233766234</f>
        <v>43.6618831168831</v>
      </c>
    </row>
    <row r="117" customFormat="false" ht="15" hidden="false" customHeight="true" outlineLevel="0" collapsed="false">
      <c r="A117" s="136" t="n">
        <f aca="false">IF('Price History'!A118="","",'Price History'!A118)</f>
        <v>45954</v>
      </c>
      <c r="B117" s="137" t="n">
        <f aca="false">IFERROR(IF(OR(NOT(ISNUMBER('Price History'!B118)),NOT(ISNUMBER('Price History'!B117)),'Price History'!B117=0),"",'Price History'!B118/'Price History'!B117-1),"")</f>
        <v>0.0607933745423992</v>
      </c>
      <c r="C117" s="137" t="n">
        <f aca="false">IFERROR(IF(OR(NOT(ISNUMBER('Price History'!C118)),NOT(ISNUMBER('Price History'!C117)),'Price History'!C117=0),"",'Price History'!C118/'Price History'!C117-1),"")</f>
        <v>0.0749126484975542</v>
      </c>
      <c r="D117" s="137" t="n">
        <f aca="false">IFERROR(IF(OR(NOT(ISNUMBER('Price History'!D118)),NOT(ISNUMBER('Price History'!D117)),'Price History'!D117=0),"",'Price History'!D118/'Price History'!D117-1),"")</f>
        <v>0.00372108387497927</v>
      </c>
      <c r="E117" s="137" t="n">
        <f aca="false">IFERROR(IF(OR(NOT(ISNUMBER('Price History'!E118)),NOT(ISNUMBER('Price History'!E117)),'Price History'!E117=0),"",'Price History'!E118/'Price History'!E117-1),"")</f>
        <v>0.0137405891277589</v>
      </c>
      <c r="F117" s="137" t="n">
        <f aca="false">IFERROR(IF(OR(NOT(ISNUMBER('Price History'!F118)),NOT(ISNUMBER('Price History'!F117)),'Price History'!F117=0),"",'Price History'!F118/'Price History'!F117-1),"")</f>
        <v>0.0880653681082868</v>
      </c>
      <c r="G117" s="137" t="n">
        <f aca="false">IFERROR(IF(OR(NOT(ISNUMBER('Price History'!G118)),NOT(ISNUMBER('Price History'!G117)),'Price History'!G117=0),"",'Price History'!G118/'Price History'!G117-1),"")</f>
        <v>0.0687629890665944</v>
      </c>
      <c r="H117" s="137" t="n">
        <f aca="false">IFERROR(IF(OR(NOT(ISNUMBER('Price History'!H118)),NOT(ISNUMBER('Price History'!H117)),'Price History'!H117=0),"",'Price History'!H118/'Price History'!H117-1),"")</f>
        <v>0.0822215633955925</v>
      </c>
      <c r="I117" s="137" t="n">
        <f aca="false">IFERROR(IF(OR(NOT(ISNUMBER('Price History'!I118)),NOT(ISNUMBER('Price History'!I117)),'Price History'!I117=0),"",'Price History'!I118/'Price History'!I117-1),"")</f>
        <v>0.0165920751009714</v>
      </c>
      <c r="J117" s="137" t="n">
        <f aca="false">IFERROR(IF(OR(NOT(ISNUMBER('Price History'!J118)),NOT(ISNUMBER('Price History'!J117)),'Price History'!J117=0),"",'Price History'!J118/'Price History'!J117-1),"")</f>
        <v>0.018939393939394</v>
      </c>
      <c r="K117" s="137" t="n">
        <f aca="false">IFERROR(IF(OR(NOT(ISNUMBER('Price History'!K118)),NOT(ISNUMBER('Price History'!K117)),'Price History'!K117=0),"",'Price History'!K118/'Price History'!K117-1),"")</f>
        <v>0.0363738422677518</v>
      </c>
      <c r="L117" s="137" t="n">
        <f aca="false">IFERROR(IF(OR(NOT(ISNUMBER('Price History'!L118)),NOT(ISNUMBER('Price History'!L117)),'Price History'!L117=0),"",'Price History'!L118/'Price History'!L117-1),"")</f>
        <v>-0.000406669377795876</v>
      </c>
      <c r="M117" s="137" t="n">
        <f aca="false">IFERROR(IF(OR(NOT(ISNUMBER('Price History'!M118)),NOT(ISNUMBER('Price History'!M117)),'Price History'!M117=0),"",'Price History'!M118/'Price History'!M117-1),"")</f>
        <v>0.0693103448275863</v>
      </c>
      <c r="N117" s="137" t="n">
        <f aca="false">IFERROR(IF(OR(NOT(ISNUMBER('Price History'!N118)),NOT(ISNUMBER('Price History'!N117)),'Price History'!N117=0),"",'Price History'!N118/'Price History'!N117-1),"")</f>
        <v>0.0109882200523019</v>
      </c>
      <c r="O117" s="137" t="n">
        <f aca="false">IFERROR(IF(OR(NOT(ISNUMBER('Price History'!O118)),NOT(ISNUMBER('Price History'!O117)),'Price History'!O117=0),"",'Price History'!O118/'Price History'!O117-1),"")</f>
        <v>0.0293632804450854</v>
      </c>
      <c r="P117" s="137" t="str">
        <f aca="false">IFERROR(IF(OR(NOT(ISNUMBER('Price History'!P118)),NOT(ISNUMBER('Price History'!P117)),'Price History'!P117=0),"",'Price History'!P118/'Price History'!P117-1),"")</f>
        <v/>
      </c>
      <c r="Q117" s="137" t="n">
        <f aca="false">IFERROR(IF(OR(NOT(ISNUMBER('Price History'!Q118)),NOT(ISNUMBER('Price History'!Q117)),'Price History'!Q117=0),"",'Price History'!Q118/'Price History'!Q117-1),"")</f>
        <v>-0.00120572720422008</v>
      </c>
      <c r="R117" s="137" t="n">
        <f aca="false">IFERROR(IF(OR(NOT(ISNUMBER('Price History'!R118)),NOT(ISNUMBER('Price History'!R117)),'Price History'!R117=0),"",'Price History'!R118/'Price History'!R117-1),"")</f>
        <v>0.0186151704940849</v>
      </c>
      <c r="S117" s="137" t="n">
        <f aca="false">IFERROR(IF(OR(NOT(ISNUMBER('Price History'!S118)),NOT(ISNUMBER('Price History'!S117)),'Price History'!S117=0),"",'Price History'!S118/'Price History'!S117-1),"")</f>
        <v>0.0107125062282012</v>
      </c>
      <c r="T117" s="137" t="n">
        <f aca="false">IFERROR(IF(OR(NOT(ISNUMBER('Price History'!T118)),NOT(ISNUMBER('Price History'!T117)),'Price History'!T117=0),"",'Price History'!T118/'Price History'!T117-1),"")</f>
        <v>0.0261526017794553</v>
      </c>
      <c r="U117" s="137" t="str">
        <f aca="false">IFERROR(IF(OR(NOT(ISNUMBER('Price History'!U118)),NOT(ISNUMBER('Price History'!U117)),'Price History'!U117=0),"",'Price History'!U118/'Price History'!U117-1),"")</f>
        <v/>
      </c>
      <c r="W117" s="138" t="n">
        <f aca="false">'Price History'!B3+('Price History'!B158-'Price History'!B3)*0.74025974025974</f>
        <v>317.433376623377</v>
      </c>
      <c r="X117" s="138" t="n">
        <f aca="false">'Price History'!C3+('Price History'!C158-'Price History'!C3)*0.74025974025974</f>
        <v>144.866883116883</v>
      </c>
      <c r="Y117" s="138" t="n">
        <f aca="false">'Price History'!D3+('Price History'!D158-'Price History'!D3)*0.74025974025974</f>
        <v>1377.77402597403</v>
      </c>
      <c r="Z117" s="138" t="n">
        <f aca="false">'Price History'!E3+('Price History'!E158-'Price History'!E3)*0.74025974025974</f>
        <v>309.721558441558</v>
      </c>
      <c r="AA117" s="138" t="n">
        <f aca="false">'Price History'!F3+('Price History'!F158-'Price History'!F3)*0.74025974025974</f>
        <v>150.911948051948</v>
      </c>
      <c r="AB117" s="138" t="n">
        <f aca="false">'Price History'!G3+('Price History'!G158-'Price History'!G3)*0.74025974025974</f>
        <v>147.775844155844</v>
      </c>
      <c r="AC117" s="138" t="n">
        <f aca="false">'Price History'!H3+('Price History'!H158-'Price History'!H3)*0.74025974025974</f>
        <v>625.975454545454</v>
      </c>
      <c r="AD117" s="138" t="n">
        <f aca="false">'Price History'!I3+('Price History'!I158-'Price History'!I3)*0.74025974025974</f>
        <v>159.217532467532</v>
      </c>
      <c r="AE117" s="138" t="n">
        <f aca="false">'Price History'!J3+('Price History'!J158-'Price History'!J3)*0.74025974025974</f>
        <v>139.129480519481</v>
      </c>
      <c r="AF117" s="138" t="n">
        <f aca="false">'Price History'!K3+('Price History'!K158-'Price History'!K3)*0.74025974025974</f>
        <v>95.098961038961</v>
      </c>
      <c r="AG117" s="138" t="n">
        <f aca="false">'Price History'!L3+('Price History'!L158-'Price History'!L3)*0.74025974025974</f>
        <v>323.143506493506</v>
      </c>
      <c r="AH117" s="138" t="n">
        <f aca="false">'Price History'!M3+('Price History'!M158-'Price History'!M3)*0.74025974025974</f>
        <v>187.528441558442</v>
      </c>
      <c r="AI117" s="138" t="n">
        <f aca="false">'Price History'!N3+('Price History'!N158-'Price History'!N3)*0.74025974025974</f>
        <v>444.050649350649</v>
      </c>
      <c r="AJ117" s="138" t="n">
        <f aca="false">'Price History'!O3+('Price History'!O158-'Price History'!O3)*0.74025974025974</f>
        <v>114.259220779221</v>
      </c>
      <c r="AK117" s="138" t="n">
        <f aca="false">'Price History'!Q3+('Price History'!Q151-'Price History'!Q3)*0.74025974025974</f>
        <v>63.6162337662338</v>
      </c>
      <c r="AL117" s="138" t="n">
        <f aca="false">'Price History'!R3+('Price History'!R158-'Price History'!R3)*0.74025974025974</f>
        <v>55.5409090909091</v>
      </c>
      <c r="AM117" s="138" t="n">
        <f aca="false">'Price History'!S3+('Price History'!S158-'Price History'!S3)*0.74025974025974</f>
        <v>121.676753246753</v>
      </c>
      <c r="AN117" s="138" t="n">
        <f aca="false">'Price History'!T3+('Price History'!T158-'Price History'!T3)*0.74025974025974</f>
        <v>43.8101298701299</v>
      </c>
    </row>
    <row r="118" customFormat="false" ht="15" hidden="false" customHeight="true" outlineLevel="0" collapsed="false">
      <c r="A118" s="136" t="n">
        <f aca="false">IF('Price History'!A119="","",'Price History'!A119)</f>
        <v>45961</v>
      </c>
      <c r="B118" s="137" t="n">
        <f aca="false">IFERROR(IF(OR(NOT(ISNUMBER('Price History'!B119)),NOT(ISNUMBER('Price History'!B118)),'Price History'!B118=0),"",'Price History'!B119/'Price History'!B118-1),"")</f>
        <v>-0.037367051369088</v>
      </c>
      <c r="C118" s="137" t="n">
        <f aca="false">IFERROR(IF(OR(NOT(ISNUMBER('Price History'!C119)),NOT(ISNUMBER('Price History'!C118)),'Price History'!C118=0),"",'Price History'!C119/'Price History'!C118-1),"")</f>
        <v>0.0251592770771032</v>
      </c>
      <c r="D118" s="137" t="n">
        <f aca="false">IFERROR(IF(OR(NOT(ISNUMBER('Price History'!D119)),NOT(ISNUMBER('Price History'!D118)),'Price History'!D118=0),"",'Price History'!D119/'Price History'!D118-1),"")</f>
        <v>0.0252928080534316</v>
      </c>
      <c r="E118" s="137" t="n">
        <f aca="false">IFERROR(IF(OR(NOT(ISNUMBER('Price History'!E119)),NOT(ISNUMBER('Price History'!E118)),'Price History'!E118=0),"",'Price History'!E119/'Price History'!E118-1),"")</f>
        <v>0.0437692372857426</v>
      </c>
      <c r="F118" s="137" t="n">
        <f aca="false">IFERROR(IF(OR(NOT(ISNUMBER('Price History'!F119)),NOT(ISNUMBER('Price History'!F118)),'Price History'!F118=0),"",'Price History'!F119/'Price History'!F118-1),"")</f>
        <v>0.029735265114162</v>
      </c>
      <c r="G118" s="137" t="n">
        <f aca="false">IFERROR(IF(OR(NOT(ISNUMBER('Price History'!G119)),NOT(ISNUMBER('Price History'!G118)),'Price History'!G118=0),"",'Price History'!G119/'Price History'!G118-1),"")</f>
        <v>0.021897193101116</v>
      </c>
      <c r="H118" s="137" t="n">
        <f aca="false">IFERROR(IF(OR(NOT(ISNUMBER('Price History'!H119)),NOT(ISNUMBER('Price History'!H118)),'Price History'!H118=0),"",'Price History'!H119/'Price History'!H118-1),"")</f>
        <v>0.0216875171217241</v>
      </c>
      <c r="I118" s="137" t="n">
        <f aca="false">IFERROR(IF(OR(NOT(ISNUMBER('Price History'!I119)),NOT(ISNUMBER('Price History'!I118)),'Price History'!I118=0),"",'Price History'!I119/'Price History'!I118-1),"")</f>
        <v>0.0871362611403415</v>
      </c>
      <c r="J118" s="137" t="n">
        <f aca="false">IFERROR(IF(OR(NOT(ISNUMBER('Price History'!J119)),NOT(ISNUMBER('Price History'!J118)),'Price History'!J118=0),"",'Price History'!J119/'Price History'!J118-1),"")</f>
        <v>-0.0185082654433284</v>
      </c>
      <c r="K118" s="137" t="n">
        <f aca="false">IFERROR(IF(OR(NOT(ISNUMBER('Price History'!K119)),NOT(ISNUMBER('Price History'!K118)),'Price History'!K118=0),"",'Price History'!K119/'Price History'!K118-1),"")</f>
        <v>0.0857932080376971</v>
      </c>
      <c r="L118" s="137" t="n">
        <f aca="false">IFERROR(IF(OR(NOT(ISNUMBER('Price History'!L119)),NOT(ISNUMBER('Price History'!L118)),'Price History'!L118=0),"",'Price History'!L119/'Price History'!L118-1),"")</f>
        <v>0.0185448874423653</v>
      </c>
      <c r="M118" s="137" t="n">
        <f aca="false">IFERROR(IF(OR(NOT(ISNUMBER('Price History'!M119)),NOT(ISNUMBER('Price History'!M118)),'Price History'!M118=0),"",'Price History'!M119/'Price History'!M118-1),"")</f>
        <v>0.0365473503171021</v>
      </c>
      <c r="N118" s="137" t="n">
        <f aca="false">IFERROR(IF(OR(NOT(ISNUMBER('Price History'!N119)),NOT(ISNUMBER('Price History'!N118)),'Price History'!N118=0),"",'Price History'!N119/'Price History'!N118-1),"")</f>
        <v>0.00991955195899297</v>
      </c>
      <c r="O118" s="137" t="n">
        <f aca="false">IFERROR(IF(OR(NOT(ISNUMBER('Price History'!O119)),NOT(ISNUMBER('Price History'!O118)),'Price History'!O118=0),"",'Price History'!O119/'Price History'!O118-1),"")</f>
        <v>-0.0211190071063958</v>
      </c>
      <c r="P118" s="137" t="str">
        <f aca="false">IFERROR(IF(OR(NOT(ISNUMBER('Price History'!P119)),NOT(ISNUMBER('Price History'!P118)),'Price History'!P118=0),"",'Price History'!P119/'Price History'!P118-1),"")</f>
        <v/>
      </c>
      <c r="Q118" s="137" t="n">
        <f aca="false">IFERROR(IF(OR(NOT(ISNUMBER('Price History'!Q119)),NOT(ISNUMBER('Price History'!Q118)),'Price History'!Q118=0),"",'Price History'!Q119/'Price History'!Q118-1),"")</f>
        <v>0.000301795684321871</v>
      </c>
      <c r="R118" s="137" t="n">
        <f aca="false">IFERROR(IF(OR(NOT(ISNUMBER('Price History'!R119)),NOT(ISNUMBER('Price History'!R118)),'Price History'!R118=0),"",'Price History'!R119/'Price History'!R118-1),"")</f>
        <v>0.00939368061485912</v>
      </c>
      <c r="S118" s="137" t="n">
        <f aca="false">IFERROR(IF(OR(NOT(ISNUMBER('Price History'!S119)),NOT(ISNUMBER('Price History'!S118)),'Price History'!S118=0),"",'Price History'!S119/'Price History'!S118-1),"")</f>
        <v>-8.21625174594054E-005</v>
      </c>
      <c r="T118" s="137" t="n">
        <f aca="false">IFERROR(IF(OR(NOT(ISNUMBER('Price History'!T119)),NOT(ISNUMBER('Price History'!T118)),'Price History'!T118=0),"",'Price History'!T119/'Price History'!T118-1),"")</f>
        <v>-0.0063058328954283</v>
      </c>
      <c r="U118" s="137" t="str">
        <f aca="false">IFERROR(IF(OR(NOT(ISNUMBER('Price History'!U119)),NOT(ISNUMBER('Price History'!U118)),'Price History'!U118=0),"",'Price History'!U119/'Price History'!U118-1),"")</f>
        <v/>
      </c>
      <c r="W118" s="138" t="n">
        <f aca="false">'Price History'!B3+('Price History'!B158-'Price History'!B3)*0.746753246753247</f>
        <v>315.757792207792</v>
      </c>
      <c r="X118" s="138" t="n">
        <f aca="false">'Price History'!C3+('Price History'!C158-'Price History'!C3)*0.746753246753247</f>
        <v>145.753961038961</v>
      </c>
      <c r="Y118" s="138" t="n">
        <f aca="false">'Price History'!D3+('Price History'!D158-'Price History'!D3)*0.746753246753247</f>
        <v>1384.05467532468</v>
      </c>
      <c r="Z118" s="138" t="n">
        <f aca="false">'Price History'!E3+('Price History'!E158-'Price History'!E3)*0.746753246753247</f>
        <v>311.71051948052</v>
      </c>
      <c r="AA118" s="138" t="n">
        <f aca="false">'Price History'!F3+('Price History'!F158-'Price History'!F3)*0.746753246753247</f>
        <v>151.910649350649</v>
      </c>
      <c r="AB118" s="138" t="n">
        <f aca="false">'Price History'!G3+('Price History'!G158-'Price History'!G3)*0.746753246753247</f>
        <v>148.651948051948</v>
      </c>
      <c r="AC118" s="138" t="n">
        <f aca="false">'Price History'!H3+('Price History'!H158-'Price History'!H3)*0.746753246753247</f>
        <v>630.901818181818</v>
      </c>
      <c r="AD118" s="138" t="n">
        <f aca="false">'Price History'!I3+('Price History'!I158-'Price History'!I3)*0.746753246753247</f>
        <v>160.255844155844</v>
      </c>
      <c r="AE118" s="138" t="n">
        <f aca="false">'Price History'!J3+('Price History'!J158-'Price History'!J3)*0.746753246753247</f>
        <v>139.266493506494</v>
      </c>
      <c r="AF118" s="138" t="n">
        <f aca="false">'Price History'!K3+('Price History'!K158-'Price History'!K3)*0.746753246753247</f>
        <v>95.797987012987</v>
      </c>
      <c r="AG118" s="138" t="n">
        <f aca="false">'Price History'!L3+('Price History'!L158-'Price History'!L3)*0.746753246753247</f>
        <v>325.171168831169</v>
      </c>
      <c r="AH118" s="138" t="n">
        <f aca="false">'Price History'!M3+('Price History'!M158-'Price History'!M3)*0.746753246753247</f>
        <v>188.879480519481</v>
      </c>
      <c r="AI118" s="138" t="n">
        <f aca="false">'Price History'!N3+('Price History'!N158-'Price History'!N3)*0.746753246753247</f>
        <v>444.876883116883</v>
      </c>
      <c r="AJ118" s="138" t="n">
        <f aca="false">'Price History'!O3+('Price History'!O158-'Price History'!O3)*0.746753246753247</f>
        <v>114.53474025974</v>
      </c>
      <c r="AK118" s="138" t="n">
        <f aca="false">'Price History'!Q3+('Price History'!Q151-'Price History'!Q3)*0.746753246753247</f>
        <v>63.7370779220779</v>
      </c>
      <c r="AL118" s="138" t="n">
        <f aca="false">'Price History'!R3+('Price History'!R158-'Price History'!R3)*0.746753246753247</f>
        <v>55.6086363636364</v>
      </c>
      <c r="AM118" s="138" t="n">
        <f aca="false">'Price History'!S3+('Price History'!S158-'Price History'!S3)*0.746753246753247</f>
        <v>122.230584415584</v>
      </c>
      <c r="AN118" s="138" t="n">
        <f aca="false">'Price History'!T3+('Price History'!T158-'Price History'!T3)*0.746753246753247</f>
        <v>43.9583766233766</v>
      </c>
    </row>
    <row r="119" customFormat="false" ht="15" hidden="false" customHeight="true" outlineLevel="0" collapsed="false">
      <c r="A119" s="136" t="n">
        <f aca="false">IF('Price History'!A120="","",'Price History'!A120)</f>
        <v>45968</v>
      </c>
      <c r="B119" s="137" t="n">
        <f aca="false">IFERROR(IF(OR(NOT(ISNUMBER('Price History'!B120)),NOT(ISNUMBER('Price History'!B119)),'Price History'!B119=0),"",'Price History'!B120/'Price History'!B119-1),"")</f>
        <v>-0.0392583232934678</v>
      </c>
      <c r="C119" s="137" t="n">
        <f aca="false">IFERROR(IF(OR(NOT(ISNUMBER('Price History'!C120)),NOT(ISNUMBER('Price History'!C119)),'Price History'!C119=0),"",'Price History'!C120/'Price History'!C119-1),"")</f>
        <v>-0.146109455260321</v>
      </c>
      <c r="D119" s="137" t="n">
        <f aca="false">IFERROR(IF(OR(NOT(ISNUMBER('Price History'!D120)),NOT(ISNUMBER('Price History'!D119)),'Price History'!D119=0),"",'Price History'!D120/'Price History'!D119-1),"")</f>
        <v>-0.0399063470634329</v>
      </c>
      <c r="E119" s="137" t="n">
        <f aca="false">IFERROR(IF(OR(NOT(ISNUMBER('Price History'!E120)),NOT(ISNUMBER('Price History'!E119)),'Price History'!E119=0),"",'Price History'!E120/'Price History'!E119-1),"")</f>
        <v>-0.054649243838433</v>
      </c>
      <c r="F119" s="137" t="n">
        <f aca="false">IFERROR(IF(OR(NOT(ISNUMBER('Price History'!F120)),NOT(ISNUMBER('Price History'!F119)),'Price History'!F119=0),"",'Price History'!F120/'Price History'!F119-1),"")</f>
        <v>-0.00589318600368327</v>
      </c>
      <c r="G119" s="137" t="n">
        <f aca="false">IFERROR(IF(OR(NOT(ISNUMBER('Price History'!G120)),NOT(ISNUMBER('Price History'!G119)),'Price History'!G119=0),"",'Price History'!G120/'Price History'!G119-1),"")</f>
        <v>-0.0126582278481012</v>
      </c>
      <c r="H119" s="137" t="n">
        <f aca="false">IFERROR(IF(OR(NOT(ISNUMBER('Price History'!H120)),NOT(ISNUMBER('Price History'!H119)),'Price History'!H119=0),"",'Price History'!H120/'Price History'!H119-1),"")</f>
        <v>0.0632345712115117</v>
      </c>
      <c r="I119" s="137" t="n">
        <f aca="false">IFERROR(IF(OR(NOT(ISNUMBER('Price History'!I120)),NOT(ISNUMBER('Price History'!I119)),'Price History'!I119=0),"",'Price History'!I120/'Price History'!I119-1),"")</f>
        <v>-0.0708183120154082</v>
      </c>
      <c r="J119" s="137" t="n">
        <f aca="false">IFERROR(IF(OR(NOT(ISNUMBER('Price History'!J120)),NOT(ISNUMBER('Price History'!J119)),'Price History'!J119=0),"",'Price History'!J120/'Price History'!J119-1),"")</f>
        <v>0.0121685873156578</v>
      </c>
      <c r="K119" s="137" t="n">
        <f aca="false">IFERROR(IF(OR(NOT(ISNUMBER('Price History'!K120)),NOT(ISNUMBER('Price History'!K119)),'Price History'!K119=0),"",'Price History'!K120/'Price History'!K119-1),"")</f>
        <v>-0.112435775926573</v>
      </c>
      <c r="L119" s="137" t="n">
        <f aca="false">IFERROR(IF(OR(NOT(ISNUMBER('Price History'!L120)),NOT(ISNUMBER('Price History'!L119)),'Price History'!L119=0),"",'Price History'!L120/'Price History'!L119-1),"")</f>
        <v>-0.0463668741470559</v>
      </c>
      <c r="M119" s="137" t="n">
        <f aca="false">IFERROR(IF(OR(NOT(ISNUMBER('Price History'!M120)),NOT(ISNUMBER('Price History'!M119)),'Price History'!M119=0),"",'Price History'!M120/'Price History'!M119-1),"")</f>
        <v>-0.0677175152960697</v>
      </c>
      <c r="N119" s="137" t="n">
        <f aca="false">IFERROR(IF(OR(NOT(ISNUMBER('Price History'!N120)),NOT(ISNUMBER('Price History'!N119)),'Price History'!N119=0),"",'Price History'!N120/'Price History'!N119-1),"")</f>
        <v>-0.0378316140705406</v>
      </c>
      <c r="O119" s="137" t="n">
        <f aca="false">IFERROR(IF(OR(NOT(ISNUMBER('Price History'!O120)),NOT(ISNUMBER('Price History'!O119)),'Price History'!O119=0),"",'Price History'!O120/'Price History'!O119-1),"")</f>
        <v>-0.000613496932515334</v>
      </c>
      <c r="P119" s="137" t="str">
        <f aca="false">IFERROR(IF(OR(NOT(ISNUMBER('Price History'!P120)),NOT(ISNUMBER('Price History'!P119)),'Price History'!P119=0),"",'Price History'!P120/'Price History'!P119-1),"")</f>
        <v/>
      </c>
      <c r="Q119" s="137" t="n">
        <f aca="false">IFERROR(IF(OR(NOT(ISNUMBER('Price History'!Q120)),NOT(ISNUMBER('Price History'!Q119)),'Price History'!Q119=0),"",'Price History'!Q120/'Price History'!Q119-1),"")</f>
        <v>0.0107105144063961</v>
      </c>
      <c r="R119" s="137" t="n">
        <f aca="false">IFERROR(IF(OR(NOT(ISNUMBER('Price History'!R120)),NOT(ISNUMBER('Price History'!R119)),'Price History'!R119=0),"",'Price History'!R120/'Price History'!R119-1),"")</f>
        <v>-0.0235194585448393</v>
      </c>
      <c r="S119" s="137" t="n">
        <f aca="false">IFERROR(IF(OR(NOT(ISNUMBER('Price History'!S120)),NOT(ISNUMBER('Price History'!S119)),'Price History'!S119=0),"",'Price History'!S120/'Price History'!S119-1),"")</f>
        <v>-0.0260476581758422</v>
      </c>
      <c r="T119" s="137" t="n">
        <f aca="false">IFERROR(IF(OR(NOT(ISNUMBER('Price History'!T120)),NOT(ISNUMBER('Price History'!T119)),'Price History'!T119=0),"",'Price History'!T120/'Price History'!T119-1),"")</f>
        <v>0.00158646218931779</v>
      </c>
      <c r="U119" s="137" t="str">
        <f aca="false">IFERROR(IF(OR(NOT(ISNUMBER('Price History'!U120)),NOT(ISNUMBER('Price History'!U119)),'Price History'!U119=0),"",'Price History'!U120/'Price History'!U119-1),"")</f>
        <v/>
      </c>
      <c r="W119" s="138" t="n">
        <f aca="false">'Price History'!B3+('Price History'!B158-'Price History'!B3)*0.753246753246753</f>
        <v>314.082207792208</v>
      </c>
      <c r="X119" s="138" t="n">
        <f aca="false">'Price History'!C3+('Price History'!C158-'Price History'!C3)*0.753246753246753</f>
        <v>146.641038961039</v>
      </c>
      <c r="Y119" s="138" t="n">
        <f aca="false">'Price History'!D3+('Price History'!D158-'Price History'!D3)*0.753246753246753</f>
        <v>1390.33532467532</v>
      </c>
      <c r="Z119" s="138" t="n">
        <f aca="false">'Price History'!E3+('Price History'!E158-'Price History'!E3)*0.753246753246753</f>
        <v>313.69948051948</v>
      </c>
      <c r="AA119" s="138" t="n">
        <f aca="false">'Price History'!F3+('Price History'!F158-'Price History'!F3)*0.753246753246753</f>
        <v>152.909350649351</v>
      </c>
      <c r="AB119" s="138" t="n">
        <f aca="false">'Price History'!G3+('Price History'!G158-'Price History'!G3)*0.753246753246753</f>
        <v>149.528051948052</v>
      </c>
      <c r="AC119" s="138" t="n">
        <f aca="false">'Price History'!H3+('Price History'!H158-'Price History'!H3)*0.753246753246753</f>
        <v>635.828181818182</v>
      </c>
      <c r="AD119" s="138" t="n">
        <f aca="false">'Price History'!I3+('Price History'!I158-'Price History'!I3)*0.753246753246753</f>
        <v>161.294155844156</v>
      </c>
      <c r="AE119" s="138" t="n">
        <f aca="false">'Price History'!J3+('Price History'!J158-'Price History'!J3)*0.753246753246753</f>
        <v>139.403506493507</v>
      </c>
      <c r="AF119" s="138" t="n">
        <f aca="false">'Price History'!K3+('Price History'!K158-'Price History'!K3)*0.753246753246753</f>
        <v>96.497012987013</v>
      </c>
      <c r="AG119" s="138" t="n">
        <f aca="false">'Price History'!L3+('Price History'!L158-'Price History'!L3)*0.753246753246753</f>
        <v>327.198831168831</v>
      </c>
      <c r="AH119" s="138" t="n">
        <f aca="false">'Price History'!M3+('Price History'!M158-'Price History'!M3)*0.753246753246753</f>
        <v>190.230519480519</v>
      </c>
      <c r="AI119" s="138" t="n">
        <f aca="false">'Price History'!N3+('Price History'!N158-'Price History'!N3)*0.753246753246753</f>
        <v>445.703116883117</v>
      </c>
      <c r="AJ119" s="138" t="n">
        <f aca="false">'Price History'!O3+('Price History'!O158-'Price History'!O3)*0.753246753246753</f>
        <v>114.81025974026</v>
      </c>
      <c r="AK119" s="138" t="n">
        <f aca="false">'Price History'!Q3+('Price History'!Q151-'Price History'!Q3)*0.753246753246753</f>
        <v>63.8579220779221</v>
      </c>
      <c r="AL119" s="138" t="n">
        <f aca="false">'Price History'!R3+('Price History'!R158-'Price History'!R3)*0.753246753246753</f>
        <v>55.6763636363636</v>
      </c>
      <c r="AM119" s="138" t="n">
        <f aca="false">'Price History'!S3+('Price History'!S158-'Price History'!S3)*0.753246753246753</f>
        <v>122.784415584416</v>
      </c>
      <c r="AN119" s="138" t="n">
        <f aca="false">'Price History'!T3+('Price History'!T158-'Price History'!T3)*0.753246753246753</f>
        <v>44.1066233766234</v>
      </c>
    </row>
    <row r="120" customFormat="false" ht="15" hidden="false" customHeight="true" outlineLevel="0" collapsed="false">
      <c r="A120" s="136" t="n">
        <f aca="false">IF('Price History'!A121="","",'Price History'!A121)</f>
        <v>45975</v>
      </c>
      <c r="B120" s="137" t="n">
        <f aca="false">IFERROR(IF(OR(NOT(ISNUMBER('Price History'!B121)),NOT(ISNUMBER('Price History'!B120)),'Price History'!B120=0),"",'Price History'!B121/'Price History'!B120-1),"")</f>
        <v>0.0127236580516898</v>
      </c>
      <c r="C120" s="137" t="n">
        <f aca="false">IFERROR(IF(OR(NOT(ISNUMBER('Price History'!C121)),NOT(ISNUMBER('Price History'!C120)),'Price History'!C120=0),"",'Price History'!C121/'Price History'!C120-1),"")</f>
        <v>-0.024359450427033</v>
      </c>
      <c r="D120" s="137" t="n">
        <f aca="false">IFERROR(IF(OR(NOT(ISNUMBER('Price History'!D121)),NOT(ISNUMBER('Price History'!D120)),'Price History'!D120=0),"",'Price History'!D121/'Price History'!D120-1),"")</f>
        <v>-0.00981356198867212</v>
      </c>
      <c r="E120" s="137" t="n">
        <f aca="false">IFERROR(IF(OR(NOT(ISNUMBER('Price History'!E121)),NOT(ISNUMBER('Price History'!E120)),'Price History'!E120=0),"",'Price History'!E121/'Price History'!E120-1),"")</f>
        <v>-0.0199467704547407</v>
      </c>
      <c r="F120" s="137" t="n">
        <f aca="false">IFERROR(IF(OR(NOT(ISNUMBER('Price History'!F121)),NOT(ISNUMBER('Price History'!F120)),'Price History'!F120=0),"",'Price History'!F121/'Price History'!F120-1),"")</f>
        <v>-0.00414968506854396</v>
      </c>
      <c r="G120" s="137" t="n">
        <f aca="false">IFERROR(IF(OR(NOT(ISNUMBER('Price History'!G121)),NOT(ISNUMBER('Price History'!G120)),'Price History'!G120=0),"",'Price History'!G121/'Price History'!G120-1),"")</f>
        <v>-0.0495223730517848</v>
      </c>
      <c r="H120" s="137" t="n">
        <f aca="false">IFERROR(IF(OR(NOT(ISNUMBER('Price History'!H121)),NOT(ISNUMBER('Price History'!H120)),'Price History'!H120=0),"",'Price History'!H121/'Price History'!H120-1),"")</f>
        <v>0.0374495628782785</v>
      </c>
      <c r="I120" s="137" t="n">
        <f aca="false">IFERROR(IF(OR(NOT(ISNUMBER('Price History'!I121)),NOT(ISNUMBER('Price History'!I120)),'Price History'!I120=0),"",'Price History'!I121/'Price History'!I120-1),"")</f>
        <v>0.0107361148020195</v>
      </c>
      <c r="J120" s="137" t="n">
        <f aca="false">IFERROR(IF(OR(NOT(ISNUMBER('Price History'!J121)),NOT(ISNUMBER('Price History'!J120)),'Price History'!J120=0),"",'Price History'!J121/'Price History'!J120-1),"")</f>
        <v>-0.0220541401273885</v>
      </c>
      <c r="K120" s="137" t="n">
        <f aca="false">IFERROR(IF(OR(NOT(ISNUMBER('Price History'!K121)),NOT(ISNUMBER('Price History'!K120)),'Price History'!K120=0),"",'Price History'!K121/'Price History'!K120-1),"")</f>
        <v>-0.0220311358399371</v>
      </c>
      <c r="L120" s="137" t="n">
        <f aca="false">IFERROR(IF(OR(NOT(ISNUMBER('Price History'!L121)),NOT(ISNUMBER('Price History'!L120)),'Price History'!L120=0),"",'Price History'!L121/'Price History'!L120-1),"")</f>
        <v>-0.0058638743455498</v>
      </c>
      <c r="M120" s="137" t="n">
        <f aca="false">IFERROR(IF(OR(NOT(ISNUMBER('Price History'!M121)),NOT(ISNUMBER('Price History'!M120)),'Price History'!M120=0),"",'Price History'!M121/'Price History'!M120-1),"")</f>
        <v>-0.0491101223581758</v>
      </c>
      <c r="N120" s="137" t="n">
        <f aca="false">IFERROR(IF(OR(NOT(ISNUMBER('Price History'!N121)),NOT(ISNUMBER('Price History'!N120)),'Price History'!N120=0),"",'Price History'!N121/'Price History'!N120-1),"")</f>
        <v>0.0675995799448066</v>
      </c>
      <c r="O120" s="137" t="n">
        <f aca="false">IFERROR(IF(OR(NOT(ISNUMBER('Price History'!O121)),NOT(ISNUMBER('Price History'!O120)),'Price History'!O120=0),"",'Price History'!O121/'Price History'!O120-1),"")</f>
        <v>-0.00153468385512578</v>
      </c>
      <c r="P120" s="137" t="str">
        <f aca="false">IFERROR(IF(OR(NOT(ISNUMBER('Price History'!P121)),NOT(ISNUMBER('Price History'!P120)),'Price History'!P120=0),"",'Price History'!P121/'Price History'!P120-1),"")</f>
        <v/>
      </c>
      <c r="Q120" s="137" t="n">
        <f aca="false">IFERROR(IF(OR(NOT(ISNUMBER('Price History'!Q121)),NOT(ISNUMBER('Price History'!Q120)),'Price History'!Q120=0),"",'Price History'!Q121/'Price History'!Q120-1),"")</f>
        <v>-0.00835820895522388</v>
      </c>
      <c r="R120" s="137" t="n">
        <f aca="false">IFERROR(IF(OR(NOT(ISNUMBER('Price History'!R121)),NOT(ISNUMBER('Price History'!R120)),'Price History'!R120=0),"",'Price History'!R121/'Price History'!R120-1),"")</f>
        <v>0.00190608213481203</v>
      </c>
      <c r="S120" s="137" t="n">
        <f aca="false">IFERROR(IF(OR(NOT(ISNUMBER('Price History'!S121)),NOT(ISNUMBER('Price History'!S120)),'Price History'!S120=0),"",'Price History'!S121/'Price History'!S120-1),"")</f>
        <v>-0.00590567788745466</v>
      </c>
      <c r="T120" s="137" t="n">
        <f aca="false">IFERROR(IF(OR(NOT(ISNUMBER('Price History'!T121)),NOT(ISNUMBER('Price History'!T120)),'Price History'!T120=0),"",'Price History'!T121/'Price History'!T120-1),"")</f>
        <v>0.0110876451953537</v>
      </c>
      <c r="U120" s="137" t="str">
        <f aca="false">IFERROR(IF(OR(NOT(ISNUMBER('Price History'!U121)),NOT(ISNUMBER('Price History'!U120)),'Price History'!U120=0),"",'Price History'!U121/'Price History'!U120-1),"")</f>
        <v/>
      </c>
      <c r="W120" s="138" t="n">
        <f aca="false">'Price History'!B3+('Price History'!B158-'Price History'!B3)*0.75974025974026</f>
        <v>312.406623376623</v>
      </c>
      <c r="X120" s="138" t="n">
        <f aca="false">'Price History'!C3+('Price History'!C158-'Price History'!C3)*0.75974025974026</f>
        <v>147.528116883117</v>
      </c>
      <c r="Y120" s="138" t="n">
        <f aca="false">'Price History'!D3+('Price History'!D158-'Price History'!D3)*0.75974025974026</f>
        <v>1396.61597402597</v>
      </c>
      <c r="Z120" s="138" t="n">
        <f aca="false">'Price History'!E3+('Price History'!E158-'Price History'!E3)*0.75974025974026</f>
        <v>315.688441558442</v>
      </c>
      <c r="AA120" s="138" t="n">
        <f aca="false">'Price History'!F3+('Price History'!F158-'Price History'!F3)*0.75974025974026</f>
        <v>153.908051948052</v>
      </c>
      <c r="AB120" s="138" t="n">
        <f aca="false">'Price History'!G3+('Price History'!G158-'Price History'!G3)*0.75974025974026</f>
        <v>150.404155844156</v>
      </c>
      <c r="AC120" s="138" t="n">
        <f aca="false">'Price History'!H3+('Price History'!H158-'Price History'!H3)*0.75974025974026</f>
        <v>640.754545454546</v>
      </c>
      <c r="AD120" s="138" t="n">
        <f aca="false">'Price History'!I3+('Price History'!I158-'Price History'!I3)*0.75974025974026</f>
        <v>162.332467532468</v>
      </c>
      <c r="AE120" s="138" t="n">
        <f aca="false">'Price History'!J3+('Price History'!J158-'Price History'!J3)*0.75974025974026</f>
        <v>139.54051948052</v>
      </c>
      <c r="AF120" s="138" t="n">
        <f aca="false">'Price History'!K3+('Price History'!K158-'Price History'!K3)*0.75974025974026</f>
        <v>97.196038961039</v>
      </c>
      <c r="AG120" s="138" t="n">
        <f aca="false">'Price History'!L3+('Price History'!L158-'Price History'!L3)*0.75974025974026</f>
        <v>329.226493506494</v>
      </c>
      <c r="AH120" s="138" t="n">
        <f aca="false">'Price History'!M3+('Price History'!M158-'Price History'!M3)*0.75974025974026</f>
        <v>191.581558441558</v>
      </c>
      <c r="AI120" s="138" t="n">
        <f aca="false">'Price History'!N3+('Price History'!N158-'Price History'!N3)*0.75974025974026</f>
        <v>446.529350649351</v>
      </c>
      <c r="AJ120" s="138" t="n">
        <f aca="false">'Price History'!O3+('Price History'!O158-'Price History'!O3)*0.75974025974026</f>
        <v>115.085779220779</v>
      </c>
      <c r="AK120" s="138" t="n">
        <f aca="false">'Price History'!Q3+('Price History'!Q151-'Price History'!Q3)*0.75974025974026</f>
        <v>63.9787662337662</v>
      </c>
      <c r="AL120" s="138" t="n">
        <f aca="false">'Price History'!R3+('Price History'!R158-'Price History'!R3)*0.75974025974026</f>
        <v>55.7440909090909</v>
      </c>
      <c r="AM120" s="138" t="n">
        <f aca="false">'Price History'!S3+('Price History'!S158-'Price History'!S3)*0.75974025974026</f>
        <v>123.338246753247</v>
      </c>
      <c r="AN120" s="138" t="n">
        <f aca="false">'Price History'!T3+('Price History'!T158-'Price History'!T3)*0.75974025974026</f>
        <v>44.2548701298701</v>
      </c>
    </row>
    <row r="121" customFormat="false" ht="15" hidden="false" customHeight="true" outlineLevel="0" collapsed="false">
      <c r="A121" s="136" t="n">
        <f aca="false">IF('Price History'!A122="","",'Price History'!A122)</f>
        <v>45982</v>
      </c>
      <c r="B121" s="137" t="n">
        <f aca="false">IFERROR(IF(OR(NOT(ISNUMBER('Price History'!B122)),NOT(ISNUMBER('Price History'!B121)),'Price History'!B121=0),"",'Price History'!B122/'Price History'!B121-1),"")</f>
        <v>-0.0208993989912718</v>
      </c>
      <c r="C121" s="137" t="n">
        <f aca="false">IFERROR(IF(OR(NOT(ISNUMBER('Price History'!C122)),NOT(ISNUMBER('Price History'!C121)),'Price History'!C121=0),"",'Price History'!C122/'Price History'!C121-1),"")</f>
        <v>-0.106112506660577</v>
      </c>
      <c r="D121" s="137" t="n">
        <f aca="false">IFERROR(IF(OR(NOT(ISNUMBER('Price History'!D122)),NOT(ISNUMBER('Price History'!D121)),'Price History'!D121=0),"",'Price History'!D122/'Price History'!D121-1),"")</f>
        <v>-0.0401298933444557</v>
      </c>
      <c r="E121" s="137" t="n">
        <f aca="false">IFERROR(IF(OR(NOT(ISNUMBER('Price History'!E122)),NOT(ISNUMBER('Price History'!E121)),'Price History'!E121=0),"",'Price History'!E122/'Price History'!E121-1),"")</f>
        <v>-0.00659931086842258</v>
      </c>
      <c r="F121" s="137" t="n">
        <f aca="false">IFERROR(IF(OR(NOT(ISNUMBER('Price History'!F122)),NOT(ISNUMBER('Price History'!F121)),'Price History'!F121=0),"",'Price History'!F122/'Price History'!F121-1),"")</f>
        <v>-0.0872088697075675</v>
      </c>
      <c r="G121" s="137" t="n">
        <f aca="false">IFERROR(IF(OR(NOT(ISNUMBER('Price History'!G122)),NOT(ISNUMBER('Price History'!G121)),'Price History'!G121=0),"",'Price History'!G122/'Price History'!G121-1),"")</f>
        <v>-0.0327955567310236</v>
      </c>
      <c r="H121" s="137" t="n">
        <f aca="false">IFERROR(IF(OR(NOT(ISNUMBER('Price History'!H122)),NOT(ISNUMBER('Price History'!H121)),'Price History'!H121=0),"",'Price History'!H122/'Price History'!H121-1),"")</f>
        <v>-0.159867115018434</v>
      </c>
      <c r="I121" s="137" t="n">
        <f aca="false">IFERROR(IF(OR(NOT(ISNUMBER('Price History'!I122)),NOT(ISNUMBER('Price History'!I121)),'Price History'!I121=0),"",'Price History'!I122/'Price History'!I121-1),"")</f>
        <v>-0.0593679339538308</v>
      </c>
      <c r="J121" s="137" t="n">
        <f aca="false">IFERROR(IF(OR(NOT(ISNUMBER('Price History'!J122)),NOT(ISNUMBER('Price History'!J121)),'Price History'!J121=0),"",'Price History'!J122/'Price History'!J121-1),"")</f>
        <v>0.0240983473092893</v>
      </c>
      <c r="K121" s="137" t="n">
        <f aca="false">IFERROR(IF(OR(NOT(ISNUMBER('Price History'!K122)),NOT(ISNUMBER('Price History'!K121)),'Price History'!K121=0),"",'Price History'!K122/'Price History'!K121-1),"")</f>
        <v>-0.110108614447446</v>
      </c>
      <c r="L121" s="137" t="n">
        <f aca="false">IFERROR(IF(OR(NOT(ISNUMBER('Price History'!L122)),NOT(ISNUMBER('Price History'!L121)),'Price History'!L121=0),"",'Price History'!L122/'Price History'!L121-1),"")</f>
        <v>-0.0342672565128853</v>
      </c>
      <c r="M121" s="137" t="n">
        <f aca="false">IFERROR(IF(OR(NOT(ISNUMBER('Price History'!M122)),NOT(ISNUMBER('Price History'!M121)),'Price History'!M121=0),"",'Price History'!M122/'Price History'!M121-1),"")</f>
        <v>-0.065157629993566</v>
      </c>
      <c r="N121" s="137" t="n">
        <f aca="false">IFERROR(IF(OR(NOT(ISNUMBER('Price History'!N122)),NOT(ISNUMBER('Price History'!N121)),'Price History'!N121=0),"",'Price History'!N122/'Price History'!N121-1),"")</f>
        <v>-0.023767585496969</v>
      </c>
      <c r="O121" s="137" t="n">
        <f aca="false">IFERROR(IF(OR(NOT(ISNUMBER('Price History'!O122)),NOT(ISNUMBER('Price History'!O121)),'Price History'!O121=0),"",'Price History'!O122/'Price History'!O121-1),"")</f>
        <v>-0.00778768316425871</v>
      </c>
      <c r="P121" s="137" t="str">
        <f aca="false">IFERROR(IF(OR(NOT(ISNUMBER('Price History'!P122)),NOT(ISNUMBER('Price History'!P121)),'Price History'!P121=0),"",'Price History'!P122/'Price History'!P121-1),"")</f>
        <v/>
      </c>
      <c r="Q121" s="137" t="n">
        <f aca="false">IFERROR(IF(OR(NOT(ISNUMBER('Price History'!Q122)),NOT(ISNUMBER('Price History'!Q121)),'Price History'!Q121=0),"",'Price History'!Q122/'Price History'!Q121-1),"")</f>
        <v>0.00918121613485856</v>
      </c>
      <c r="R121" s="137" t="n">
        <f aca="false">IFERROR(IF(OR(NOT(ISNUMBER('Price History'!R122)),NOT(ISNUMBER('Price History'!R121)),'Price History'!R121=0),"",'Price History'!R122/'Price History'!R121-1),"")</f>
        <v>-0.0273261847111725</v>
      </c>
      <c r="S121" s="137" t="n">
        <f aca="false">IFERROR(IF(OR(NOT(ISNUMBER('Price History'!S122)),NOT(ISNUMBER('Price History'!S121)),'Price History'!S121=0),"",'Price History'!S122/'Price History'!S121-1),"")</f>
        <v>-0.0299584146651957</v>
      </c>
      <c r="T121" s="137" t="n">
        <f aca="false">IFERROR(IF(OR(NOT(ISNUMBER('Price History'!T122)),NOT(ISNUMBER('Price History'!T121)),'Price History'!T121=0),"",'Price History'!T122/'Price History'!T121-1),"")</f>
        <v>-0.0201044386422975</v>
      </c>
      <c r="U121" s="137" t="str">
        <f aca="false">IFERROR(IF(OR(NOT(ISNUMBER('Price History'!U122)),NOT(ISNUMBER('Price History'!U121)),'Price History'!U121=0),"",'Price History'!U122/'Price History'!U121-1),"")</f>
        <v/>
      </c>
      <c r="W121" s="138" t="n">
        <f aca="false">'Price History'!B3+('Price History'!B158-'Price History'!B3)*0.766233766233766</f>
        <v>310.731038961039</v>
      </c>
      <c r="X121" s="138" t="n">
        <f aca="false">'Price History'!C3+('Price History'!C158-'Price History'!C3)*0.766233766233766</f>
        <v>148.415194805195</v>
      </c>
      <c r="Y121" s="138" t="n">
        <f aca="false">'Price History'!D3+('Price History'!D158-'Price History'!D3)*0.766233766233766</f>
        <v>1402.89662337662</v>
      </c>
      <c r="Z121" s="138" t="n">
        <f aca="false">'Price History'!E3+('Price History'!E158-'Price History'!E3)*0.766233766233766</f>
        <v>317.677402597403</v>
      </c>
      <c r="AA121" s="138" t="n">
        <f aca="false">'Price History'!F3+('Price History'!F158-'Price History'!F3)*0.766233766233766</f>
        <v>154.906753246753</v>
      </c>
      <c r="AB121" s="138" t="n">
        <f aca="false">'Price History'!G3+('Price History'!G158-'Price History'!G3)*0.766233766233766</f>
        <v>151.28025974026</v>
      </c>
      <c r="AC121" s="138" t="n">
        <f aca="false">'Price History'!H3+('Price History'!H158-'Price History'!H3)*0.766233766233766</f>
        <v>645.680909090909</v>
      </c>
      <c r="AD121" s="138" t="n">
        <f aca="false">'Price History'!I3+('Price History'!I158-'Price History'!I3)*0.766233766233766</f>
        <v>163.370779220779</v>
      </c>
      <c r="AE121" s="138" t="n">
        <f aca="false">'Price History'!J3+('Price History'!J158-'Price History'!J3)*0.766233766233766</f>
        <v>139.677532467532</v>
      </c>
      <c r="AF121" s="138" t="n">
        <f aca="false">'Price History'!K3+('Price History'!K158-'Price History'!K3)*0.766233766233766</f>
        <v>97.8950649350649</v>
      </c>
      <c r="AG121" s="138" t="n">
        <f aca="false">'Price History'!L3+('Price History'!L158-'Price History'!L3)*0.766233766233766</f>
        <v>331.254155844156</v>
      </c>
      <c r="AH121" s="138" t="n">
        <f aca="false">'Price History'!M3+('Price History'!M158-'Price History'!M3)*0.766233766233766</f>
        <v>192.932597402597</v>
      </c>
      <c r="AI121" s="138" t="n">
        <f aca="false">'Price History'!N3+('Price History'!N158-'Price History'!N3)*0.766233766233766</f>
        <v>447.355584415584</v>
      </c>
      <c r="AJ121" s="138" t="n">
        <f aca="false">'Price History'!O3+('Price History'!O158-'Price History'!O3)*0.766233766233766</f>
        <v>115.361298701299</v>
      </c>
      <c r="AK121" s="138" t="n">
        <f aca="false">'Price History'!Q3+('Price History'!Q151-'Price History'!Q3)*0.766233766233766</f>
        <v>64.0996103896104</v>
      </c>
      <c r="AL121" s="138" t="n">
        <f aca="false">'Price History'!R3+('Price History'!R158-'Price History'!R3)*0.766233766233766</f>
        <v>55.8118181818182</v>
      </c>
      <c r="AM121" s="138" t="n">
        <f aca="false">'Price History'!S3+('Price History'!S158-'Price History'!S3)*0.766233766233766</f>
        <v>123.892077922078</v>
      </c>
      <c r="AN121" s="138" t="n">
        <f aca="false">'Price History'!T3+('Price History'!T158-'Price History'!T3)*0.766233766233766</f>
        <v>44.4031168831169</v>
      </c>
    </row>
    <row r="122" customFormat="false" ht="15" hidden="false" customHeight="true" outlineLevel="0" collapsed="false">
      <c r="A122" s="136" t="n">
        <f aca="false">IF('Price History'!A123="","",'Price History'!A123)</f>
        <v>45989</v>
      </c>
      <c r="B122" s="137" t="n">
        <f aca="false">IFERROR(IF(OR(NOT(ISNUMBER('Price History'!B123)),NOT(ISNUMBER('Price History'!B122)),'Price History'!B122=0),"",'Price History'!B123/'Price History'!B122-1),"")</f>
        <v>-0.0125235201579321</v>
      </c>
      <c r="C122" s="137" t="n">
        <f aca="false">IFERROR(IF(OR(NOT(ISNUMBER('Price History'!C123)),NOT(ISNUMBER('Price History'!C122)),'Price History'!C122=0),"",'Price History'!C123/'Price History'!C122-1),"")</f>
        <v>0.112833177211956</v>
      </c>
      <c r="D122" s="137" t="n">
        <f aca="false">IFERROR(IF(OR(NOT(ISNUMBER('Price History'!D123)),NOT(ISNUMBER('Price History'!D122)),'Price History'!D122=0),"",'Price History'!D123/'Price History'!D122-1),"")</f>
        <v>0.0966613902769586</v>
      </c>
      <c r="E122" s="137" t="n">
        <f aca="false">IFERROR(IF(OR(NOT(ISNUMBER('Price History'!E123)),NOT(ISNUMBER('Price History'!E122)),'Price History'!E122=0),"",'Price History'!E123/'Price History'!E122-1),"")</f>
        <v>0.184479717813051</v>
      </c>
      <c r="F122" s="137" t="n">
        <f aca="false">IFERROR(IF(OR(NOT(ISNUMBER('Price History'!F123)),NOT(ISNUMBER('Price History'!F122)),'Price History'!F122=0),"",'Price History'!F123/'Price History'!F122-1),"")</f>
        <v>0.0376620200538029</v>
      </c>
      <c r="G122" s="137" t="n">
        <f aca="false">IFERROR(IF(OR(NOT(ISNUMBER('Price History'!G123)),NOT(ISNUMBER('Price History'!G122)),'Price History'!G122=0),"",'Price History'!G123/'Price History'!G122-1),"")</f>
        <v>0.0714611247835202</v>
      </c>
      <c r="H122" s="137" t="n">
        <f aca="false">IFERROR(IF(OR(NOT(ISNUMBER('Price History'!H123)),NOT(ISNUMBER('Price History'!H122)),'Price History'!H122=0),"",'Price History'!H123/'Price History'!H122-1),"")</f>
        <v>0.140377103727636</v>
      </c>
      <c r="I122" s="137" t="n">
        <f aca="false">IFERROR(IF(OR(NOT(ISNUMBER('Price History'!I123)),NOT(ISNUMBER('Price History'!I122)),'Price History'!I122=0),"",'Price History'!I123/'Price History'!I122-1),"")</f>
        <v>-0.0105098389982111</v>
      </c>
      <c r="J122" s="137" t="n">
        <f aca="false">IFERROR(IF(OR(NOT(ISNUMBER('Price History'!J123)),NOT(ISNUMBER('Price History'!J122)),'Price History'!J122=0),"",'Price History'!J123/'Price History'!J122-1),"")</f>
        <v>0.021782335638763</v>
      </c>
      <c r="K122" s="137" t="n">
        <f aca="false">IFERROR(IF(OR(NOT(ISNUMBER('Price History'!K123)),NOT(ISNUMBER('Price History'!K122)),'Price History'!K122=0),"",'Price History'!K123/'Price History'!K122-1),"")</f>
        <v>0.0878269292864062</v>
      </c>
      <c r="L122" s="137" t="n">
        <f aca="false">IFERROR(IF(OR(NOT(ISNUMBER('Price History'!L123)),NOT(ISNUMBER('Price History'!L122)),'Price History'!L122=0),"",'Price History'!L123/'Price History'!L122-1),"")</f>
        <v>0.0598051334254344</v>
      </c>
      <c r="M122" s="137" t="n">
        <f aca="false">IFERROR(IF(OR(NOT(ISNUMBER('Price History'!M123)),NOT(ISNUMBER('Price History'!M122)),'Price History'!M122=0),"",'Price History'!M123/'Price History'!M122-1),"")</f>
        <v>0.124507288994557</v>
      </c>
      <c r="N122" s="137" t="n">
        <f aca="false">IFERROR(IF(OR(NOT(ISNUMBER('Price History'!N123)),NOT(ISNUMBER('Price History'!N122)),'Price History'!N122=0),"",'Price History'!N123/'Price History'!N122-1),"")</f>
        <v>0.0160511763051834</v>
      </c>
      <c r="O122" s="137" t="n">
        <f aca="false">IFERROR(IF(OR(NOT(ISNUMBER('Price History'!O123)),NOT(ISNUMBER('Price History'!O122)),'Price History'!O122=0),"",'Price History'!O123/'Price History'!O122-1),"")</f>
        <v>0.0444077248786532</v>
      </c>
      <c r="P122" s="137" t="str">
        <f aca="false">IFERROR(IF(OR(NOT(ISNUMBER('Price History'!P123)),NOT(ISNUMBER('Price History'!P122)),'Price History'!P122=0),"",'Price History'!P123/'Price History'!P122-1),"")</f>
        <v/>
      </c>
      <c r="Q122" s="137" t="n">
        <f aca="false">IFERROR(IF(OR(NOT(ISNUMBER('Price History'!Q123)),NOT(ISNUMBER('Price History'!Q122)),'Price History'!Q122=0),"",'Price History'!Q123/'Price History'!Q122-1),"")</f>
        <v>-0.00462341536167044</v>
      </c>
      <c r="R122" s="137" t="n">
        <f aca="false">IFERROR(IF(OR(NOT(ISNUMBER('Price History'!R123)),NOT(ISNUMBER('Price History'!R122)),'Price History'!R122=0),"",'Price History'!R123/'Price History'!R122-1),"")</f>
        <v>0.045697012802276</v>
      </c>
      <c r="S122" s="137" t="n">
        <f aca="false">IFERROR(IF(OR(NOT(ISNUMBER('Price History'!S123)),NOT(ISNUMBER('Price History'!S122)),'Price History'!S122=0),"",'Price History'!S123/'Price History'!S122-1),"")</f>
        <v>0.0509186351706037</v>
      </c>
      <c r="T122" s="137" t="n">
        <f aca="false">IFERROR(IF(OR(NOT(ISNUMBER('Price History'!T123)),NOT(ISNUMBER('Price History'!T122)),'Price History'!T122=0),"",'Price History'!T123/'Price History'!T122-1),"")</f>
        <v>0.0343725019984014</v>
      </c>
      <c r="U122" s="137" t="str">
        <f aca="false">IFERROR(IF(OR(NOT(ISNUMBER('Price History'!U123)),NOT(ISNUMBER('Price History'!U122)),'Price History'!U122=0),"",'Price History'!U123/'Price History'!U122-1),"")</f>
        <v/>
      </c>
      <c r="W122" s="138" t="n">
        <f aca="false">'Price History'!B3+('Price History'!B158-'Price History'!B3)*0.772727272727273</f>
        <v>309.055454545455</v>
      </c>
      <c r="X122" s="138" t="n">
        <f aca="false">'Price History'!C3+('Price History'!C158-'Price History'!C3)*0.772727272727273</f>
        <v>149.302272727273</v>
      </c>
      <c r="Y122" s="138" t="n">
        <f aca="false">'Price History'!D3+('Price History'!D158-'Price History'!D3)*0.772727272727273</f>
        <v>1409.17727272727</v>
      </c>
      <c r="Z122" s="138" t="n">
        <f aca="false">'Price History'!E3+('Price History'!E158-'Price History'!E3)*0.772727272727273</f>
        <v>319.666363636364</v>
      </c>
      <c r="AA122" s="138" t="n">
        <f aca="false">'Price History'!F3+('Price History'!F158-'Price History'!F3)*0.772727272727273</f>
        <v>155.905454545455</v>
      </c>
      <c r="AB122" s="138" t="n">
        <f aca="false">'Price History'!G3+('Price History'!G158-'Price History'!G3)*0.772727272727273</f>
        <v>152.156363636364</v>
      </c>
      <c r="AC122" s="138" t="n">
        <f aca="false">'Price History'!H3+('Price History'!H158-'Price History'!H3)*0.772727272727273</f>
        <v>650.607272727273</v>
      </c>
      <c r="AD122" s="138" t="n">
        <f aca="false">'Price History'!I3+('Price History'!I158-'Price History'!I3)*0.772727272727273</f>
        <v>164.409090909091</v>
      </c>
      <c r="AE122" s="138" t="n">
        <f aca="false">'Price History'!J3+('Price History'!J158-'Price History'!J3)*0.772727272727273</f>
        <v>139.814545454545</v>
      </c>
      <c r="AF122" s="138" t="n">
        <f aca="false">'Price History'!K3+('Price History'!K158-'Price History'!K3)*0.772727272727273</f>
        <v>98.5940909090909</v>
      </c>
      <c r="AG122" s="138" t="n">
        <f aca="false">'Price History'!L3+('Price History'!L158-'Price History'!L3)*0.772727272727273</f>
        <v>333.281818181818</v>
      </c>
      <c r="AH122" s="138" t="n">
        <f aca="false">'Price History'!M3+('Price History'!M158-'Price History'!M3)*0.772727272727273</f>
        <v>194.283636363636</v>
      </c>
      <c r="AI122" s="138" t="n">
        <f aca="false">'Price History'!N3+('Price History'!N158-'Price History'!N3)*0.772727272727273</f>
        <v>448.181818181818</v>
      </c>
      <c r="AJ122" s="138" t="n">
        <f aca="false">'Price History'!O3+('Price History'!O158-'Price History'!O3)*0.772727272727273</f>
        <v>115.636818181818</v>
      </c>
      <c r="AK122" s="138" t="n">
        <f aca="false">'Price History'!Q3+('Price History'!Q151-'Price History'!Q3)*0.772727272727273</f>
        <v>64.2204545454546</v>
      </c>
      <c r="AL122" s="138" t="n">
        <f aca="false">'Price History'!R3+('Price History'!R158-'Price History'!R3)*0.772727272727273</f>
        <v>55.8795454545455</v>
      </c>
      <c r="AM122" s="138" t="n">
        <f aca="false">'Price History'!S3+('Price History'!S158-'Price History'!S3)*0.772727272727273</f>
        <v>124.445909090909</v>
      </c>
      <c r="AN122" s="138" t="n">
        <f aca="false">'Price History'!T3+('Price History'!T158-'Price History'!T3)*0.772727272727273</f>
        <v>44.5513636363637</v>
      </c>
    </row>
    <row r="123" customFormat="false" ht="15" hidden="false" customHeight="true" outlineLevel="0" collapsed="false">
      <c r="A123" s="136" t="n">
        <f aca="false">IF('Price History'!A124="","",'Price History'!A124)</f>
        <v>45996</v>
      </c>
      <c r="B123" s="137" t="n">
        <f aca="false">IFERROR(IF(OR(NOT(ISNUMBER('Price History'!B124)),NOT(ISNUMBER('Price History'!B123)),'Price History'!B123=0),"",'Price History'!B124/'Price History'!B123-1),"")</f>
        <v>0.0816230906194357</v>
      </c>
      <c r="C123" s="137" t="n">
        <f aca="false">IFERROR(IF(OR(NOT(ISNUMBER('Price History'!C124)),NOT(ISNUMBER('Price History'!C123)),'Price History'!C123=0),"",'Price History'!C124/'Price History'!C123-1),"")</f>
        <v>-0.015993265993266</v>
      </c>
      <c r="D123" s="137" t="n">
        <f aca="false">IFERROR(IF(OR(NOT(ISNUMBER('Price History'!D124)),NOT(ISNUMBER('Price History'!D123)),'Price History'!D123=0),"",'Price History'!D124/'Price History'!D123-1),"")</f>
        <v>0.0372358490566038</v>
      </c>
      <c r="E123" s="137" t="n">
        <f aca="false">IFERROR(IF(OR(NOT(ISNUMBER('Price History'!E124)),NOT(ISNUMBER('Price History'!E123)),'Price History'!E123=0),"",'Price History'!E124/'Price History'!E123-1),"")</f>
        <v>-0.0315664085765336</v>
      </c>
      <c r="F123" s="137" t="n">
        <f aca="false">IFERROR(IF(OR(NOT(ISNUMBER('Price History'!F124)),NOT(ISNUMBER('Price History'!F123)),'Price History'!F123=0),"",'Price History'!F124/'Price History'!F123-1),"")</f>
        <v>0.00565637520622198</v>
      </c>
      <c r="G123" s="137" t="n">
        <f aca="false">IFERROR(IF(OR(NOT(ISNUMBER('Price History'!G124)),NOT(ISNUMBER('Price History'!G123)),'Price History'!G123=0),"",'Price History'!G124/'Price History'!G123-1),"")</f>
        <v>0.0331773713313484</v>
      </c>
      <c r="H123" s="137" t="n">
        <f aca="false">IFERROR(IF(OR(NOT(ISNUMBER('Price History'!H124)),NOT(ISNUMBER('Price History'!H123)),'Price History'!H123=0),"",'Price History'!H124/'Price History'!H123-1),"")</f>
        <v>0.00312922868741539</v>
      </c>
      <c r="I123" s="137" t="n">
        <f aca="false">IFERROR(IF(OR(NOT(ISNUMBER('Price History'!I124)),NOT(ISNUMBER('Price History'!I123)),'Price History'!I123=0),"",'Price History'!I124/'Price History'!I123-1),"")</f>
        <v>0.0305649717514125</v>
      </c>
      <c r="J123" s="137" t="n">
        <f aca="false">IFERROR(IF(OR(NOT(ISNUMBER('Price History'!J124)),NOT(ISNUMBER('Price History'!J123)),'Price History'!J123=0),"",'Price History'!J124/'Price History'!J123-1),"")</f>
        <v>-0.00427915661713219</v>
      </c>
      <c r="K123" s="137" t="n">
        <f aca="false">IFERROR(IF(OR(NOT(ISNUMBER('Price History'!K124)),NOT(ISNUMBER('Price History'!K123)),'Price History'!K123=0),"",'Price History'!K124/'Price History'!K123-1),"")</f>
        <v>0.0790145443751855</v>
      </c>
      <c r="L123" s="137" t="n">
        <f aca="false">IFERROR(IF(OR(NOT(ISNUMBER('Price History'!L124)),NOT(ISNUMBER('Price History'!L123)),'Price History'!L123=0),"",'Price History'!L124/'Price History'!L123-1),"")</f>
        <v>0.0110116291036328</v>
      </c>
      <c r="M123" s="137" t="n">
        <f aca="false">IFERROR(IF(OR(NOT(ISNUMBER('Price History'!M124)),NOT(ISNUMBER('Price History'!M123)),'Price History'!M123=0),"",'Price History'!M124/'Price History'!M123-1),"")</f>
        <v>0.0516886440772271</v>
      </c>
      <c r="N123" s="137" t="n">
        <f aca="false">IFERROR(IF(OR(NOT(ISNUMBER('Price History'!N124)),NOT(ISNUMBER('Price History'!N123)),'Price History'!N123=0),"",'Price History'!N124/'Price History'!N123-1),"")</f>
        <v>0.0504370286663132</v>
      </c>
      <c r="O123" s="137" t="n">
        <f aca="false">IFERROR(IF(OR(NOT(ISNUMBER('Price History'!O124)),NOT(ISNUMBER('Price History'!O123)),'Price History'!O123=0),"",'Price History'!O124/'Price History'!O123-1),"")</f>
        <v>0.0175022248590924</v>
      </c>
      <c r="P123" s="137" t="str">
        <f aca="false">IFERROR(IF(OR(NOT(ISNUMBER('Price History'!P124)),NOT(ISNUMBER('Price History'!P123)),'Price History'!P123=0),"",'Price History'!P124/'Price History'!P123-1),"")</f>
        <v/>
      </c>
      <c r="Q123" s="137" t="n">
        <f aca="false">IFERROR(IF(OR(NOT(ISNUMBER('Price History'!Q124)),NOT(ISNUMBER('Price History'!Q123)),'Price History'!Q123=0),"",'Price History'!Q124/'Price History'!Q123-1),"")</f>
        <v>-0.000299670362601034</v>
      </c>
      <c r="R123" s="137" t="n">
        <f aca="false">IFERROR(IF(OR(NOT(ISNUMBER('Price History'!R124)),NOT(ISNUMBER('Price History'!R123)),'Price History'!R123=0),"",'Price History'!R124/'Price History'!R123-1),"")</f>
        <v>0.000170039108994935</v>
      </c>
      <c r="S123" s="137" t="n">
        <f aca="false">IFERROR(IF(OR(NOT(ISNUMBER('Price History'!S124)),NOT(ISNUMBER('Price History'!S123)),'Price History'!S123=0),"",'Price History'!S124/'Price History'!S123-1),"")</f>
        <v>0.00607725607725596</v>
      </c>
      <c r="T123" s="137" t="n">
        <f aca="false">IFERROR(IF(OR(NOT(ISNUMBER('Price History'!T124)),NOT(ISNUMBER('Price History'!T123)),'Price History'!T123=0),"",'Price History'!T124/'Price History'!T123-1),"")</f>
        <v>0.0154559505409584</v>
      </c>
      <c r="U123" s="137" t="str">
        <f aca="false">IFERROR(IF(OR(NOT(ISNUMBER('Price History'!U124)),NOT(ISNUMBER('Price History'!U123)),'Price History'!U123=0),"",'Price History'!U124/'Price History'!U123-1),"")</f>
        <v/>
      </c>
      <c r="W123" s="138" t="n">
        <f aca="false">'Price History'!B3+('Price History'!B158-'Price History'!B3)*0.779220779220779</f>
        <v>307.37987012987</v>
      </c>
      <c r="X123" s="138" t="n">
        <f aca="false">'Price History'!C3+('Price History'!C158-'Price History'!C3)*0.779220779220779</f>
        <v>150.189350649351</v>
      </c>
      <c r="Y123" s="138" t="n">
        <f aca="false">'Price History'!D3+('Price History'!D158-'Price History'!D3)*0.779220779220779</f>
        <v>1415.45792207792</v>
      </c>
      <c r="Z123" s="138" t="n">
        <f aca="false">'Price History'!E3+('Price History'!E158-'Price History'!E3)*0.779220779220779</f>
        <v>321.655324675325</v>
      </c>
      <c r="AA123" s="138" t="n">
        <f aca="false">'Price History'!F3+('Price History'!F158-'Price History'!F3)*0.779220779220779</f>
        <v>156.904155844156</v>
      </c>
      <c r="AB123" s="138" t="n">
        <f aca="false">'Price History'!G3+('Price History'!G158-'Price History'!G3)*0.779220779220779</f>
        <v>153.032467532468</v>
      </c>
      <c r="AC123" s="138" t="n">
        <f aca="false">'Price History'!H3+('Price History'!H158-'Price History'!H3)*0.779220779220779</f>
        <v>655.533636363636</v>
      </c>
      <c r="AD123" s="138" t="n">
        <f aca="false">'Price History'!I3+('Price History'!I158-'Price History'!I3)*0.779220779220779</f>
        <v>165.447402597403</v>
      </c>
      <c r="AE123" s="138" t="n">
        <f aca="false">'Price History'!J3+('Price History'!J158-'Price History'!J3)*0.779220779220779</f>
        <v>139.951558441558</v>
      </c>
      <c r="AF123" s="138" t="n">
        <f aca="false">'Price History'!K3+('Price History'!K158-'Price History'!K3)*0.779220779220779</f>
        <v>99.2931168831169</v>
      </c>
      <c r="AG123" s="138" t="n">
        <f aca="false">'Price History'!L3+('Price History'!L158-'Price History'!L3)*0.779220779220779</f>
        <v>335.309480519481</v>
      </c>
      <c r="AH123" s="138" t="n">
        <f aca="false">'Price History'!M3+('Price History'!M158-'Price History'!M3)*0.779220779220779</f>
        <v>195.634675324675</v>
      </c>
      <c r="AI123" s="138" t="n">
        <f aca="false">'Price History'!N3+('Price History'!N158-'Price History'!N3)*0.779220779220779</f>
        <v>449.008051948052</v>
      </c>
      <c r="AJ123" s="138" t="n">
        <f aca="false">'Price History'!O3+('Price History'!O158-'Price History'!O3)*0.779220779220779</f>
        <v>115.912337662338</v>
      </c>
      <c r="AK123" s="138" t="n">
        <f aca="false">'Price History'!Q3+('Price History'!Q151-'Price History'!Q3)*0.779220779220779</f>
        <v>64.3412987012987</v>
      </c>
      <c r="AL123" s="138" t="n">
        <f aca="false">'Price History'!R3+('Price History'!R158-'Price History'!R3)*0.779220779220779</f>
        <v>55.9472727272727</v>
      </c>
      <c r="AM123" s="138" t="n">
        <f aca="false">'Price History'!S3+('Price History'!S158-'Price History'!S3)*0.779220779220779</f>
        <v>124.99974025974</v>
      </c>
      <c r="AN123" s="138" t="n">
        <f aca="false">'Price History'!T3+('Price History'!T158-'Price History'!T3)*0.779220779220779</f>
        <v>44.6996103896104</v>
      </c>
    </row>
    <row r="124" customFormat="false" ht="15" hidden="false" customHeight="true" outlineLevel="0" collapsed="false">
      <c r="A124" s="136" t="n">
        <f aca="false">IF('Price History'!A125="","",'Price History'!A125)</f>
        <v>46003</v>
      </c>
      <c r="B124" s="137" t="n">
        <f aca="false">IFERROR(IF(OR(NOT(ISNUMBER('Price History'!B125)),NOT(ISNUMBER('Price History'!B124)),'Price History'!B124=0),"",'Price History'!B125/'Price History'!B124-1),"")</f>
        <v>0.0293709928955122</v>
      </c>
      <c r="C124" s="137" t="n">
        <f aca="false">IFERROR(IF(OR(NOT(ISNUMBER('Price History'!C125)),NOT(ISNUMBER('Price History'!C124)),'Price History'!C124=0),"",'Price History'!C125/'Price History'!C124-1),"")</f>
        <v>-0.0297845866708142</v>
      </c>
      <c r="D124" s="137" t="n">
        <f aca="false">IFERROR(IF(OR(NOT(ISNUMBER('Price History'!D125)),NOT(ISNUMBER('Price History'!D124)),'Price History'!D124=0),"",'Price History'!D125/'Price History'!D124-1),"")</f>
        <v>-0.0169354325265811</v>
      </c>
      <c r="E124" s="137" t="n">
        <f aca="false">IFERROR(IF(OR(NOT(ISNUMBER('Price History'!E125)),NOT(ISNUMBER('Price History'!E124)),'Price History'!E124=0),"",'Price History'!E125/'Price History'!E124-1),"")</f>
        <v>-0.077670151701517</v>
      </c>
      <c r="F124" s="137" t="n">
        <f aca="false">IFERROR(IF(OR(NOT(ISNUMBER('Price History'!F125)),NOT(ISNUMBER('Price History'!F124)),'Price History'!F124=0),"",'Price History'!F125/'Price History'!F124-1),"")</f>
        <v>-0.0141395203499726</v>
      </c>
      <c r="G124" s="137" t="n">
        <f aca="false">IFERROR(IF(OR(NOT(ISNUMBER('Price History'!G125)),NOT(ISNUMBER('Price History'!G124)),'Price History'!G124=0),"",'Price History'!G125/'Price History'!G124-1),"")</f>
        <v>-0.0169617126389461</v>
      </c>
      <c r="H124" s="137" t="n">
        <f aca="false">IFERROR(IF(OR(NOT(ISNUMBER('Price History'!H125)),NOT(ISNUMBER('Price History'!H124)),'Price History'!H124=0),"",'Price History'!H125/'Price History'!H124-1),"")</f>
        <v>0.0165247449624821</v>
      </c>
      <c r="I124" s="137" t="n">
        <f aca="false">IFERROR(IF(OR(NOT(ISNUMBER('Price History'!I125)),NOT(ISNUMBER('Price History'!I124)),'Price History'!I124=0),"",'Price History'!I125/'Price History'!I124-1),"")</f>
        <v>-0.0405131297626226</v>
      </c>
      <c r="J124" s="137" t="n">
        <f aca="false">IFERROR(IF(OR(NOT(ISNUMBER('Price History'!J125)),NOT(ISNUMBER('Price History'!J124)),'Price History'!J124=0),"",'Price History'!J125/'Price History'!J124-1),"")</f>
        <v>0.0171901859665573</v>
      </c>
      <c r="K124" s="137" t="n">
        <f aca="false">IFERROR(IF(OR(NOT(ISNUMBER('Price History'!K125)),NOT(ISNUMBER('Price History'!K124)),'Price History'!K124=0),"",'Price History'!K125/'Price History'!K124-1),"")</f>
        <v>0.00995818661971826</v>
      </c>
      <c r="L124" s="137" t="n">
        <f aca="false">IFERROR(IF(OR(NOT(ISNUMBER('Price History'!L125)),NOT(ISNUMBER('Price History'!L124)),'Price History'!L124=0),"",'Price History'!L125/'Price History'!L124-1),"")</f>
        <v>-0.0090933767643866</v>
      </c>
      <c r="M124" s="137" t="n">
        <f aca="false">IFERROR(IF(OR(NOT(ISNUMBER('Price History'!M125)),NOT(ISNUMBER('Price History'!M124)),'Price History'!M124=0),"",'Price History'!M125/'Price History'!M124-1),"")</f>
        <v>-0.146809861390329</v>
      </c>
      <c r="N124" s="137" t="n">
        <f aca="false">IFERROR(IF(OR(NOT(ISNUMBER('Price History'!N125)),NOT(ISNUMBER('Price History'!N124)),'Price History'!N124=0),"",'Price History'!N125/'Price History'!N124-1),"")</f>
        <v>-0.00755247211732679</v>
      </c>
      <c r="O124" s="137" t="n">
        <f aca="false">IFERROR(IF(OR(NOT(ISNUMBER('Price History'!O125)),NOT(ISNUMBER('Price History'!O124)),'Price History'!O124=0),"",'Price History'!O125/'Price History'!O124-1),"")</f>
        <v>0.0214771622934888</v>
      </c>
      <c r="P124" s="137" t="str">
        <f aca="false">IFERROR(IF(OR(NOT(ISNUMBER('Price History'!P125)),NOT(ISNUMBER('Price History'!P124)),'Price History'!P124=0),"",'Price History'!P125/'Price History'!P124-1),"")</f>
        <v/>
      </c>
      <c r="Q124" s="137" t="n">
        <f aca="false">IFERROR(IF(OR(NOT(ISNUMBER('Price History'!Q125)),NOT(ISNUMBER('Price History'!Q124)),'Price History'!Q124=0),"",'Price History'!Q125/'Price History'!Q124-1),"")</f>
        <v>0.00374700239808146</v>
      </c>
      <c r="R124" s="137" t="n">
        <f aca="false">IFERROR(IF(OR(NOT(ISNUMBER('Price History'!R125)),NOT(ISNUMBER('Price History'!R124)),'Price History'!R124=0),"",'Price History'!R125/'Price History'!R124-1),"")</f>
        <v>-0.0108806528391704</v>
      </c>
      <c r="S124" s="137" t="n">
        <f aca="false">IFERROR(IF(OR(NOT(ISNUMBER('Price History'!S125)),NOT(ISNUMBER('Price History'!S124)),'Price History'!S124=0),"",'Price History'!S125/'Price History'!S124-1),"")</f>
        <v>-0.014480761274307</v>
      </c>
      <c r="T124" s="137" t="n">
        <f aca="false">IFERROR(IF(OR(NOT(ISNUMBER('Price History'!T125)),NOT(ISNUMBER('Price History'!T124)),'Price History'!T124=0),"",'Price History'!T125/'Price History'!T124-1),"")</f>
        <v>0.00710299340436338</v>
      </c>
      <c r="U124" s="137" t="str">
        <f aca="false">IFERROR(IF(OR(NOT(ISNUMBER('Price History'!U125)),NOT(ISNUMBER('Price History'!U124)),'Price History'!U124=0),"",'Price History'!U125/'Price History'!U124-1),"")</f>
        <v/>
      </c>
      <c r="W124" s="138" t="n">
        <f aca="false">'Price History'!B3+('Price History'!B158-'Price History'!B3)*0.785714285714286</f>
        <v>305.704285714286</v>
      </c>
      <c r="X124" s="138" t="n">
        <f aca="false">'Price History'!C3+('Price History'!C158-'Price History'!C3)*0.785714285714286</f>
        <v>151.076428571429</v>
      </c>
      <c r="Y124" s="138" t="n">
        <f aca="false">'Price History'!D3+('Price History'!D158-'Price History'!D3)*0.785714285714286</f>
        <v>1421.73857142857</v>
      </c>
      <c r="Z124" s="138" t="n">
        <f aca="false">'Price History'!E3+('Price History'!E158-'Price History'!E3)*0.785714285714286</f>
        <v>323.644285714286</v>
      </c>
      <c r="AA124" s="138" t="n">
        <f aca="false">'Price History'!F3+('Price History'!F158-'Price History'!F3)*0.785714285714286</f>
        <v>157.902857142857</v>
      </c>
      <c r="AB124" s="138" t="n">
        <f aca="false">'Price History'!G3+('Price History'!G158-'Price History'!G3)*0.785714285714286</f>
        <v>153.908571428571</v>
      </c>
      <c r="AC124" s="138" t="n">
        <f aca="false">'Price History'!H3+('Price History'!H158-'Price History'!H3)*0.785714285714286</f>
        <v>660.46</v>
      </c>
      <c r="AD124" s="138" t="n">
        <f aca="false">'Price History'!I3+('Price History'!I158-'Price History'!I3)*0.785714285714286</f>
        <v>166.485714285714</v>
      </c>
      <c r="AE124" s="138" t="n">
        <f aca="false">'Price History'!J3+('Price History'!J158-'Price History'!J3)*0.785714285714286</f>
        <v>140.088571428571</v>
      </c>
      <c r="AF124" s="138" t="n">
        <f aca="false">'Price History'!K3+('Price History'!K158-'Price History'!K3)*0.785714285714286</f>
        <v>99.9921428571429</v>
      </c>
      <c r="AG124" s="138" t="n">
        <f aca="false">'Price History'!L3+('Price History'!L158-'Price History'!L3)*0.785714285714286</f>
        <v>337.337142857143</v>
      </c>
      <c r="AH124" s="138" t="n">
        <f aca="false">'Price History'!M3+('Price History'!M158-'Price History'!M3)*0.785714285714286</f>
        <v>196.985714285714</v>
      </c>
      <c r="AI124" s="138" t="n">
        <f aca="false">'Price History'!N3+('Price History'!N158-'Price History'!N3)*0.785714285714286</f>
        <v>449.834285714286</v>
      </c>
      <c r="AJ124" s="138" t="n">
        <f aca="false">'Price History'!O3+('Price History'!O158-'Price History'!O3)*0.785714285714286</f>
        <v>116.187857142857</v>
      </c>
      <c r="AK124" s="138" t="n">
        <f aca="false">'Price History'!Q3+('Price History'!Q151-'Price History'!Q3)*0.785714285714286</f>
        <v>64.4621428571429</v>
      </c>
      <c r="AL124" s="138" t="n">
        <f aca="false">'Price History'!R3+('Price History'!R158-'Price History'!R3)*0.785714285714286</f>
        <v>56.015</v>
      </c>
      <c r="AM124" s="138" t="n">
        <f aca="false">'Price History'!S3+('Price History'!S158-'Price History'!S3)*0.785714285714286</f>
        <v>125.553571428571</v>
      </c>
      <c r="AN124" s="138" t="n">
        <f aca="false">'Price History'!T3+('Price History'!T158-'Price History'!T3)*0.785714285714286</f>
        <v>44.8478571428572</v>
      </c>
    </row>
    <row r="125" customFormat="false" ht="15" hidden="false" customHeight="true" outlineLevel="0" collapsed="false">
      <c r="A125" s="136" t="n">
        <f aca="false">IF('Price History'!A126="","",'Price History'!A126)</f>
        <v>46010</v>
      </c>
      <c r="B125" s="137" t="n">
        <f aca="false">IFERROR(IF(OR(NOT(ISNUMBER('Price History'!B126)),NOT(ISNUMBER('Price History'!B125)),'Price History'!B125=0),"",'Price History'!B126/'Price History'!B125-1),"")</f>
        <v>-0.00159919198720648</v>
      </c>
      <c r="C125" s="137" t="n">
        <f aca="false">IFERROR(IF(OR(NOT(ISNUMBER('Price History'!C126)),NOT(ISNUMBER('Price History'!C125)),'Price History'!C125=0),"",'Price History'!C126/'Price History'!C125-1),"")</f>
        <v>0.0509778775248477</v>
      </c>
      <c r="D125" s="137" t="n">
        <f aca="false">IFERROR(IF(OR(NOT(ISNUMBER('Price History'!D126)),NOT(ISNUMBER('Price History'!D125)),'Price History'!D125=0),"",'Price History'!D126/'Price History'!D125-1),"")</f>
        <v>-0.0229726604061618</v>
      </c>
      <c r="E125" s="137" t="n">
        <f aca="false">IFERROR(IF(OR(NOT(ISNUMBER('Price History'!E126)),NOT(ISNUMBER('Price History'!E125)),'Price History'!E125=0),"",'Price History'!E126/'Price History'!E125-1),"")</f>
        <v>-0.05437168338288</v>
      </c>
      <c r="F125" s="137" t="n">
        <f aca="false">IFERROR(IF(OR(NOT(ISNUMBER('Price History'!F126)),NOT(ISNUMBER('Price History'!F125)),'Price History'!F125=0),"",'Price History'!F126/'Price History'!F125-1),"")</f>
        <v>-0.0465927099841522</v>
      </c>
      <c r="G125" s="137" t="n">
        <f aca="false">IFERROR(IF(OR(NOT(ISNUMBER('Price History'!G126)),NOT(ISNUMBER('Price History'!G125)),'Price History'!G125=0),"",'Price History'!G126/'Price History'!G125-1),"")</f>
        <v>0.0433872183599966</v>
      </c>
      <c r="H125" s="137" t="n">
        <f aca="false">IFERROR(IF(OR(NOT(ISNUMBER('Price History'!H126)),NOT(ISNUMBER('Price History'!H125)),'Price History'!H125=0),"",'Price History'!H126/'Price History'!H125-1),"")</f>
        <v>0.102761881064942</v>
      </c>
      <c r="I125" s="137" t="n">
        <f aca="false">IFERROR(IF(OR(NOT(ISNUMBER('Price History'!I126)),NOT(ISNUMBER('Price History'!I125)),'Price History'!I125=0),"",'Price History'!I126/'Price History'!I125-1),"")</f>
        <v>0.0341103873842989</v>
      </c>
      <c r="J125" s="137" t="n">
        <f aca="false">IFERROR(IF(OR(NOT(ISNUMBER('Price History'!J126)),NOT(ISNUMBER('Price History'!J125)),'Price History'!J125=0),"",'Price History'!J126/'Price History'!J125-1),"")</f>
        <v>-0.0226609310185897</v>
      </c>
      <c r="K125" s="137" t="n">
        <f aca="false">IFERROR(IF(OR(NOT(ISNUMBER('Price History'!K126)),NOT(ISNUMBER('Price History'!K125)),'Price History'!K125=0),"",'Price History'!K126/'Price History'!K125-1),"")</f>
        <v>0.0534401045922537</v>
      </c>
      <c r="L125" s="137" t="n">
        <f aca="false">IFERROR(IF(OR(NOT(ISNUMBER('Price History'!L126)),NOT(ISNUMBER('Price History'!L125)),'Price History'!L125=0),"",'Price History'!L126/'Price History'!L125-1),"")</f>
        <v>-0.0105807423640598</v>
      </c>
      <c r="M125" s="137" t="n">
        <f aca="false">IFERROR(IF(OR(NOT(ISNUMBER('Price History'!M126)),NOT(ISNUMBER('Price History'!M125)),'Price History'!M125=0),"",'Price History'!M126/'Price History'!M125-1),"")</f>
        <v>-0.00899113288274334</v>
      </c>
      <c r="N125" s="137" t="n">
        <f aca="false">IFERROR(IF(OR(NOT(ISNUMBER('Price History'!N126)),NOT(ISNUMBER('Price History'!N125)),'Price History'!N125=0),"",'Price History'!N126/'Price History'!N125-1),"")</f>
        <v>0.00920272542252887</v>
      </c>
      <c r="O125" s="137" t="n">
        <f aca="false">IFERROR(IF(OR(NOT(ISNUMBER('Price History'!O126)),NOT(ISNUMBER('Price History'!O125)),'Price History'!O125=0),"",'Price History'!O126/'Price History'!O125-1),"")</f>
        <v>-0.0126534107125867</v>
      </c>
      <c r="P125" s="137" t="str">
        <f aca="false">IFERROR(IF(OR(NOT(ISNUMBER('Price History'!P126)),NOT(ISNUMBER('Price History'!P125)),'Price History'!P125=0),"",'Price History'!P126/'Price History'!P125-1),"")</f>
        <v/>
      </c>
      <c r="Q125" s="137" t="n">
        <f aca="false">IFERROR(IF(OR(NOT(ISNUMBER('Price History'!Q126)),NOT(ISNUMBER('Price History'!Q125)),'Price History'!Q125=0),"",'Price History'!Q126/'Price History'!Q125-1),"")</f>
        <v>0.00283709123488118</v>
      </c>
      <c r="R125" s="137" t="n">
        <f aca="false">IFERROR(IF(OR(NOT(ISNUMBER('Price History'!R126)),NOT(ISNUMBER('Price History'!R125)),'Price History'!R125=0),"",'Price History'!R126/'Price History'!R125-1),"")</f>
        <v>0.00756273633551041</v>
      </c>
      <c r="S125" s="137" t="n">
        <f aca="false">IFERROR(IF(OR(NOT(ISNUMBER('Price History'!S126)),NOT(ISNUMBER('Price History'!S125)),'Price History'!S125=0),"",'Price History'!S126/'Price History'!S125-1),"")</f>
        <v>0.00361041141897567</v>
      </c>
      <c r="T125" s="137" t="n">
        <f aca="false">IFERROR(IF(OR(NOT(ISNUMBER('Price History'!T126)),NOT(ISNUMBER('Price History'!T125)),'Price History'!T125=0),"",'Price History'!T126/'Price History'!T125-1),"")</f>
        <v>-0.00428211586901772</v>
      </c>
      <c r="U125" s="137" t="str">
        <f aca="false">IFERROR(IF(OR(NOT(ISNUMBER('Price History'!U126)),NOT(ISNUMBER('Price History'!U125)),'Price History'!U125=0),"",'Price History'!U126/'Price History'!U125-1),"")</f>
        <v/>
      </c>
      <c r="W125" s="138" t="n">
        <f aca="false">'Price History'!B3+('Price History'!B158-'Price History'!B3)*0.792207792207792</f>
        <v>304.028701298701</v>
      </c>
      <c r="X125" s="138" t="n">
        <f aca="false">'Price History'!C3+('Price History'!C158-'Price History'!C3)*0.792207792207792</f>
        <v>151.963506493506</v>
      </c>
      <c r="Y125" s="138" t="n">
        <f aca="false">'Price History'!D3+('Price History'!D158-'Price History'!D3)*0.792207792207792</f>
        <v>1428.01922077922</v>
      </c>
      <c r="Z125" s="138" t="n">
        <f aca="false">'Price History'!E3+('Price History'!E158-'Price History'!E3)*0.792207792207792</f>
        <v>325.633246753247</v>
      </c>
      <c r="AA125" s="138" t="n">
        <f aca="false">'Price History'!F3+('Price History'!F158-'Price History'!F3)*0.792207792207792</f>
        <v>158.901558441558</v>
      </c>
      <c r="AB125" s="138" t="n">
        <f aca="false">'Price History'!G3+('Price History'!G158-'Price History'!G3)*0.792207792207792</f>
        <v>154.784675324675</v>
      </c>
      <c r="AC125" s="138" t="n">
        <f aca="false">'Price History'!H3+('Price History'!H158-'Price History'!H3)*0.792207792207792</f>
        <v>665.386363636364</v>
      </c>
      <c r="AD125" s="138" t="n">
        <f aca="false">'Price History'!I3+('Price History'!I158-'Price History'!I3)*0.792207792207792</f>
        <v>167.524025974026</v>
      </c>
      <c r="AE125" s="138" t="n">
        <f aca="false">'Price History'!J3+('Price History'!J158-'Price History'!J3)*0.792207792207792</f>
        <v>140.225584415584</v>
      </c>
      <c r="AF125" s="138" t="n">
        <f aca="false">'Price History'!K3+('Price History'!K158-'Price History'!K3)*0.792207792207792</f>
        <v>100.691168831169</v>
      </c>
      <c r="AG125" s="138" t="n">
        <f aca="false">'Price History'!L3+('Price History'!L158-'Price History'!L3)*0.792207792207792</f>
        <v>339.364805194805</v>
      </c>
      <c r="AH125" s="138" t="n">
        <f aca="false">'Price History'!M3+('Price History'!M158-'Price History'!M3)*0.792207792207792</f>
        <v>198.336753246753</v>
      </c>
      <c r="AI125" s="138" t="n">
        <f aca="false">'Price History'!N3+('Price History'!N158-'Price History'!N3)*0.792207792207792</f>
        <v>450.66051948052</v>
      </c>
      <c r="AJ125" s="138" t="n">
        <f aca="false">'Price History'!O3+('Price History'!O158-'Price History'!O3)*0.792207792207792</f>
        <v>116.463376623377</v>
      </c>
      <c r="AK125" s="138" t="n">
        <f aca="false">'Price History'!Q3+('Price History'!Q151-'Price History'!Q3)*0.792207792207792</f>
        <v>64.582987012987</v>
      </c>
      <c r="AL125" s="138" t="n">
        <f aca="false">'Price History'!R3+('Price History'!R158-'Price History'!R3)*0.792207792207792</f>
        <v>56.0827272727273</v>
      </c>
      <c r="AM125" s="138" t="n">
        <f aca="false">'Price History'!S3+('Price History'!S158-'Price History'!S3)*0.792207792207792</f>
        <v>126.107402597403</v>
      </c>
      <c r="AN125" s="138" t="n">
        <f aca="false">'Price History'!T3+('Price History'!T158-'Price History'!T3)*0.792207792207792</f>
        <v>44.9961038961039</v>
      </c>
    </row>
    <row r="126" customFormat="false" ht="15" hidden="false" customHeight="true" outlineLevel="0" collapsed="false">
      <c r="A126" s="136" t="n">
        <f aca="false">IF('Price History'!A127="","",'Price History'!A127)</f>
        <v>46017</v>
      </c>
      <c r="B126" s="137" t="n">
        <f aca="false">IFERROR(IF(OR(NOT(ISNUMBER('Price History'!B127)),NOT(ISNUMBER('Price History'!B126)),'Price History'!B126=0),"",'Price History'!B127/'Price History'!B126-1),"")</f>
        <v>-0.00578879334569771</v>
      </c>
      <c r="C126" s="137" t="n">
        <f aca="false">IFERROR(IF(OR(NOT(ISNUMBER('Price History'!C127)),NOT(ISNUMBER('Price History'!C126)),'Price History'!C126=0),"",'Price History'!C127/'Price History'!C126-1),"")</f>
        <v>0.00549115314215976</v>
      </c>
      <c r="D126" s="137" t="n">
        <f aca="false">IFERROR(IF(OR(NOT(ISNUMBER('Price History'!D127)),NOT(ISNUMBER('Price History'!D126)),'Price History'!D126=0),"",'Price History'!D127/'Price History'!D126-1),"")</f>
        <v>0.0158425029828981</v>
      </c>
      <c r="E126" s="137" t="n">
        <f aca="false">IFERROR(IF(OR(NOT(ISNUMBER('Price History'!E127)),NOT(ISNUMBER('Price History'!E126)),'Price History'!E126=0),"",'Price History'!E127/'Price History'!E126-1),"")</f>
        <v>0.0345810318486308</v>
      </c>
      <c r="F126" s="137" t="n">
        <f aca="false">IFERROR(IF(OR(NOT(ISNUMBER('Price History'!F127)),NOT(ISNUMBER('Price History'!F126)),'Price History'!F126=0),"",'Price History'!F127/'Price History'!F126-1),"")</f>
        <v>-0.000166223404255317</v>
      </c>
      <c r="G126" s="137" t="n">
        <f aca="false">IFERROR(IF(OR(NOT(ISNUMBER('Price History'!G127)),NOT(ISNUMBER('Price History'!G126)),'Price History'!G126=0),"",'Price History'!G127/'Price History'!G126-1),"")</f>
        <v>0.0272136148350326</v>
      </c>
      <c r="H126" s="137" t="n">
        <f aca="false">IFERROR(IF(OR(NOT(ISNUMBER('Price History'!H127)),NOT(ISNUMBER('Price History'!H126)),'Price History'!H126=0),"",'Price History'!H127/'Price History'!H126-1),"")</f>
        <v>0.0709611913357402</v>
      </c>
      <c r="I126" s="137" t="n">
        <f aca="false">IFERROR(IF(OR(NOT(ISNUMBER('Price History'!I127)),NOT(ISNUMBER('Price History'!I126)),'Price History'!I126=0),"",'Price History'!I127/'Price History'!I126-1),"")</f>
        <v>0.052710094480358</v>
      </c>
      <c r="J126" s="137" t="n">
        <f aca="false">IFERROR(IF(OR(NOT(ISNUMBER('Price History'!J127)),NOT(ISNUMBER('Price History'!J126)),'Price History'!J126=0),"",'Price History'!J127/'Price History'!J126-1),"")</f>
        <v>0.0116324766171501</v>
      </c>
      <c r="K126" s="137" t="n">
        <f aca="false">IFERROR(IF(OR(NOT(ISNUMBER('Price History'!K127)),NOT(ISNUMBER('Price History'!K126)),'Price History'!K126=0),"",'Price History'!K127/'Price History'!K126-1),"")</f>
        <v>-0.0241493432619712</v>
      </c>
      <c r="L126" s="137" t="n">
        <f aca="false">IFERROR(IF(OR(NOT(ISNUMBER('Price History'!L127)),NOT(ISNUMBER('Price History'!L126)),'Price History'!L126=0),"",'Price History'!L127/'Price History'!L126-1),"")</f>
        <v>0.0480706004499047</v>
      </c>
      <c r="M126" s="137" t="n">
        <f aca="false">IFERROR(IF(OR(NOT(ISNUMBER('Price History'!M127)),NOT(ISNUMBER('Price History'!M126)),'Price History'!M126=0),"",'Price History'!M127/'Price History'!M126-1),"")</f>
        <v>0.0485546239519461</v>
      </c>
      <c r="N126" s="137" t="n">
        <f aca="false">IFERROR(IF(OR(NOT(ISNUMBER('Price History'!N127)),NOT(ISNUMBER('Price History'!N126)),'Price History'!N126=0),"",'Price History'!N127/'Price History'!N126-1),"")</f>
        <v>0.0146865409907935</v>
      </c>
      <c r="O126" s="137" t="n">
        <f aca="false">IFERROR(IF(OR(NOT(ISNUMBER('Price History'!O127)),NOT(ISNUMBER('Price History'!O126)),'Price History'!O126=0),"",'Price History'!O127/'Price History'!O126-1),"")</f>
        <v>-0.000867219117363649</v>
      </c>
      <c r="P126" s="137" t="str">
        <f aca="false">IFERROR(IF(OR(NOT(ISNUMBER('Price History'!P127)),NOT(ISNUMBER('Price History'!P126)),'Price History'!P126=0),"",'Price History'!P127/'Price History'!P126-1),"")</f>
        <v/>
      </c>
      <c r="Q126" s="137" t="n">
        <f aca="false">IFERROR(IF(OR(NOT(ISNUMBER('Price History'!Q127)),NOT(ISNUMBER('Price History'!Q126)),'Price History'!Q126=0),"",'Price History'!Q127/'Price History'!Q126-1),"")</f>
        <v>-0.00878499106611086</v>
      </c>
      <c r="R126" s="137" t="n">
        <f aca="false">IFERROR(IF(OR(NOT(ISNUMBER('Price History'!R127)),NOT(ISNUMBER('Price History'!R126)),'Price History'!R126=0),"",'Price History'!R127/'Price History'!R126-1),"")</f>
        <v>0.0122824974411464</v>
      </c>
      <c r="S126" s="137" t="n">
        <f aca="false">IFERROR(IF(OR(NOT(ISNUMBER('Price History'!S127)),NOT(ISNUMBER('Price History'!S126)),'Price History'!S126=0),"",'Price History'!S127/'Price History'!S126-1),"")</f>
        <v>0.0154772860369781</v>
      </c>
      <c r="T126" s="137" t="n">
        <f aca="false">IFERROR(IF(OR(NOT(ISNUMBER('Price History'!T127)),NOT(ISNUMBER('Price History'!T126)),'Price History'!T126=0),"",'Price History'!T127/'Price History'!T126-1),"")</f>
        <v>0.00657728307614458</v>
      </c>
      <c r="U126" s="137" t="str">
        <f aca="false">IFERROR(IF(OR(NOT(ISNUMBER('Price History'!U127)),NOT(ISNUMBER('Price History'!U126)),'Price History'!U126=0),"",'Price History'!U127/'Price History'!U126-1),"")</f>
        <v/>
      </c>
      <c r="W126" s="138" t="n">
        <f aca="false">'Price History'!B3+('Price History'!B158-'Price History'!B3)*0.798701298701299</f>
        <v>302.353116883117</v>
      </c>
      <c r="X126" s="138" t="n">
        <f aca="false">'Price History'!C3+('Price History'!C158-'Price History'!C3)*0.798701298701299</f>
        <v>152.850584415584</v>
      </c>
      <c r="Y126" s="138" t="n">
        <f aca="false">'Price History'!D3+('Price History'!D158-'Price History'!D3)*0.798701298701299</f>
        <v>1434.29987012987</v>
      </c>
      <c r="Z126" s="138" t="n">
        <f aca="false">'Price History'!E3+('Price History'!E158-'Price History'!E3)*0.798701298701299</f>
        <v>327.622207792208</v>
      </c>
      <c r="AA126" s="138" t="n">
        <f aca="false">'Price History'!F3+('Price History'!F158-'Price History'!F3)*0.798701298701299</f>
        <v>159.90025974026</v>
      </c>
      <c r="AB126" s="138" t="n">
        <f aca="false">'Price History'!G3+('Price History'!G158-'Price History'!G3)*0.798701298701299</f>
        <v>155.660779220779</v>
      </c>
      <c r="AC126" s="138" t="n">
        <f aca="false">'Price History'!H3+('Price History'!H158-'Price History'!H3)*0.798701298701299</f>
        <v>670.312727272727</v>
      </c>
      <c r="AD126" s="138" t="n">
        <f aca="false">'Price History'!I3+('Price History'!I158-'Price History'!I3)*0.798701298701299</f>
        <v>168.562337662338</v>
      </c>
      <c r="AE126" s="138" t="n">
        <f aca="false">'Price History'!J3+('Price History'!J158-'Price History'!J3)*0.798701298701299</f>
        <v>140.362597402597</v>
      </c>
      <c r="AF126" s="138" t="n">
        <f aca="false">'Price History'!K3+('Price History'!K158-'Price History'!K3)*0.798701298701299</f>
        <v>101.390194805195</v>
      </c>
      <c r="AG126" s="138" t="n">
        <f aca="false">'Price History'!L3+('Price History'!L158-'Price History'!L3)*0.798701298701299</f>
        <v>341.392467532468</v>
      </c>
      <c r="AH126" s="138" t="n">
        <f aca="false">'Price History'!M3+('Price History'!M158-'Price History'!M3)*0.798701298701299</f>
        <v>199.687792207792</v>
      </c>
      <c r="AI126" s="138" t="n">
        <f aca="false">'Price History'!N3+('Price History'!N158-'Price History'!N3)*0.798701298701299</f>
        <v>451.486753246753</v>
      </c>
      <c r="AJ126" s="138" t="n">
        <f aca="false">'Price History'!O3+('Price History'!O158-'Price History'!O3)*0.798701298701299</f>
        <v>116.738896103896</v>
      </c>
      <c r="AK126" s="138" t="n">
        <f aca="false">'Price History'!Q3+('Price History'!Q151-'Price History'!Q3)*0.798701298701299</f>
        <v>64.7038311688312</v>
      </c>
      <c r="AL126" s="138" t="n">
        <f aca="false">'Price History'!R3+('Price History'!R158-'Price History'!R3)*0.798701298701299</f>
        <v>56.1504545454546</v>
      </c>
      <c r="AM126" s="138" t="n">
        <f aca="false">'Price History'!S3+('Price History'!S158-'Price History'!S3)*0.798701298701299</f>
        <v>126.661233766234</v>
      </c>
      <c r="AN126" s="138" t="n">
        <f aca="false">'Price History'!T3+('Price History'!T158-'Price History'!T3)*0.798701298701299</f>
        <v>45.1443506493507</v>
      </c>
    </row>
    <row r="127" customFormat="false" ht="15" hidden="false" customHeight="true" outlineLevel="0" collapsed="false">
      <c r="A127" s="136" t="n">
        <f aca="false">IF('Price History'!A128="","",'Price History'!A128)</f>
        <v>46024</v>
      </c>
      <c r="B127" s="137" t="n">
        <f aca="false">IFERROR(IF(OR(NOT(ISNUMBER('Price History'!B128)),NOT(ISNUMBER('Price History'!B127)),'Price History'!B127=0),"",'Price History'!B128/'Price History'!B127-1),"")</f>
        <v>-0.0579423403052572</v>
      </c>
      <c r="C127" s="137" t="n">
        <f aca="false">IFERROR(IF(OR(NOT(ISNUMBER('Price History'!C128)),NOT(ISNUMBER('Price History'!C127)),'Price History'!C127=0),"",'Price History'!C128/'Price History'!C127-1),"")</f>
        <v>0.0133495145631066</v>
      </c>
      <c r="D127" s="137" t="n">
        <f aca="false">IFERROR(IF(OR(NOT(ISNUMBER('Price History'!D128)),NOT(ISNUMBER('Price History'!D127)),'Price History'!D127=0),"",'Price History'!D128/'Price History'!D127-1),"")</f>
        <v>0.0848566767653227</v>
      </c>
      <c r="E127" s="137" t="n">
        <f aca="false">IFERROR(IF(OR(NOT(ISNUMBER('Price History'!E128)),NOT(ISNUMBER('Price History'!E127)),'Price History'!E127=0),"",'Price History'!E128/'Price History'!E127-1),"")</f>
        <v>-0.012807769857723</v>
      </c>
      <c r="F127" s="137" t="n">
        <f aca="false">IFERROR(IF(OR(NOT(ISNUMBER('Price History'!F128)),NOT(ISNUMBER('Price History'!F127)),'Price History'!F127=0),"",'Price History'!F128/'Price History'!F127-1),"")</f>
        <v>-0.057356608478803</v>
      </c>
      <c r="G127" s="137" t="n">
        <f aca="false">IFERROR(IF(OR(NOT(ISNUMBER('Price History'!G128)),NOT(ISNUMBER('Price History'!G127)),'Price History'!G127=0),"",'Price History'!G128/'Price History'!G127-1),"")</f>
        <v>-0.00398562050640816</v>
      </c>
      <c r="H127" s="137" t="n">
        <f aca="false">IFERROR(IF(OR(NOT(ISNUMBER('Price History'!H128)),NOT(ISNUMBER('Price History'!H127)),'Price History'!H127=0),"",'Price History'!H128/'Price History'!H127-1),"")</f>
        <v>0.107552933740651</v>
      </c>
      <c r="I127" s="137" t="n">
        <f aca="false">IFERROR(IF(OR(NOT(ISNUMBER('Price History'!I128)),NOT(ISNUMBER('Price History'!I127)),'Price History'!I127=0),"",'Price History'!I128/'Price History'!I127-1),"")</f>
        <v>-0.00881750905369239</v>
      </c>
      <c r="J127" s="137" t="n">
        <f aca="false">IFERROR(IF(OR(NOT(ISNUMBER('Price History'!J128)),NOT(ISNUMBER('Price History'!J127)),'Price History'!J127=0),"",'Price History'!J128/'Price History'!J127-1),"")</f>
        <v>0.00264159738948022</v>
      </c>
      <c r="K127" s="137" t="n">
        <f aca="false">IFERROR(IF(OR(NOT(ISNUMBER('Price History'!K128)),NOT(ISNUMBER('Price History'!K127)),'Price History'!K127=0),"",'Price History'!K128/'Price History'!K127-1),"")</f>
        <v>-0.110486990620529</v>
      </c>
      <c r="L127" s="137" t="n">
        <f aca="false">IFERROR(IF(OR(NOT(ISNUMBER('Price History'!L128)),NOT(ISNUMBER('Price History'!L127)),'Price History'!L127=0),"",'Price History'!L128/'Price History'!L127-1),"")</f>
        <v>0.0553757759873201</v>
      </c>
      <c r="M127" s="137" t="n">
        <f aca="false">IFERROR(IF(OR(NOT(ISNUMBER('Price History'!M128)),NOT(ISNUMBER('Price History'!M127)),'Price History'!M127=0),"",'Price History'!M128/'Price History'!M127-1),"")</f>
        <v>0.0479174125790667</v>
      </c>
      <c r="N127" s="137" t="n">
        <f aca="false">IFERROR(IF(OR(NOT(ISNUMBER('Price History'!N128)),NOT(ISNUMBER('Price History'!N127)),'Price History'!N127=0),"",'Price History'!N128/'Price History'!N127-1),"")</f>
        <v>-0.0232663642255346</v>
      </c>
      <c r="O127" s="137" t="n">
        <f aca="false">IFERROR(IF(OR(NOT(ISNUMBER('Price History'!O128)),NOT(ISNUMBER('Price History'!O127)),'Price History'!O127=0),"",'Price History'!O128/'Price History'!O127-1),"")</f>
        <v>-0.00549715498119385</v>
      </c>
      <c r="P127" s="137" t="str">
        <f aca="false">IFERROR(IF(OR(NOT(ISNUMBER('Price History'!P128)),NOT(ISNUMBER('Price History'!P127)),'Price History'!P127=0),"",'Price History'!P128/'Price History'!P127-1),"")</f>
        <v/>
      </c>
      <c r="Q127" s="137" t="n">
        <f aca="false">IFERROR(IF(OR(NOT(ISNUMBER('Price History'!Q128)),NOT(ISNUMBER('Price History'!Q127)),'Price History'!Q127=0),"",'Price History'!Q128/'Price History'!Q127-1),"")</f>
        <v>0.00691001952831627</v>
      </c>
      <c r="R127" s="137" t="n">
        <f aca="false">IFERROR(IF(OR(NOT(ISNUMBER('Price History'!R128)),NOT(ISNUMBER('Price History'!R127)),'Price History'!R127=0),"",'Price History'!R128/'Price History'!R127-1),"")</f>
        <v>-0.0210650488709134</v>
      </c>
      <c r="S127" s="137" t="n">
        <f aca="false">IFERROR(IF(OR(NOT(ISNUMBER('Price History'!S128)),NOT(ISNUMBER('Price History'!S127)),'Price History'!S127=0),"",'Price History'!S128/'Price History'!S127-1),"")</f>
        <v>-0.014087988136431</v>
      </c>
      <c r="T127" s="137" t="n">
        <f aca="false">IFERROR(IF(OR(NOT(ISNUMBER('Price History'!T128)),NOT(ISNUMBER('Price History'!T127)),'Price History'!T127=0),"",'Price History'!T128/'Price History'!T127-1),"")</f>
        <v>-0.0092988187986931</v>
      </c>
      <c r="U127" s="137" t="str">
        <f aca="false">IFERROR(IF(OR(NOT(ISNUMBER('Price History'!U128)),NOT(ISNUMBER('Price History'!U127)),'Price History'!U127=0),"",'Price History'!U128/'Price History'!U127-1),"")</f>
        <v/>
      </c>
      <c r="W127" s="138" t="n">
        <f aca="false">'Price History'!B3+('Price History'!B158-'Price History'!B3)*0.805194805194805</f>
        <v>300.677532467533</v>
      </c>
      <c r="X127" s="138" t="n">
        <f aca="false">'Price History'!C3+('Price History'!C158-'Price History'!C3)*0.805194805194805</f>
        <v>153.737662337662</v>
      </c>
      <c r="Y127" s="138" t="n">
        <f aca="false">'Price History'!D3+('Price History'!D158-'Price History'!D3)*0.805194805194805</f>
        <v>1440.58051948052</v>
      </c>
      <c r="Z127" s="138" t="n">
        <f aca="false">'Price History'!E3+('Price History'!E158-'Price History'!E3)*0.805194805194805</f>
        <v>329.611168831169</v>
      </c>
      <c r="AA127" s="138" t="n">
        <f aca="false">'Price History'!F3+('Price History'!F158-'Price History'!F3)*0.805194805194805</f>
        <v>160.898961038961</v>
      </c>
      <c r="AB127" s="138" t="n">
        <f aca="false">'Price History'!G3+('Price History'!G158-'Price History'!G3)*0.805194805194805</f>
        <v>156.536883116883</v>
      </c>
      <c r="AC127" s="138" t="n">
        <f aca="false">'Price History'!H3+('Price History'!H158-'Price History'!H3)*0.805194805194805</f>
        <v>675.239090909091</v>
      </c>
      <c r="AD127" s="138" t="n">
        <f aca="false">'Price History'!I3+('Price History'!I158-'Price History'!I3)*0.805194805194805</f>
        <v>169.600649350649</v>
      </c>
      <c r="AE127" s="138" t="n">
        <f aca="false">'Price History'!J3+('Price History'!J158-'Price History'!J3)*0.805194805194805</f>
        <v>140.49961038961</v>
      </c>
      <c r="AF127" s="138" t="n">
        <f aca="false">'Price History'!K3+('Price History'!K158-'Price History'!K3)*0.805194805194805</f>
        <v>102.089220779221</v>
      </c>
      <c r="AG127" s="138" t="n">
        <f aca="false">'Price History'!L3+('Price History'!L158-'Price History'!L3)*0.805194805194805</f>
        <v>343.42012987013</v>
      </c>
      <c r="AH127" s="138" t="n">
        <f aca="false">'Price History'!M3+('Price History'!M158-'Price History'!M3)*0.805194805194805</f>
        <v>201.038831168831</v>
      </c>
      <c r="AI127" s="138" t="n">
        <f aca="false">'Price History'!N3+('Price History'!N158-'Price History'!N3)*0.805194805194805</f>
        <v>452.312987012987</v>
      </c>
      <c r="AJ127" s="138" t="n">
        <f aca="false">'Price History'!O3+('Price History'!O158-'Price History'!O3)*0.805194805194805</f>
        <v>117.014415584416</v>
      </c>
      <c r="AK127" s="138" t="n">
        <f aca="false">'Price History'!Q3+('Price History'!Q151-'Price History'!Q3)*0.805194805194805</f>
        <v>64.8246753246753</v>
      </c>
      <c r="AL127" s="138" t="n">
        <f aca="false">'Price History'!R3+('Price History'!R158-'Price History'!R3)*0.805194805194805</f>
        <v>56.2181818181818</v>
      </c>
      <c r="AM127" s="138" t="n">
        <f aca="false">'Price History'!S3+('Price History'!S158-'Price History'!S3)*0.805194805194805</f>
        <v>127.215064935065</v>
      </c>
      <c r="AN127" s="138" t="n">
        <f aca="false">'Price History'!T3+('Price History'!T158-'Price History'!T3)*0.805194805194805</f>
        <v>45.2925974025974</v>
      </c>
    </row>
    <row r="128" customFormat="false" ht="15" hidden="false" customHeight="true" outlineLevel="0" collapsed="false">
      <c r="A128" s="136" t="n">
        <f aca="false">IF('Price History'!A129="","",'Price History'!A129)</f>
        <v>46031</v>
      </c>
      <c r="B128" s="137" t="n">
        <f aca="false">IFERROR(IF(OR(NOT(ISNUMBER('Price History'!B129)),NOT(ISNUMBER('Price History'!B128)),'Price History'!B128=0),"",'Price History'!B129/'Price History'!B128-1),"")</f>
        <v>0.00195019501950178</v>
      </c>
      <c r="C128" s="137" t="n">
        <f aca="false">IFERROR(IF(OR(NOT(ISNUMBER('Price History'!C129)),NOT(ISNUMBER('Price History'!C128)),'Price History'!C128=0),"",'Price History'!C129/'Price History'!C128-1),"")</f>
        <v>-0.0801646706586826</v>
      </c>
      <c r="D128" s="137" t="n">
        <f aca="false">IFERROR(IF(OR(NOT(ISNUMBER('Price History'!D129)),NOT(ISNUMBER('Price History'!D128)),'Price History'!D128=0),"",'Price History'!D129/'Price History'!D128-1),"")</f>
        <v>0.0946055096324048</v>
      </c>
      <c r="E128" s="137" t="n">
        <f aca="false">IFERROR(IF(OR(NOT(ISNUMBER('Price History'!E129)),NOT(ISNUMBER('Price History'!E128)),'Price History'!E128=0),"",'Price History'!E129/'Price History'!E128-1),"")</f>
        <v>-0.00762326678557035</v>
      </c>
      <c r="F128" s="137" t="n">
        <f aca="false">IFERROR(IF(OR(NOT(ISNUMBER('Price History'!F129)),NOT(ISNUMBER('Price History'!F128)),'Price History'!F128=0),"",'Price History'!F129/'Price History'!F128-1),"")</f>
        <v>0.0374779541446209</v>
      </c>
      <c r="G128" s="137" t="n">
        <f aca="false">IFERROR(IF(OR(NOT(ISNUMBER('Price History'!G129)),NOT(ISNUMBER('Price History'!G128)),'Price History'!G128=0),"",'Price History'!G129/'Price History'!G128-1),"")</f>
        <v>0.0984699882306788</v>
      </c>
      <c r="H128" s="137" t="n">
        <f aca="false">IFERROR(IF(OR(NOT(ISNUMBER('Price History'!H129)),NOT(ISNUMBER('Price History'!H128)),'Price History'!H128=0),"",'Price History'!H129/'Price History'!H128-1),"")</f>
        <v>0.0940650561156551</v>
      </c>
      <c r="I128" s="137" t="n">
        <f aca="false">IFERROR(IF(OR(NOT(ISNUMBER('Price History'!I129)),NOT(ISNUMBER('Price History'!I128)),'Price History'!I128=0),"",'Price History'!I129/'Price History'!I128-1),"")</f>
        <v>-0.0211278792692612</v>
      </c>
      <c r="J128" s="137" t="n">
        <f aca="false">IFERROR(IF(OR(NOT(ISNUMBER('Price History'!J129)),NOT(ISNUMBER('Price History'!J128)),'Price History'!J128=0),"",'Price History'!J129/'Price History'!J128-1),"")</f>
        <v>0.00271212708252611</v>
      </c>
      <c r="K128" s="137" t="n">
        <f aca="false">IFERROR(IF(OR(NOT(ISNUMBER('Price History'!K129)),NOT(ISNUMBER('Price History'!K128)),'Price History'!K128=0),"",'Price History'!K129/'Price History'!K128-1),"")</f>
        <v>0.0573692362683189</v>
      </c>
      <c r="L128" s="137" t="n">
        <f aca="false">IFERROR(IF(OR(NOT(ISNUMBER('Price History'!L129)),NOT(ISNUMBER('Price History'!L128)),'Price History'!L128=0),"",'Price History'!L129/'Price History'!L128-1),"")</f>
        <v>0.0125778292293732</v>
      </c>
      <c r="M128" s="137" t="n">
        <f aca="false">IFERROR(IF(OR(NOT(ISNUMBER('Price History'!M129)),NOT(ISNUMBER('Price History'!M128)),'Price History'!M128=0),"",'Price History'!M129/'Price History'!M128-1),"")</f>
        <v>-0.0685040715221229</v>
      </c>
      <c r="N128" s="137" t="n">
        <f aca="false">IFERROR(IF(OR(NOT(ISNUMBER('Price History'!N129)),NOT(ISNUMBER('Price History'!N128)),'Price History'!N128=0),"",'Price History'!N129/'Price History'!N128-1),"")</f>
        <v>0.0259438657023423</v>
      </c>
      <c r="O128" s="137" t="n">
        <f aca="false">IFERROR(IF(OR(NOT(ISNUMBER('Price History'!O129)),NOT(ISNUMBER('Price History'!O128)),'Price History'!O128=0),"",'Price History'!O129/'Price History'!O128-1),"")</f>
        <v>0.0408262218774242</v>
      </c>
      <c r="P128" s="137" t="str">
        <f aca="false">IFERROR(IF(OR(NOT(ISNUMBER('Price History'!P129)),NOT(ISNUMBER('Price History'!P128)),'Price History'!P128=0),"",'Price History'!P129/'Price History'!P128-1),"")</f>
        <v/>
      </c>
      <c r="Q128" s="137" t="n">
        <f aca="false">IFERROR(IF(OR(NOT(ISNUMBER('Price History'!Q129)),NOT(ISNUMBER('Price History'!Q128)),'Price History'!Q128=0),"",'Price History'!Q129/'Price History'!Q128-1),"")</f>
        <v>-0.00581829031776815</v>
      </c>
      <c r="R128" s="137" t="n">
        <f aca="false">IFERROR(IF(OR(NOT(ISNUMBER('Price History'!R129)),NOT(ISNUMBER('Price History'!R128)),'Price History'!R128=0),"",'Price History'!R129/'Price History'!R128-1),"")</f>
        <v>0.0184196935789291</v>
      </c>
      <c r="S128" s="137" t="n">
        <f aca="false">IFERROR(IF(OR(NOT(ISNUMBER('Price History'!S129)),NOT(ISNUMBER('Price History'!S128)),'Price History'!S128=0),"",'Price History'!S129/'Price History'!S128-1),"")</f>
        <v>0.00300827275006266</v>
      </c>
      <c r="T128" s="137" t="n">
        <f aca="false">IFERROR(IF(OR(NOT(ISNUMBER('Price History'!T129)),NOT(ISNUMBER('Price History'!T128)),'Price History'!T128=0),"",'Price History'!T129/'Price History'!T128-1),"")</f>
        <v>0.0256215119228818</v>
      </c>
      <c r="U128" s="137" t="str">
        <f aca="false">IFERROR(IF(OR(NOT(ISNUMBER('Price History'!U129)),NOT(ISNUMBER('Price History'!U128)),'Price History'!U128=0),"",'Price History'!U129/'Price History'!U128-1),"")</f>
        <v/>
      </c>
      <c r="W128" s="138" t="n">
        <f aca="false">'Price History'!B3+('Price History'!B158-'Price History'!B3)*0.811688311688312</f>
        <v>299.001948051948</v>
      </c>
      <c r="X128" s="138" t="n">
        <f aca="false">'Price History'!C3+('Price History'!C158-'Price History'!C3)*0.811688311688312</f>
        <v>154.62474025974</v>
      </c>
      <c r="Y128" s="138" t="n">
        <f aca="false">'Price History'!D3+('Price History'!D158-'Price History'!D3)*0.811688311688312</f>
        <v>1446.86116883117</v>
      </c>
      <c r="Z128" s="138" t="n">
        <f aca="false">'Price History'!E3+('Price History'!E158-'Price History'!E3)*0.811688311688312</f>
        <v>331.60012987013</v>
      </c>
      <c r="AA128" s="138" t="n">
        <f aca="false">'Price History'!F3+('Price History'!F158-'Price History'!F3)*0.811688311688312</f>
        <v>161.897662337662</v>
      </c>
      <c r="AB128" s="138" t="n">
        <f aca="false">'Price History'!G3+('Price History'!G158-'Price History'!G3)*0.811688311688312</f>
        <v>157.412987012987</v>
      </c>
      <c r="AC128" s="138" t="n">
        <f aca="false">'Price History'!H3+('Price History'!H158-'Price History'!H3)*0.811688311688312</f>
        <v>680.165454545455</v>
      </c>
      <c r="AD128" s="138" t="n">
        <f aca="false">'Price History'!I3+('Price History'!I158-'Price History'!I3)*0.811688311688312</f>
        <v>170.638961038961</v>
      </c>
      <c r="AE128" s="138" t="n">
        <f aca="false">'Price History'!J3+('Price History'!J158-'Price History'!J3)*0.811688311688312</f>
        <v>140.636623376623</v>
      </c>
      <c r="AF128" s="138" t="n">
        <f aca="false">'Price History'!K3+('Price History'!K158-'Price History'!K3)*0.811688311688312</f>
        <v>102.788246753247</v>
      </c>
      <c r="AG128" s="138" t="n">
        <f aca="false">'Price History'!L3+('Price History'!L158-'Price History'!L3)*0.811688311688312</f>
        <v>345.447792207792</v>
      </c>
      <c r="AH128" s="138" t="n">
        <f aca="false">'Price History'!M3+('Price History'!M158-'Price History'!M3)*0.811688311688312</f>
        <v>202.38987012987</v>
      </c>
      <c r="AI128" s="138" t="n">
        <f aca="false">'Price History'!N3+('Price History'!N158-'Price History'!N3)*0.811688311688312</f>
        <v>453.139220779221</v>
      </c>
      <c r="AJ128" s="138" t="n">
        <f aca="false">'Price History'!O3+('Price History'!O158-'Price History'!O3)*0.811688311688312</f>
        <v>117.289935064935</v>
      </c>
      <c r="AK128" s="138" t="n">
        <f aca="false">'Price History'!Q3+('Price History'!Q151-'Price History'!Q3)*0.811688311688312</f>
        <v>64.9455194805195</v>
      </c>
      <c r="AL128" s="138" t="n">
        <f aca="false">'Price History'!R3+('Price History'!R158-'Price History'!R3)*0.811688311688312</f>
        <v>56.2859090909091</v>
      </c>
      <c r="AM128" s="138" t="n">
        <f aca="false">'Price History'!S3+('Price History'!S158-'Price History'!S3)*0.811688311688312</f>
        <v>127.768896103896</v>
      </c>
      <c r="AN128" s="138" t="n">
        <f aca="false">'Price History'!T3+('Price History'!T158-'Price History'!T3)*0.811688311688312</f>
        <v>45.4408441558442</v>
      </c>
    </row>
    <row r="129" customFormat="false" ht="15" hidden="false" customHeight="true" outlineLevel="0" collapsed="false">
      <c r="A129" s="136" t="n">
        <f aca="false">IF('Price History'!A130="","",'Price History'!A130)</f>
        <v>46038</v>
      </c>
      <c r="B129" s="137" t="n">
        <f aca="false">IFERROR(IF(OR(NOT(ISNUMBER('Price History'!B130)),NOT(ISNUMBER('Price History'!B129)),'Price History'!B129=0),"",'Price History'!B130/'Price History'!B129-1),"")</f>
        <v>-0.113280431202276</v>
      </c>
      <c r="C129" s="137" t="n">
        <f aca="false">IFERROR(IF(OR(NOT(ISNUMBER('Price History'!C130)),NOT(ISNUMBER('Price History'!C129)),'Price History'!C129=0),"",'Price History'!C130/'Price History'!C129-1),"")</f>
        <v>0.0564732687769551</v>
      </c>
      <c r="D129" s="137" t="n">
        <f aca="false">IFERROR(IF(OR(NOT(ISNUMBER('Price History'!D130)),NOT(ISNUMBER('Price History'!D129)),'Price History'!D129=0),"",'Price History'!D130/'Price History'!D129-1),"")</f>
        <v>0.0664819292241026</v>
      </c>
      <c r="E129" s="137" t="n">
        <f aca="false">IFERROR(IF(OR(NOT(ISNUMBER('Price History'!E130)),NOT(ISNUMBER('Price History'!E129)),'Price History'!E129=0),"",'Price History'!E130/'Price History'!E129-1),"")</f>
        <v>0.0195379308345651</v>
      </c>
      <c r="F129" s="137" t="n">
        <f aca="false">IFERROR(IF(OR(NOT(ISNUMBER('Price History'!F130)),NOT(ISNUMBER('Price History'!F129)),'Price History'!F129=0),"",'Price History'!F130/'Price History'!F129-1),"")</f>
        <v>-0.0355291117722057</v>
      </c>
      <c r="G129" s="137" t="n">
        <f aca="false">IFERROR(IF(OR(NOT(ISNUMBER('Price History'!G130)),NOT(ISNUMBER('Price History'!G129)),'Price History'!G129=0),"",'Price History'!G130/'Price History'!G129-1),"")</f>
        <v>0.119857142857143</v>
      </c>
      <c r="H129" s="137" t="n">
        <f aca="false">IFERROR(IF(OR(NOT(ISNUMBER('Price History'!H130)),NOT(ISNUMBER('Price History'!H129)),'Price History'!H129=0),"",'Price History'!H130/'Price History'!H129-1),"")</f>
        <v>0.0511750557825497</v>
      </c>
      <c r="I129" s="137" t="n">
        <f aca="false">IFERROR(IF(OR(NOT(ISNUMBER('Price History'!I130)),NOT(ISNUMBER('Price History'!I129)),'Price History'!I129=0),"",'Price History'!I130/'Price History'!I129-1),"")</f>
        <v>0.00741101374012754</v>
      </c>
      <c r="J129" s="137" t="n">
        <f aca="false">IFERROR(IF(OR(NOT(ISNUMBER('Price History'!J130)),NOT(ISNUMBER('Price History'!J129)),'Price History'!J129=0),"",'Price History'!J130/'Price History'!J129-1),"")</f>
        <v>0.0294435857805255</v>
      </c>
      <c r="K129" s="137" t="n">
        <f aca="false">IFERROR(IF(OR(NOT(ISNUMBER('Price History'!K130)),NOT(ISNUMBER('Price History'!K129)),'Price History'!K129=0),"",'Price History'!K130/'Price History'!K129-1),"")</f>
        <v>-0.0367908051157811</v>
      </c>
      <c r="L129" s="137" t="n">
        <f aca="false">IFERROR(IF(OR(NOT(ISNUMBER('Price History'!L130)),NOT(ISNUMBER('Price History'!L129)),'Price History'!L129=0),"",'Price History'!L130/'Price History'!L129-1),"")</f>
        <v>0.0579983314278651</v>
      </c>
      <c r="M129" s="137" t="n">
        <f aca="false">IFERROR(IF(OR(NOT(ISNUMBER('Price History'!M130)),NOT(ISNUMBER('Price History'!M129)),'Price History'!M129=0),"",'Price History'!M130/'Price History'!M129-1),"")</f>
        <v>0.0816114439418021</v>
      </c>
      <c r="N129" s="137" t="n">
        <f aca="false">IFERROR(IF(OR(NOT(ISNUMBER('Price History'!N130)),NOT(ISNUMBER('Price History'!N129)),'Price History'!N129=0),"",'Price History'!N130/'Price History'!N129-1),"")</f>
        <v>-0.0485060147458285</v>
      </c>
      <c r="O129" s="137" t="n">
        <f aca="false">IFERROR(IF(OR(NOT(ISNUMBER('Price History'!O130)),NOT(ISNUMBER('Price History'!O129)),'Price History'!O129=0),"",'Price History'!O130/'Price History'!O129-1),"")</f>
        <v>0.0109941302524923</v>
      </c>
      <c r="P129" s="137" t="str">
        <f aca="false">IFERROR(IF(OR(NOT(ISNUMBER('Price History'!P130)),NOT(ISNUMBER('Price History'!P129)),'Price History'!P129=0),"",'Price History'!P130/'Price History'!P129-1),"")</f>
        <v/>
      </c>
      <c r="Q129" s="137" t="n">
        <f aca="false">IFERROR(IF(OR(NOT(ISNUMBER('Price History'!Q130)),NOT(ISNUMBER('Price History'!Q129)),'Price History'!Q129=0),"",'Price History'!Q130/'Price History'!Q129-1),"")</f>
        <v>-0.0112545018007203</v>
      </c>
      <c r="R129" s="137" t="n">
        <f aca="false">IFERROR(IF(OR(NOT(ISNUMBER('Price History'!R130)),NOT(ISNUMBER('Price History'!R129)),'Price History'!R129=0),"",'Price History'!R130/'Price History'!R129-1),"")</f>
        <v>-0.00405679513184576</v>
      </c>
      <c r="S129" s="137" t="n">
        <f aca="false">IFERROR(IF(OR(NOT(ISNUMBER('Price History'!S130)),NOT(ISNUMBER('Price History'!S129)),'Price History'!S129=0),"",'Price History'!S130/'Price History'!S129-1),"")</f>
        <v>-0.000249937515621079</v>
      </c>
      <c r="T129" s="137" t="n">
        <f aca="false">IFERROR(IF(OR(NOT(ISNUMBER('Price History'!T130)),NOT(ISNUMBER('Price History'!T129)),'Price History'!T129=0),"",'Price History'!T130/'Price History'!T129-1),"")</f>
        <v>-0.0202819688350235</v>
      </c>
      <c r="U129" s="137" t="str">
        <f aca="false">IFERROR(IF(OR(NOT(ISNUMBER('Price History'!U130)),NOT(ISNUMBER('Price History'!U129)),'Price History'!U129=0),"",'Price History'!U130/'Price History'!U129-1),"")</f>
        <v/>
      </c>
      <c r="W129" s="138" t="n">
        <f aca="false">'Price History'!B3+('Price History'!B158-'Price History'!B3)*0.818181818181818</f>
        <v>297.326363636364</v>
      </c>
      <c r="X129" s="138" t="n">
        <f aca="false">'Price History'!C3+('Price History'!C158-'Price History'!C3)*0.818181818181818</f>
        <v>155.511818181818</v>
      </c>
      <c r="Y129" s="138" t="n">
        <f aca="false">'Price History'!D3+('Price History'!D158-'Price History'!D3)*0.818181818181818</f>
        <v>1453.14181818182</v>
      </c>
      <c r="Z129" s="138" t="n">
        <f aca="false">'Price History'!E3+('Price History'!E158-'Price History'!E3)*0.818181818181818</f>
        <v>333.589090909091</v>
      </c>
      <c r="AA129" s="138" t="n">
        <f aca="false">'Price History'!F3+('Price History'!F158-'Price History'!F3)*0.818181818181818</f>
        <v>162.896363636364</v>
      </c>
      <c r="AB129" s="138" t="n">
        <f aca="false">'Price History'!G3+('Price History'!G158-'Price History'!G3)*0.818181818181818</f>
        <v>158.289090909091</v>
      </c>
      <c r="AC129" s="138" t="n">
        <f aca="false">'Price History'!H3+('Price History'!H158-'Price History'!H3)*0.818181818181818</f>
        <v>685.091818181818</v>
      </c>
      <c r="AD129" s="138" t="n">
        <f aca="false">'Price History'!I3+('Price History'!I158-'Price History'!I3)*0.818181818181818</f>
        <v>171.677272727273</v>
      </c>
      <c r="AE129" s="138" t="n">
        <f aca="false">'Price History'!J3+('Price History'!J158-'Price History'!J3)*0.818181818181818</f>
        <v>140.773636363636</v>
      </c>
      <c r="AF129" s="138" t="n">
        <f aca="false">'Price History'!K3+('Price History'!K158-'Price History'!K3)*0.818181818181818</f>
        <v>103.487272727273</v>
      </c>
      <c r="AG129" s="138" t="n">
        <f aca="false">'Price History'!L3+('Price History'!L158-'Price History'!L3)*0.818181818181818</f>
        <v>347.475454545454</v>
      </c>
      <c r="AH129" s="138" t="n">
        <f aca="false">'Price History'!M3+('Price History'!M158-'Price History'!M3)*0.818181818181818</f>
        <v>203.740909090909</v>
      </c>
      <c r="AI129" s="138" t="n">
        <f aca="false">'Price History'!N3+('Price History'!N158-'Price History'!N3)*0.818181818181818</f>
        <v>453.965454545455</v>
      </c>
      <c r="AJ129" s="138" t="n">
        <f aca="false">'Price History'!O3+('Price History'!O158-'Price History'!O3)*0.818181818181818</f>
        <v>117.565454545455</v>
      </c>
      <c r="AK129" s="138" t="n">
        <f aca="false">'Price History'!Q3+('Price History'!Q151-'Price History'!Q3)*0.818181818181818</f>
        <v>65.0663636363636</v>
      </c>
      <c r="AL129" s="138" t="n">
        <f aca="false">'Price History'!R3+('Price History'!R158-'Price History'!R3)*0.818181818181818</f>
        <v>56.3536363636364</v>
      </c>
      <c r="AM129" s="138" t="n">
        <f aca="false">'Price History'!S3+('Price History'!S158-'Price History'!S3)*0.818181818181818</f>
        <v>128.322727272727</v>
      </c>
      <c r="AN129" s="138" t="n">
        <f aca="false">'Price History'!T3+('Price History'!T158-'Price History'!T3)*0.818181818181818</f>
        <v>45.5890909090909</v>
      </c>
    </row>
    <row r="130" customFormat="false" ht="15" hidden="false" customHeight="true" outlineLevel="0" collapsed="false">
      <c r="A130" s="136" t="n">
        <f aca="false">IF('Price History'!A131="","",'Price History'!A131)</f>
        <v>46045</v>
      </c>
      <c r="B130" s="137" t="n">
        <f aca="false">IFERROR(IF(OR(NOT(ISNUMBER('Price History'!B131)),NOT(ISNUMBER('Price History'!B130)),'Price History'!B130=0),"",'Price History'!B131/'Price History'!B130-1),"")</f>
        <v>0.0167161961367013</v>
      </c>
      <c r="C130" s="137" t="n">
        <f aca="false">IFERROR(IF(OR(NOT(ISNUMBER('Price History'!C131)),NOT(ISNUMBER('Price History'!C130)),'Price History'!C130=0),"",'Price History'!C131/'Price History'!C130-1),"")</f>
        <v>0.0501424940306554</v>
      </c>
      <c r="D130" s="137" t="n">
        <f aca="false">IFERROR(IF(OR(NOT(ISNUMBER('Price History'!D131)),NOT(ISNUMBER('Price History'!D130)),'Price History'!D130=0),"",'Price History'!D131/'Price History'!D130-1),"")</f>
        <v>0.0224279941408982</v>
      </c>
      <c r="E130" s="137" t="n">
        <f aca="false">IFERROR(IF(OR(NOT(ISNUMBER('Price History'!E131)),NOT(ISNUMBER('Price History'!E130)),'Price History'!E130=0),"",'Price History'!E131/'Price History'!E130-1),"")</f>
        <v>-0.090017343834409</v>
      </c>
      <c r="F130" s="137" t="n">
        <f aca="false">IFERROR(IF(OR(NOT(ISNUMBER('Price History'!F131)),NOT(ISNUMBER('Price History'!F130)),'Price History'!F130=0),"",'Price History'!F131/'Price History'!F130-1),"")</f>
        <v>-0.00308451573103019</v>
      </c>
      <c r="G130" s="137" t="n">
        <f aca="false">IFERROR(IF(OR(NOT(ISNUMBER('Price History'!G131)),NOT(ISNUMBER('Price History'!G130)),'Price History'!G130=0),"",'Price History'!G131/'Price History'!G130-1),"")</f>
        <v>-0.0350810052302589</v>
      </c>
      <c r="H130" s="137" t="n">
        <f aca="false">IFERROR(IF(OR(NOT(ISNUMBER('Price History'!H131)),NOT(ISNUMBER('Price History'!H130)),'Price History'!H130=0),"",'Price History'!H131/'Price History'!H130-1),"")</f>
        <v>0.101722949689869</v>
      </c>
      <c r="I130" s="137" t="n">
        <f aca="false">IFERROR(IF(OR(NOT(ISNUMBER('Price History'!I131)),NOT(ISNUMBER('Price History'!I130)),'Price History'!I130=0),"",'Price History'!I131/'Price History'!I130-1),"")</f>
        <v>0.00773237394619564</v>
      </c>
      <c r="J130" s="137" t="n">
        <f aca="false">IFERROR(IF(OR(NOT(ISNUMBER('Price History'!J131)),NOT(ISNUMBER('Price History'!J130)),'Price History'!J130=0),"",'Price History'!J131/'Price History'!J130-1),"")</f>
        <v>-0.0454920801741611</v>
      </c>
      <c r="K130" s="137" t="n">
        <f aca="false">IFERROR(IF(OR(NOT(ISNUMBER('Price History'!K131)),NOT(ISNUMBER('Price History'!K130)),'Price History'!K130=0),"",'Price History'!K131/'Price History'!K130-1),"")</f>
        <v>-0.0079550772110436</v>
      </c>
      <c r="L130" s="137" t="n">
        <f aca="false">IFERROR(IF(OR(NOT(ISNUMBER('Price History'!L131)),NOT(ISNUMBER('Price History'!L130)),'Price History'!L130=0),"",'Price History'!L131/'Price History'!L130-1),"")</f>
        <v>-0.0219918224299065</v>
      </c>
      <c r="M130" s="137" t="n">
        <f aca="false">IFERROR(IF(OR(NOT(ISNUMBER('Price History'!M131)),NOT(ISNUMBER('Price History'!M130)),'Price History'!M130=0),"",'Price History'!M131/'Price History'!M130-1),"")</f>
        <v>0.031424857288193</v>
      </c>
      <c r="N130" s="137" t="n">
        <f aca="false">IFERROR(IF(OR(NOT(ISNUMBER('Price History'!N131)),NOT(ISNUMBER('Price History'!N130)),'Price History'!N130=0),"",'Price History'!N131/'Price History'!N130-1),"")</f>
        <v>0.0612878375928947</v>
      </c>
      <c r="O130" s="137" t="n">
        <f aca="false">IFERROR(IF(OR(NOT(ISNUMBER('Price History'!O131)),NOT(ISNUMBER('Price History'!O130)),'Price History'!O130=0),"",'Price History'!O131/'Price History'!O130-1),"")</f>
        <v>-0.000184314809695052</v>
      </c>
      <c r="P130" s="137" t="str">
        <f aca="false">IFERROR(IF(OR(NOT(ISNUMBER('Price History'!P131)),NOT(ISNUMBER('Price History'!P130)),'Price History'!P130=0),"",'Price History'!P131/'Price History'!P130-1),"")</f>
        <v/>
      </c>
      <c r="Q130" s="137" t="n">
        <f aca="false">IFERROR(IF(OR(NOT(ISNUMBER('Price History'!Q131)),NOT(ISNUMBER('Price History'!Q130)),'Price History'!Q130=0),"",'Price History'!Q131/'Price History'!Q130-1),"")</f>
        <v>-0.013355592654424</v>
      </c>
      <c r="R130" s="137" t="n">
        <f aca="false">IFERROR(IF(OR(NOT(ISNUMBER('Price History'!R131)),NOT(ISNUMBER('Price History'!R130)),'Price History'!R130=0),"",'Price History'!R131/'Price History'!R130-1),"")</f>
        <v>0.00509164969450104</v>
      </c>
      <c r="S130" s="137" t="n">
        <f aca="false">IFERROR(IF(OR(NOT(ISNUMBER('Price History'!S131)),NOT(ISNUMBER('Price History'!S130)),'Price History'!S130=0),"",'Price History'!S131/'Price History'!S130-1),"")</f>
        <v>-0.0173333333333333</v>
      </c>
      <c r="T130" s="137" t="n">
        <f aca="false">IFERROR(IF(OR(NOT(ISNUMBER('Price History'!T131)),NOT(ISNUMBER('Price History'!T130)),'Price History'!T130=0),"",'Price History'!T131/'Price History'!T130-1),"")</f>
        <v>0.0063115374905327</v>
      </c>
      <c r="U130" s="137" t="str">
        <f aca="false">IFERROR(IF(OR(NOT(ISNUMBER('Price History'!U131)),NOT(ISNUMBER('Price History'!U130)),'Price History'!U130=0),"",'Price History'!U131/'Price History'!U130-1),"")</f>
        <v/>
      </c>
      <c r="W130" s="138" t="n">
        <f aca="false">'Price History'!B3+('Price History'!B158-'Price History'!B3)*0.824675324675325</f>
        <v>295.650779220779</v>
      </c>
      <c r="X130" s="138" t="n">
        <f aca="false">'Price History'!C3+('Price History'!C158-'Price History'!C3)*0.824675324675325</f>
        <v>156.398896103896</v>
      </c>
      <c r="Y130" s="138" t="n">
        <f aca="false">'Price History'!D3+('Price History'!D158-'Price History'!D3)*0.824675324675325</f>
        <v>1459.42246753247</v>
      </c>
      <c r="Z130" s="138" t="n">
        <f aca="false">'Price History'!E3+('Price History'!E158-'Price History'!E3)*0.824675324675325</f>
        <v>335.578051948052</v>
      </c>
      <c r="AA130" s="138" t="n">
        <f aca="false">'Price History'!F3+('Price History'!F158-'Price History'!F3)*0.824675324675325</f>
        <v>163.895064935065</v>
      </c>
      <c r="AB130" s="138" t="n">
        <f aca="false">'Price History'!G3+('Price History'!G158-'Price History'!G3)*0.824675324675325</f>
        <v>159.165194805195</v>
      </c>
      <c r="AC130" s="138" t="n">
        <f aca="false">'Price History'!H3+('Price History'!H158-'Price History'!H3)*0.824675324675325</f>
        <v>690.018181818182</v>
      </c>
      <c r="AD130" s="138" t="n">
        <f aca="false">'Price History'!I3+('Price History'!I158-'Price History'!I3)*0.824675324675325</f>
        <v>172.715584415584</v>
      </c>
      <c r="AE130" s="138" t="n">
        <f aca="false">'Price History'!J3+('Price History'!J158-'Price History'!J3)*0.824675324675325</f>
        <v>140.910649350649</v>
      </c>
      <c r="AF130" s="138" t="n">
        <f aca="false">'Price History'!K3+('Price History'!K158-'Price History'!K3)*0.824675324675325</f>
        <v>104.186298701299</v>
      </c>
      <c r="AG130" s="138" t="n">
        <f aca="false">'Price History'!L3+('Price History'!L158-'Price History'!L3)*0.824675324675325</f>
        <v>349.503116883117</v>
      </c>
      <c r="AH130" s="138" t="n">
        <f aca="false">'Price History'!M3+('Price History'!M158-'Price History'!M3)*0.824675324675325</f>
        <v>205.091948051948</v>
      </c>
      <c r="AI130" s="138" t="n">
        <f aca="false">'Price History'!N3+('Price History'!N158-'Price History'!N3)*0.824675324675325</f>
        <v>454.791688311688</v>
      </c>
      <c r="AJ130" s="138" t="n">
        <f aca="false">'Price History'!O3+('Price History'!O158-'Price History'!O3)*0.824675324675325</f>
        <v>117.840974025974</v>
      </c>
      <c r="AK130" s="138" t="n">
        <f aca="false">'Price History'!Q3+('Price History'!Q151-'Price History'!Q3)*0.824675324675325</f>
        <v>65.1872077922078</v>
      </c>
      <c r="AL130" s="138" t="n">
        <f aca="false">'Price History'!R3+('Price History'!R158-'Price History'!R3)*0.824675324675325</f>
        <v>56.4213636363636</v>
      </c>
      <c r="AM130" s="138" t="n">
        <f aca="false">'Price History'!S3+('Price History'!S158-'Price History'!S3)*0.824675324675325</f>
        <v>128.876558441558</v>
      </c>
      <c r="AN130" s="138" t="n">
        <f aca="false">'Price History'!T3+('Price History'!T158-'Price History'!T3)*0.824675324675325</f>
        <v>45.7373376623377</v>
      </c>
    </row>
    <row r="131" customFormat="false" ht="15" hidden="false" customHeight="true" outlineLevel="0" collapsed="false">
      <c r="A131" s="136" t="n">
        <f aca="false">IF('Price History'!A132="","",'Price History'!A132)</f>
        <v>46052</v>
      </c>
      <c r="B131" s="137" t="n">
        <f aca="false">IFERROR(IF(OR(NOT(ISNUMBER('Price History'!B132)),NOT(ISNUMBER('Price History'!B131)),'Price History'!B131=0),"",'Price History'!B132/'Price History'!B131-1),"")</f>
        <v>-0.025974025974026</v>
      </c>
      <c r="C131" s="137" t="n">
        <f aca="false">IFERROR(IF(OR(NOT(ISNUMBER('Price History'!C132)),NOT(ISNUMBER('Price History'!C131)),'Price History'!C131=0),"",'Price History'!C132/'Price History'!C131-1),"")</f>
        <v>0.0396068651899664</v>
      </c>
      <c r="D131" s="137" t="n">
        <f aca="false">IFERROR(IF(OR(NOT(ISNUMBER('Price History'!D132)),NOT(ISNUMBER('Price History'!D131)),'Price History'!D131=0),"",'Price History'!D132/'Price History'!D131-1),"")</f>
        <v>0.0244485399988481</v>
      </c>
      <c r="E131" s="137" t="n">
        <f aca="false">IFERROR(IF(OR(NOT(ISNUMBER('Price History'!E132)),NOT(ISNUMBER('Price History'!E131)),'Price History'!E131=0),"",'Price History'!E132/'Price History'!E131-1),"")</f>
        <v>0.0351507576941104</v>
      </c>
      <c r="F131" s="137" t="n">
        <f aca="false">IFERROR(IF(OR(NOT(ISNUMBER('Price History'!F132)),NOT(ISNUMBER('Price History'!F131)),'Price History'!F131=0),"",'Price History'!F132/'Price History'!F131-1),"")</f>
        <v>-0.0244872701555871</v>
      </c>
      <c r="G131" s="137" t="n">
        <f aca="false">IFERROR(IF(OR(NOT(ISNUMBER('Price History'!G132)),NOT(ISNUMBER('Price History'!G131)),'Price History'!G131=0),"",'Price History'!G132/'Price History'!G131-1),"")</f>
        <v>-0.056121099947118</v>
      </c>
      <c r="H131" s="137" t="n">
        <f aca="false">IFERROR(IF(OR(NOT(ISNUMBER('Price History'!H132)),NOT(ISNUMBER('Price History'!H131)),'Price History'!H131=0),"",'Price History'!H132/'Price History'!H131-1),"")</f>
        <v>0.0381083448017014</v>
      </c>
      <c r="I131" s="137" t="n">
        <f aca="false">IFERROR(IF(OR(NOT(ISNUMBER('Price History'!I132)),NOT(ISNUMBER('Price History'!I131)),'Price History'!I131=0),"",'Price History'!I132/'Price History'!I131-1),"")</f>
        <v>0.01843661746683</v>
      </c>
      <c r="J131" s="137" t="n">
        <f aca="false">IFERROR(IF(OR(NOT(ISNUMBER('Price History'!J132)),NOT(ISNUMBER('Price History'!J131)),'Price History'!J131=0),"",'Price History'!J132/'Price History'!J131-1),"")</f>
        <v>0.0268187180495478</v>
      </c>
      <c r="K131" s="137" t="n">
        <f aca="false">IFERROR(IF(OR(NOT(ISNUMBER('Price History'!K132)),NOT(ISNUMBER('Price History'!K131)),'Price History'!K131=0),"",'Price History'!K132/'Price History'!K131-1),"")</f>
        <v>-0.135672169811321</v>
      </c>
      <c r="L131" s="137" t="n">
        <f aca="false">IFERROR(IF(OR(NOT(ISNUMBER('Price History'!L132)),NOT(ISNUMBER('Price History'!L131)),'Price History'!L131=0),"",'Price History'!L132/'Price History'!L131-1),"")</f>
        <v>-0.0128706662286857</v>
      </c>
      <c r="M131" s="137" t="n">
        <f aca="false">IFERROR(IF(OR(NOT(ISNUMBER('Price History'!M132)),NOT(ISNUMBER('Price History'!M131)),'Price History'!M131=0),"",'Price History'!M132/'Price History'!M131-1),"")</f>
        <v>0.0202202860430709</v>
      </c>
      <c r="N131" s="137" t="n">
        <f aca="false">IFERROR(IF(OR(NOT(ISNUMBER('Price History'!N132)),NOT(ISNUMBER('Price History'!N131)),'Price History'!N131=0),"",'Price History'!N132/'Price History'!N131-1),"")</f>
        <v>0.0031809739330928</v>
      </c>
      <c r="O131" s="137" t="n">
        <f aca="false">IFERROR(IF(OR(NOT(ISNUMBER('Price History'!O132)),NOT(ISNUMBER('Price History'!O131)),'Price History'!O131=0),"",'Price History'!O132/'Price History'!O131-1),"")</f>
        <v>0.007189602728362</v>
      </c>
      <c r="P131" s="137" t="str">
        <f aca="false">IFERROR(IF(OR(NOT(ISNUMBER('Price History'!P132)),NOT(ISNUMBER('Price History'!P131)),'Price History'!P131=0),"",'Price History'!P132/'Price History'!P131-1),"")</f>
        <v/>
      </c>
      <c r="Q131" s="137" t="n">
        <f aca="false">IFERROR(IF(OR(NOT(ISNUMBER('Price History'!Q132)),NOT(ISNUMBER('Price History'!Q131)),'Price History'!Q131=0),"",'Price History'!Q132/'Price History'!Q131-1),"")</f>
        <v>-0.0112290416858946</v>
      </c>
      <c r="R131" s="137" t="n">
        <f aca="false">IFERROR(IF(OR(NOT(ISNUMBER('Price History'!R132)),NOT(ISNUMBER('Price History'!R131)),'Price History'!R131=0),"",'Price History'!R132/'Price History'!R131-1),"")</f>
        <v>0.00354609929078009</v>
      </c>
      <c r="S131" s="137" t="n">
        <f aca="false">IFERROR(IF(OR(NOT(ISNUMBER('Price History'!S132)),NOT(ISNUMBER('Price History'!S131)),'Price History'!S131=0),"",'Price History'!S132/'Price History'!S131-1),"")</f>
        <v>0.0165366350067844</v>
      </c>
      <c r="T131" s="137" t="n">
        <f aca="false">IFERROR(IF(OR(NOT(ISNUMBER('Price History'!T132)),NOT(ISNUMBER('Price History'!T131)),'Price History'!T131=0),"",'Price History'!T132/'Price History'!T131-1),"")</f>
        <v>-0.00978424485699947</v>
      </c>
      <c r="U131" s="137" t="str">
        <f aca="false">IFERROR(IF(OR(NOT(ISNUMBER('Price History'!U132)),NOT(ISNUMBER('Price History'!U131)),'Price History'!U131=0),"",'Price History'!U132/'Price History'!U131-1),"")</f>
        <v/>
      </c>
      <c r="W131" s="138" t="n">
        <f aca="false">'Price History'!B3+('Price History'!B158-'Price History'!B3)*0.831168831168831</f>
        <v>293.975194805195</v>
      </c>
      <c r="X131" s="138" t="n">
        <f aca="false">'Price History'!C3+('Price History'!C158-'Price History'!C3)*0.831168831168831</f>
        <v>157.285974025974</v>
      </c>
      <c r="Y131" s="138" t="n">
        <f aca="false">'Price History'!D3+('Price History'!D158-'Price History'!D3)*0.831168831168831</f>
        <v>1465.70311688312</v>
      </c>
      <c r="Z131" s="138" t="n">
        <f aca="false">'Price History'!E3+('Price History'!E158-'Price History'!E3)*0.831168831168831</f>
        <v>337.567012987013</v>
      </c>
      <c r="AA131" s="138" t="n">
        <f aca="false">'Price History'!F3+('Price History'!F158-'Price History'!F3)*0.831168831168831</f>
        <v>164.893766233766</v>
      </c>
      <c r="AB131" s="138" t="n">
        <f aca="false">'Price History'!G3+('Price History'!G158-'Price History'!G3)*0.831168831168831</f>
        <v>160.041298701299</v>
      </c>
      <c r="AC131" s="138" t="n">
        <f aca="false">'Price History'!H3+('Price History'!H158-'Price History'!H3)*0.831168831168831</f>
        <v>694.944545454545</v>
      </c>
      <c r="AD131" s="138" t="n">
        <f aca="false">'Price History'!I3+('Price History'!I158-'Price History'!I3)*0.831168831168831</f>
        <v>173.753896103896</v>
      </c>
      <c r="AE131" s="138" t="n">
        <f aca="false">'Price History'!J3+('Price History'!J158-'Price History'!J3)*0.831168831168831</f>
        <v>141.047662337662</v>
      </c>
      <c r="AF131" s="138" t="n">
        <f aca="false">'Price History'!K3+('Price History'!K158-'Price History'!K3)*0.831168831168831</f>
        <v>104.885324675325</v>
      </c>
      <c r="AG131" s="138" t="n">
        <f aca="false">'Price History'!L3+('Price History'!L158-'Price History'!L3)*0.831168831168831</f>
        <v>351.530779220779</v>
      </c>
      <c r="AH131" s="138" t="n">
        <f aca="false">'Price History'!M3+('Price History'!M158-'Price History'!M3)*0.831168831168831</f>
        <v>206.442987012987</v>
      </c>
      <c r="AI131" s="138" t="n">
        <f aca="false">'Price History'!N3+('Price History'!N158-'Price History'!N3)*0.831168831168831</f>
        <v>455.617922077922</v>
      </c>
      <c r="AJ131" s="138" t="n">
        <f aca="false">'Price History'!O3+('Price History'!O158-'Price History'!O3)*0.831168831168831</f>
        <v>118.116493506494</v>
      </c>
      <c r="AK131" s="138" t="n">
        <f aca="false">'Price History'!Q3+('Price History'!Q151-'Price History'!Q3)*0.831168831168831</f>
        <v>65.3080519480519</v>
      </c>
      <c r="AL131" s="138" t="n">
        <f aca="false">'Price History'!R3+('Price History'!R158-'Price History'!R3)*0.831168831168831</f>
        <v>56.4890909090909</v>
      </c>
      <c r="AM131" s="138" t="n">
        <f aca="false">'Price History'!S3+('Price History'!S158-'Price History'!S3)*0.831168831168831</f>
        <v>129.43038961039</v>
      </c>
      <c r="AN131" s="138" t="n">
        <f aca="false">'Price History'!T3+('Price History'!T158-'Price History'!T3)*0.831168831168831</f>
        <v>45.8855844155844</v>
      </c>
    </row>
    <row r="132" customFormat="false" ht="15" hidden="false" customHeight="true" outlineLevel="0" collapsed="false">
      <c r="A132" s="136" t="n">
        <f aca="false">IF('Price History'!A133="","",'Price History'!A133)</f>
        <v>46059</v>
      </c>
      <c r="B132" s="137" t="n">
        <f aca="false">IFERROR(IF(OR(NOT(ISNUMBER('Price History'!B133)),NOT(ISNUMBER('Price History'!B132)),'Price History'!B132=0),"",'Price History'!B133/'Price History'!B132-1),"")</f>
        <v>-0.0848081841432226</v>
      </c>
      <c r="C132" s="137" t="n">
        <f aca="false">IFERROR(IF(OR(NOT(ISNUMBER('Price History'!C133)),NOT(ISNUMBER('Price History'!C132)),'Price History'!C132=0),"",'Price History'!C133/'Price History'!C132-1),"")</f>
        <v>-0.0299844786228305</v>
      </c>
      <c r="D132" s="137" t="n">
        <f aca="false">IFERROR(IF(OR(NOT(ISNUMBER('Price History'!D133)),NOT(ISNUMBER('Price History'!D132)),'Price History'!D132=0),"",'Price History'!D133/'Price History'!D132-1),"")</f>
        <v>-0.00702037947997192</v>
      </c>
      <c r="E132" s="137" t="n">
        <f aca="false">IFERROR(IF(OR(NOT(ISNUMBER('Price History'!E133)),NOT(ISNUMBER('Price History'!E132)),'Price History'!E132=0),"",'Price History'!E133/'Price History'!E132-1),"")</f>
        <v>0.00488982795049808</v>
      </c>
      <c r="F132" s="137" t="n">
        <f aca="false">IFERROR(IF(OR(NOT(ISNUMBER('Price History'!F133)),NOT(ISNUMBER('Price History'!F132)),'Price History'!F132=0),"",'Price History'!F133/'Price History'!F132-1),"")</f>
        <v>-0.103942002718623</v>
      </c>
      <c r="G132" s="137" t="n">
        <f aca="false">IFERROR(IF(OR(NOT(ISNUMBER('Price History'!G133)),NOT(ISNUMBER('Price History'!G132)),'Price History'!G132=0),"",'Price History'!G133/'Price History'!G132-1),"")</f>
        <v>0.0105049373205406</v>
      </c>
      <c r="H132" s="137" t="n">
        <f aca="false">IFERROR(IF(OR(NOT(ISNUMBER('Price History'!H133)),NOT(ISNUMBER('Price History'!H132)),'Price History'!H132=0),"",'Price History'!H133/'Price History'!H132-1),"")</f>
        <v>-0.0486646741226379</v>
      </c>
      <c r="I132" s="137" t="n">
        <f aca="false">IFERROR(IF(OR(NOT(ISNUMBER('Price History'!I133)),NOT(ISNUMBER('Price History'!I132)),'Price History'!I132=0),"",'Price History'!I133/'Price History'!I132-1),"")</f>
        <v>-0.0299272746298331</v>
      </c>
      <c r="J132" s="137" t="n">
        <f aca="false">IFERROR(IF(OR(NOT(ISNUMBER('Price History'!J133)),NOT(ISNUMBER('Price History'!J132)),'Price History'!J132=0),"",'Price History'!J133/'Price History'!J132-1),"")</f>
        <v>0.0489430147058823</v>
      </c>
      <c r="K132" s="137" t="n">
        <f aca="false">IFERROR(IF(OR(NOT(ISNUMBER('Price History'!K133)),NOT(ISNUMBER('Price History'!K132)),'Price History'!K132=0),"",'Price History'!K133/'Price History'!K132-1),"")</f>
        <v>-0.0729244832526093</v>
      </c>
      <c r="L132" s="137" t="n">
        <f aca="false">IFERROR(IF(OR(NOT(ISNUMBER('Price History'!L133)),NOT(ISNUMBER('Price History'!L132)),'Price History'!L132=0),"",'Price History'!L133/'Price History'!L132-1),"")</f>
        <v>0.055330348499516</v>
      </c>
      <c r="M132" s="137" t="n">
        <f aca="false">IFERROR(IF(OR(NOT(ISNUMBER('Price History'!M133)),NOT(ISNUMBER('Price History'!M132)),'Price History'!M132=0),"",'Price History'!M133/'Price History'!M132-1),"")</f>
        <v>0.0504887743044367</v>
      </c>
      <c r="N132" s="137" t="n">
        <f aca="false">IFERROR(IF(OR(NOT(ISNUMBER('Price History'!N133)),NOT(ISNUMBER('Price History'!N132)),'Price History'!N132=0),"",'Price History'!N133/'Price History'!N132-1),"")</f>
        <v>0.0170674611619495</v>
      </c>
      <c r="O132" s="137" t="n">
        <f aca="false">IFERROR(IF(OR(NOT(ISNUMBER('Price History'!O133)),NOT(ISNUMBER('Price History'!O132)),'Price History'!O132=0),"",'Price History'!O133/'Price History'!O132-1),"")</f>
        <v>0.0541777249016198</v>
      </c>
      <c r="P132" s="137" t="str">
        <f aca="false">IFERROR(IF(OR(NOT(ISNUMBER('Price History'!P133)),NOT(ISNUMBER('Price History'!P132)),'Price History'!P132=0),"",'Price History'!P133/'Price History'!P132-1),"")</f>
        <v/>
      </c>
      <c r="Q132" s="137" t="n">
        <f aca="false">IFERROR(IF(OR(NOT(ISNUMBER('Price History'!Q133)),NOT(ISNUMBER('Price History'!Q132)),'Price History'!Q132=0),"",'Price History'!Q133/'Price History'!Q132-1),"")</f>
        <v>-0.0138456751711263</v>
      </c>
      <c r="R132" s="137" t="n">
        <f aca="false">IFERROR(IF(OR(NOT(ISNUMBER('Price History'!R133)),NOT(ISNUMBER('Price History'!R132)),'Price History'!R132=0),"",'Price History'!R133/'Price History'!R132-1),"")</f>
        <v>-0.0232205956587582</v>
      </c>
      <c r="S132" s="137" t="n">
        <f aca="false">IFERROR(IF(OR(NOT(ISNUMBER('Price History'!S133)),NOT(ISNUMBER('Price History'!S132)),'Price History'!S132=0),"",'Price History'!S133/'Price History'!S132-1),"")</f>
        <v>-0.000250271127054336</v>
      </c>
      <c r="T132" s="137" t="n">
        <f aca="false">IFERROR(IF(OR(NOT(ISNUMBER('Price History'!T133)),NOT(ISNUMBER('Price History'!T132)),'Price History'!T132=0),"",'Price History'!T133/'Price History'!T132-1),"")</f>
        <v>0.0243222700785406</v>
      </c>
      <c r="U132" s="137" t="str">
        <f aca="false">IFERROR(IF(OR(NOT(ISNUMBER('Price History'!U133)),NOT(ISNUMBER('Price History'!U132)),'Price History'!U132=0),"",'Price History'!U133/'Price History'!U132-1),"")</f>
        <v/>
      </c>
      <c r="W132" s="138" t="n">
        <f aca="false">'Price History'!B3+('Price History'!B158-'Price History'!B3)*0.837662337662338</f>
        <v>292.29961038961</v>
      </c>
      <c r="X132" s="138" t="n">
        <f aca="false">'Price History'!C3+('Price History'!C158-'Price History'!C3)*0.837662337662338</f>
        <v>158.173051948052</v>
      </c>
      <c r="Y132" s="138" t="n">
        <f aca="false">'Price History'!D3+('Price History'!D158-'Price History'!D3)*0.837662337662338</f>
        <v>1471.98376623377</v>
      </c>
      <c r="Z132" s="138" t="n">
        <f aca="false">'Price History'!E3+('Price History'!E158-'Price History'!E3)*0.837662337662338</f>
        <v>339.555974025974</v>
      </c>
      <c r="AA132" s="138" t="n">
        <f aca="false">'Price History'!F3+('Price History'!F158-'Price History'!F3)*0.837662337662338</f>
        <v>165.892467532468</v>
      </c>
      <c r="AB132" s="138" t="n">
        <f aca="false">'Price History'!G3+('Price History'!G158-'Price History'!G3)*0.837662337662338</f>
        <v>160.917402597403</v>
      </c>
      <c r="AC132" s="138" t="n">
        <f aca="false">'Price History'!H3+('Price History'!H158-'Price History'!H3)*0.837662337662338</f>
        <v>699.870909090909</v>
      </c>
      <c r="AD132" s="138" t="n">
        <f aca="false">'Price History'!I3+('Price History'!I158-'Price History'!I3)*0.837662337662338</f>
        <v>174.792207792208</v>
      </c>
      <c r="AE132" s="138" t="n">
        <f aca="false">'Price History'!J3+('Price History'!J158-'Price History'!J3)*0.837662337662338</f>
        <v>141.184675324675</v>
      </c>
      <c r="AF132" s="138" t="n">
        <f aca="false">'Price History'!K3+('Price History'!K158-'Price History'!K3)*0.837662337662338</f>
        <v>105.584350649351</v>
      </c>
      <c r="AG132" s="138" t="n">
        <f aca="false">'Price History'!L3+('Price History'!L158-'Price History'!L3)*0.837662337662338</f>
        <v>353.558441558442</v>
      </c>
      <c r="AH132" s="138" t="n">
        <f aca="false">'Price History'!M3+('Price History'!M158-'Price History'!M3)*0.837662337662338</f>
        <v>207.794025974026</v>
      </c>
      <c r="AI132" s="138" t="n">
        <f aca="false">'Price History'!N3+('Price History'!N158-'Price History'!N3)*0.837662337662338</f>
        <v>456.444155844156</v>
      </c>
      <c r="AJ132" s="138" t="n">
        <f aca="false">'Price History'!O3+('Price History'!O158-'Price History'!O3)*0.837662337662338</f>
        <v>118.392012987013</v>
      </c>
      <c r="AK132" s="138" t="n">
        <f aca="false">'Price History'!Q3+('Price History'!Q151-'Price History'!Q3)*0.837662337662338</f>
        <v>65.4288961038961</v>
      </c>
      <c r="AL132" s="138" t="n">
        <f aca="false">'Price History'!R3+('Price History'!R158-'Price History'!R3)*0.837662337662338</f>
        <v>56.5568181818182</v>
      </c>
      <c r="AM132" s="138" t="n">
        <f aca="false">'Price History'!S3+('Price History'!S158-'Price History'!S3)*0.837662337662338</f>
        <v>129.984220779221</v>
      </c>
      <c r="AN132" s="138" t="n">
        <f aca="false">'Price History'!T3+('Price History'!T158-'Price History'!T3)*0.837662337662338</f>
        <v>46.0338311688312</v>
      </c>
    </row>
    <row r="133" customFormat="false" ht="15" hidden="false" customHeight="true" outlineLevel="0" collapsed="false">
      <c r="A133" s="136" t="n">
        <f aca="false">IF('Price History'!A134="","",'Price History'!A134)</f>
        <v>46066</v>
      </c>
      <c r="B133" s="137" t="n">
        <f aca="false">IFERROR(IF(OR(NOT(ISNUMBER('Price History'!B134)),NOT(ISNUMBER('Price History'!B133)),'Price History'!B133=0),"",'Price History'!B134/'Price History'!B133-1),"")</f>
        <v>-0.016431924882629</v>
      </c>
      <c r="C133" s="137" t="n">
        <f aca="false">IFERROR(IF(OR(NOT(ISNUMBER('Price History'!C134)),NOT(ISNUMBER('Price History'!C133)),'Price History'!C133=0),"",'Price History'!C134/'Price History'!C133-1),"")</f>
        <v>0.0298203505709507</v>
      </c>
      <c r="D133" s="137" t="n">
        <f aca="false">IFERROR(IF(OR(NOT(ISNUMBER('Price History'!D134)),NOT(ISNUMBER('Price History'!D133)),'Price History'!D133=0),"",'Price History'!D134/'Price History'!D133-1),"")</f>
        <v>-0.00452933807970224</v>
      </c>
      <c r="E133" s="137" t="n">
        <f aca="false">IFERROR(IF(OR(NOT(ISNUMBER('Price History'!E134)),NOT(ISNUMBER('Price History'!E133)),'Price History'!E133=0),"",'Price History'!E134/'Price History'!E133-1),"")</f>
        <v>-0.0232788657935841</v>
      </c>
      <c r="F133" s="137" t="n">
        <f aca="false">IFERROR(IF(OR(NOT(ISNUMBER('Price History'!F134)),NOT(ISNUMBER('Price History'!F133)),'Price History'!F133=0),"",'Price History'!F134/'Price History'!F133-1),"")</f>
        <v>0.0862661812297736</v>
      </c>
      <c r="G133" s="137" t="n">
        <f aca="false">IFERROR(IF(OR(NOT(ISNUMBER('Price History'!G134)),NOT(ISNUMBER('Price History'!G133)),'Price History'!G133=0),"",'Price History'!G134/'Price History'!G133-1),"")</f>
        <v>0.0146926328920924</v>
      </c>
      <c r="H133" s="137" t="n">
        <f aca="false">IFERROR(IF(OR(NOT(ISNUMBER('Price History'!H134)),NOT(ISNUMBER('Price History'!H133)),'Price History'!H133=0),"",'Price History'!H134/'Price History'!H133-1),"")</f>
        <v>0.0429957688312348</v>
      </c>
      <c r="I133" s="137" t="n">
        <f aca="false">IFERROR(IF(OR(NOT(ISNUMBER('Price History'!I134)),NOT(ISNUMBER('Price History'!I133)),'Price History'!I133=0),"",'Price History'!I134/'Price History'!I133-1),"")</f>
        <v>-0.0140229761070061</v>
      </c>
      <c r="J133" s="137" t="n">
        <f aca="false">IFERROR(IF(OR(NOT(ISNUMBER('Price History'!J134)),NOT(ISNUMBER('Price History'!J133)),'Price History'!J133=0),"",'Price History'!J134/'Price History'!J133-1),"")</f>
        <v>0.0147499087258125</v>
      </c>
      <c r="K133" s="137" t="n">
        <f aca="false">IFERROR(IF(OR(NOT(ISNUMBER('Price History'!K134)),NOT(ISNUMBER('Price History'!K133)),'Price History'!K133=0),"",'Price History'!K134/'Price History'!K133-1),"")</f>
        <v>-0.0330389992641649</v>
      </c>
      <c r="L133" s="137" t="n">
        <f aca="false">IFERROR(IF(OR(NOT(ISNUMBER('Price History'!L134)),NOT(ISNUMBER('Price History'!L133)),'Price History'!L133=0),"",'Price History'!L134/'Price History'!L133-1),"")</f>
        <v>0.0501934929052601</v>
      </c>
      <c r="M133" s="137" t="n">
        <f aca="false">IFERROR(IF(OR(NOT(ISNUMBER('Price History'!M134)),NOT(ISNUMBER('Price History'!M133)),'Price History'!M133=0),"",'Price History'!M134/'Price History'!M133-1),"")</f>
        <v>0.199151242458329</v>
      </c>
      <c r="N133" s="137" t="n">
        <f aca="false">IFERROR(IF(OR(NOT(ISNUMBER('Price History'!N134)),NOT(ISNUMBER('Price History'!N133)),'Price History'!N133=0),"",'Price History'!N134/'Price History'!N133-1),"")</f>
        <v>0.0283520254435889</v>
      </c>
      <c r="O133" s="137" t="n">
        <f aca="false">IFERROR(IF(OR(NOT(ISNUMBER('Price History'!O134)),NOT(ISNUMBER('Price History'!O133)),'Price History'!O133=0),"",'Price History'!O134/'Price History'!O133-1),"")</f>
        <v>-0.00251757965101129</v>
      </c>
      <c r="P133" s="137" t="str">
        <f aca="false">IFERROR(IF(OR(NOT(ISNUMBER('Price History'!P134)),NOT(ISNUMBER('Price History'!P133)),'Price History'!P133=0),"",'Price History'!P134/'Price History'!P133-1),"")</f>
        <v/>
      </c>
      <c r="Q133" s="137" t="n">
        <f aca="false">IFERROR(IF(OR(NOT(ISNUMBER('Price History'!Q134)),NOT(ISNUMBER('Price History'!Q133)),'Price History'!Q133=0),"",'Price History'!Q134/'Price History'!Q133-1),"")</f>
        <v>0.0116737655781669</v>
      </c>
      <c r="R133" s="137" t="n">
        <f aca="false">IFERROR(IF(OR(NOT(ISNUMBER('Price History'!R134)),NOT(ISNUMBER('Price History'!R133)),'Price History'!R133=0),"",'Price History'!R134/'Price History'!R133-1),"")</f>
        <v>-0.00930232558139532</v>
      </c>
      <c r="S133" s="137" t="n">
        <f aca="false">IFERROR(IF(OR(NOT(ISNUMBER('Price History'!S134)),NOT(ISNUMBER('Price History'!S133)),'Price History'!S133=0),"",'Price History'!S134/'Price History'!S133-1),"")</f>
        <v>-0.0132676902536716</v>
      </c>
      <c r="T133" s="137" t="n">
        <f aca="false">IFERROR(IF(OR(NOT(ISNUMBER('Price History'!T134)),NOT(ISNUMBER('Price History'!T133)),'Price History'!T133=0),"",'Price History'!T134/'Price History'!T133-1),"")</f>
        <v>-0.00420479841701715</v>
      </c>
      <c r="U133" s="137" t="str">
        <f aca="false">IFERROR(IF(OR(NOT(ISNUMBER('Price History'!U134)),NOT(ISNUMBER('Price History'!U133)),'Price History'!U133=0),"",'Price History'!U134/'Price History'!U133-1),"")</f>
        <v/>
      </c>
      <c r="W133" s="138" t="n">
        <f aca="false">'Price History'!B3+('Price History'!B158-'Price History'!B3)*0.844155844155844</f>
        <v>290.624025974026</v>
      </c>
      <c r="X133" s="138" t="n">
        <f aca="false">'Price History'!C3+('Price History'!C158-'Price History'!C3)*0.844155844155844</f>
        <v>159.06012987013</v>
      </c>
      <c r="Y133" s="138" t="n">
        <f aca="false">'Price History'!D3+('Price History'!D158-'Price History'!D3)*0.844155844155844</f>
        <v>1478.26441558442</v>
      </c>
      <c r="Z133" s="138" t="n">
        <f aca="false">'Price History'!E3+('Price History'!E158-'Price History'!E3)*0.844155844155844</f>
        <v>341.544935064935</v>
      </c>
      <c r="AA133" s="138" t="n">
        <f aca="false">'Price History'!F3+('Price History'!F158-'Price History'!F3)*0.844155844155844</f>
        <v>166.891168831169</v>
      </c>
      <c r="AB133" s="138" t="n">
        <f aca="false">'Price History'!G3+('Price History'!G158-'Price History'!G3)*0.844155844155844</f>
        <v>161.793506493506</v>
      </c>
      <c r="AC133" s="138" t="n">
        <f aca="false">'Price History'!H3+('Price History'!H158-'Price History'!H3)*0.844155844155844</f>
        <v>704.797272727273</v>
      </c>
      <c r="AD133" s="138" t="n">
        <f aca="false">'Price History'!I3+('Price History'!I158-'Price History'!I3)*0.844155844155844</f>
        <v>175.830519480519</v>
      </c>
      <c r="AE133" s="138" t="n">
        <f aca="false">'Price History'!J3+('Price History'!J158-'Price History'!J3)*0.844155844155844</f>
        <v>141.321688311688</v>
      </c>
      <c r="AF133" s="138" t="n">
        <f aca="false">'Price History'!K3+('Price History'!K158-'Price History'!K3)*0.844155844155844</f>
        <v>106.283376623377</v>
      </c>
      <c r="AG133" s="138" t="n">
        <f aca="false">'Price History'!L3+('Price History'!L158-'Price History'!L3)*0.844155844155844</f>
        <v>355.586103896104</v>
      </c>
      <c r="AH133" s="138" t="n">
        <f aca="false">'Price History'!M3+('Price History'!M158-'Price History'!M3)*0.844155844155844</f>
        <v>209.145064935065</v>
      </c>
      <c r="AI133" s="138" t="n">
        <f aca="false">'Price History'!N3+('Price History'!N158-'Price History'!N3)*0.844155844155844</f>
        <v>457.27038961039</v>
      </c>
      <c r="AJ133" s="138" t="n">
        <f aca="false">'Price History'!O3+('Price History'!O158-'Price History'!O3)*0.844155844155844</f>
        <v>118.667532467532</v>
      </c>
      <c r="AK133" s="138" t="n">
        <f aca="false">'Price History'!Q3+('Price History'!Q151-'Price History'!Q3)*0.844155844155844</f>
        <v>65.5497402597403</v>
      </c>
      <c r="AL133" s="138" t="n">
        <f aca="false">'Price History'!R3+('Price History'!R158-'Price History'!R3)*0.844155844155844</f>
        <v>56.6245454545455</v>
      </c>
      <c r="AM133" s="138" t="n">
        <f aca="false">'Price History'!S3+('Price History'!S158-'Price History'!S3)*0.844155844155844</f>
        <v>130.538051948052</v>
      </c>
      <c r="AN133" s="138" t="n">
        <f aca="false">'Price History'!T3+('Price History'!T158-'Price History'!T3)*0.844155844155844</f>
        <v>46.1820779220779</v>
      </c>
    </row>
    <row r="134" customFormat="false" ht="15" hidden="false" customHeight="true" outlineLevel="0" collapsed="false">
      <c r="A134" s="136" t="n">
        <f aca="false">IF('Price History'!A135="","",'Price History'!A135)</f>
        <v>46073</v>
      </c>
      <c r="B134" s="137" t="n">
        <f aca="false">IFERROR(IF(OR(NOT(ISNUMBER('Price History'!B135)),NOT(ISNUMBER('Price History'!B134)),'Price History'!B134=0),"",'Price History'!B135/'Price History'!B134-1),"")</f>
        <v>-0.0203053377277721</v>
      </c>
      <c r="C134" s="137" t="n">
        <f aca="false">IFERROR(IF(OR(NOT(ISNUMBER('Price History'!C135)),NOT(ISNUMBER('Price History'!C134)),'Price History'!C134=0),"",'Price History'!C135/'Price History'!C134-1),"")</f>
        <v>-0.0621512818701887</v>
      </c>
      <c r="D134" s="137" t="n">
        <f aca="false">IFERROR(IF(OR(NOT(ISNUMBER('Price History'!D135)),NOT(ISNUMBER('Price History'!D134)),'Price History'!D134=0),"",'Price History'!D135/'Price History'!D134-1),"")</f>
        <v>0.0447743155529963</v>
      </c>
      <c r="E134" s="137" t="n">
        <f aca="false">IFERROR(IF(OR(NOT(ISNUMBER('Price History'!E135)),NOT(ISNUMBER('Price History'!E134)),'Price History'!E134=0),"",'Price History'!E135/'Price History'!E134-1),"")</f>
        <v>0.0230033520927513</v>
      </c>
      <c r="F134" s="137" t="n">
        <f aca="false">IFERROR(IF(OR(NOT(ISNUMBER('Price History'!F135)),NOT(ISNUMBER('Price History'!F134)),'Price History'!F134=0),"",'Price History'!F135/'Price History'!F134-1),"")</f>
        <v>-0.0955218322316357</v>
      </c>
      <c r="G134" s="137" t="n">
        <f aca="false">IFERROR(IF(OR(NOT(ISNUMBER('Price History'!G135)),NOT(ISNUMBER('Price History'!G134)),'Price History'!G134=0),"",'Price History'!G135/'Price History'!G134-1),"")</f>
        <v>0.0217881292261457</v>
      </c>
      <c r="H134" s="137" t="n">
        <f aca="false">IFERROR(IF(OR(NOT(ISNUMBER('Price History'!H135)),NOT(ISNUMBER('Price History'!H134)),'Price History'!H134=0),"",'Price History'!H135/'Price History'!H134-1),"")</f>
        <v>0.0401059126463585</v>
      </c>
      <c r="I134" s="137" t="n">
        <f aca="false">IFERROR(IF(OR(NOT(ISNUMBER('Price History'!I135)),NOT(ISNUMBER('Price History'!I134)),'Price History'!I134=0),"",'Price History'!I135/'Price History'!I134-1),"")</f>
        <v>0.0383458235326295</v>
      </c>
      <c r="J134" s="137" t="n">
        <f aca="false">IFERROR(IF(OR(NOT(ISNUMBER('Price History'!J135)),NOT(ISNUMBER('Price History'!J134)),'Price History'!J134=0),"",'Price History'!J135/'Price History'!J134-1),"")</f>
        <v>0.0182773260415916</v>
      </c>
      <c r="K134" s="137" t="n">
        <f aca="false">IFERROR(IF(OR(NOT(ISNUMBER('Price History'!K135)),NOT(ISNUMBER('Price History'!K134)),'Price History'!K134=0),"",'Price History'!K135/'Price History'!K134-1),"")</f>
        <v>0.0291454227227761</v>
      </c>
      <c r="L134" s="137" t="n">
        <f aca="false">IFERROR(IF(OR(NOT(ISNUMBER('Price History'!L135)),NOT(ISNUMBER('Price History'!L134)),'Price History'!L134=0),"",'Price History'!L135/'Price History'!L134-1),"")</f>
        <v>0.0114095425264766</v>
      </c>
      <c r="M134" s="137" t="n">
        <f aca="false">IFERROR(IF(OR(NOT(ISNUMBER('Price History'!M135)),NOT(ISNUMBER('Price History'!M134)),'Price History'!M134=0),"",'Price History'!M135/'Price History'!M134-1),"")</f>
        <v>0.0393126678889695</v>
      </c>
      <c r="N134" s="137" t="n">
        <f aca="false">IFERROR(IF(OR(NOT(ISNUMBER('Price History'!N135)),NOT(ISNUMBER('Price History'!N134)),'Price History'!N134=0),"",'Price History'!N135/'Price History'!N134-1),"")</f>
        <v>-0.0296457566077279</v>
      </c>
      <c r="O134" s="137" t="n">
        <f aca="false">IFERROR(IF(OR(NOT(ISNUMBER('Price History'!O135)),NOT(ISNUMBER('Price History'!O134)),'Price History'!O134=0),"",'Price History'!O135/'Price History'!O134-1),"")</f>
        <v>0.00557006092254131</v>
      </c>
      <c r="P134" s="137" t="str">
        <f aca="false">IFERROR(IF(OR(NOT(ISNUMBER('Price History'!P135)),NOT(ISNUMBER('Price History'!P134)),'Price History'!P134=0),"",'Price History'!P135/'Price History'!P134-1),"")</f>
        <v/>
      </c>
      <c r="Q134" s="137" t="n">
        <f aca="false">IFERROR(IF(OR(NOT(ISNUMBER('Price History'!Q135)),NOT(ISNUMBER('Price History'!Q134)),'Price History'!Q134=0),"",'Price History'!Q135/'Price History'!Q134-1),"")</f>
        <v>0.0204272571339468</v>
      </c>
      <c r="R134" s="137" t="n">
        <f aca="false">IFERROR(IF(OR(NOT(ISNUMBER('Price History'!R135)),NOT(ISNUMBER('Price History'!R134)),'Price History'!R134=0),"",'Price History'!R135/'Price History'!R134-1),"")</f>
        <v>0.0111284993914103</v>
      </c>
      <c r="S134" s="137" t="n">
        <f aca="false">IFERROR(IF(OR(NOT(ISNUMBER('Price History'!S135)),NOT(ISNUMBER('Price History'!S134)),'Price History'!S134=0),"",'Price History'!S135/'Price History'!S134-1),"")</f>
        <v>0.01446088794926</v>
      </c>
      <c r="T134" s="137" t="n">
        <f aca="false">IFERROR(IF(OR(NOT(ISNUMBER('Price History'!T135)),NOT(ISNUMBER('Price History'!T134)),'Price History'!T134=0),"",'Price History'!T135/'Price History'!T134-1),"")</f>
        <v>0.00198708395429725</v>
      </c>
      <c r="U134" s="137" t="str">
        <f aca="false">IFERROR(IF(OR(NOT(ISNUMBER('Price History'!U135)),NOT(ISNUMBER('Price History'!U134)),'Price History'!U134=0),"",'Price History'!U135/'Price History'!U134-1),"")</f>
        <v/>
      </c>
      <c r="W134" s="138" t="n">
        <f aca="false">'Price History'!B3+('Price History'!B158-'Price History'!B3)*0.850649350649351</f>
        <v>288.948441558441</v>
      </c>
      <c r="X134" s="138" t="n">
        <f aca="false">'Price History'!C3+('Price History'!C158-'Price History'!C3)*0.850649350649351</f>
        <v>159.947207792208</v>
      </c>
      <c r="Y134" s="138" t="n">
        <f aca="false">'Price History'!D3+('Price History'!D158-'Price History'!D3)*0.850649350649351</f>
        <v>1484.54506493507</v>
      </c>
      <c r="Z134" s="138" t="n">
        <f aca="false">'Price History'!E3+('Price History'!E158-'Price History'!E3)*0.850649350649351</f>
        <v>343.533896103896</v>
      </c>
      <c r="AA134" s="138" t="n">
        <f aca="false">'Price History'!F3+('Price History'!F158-'Price History'!F3)*0.850649350649351</f>
        <v>167.88987012987</v>
      </c>
      <c r="AB134" s="138" t="n">
        <f aca="false">'Price History'!G3+('Price History'!G158-'Price History'!G3)*0.850649350649351</f>
        <v>162.66961038961</v>
      </c>
      <c r="AC134" s="138" t="n">
        <f aca="false">'Price History'!H3+('Price History'!H158-'Price History'!H3)*0.850649350649351</f>
        <v>709.723636363637</v>
      </c>
      <c r="AD134" s="138" t="n">
        <f aca="false">'Price History'!I3+('Price History'!I158-'Price History'!I3)*0.850649350649351</f>
        <v>176.868831168831</v>
      </c>
      <c r="AE134" s="138" t="n">
        <f aca="false">'Price History'!J3+('Price History'!J158-'Price History'!J3)*0.850649350649351</f>
        <v>141.458701298701</v>
      </c>
      <c r="AF134" s="138" t="n">
        <f aca="false">'Price History'!K3+('Price History'!K158-'Price History'!K3)*0.850649350649351</f>
        <v>106.982402597403</v>
      </c>
      <c r="AG134" s="138" t="n">
        <f aca="false">'Price History'!L3+('Price History'!L158-'Price History'!L3)*0.850649350649351</f>
        <v>357.613766233766</v>
      </c>
      <c r="AH134" s="138" t="n">
        <f aca="false">'Price History'!M3+('Price History'!M158-'Price History'!M3)*0.850649350649351</f>
        <v>210.496103896104</v>
      </c>
      <c r="AI134" s="138" t="n">
        <f aca="false">'Price History'!N3+('Price History'!N158-'Price History'!N3)*0.850649350649351</f>
        <v>458.096623376623</v>
      </c>
      <c r="AJ134" s="138" t="n">
        <f aca="false">'Price History'!O3+('Price History'!O158-'Price History'!O3)*0.850649350649351</f>
        <v>118.943051948052</v>
      </c>
      <c r="AK134" s="138" t="n">
        <f aca="false">'Price History'!Q3+('Price History'!Q151-'Price History'!Q3)*0.850649350649351</f>
        <v>65.6705844155844</v>
      </c>
      <c r="AL134" s="138" t="n">
        <f aca="false">'Price History'!R3+('Price History'!R158-'Price History'!R3)*0.850649350649351</f>
        <v>56.6922727272727</v>
      </c>
      <c r="AM134" s="138" t="n">
        <f aca="false">'Price History'!S3+('Price History'!S158-'Price History'!S3)*0.850649350649351</f>
        <v>131.091883116883</v>
      </c>
      <c r="AN134" s="138" t="n">
        <f aca="false">'Price History'!T3+('Price History'!T158-'Price History'!T3)*0.850649350649351</f>
        <v>46.3303246753247</v>
      </c>
    </row>
    <row r="135" customFormat="false" ht="15" hidden="false" customHeight="true" outlineLevel="0" collapsed="false">
      <c r="A135" s="136" t="n">
        <f aca="false">IF('Price History'!A136="","",'Price History'!A136)</f>
        <v>46080</v>
      </c>
      <c r="B135" s="137" t="n">
        <f aca="false">IFERROR(IF(OR(NOT(ISNUMBER('Price History'!B136)),NOT(ISNUMBER('Price History'!B135)),'Price History'!B135=0),"",'Price History'!B136/'Price History'!B135-1),"")</f>
        <v>0.0146939406828817</v>
      </c>
      <c r="C135" s="137" t="n">
        <f aca="false">IFERROR(IF(OR(NOT(ISNUMBER('Price History'!C136)),NOT(ISNUMBER('Price History'!C135)),'Price History'!C135=0),"",'Price History'!C136/'Price History'!C135-1),"")</f>
        <v>0.00534678816175926</v>
      </c>
      <c r="D135" s="137" t="n">
        <f aca="false">IFERROR(IF(OR(NOT(ISNUMBER('Price History'!D136)),NOT(ISNUMBER('Price History'!D135)),'Price History'!D135=0),"",'Price History'!D136/'Price History'!D135-1),"")</f>
        <v>-0.012949189910111</v>
      </c>
      <c r="E135" s="137" t="n">
        <f aca="false">IFERROR(IF(OR(NOT(ISNUMBER('Price History'!E136)),NOT(ISNUMBER('Price History'!E135)),'Price History'!E135=0),"",'Price History'!E136/'Price History'!E135-1),"")</f>
        <v>-0.0393807304975198</v>
      </c>
      <c r="F135" s="137" t="n">
        <f aca="false">IFERROR(IF(OR(NOT(ISNUMBER('Price History'!F136)),NOT(ISNUMBER('Price History'!F135)),'Price History'!F135=0),"",'Price History'!F136/'Price History'!F135-1),"")</f>
        <v>-0.042717447246526</v>
      </c>
      <c r="G135" s="137" t="n">
        <f aca="false">IFERROR(IF(OR(NOT(ISNUMBER('Price History'!G136)),NOT(ISNUMBER('Price History'!G135)),'Price History'!G135=0),"",'Price History'!G136/'Price History'!G135-1),"")</f>
        <v>0.0191176470588237</v>
      </c>
      <c r="H135" s="137" t="n">
        <f aca="false">IFERROR(IF(OR(NOT(ISNUMBER('Price History'!H136)),NOT(ISNUMBER('Price History'!H135)),'Price History'!H135=0),"",'Price History'!H136/'Price History'!H135-1),"")</f>
        <v>-0.0369012308195343</v>
      </c>
      <c r="I135" s="137" t="n">
        <f aca="false">IFERROR(IF(OR(NOT(ISNUMBER('Price History'!I136)),NOT(ISNUMBER('Price History'!I135)),'Price History'!I135=0),"",'Price History'!I136/'Price History'!I135-1),"")</f>
        <v>-0.0665367189969445</v>
      </c>
      <c r="J135" s="137" t="n">
        <f aca="false">IFERROR(IF(OR(NOT(ISNUMBER('Price History'!J136)),NOT(ISNUMBER('Price History'!J135)),'Price History'!J135=0),"",'Price History'!J136/'Price History'!J135-1),"")</f>
        <v>0.00749063670411987</v>
      </c>
      <c r="K135" s="137" t="n">
        <f aca="false">IFERROR(IF(OR(NOT(ISNUMBER('Price History'!K136)),NOT(ISNUMBER('Price History'!K135)),'Price History'!K135=0),"",'Price History'!K136/'Price History'!K135-1),"")</f>
        <v>0.014418811002662</v>
      </c>
      <c r="L135" s="137" t="n">
        <f aca="false">IFERROR(IF(OR(NOT(ISNUMBER('Price History'!L136)),NOT(ISNUMBER('Price History'!L135)),'Price History'!L135=0),"",'Price History'!L136/'Price History'!L135-1),"")</f>
        <v>0.0109030064230582</v>
      </c>
      <c r="M135" s="137" t="n">
        <f aca="false">IFERROR(IF(OR(NOT(ISNUMBER('Price History'!M136)),NOT(ISNUMBER('Price History'!M135)),'Price History'!M135=0),"",'Price History'!M136/'Price History'!M135-1),"")</f>
        <v>0.0457025641025641</v>
      </c>
      <c r="N135" s="137" t="n">
        <f aca="false">IFERROR(IF(OR(NOT(ISNUMBER('Price History'!N136)),NOT(ISNUMBER('Price History'!N135)),'Price History'!N135=0),"",'Price History'!N136/'Price History'!N135-1),"")</f>
        <v>0.0417907318096038</v>
      </c>
      <c r="O135" s="137" t="n">
        <f aca="false">IFERROR(IF(OR(NOT(ISNUMBER('Price History'!O136)),NOT(ISNUMBER('Price History'!O135)),'Price History'!O135=0),"",'Price History'!O136/'Price History'!O135-1),"")</f>
        <v>-0.0221568288038775</v>
      </c>
      <c r="P135" s="137" t="str">
        <f aca="false">IFERROR(IF(OR(NOT(ISNUMBER('Price History'!P136)),NOT(ISNUMBER('Price History'!P135)),'Price History'!P135=0),"",'Price History'!P136/'Price History'!P135-1),"")</f>
        <v/>
      </c>
      <c r="Q135" s="137" t="n">
        <f aca="false">IFERROR(IF(OR(NOT(ISNUMBER('Price History'!Q136)),NOT(ISNUMBER('Price History'!Q135)),'Price History'!Q135=0),"",'Price History'!Q136/'Price History'!Q135-1),"")</f>
        <v>0.025672371638142</v>
      </c>
      <c r="R135" s="137" t="n">
        <f aca="false">IFERROR(IF(OR(NOT(ISNUMBER('Price History'!R136)),NOT(ISNUMBER('Price History'!R135)),'Price History'!R135=0),"",'Price History'!R136/'Price History'!R135-1),"")</f>
        <v>-0.00189165950128978</v>
      </c>
      <c r="S135" s="137" t="n">
        <f aca="false">IFERROR(IF(OR(NOT(ISNUMBER('Price History'!S136)),NOT(ISNUMBER('Price History'!S135)),'Price History'!S135=0),"",'Price History'!S136/'Price History'!S135-1),"")</f>
        <v>-0.00408469489829944</v>
      </c>
      <c r="T135" s="137" t="n">
        <f aca="false">IFERROR(IF(OR(NOT(ISNUMBER('Price History'!T136)),NOT(ISNUMBER('Price History'!T135)),'Price History'!T135=0),"",'Price History'!T136/'Price History'!T135-1),"")</f>
        <v>0.00347050074367861</v>
      </c>
      <c r="U135" s="137" t="str">
        <f aca="false">IFERROR(IF(OR(NOT(ISNUMBER('Price History'!U136)),NOT(ISNUMBER('Price History'!U135)),'Price History'!U135=0),"",'Price History'!U136/'Price History'!U135-1),"")</f>
        <v/>
      </c>
      <c r="W135" s="138" t="n">
        <f aca="false">'Price History'!B3+('Price History'!B158-'Price History'!B3)*0.857142857142857</f>
        <v>287.272857142857</v>
      </c>
      <c r="X135" s="138" t="n">
        <f aca="false">'Price History'!C3+('Price History'!C158-'Price History'!C3)*0.857142857142857</f>
        <v>160.834285714286</v>
      </c>
      <c r="Y135" s="138" t="n">
        <f aca="false">'Price History'!D3+('Price History'!D158-'Price History'!D3)*0.857142857142857</f>
        <v>1490.82571428571</v>
      </c>
      <c r="Z135" s="138" t="n">
        <f aca="false">'Price History'!E3+('Price History'!E158-'Price History'!E3)*0.857142857142857</f>
        <v>345.522857142857</v>
      </c>
      <c r="AA135" s="138" t="n">
        <f aca="false">'Price History'!F3+('Price History'!F158-'Price History'!F3)*0.857142857142857</f>
        <v>168.888571428571</v>
      </c>
      <c r="AB135" s="138" t="n">
        <f aca="false">'Price History'!G3+('Price History'!G158-'Price History'!G3)*0.857142857142857</f>
        <v>163.545714285714</v>
      </c>
      <c r="AC135" s="138" t="n">
        <f aca="false">'Price History'!H3+('Price History'!H158-'Price History'!H3)*0.857142857142857</f>
        <v>714.65</v>
      </c>
      <c r="AD135" s="138" t="n">
        <f aca="false">'Price History'!I3+('Price History'!I158-'Price History'!I3)*0.857142857142857</f>
        <v>177.907142857143</v>
      </c>
      <c r="AE135" s="138" t="n">
        <f aca="false">'Price History'!J3+('Price History'!J158-'Price History'!J3)*0.857142857142857</f>
        <v>141.595714285714</v>
      </c>
      <c r="AF135" s="138" t="n">
        <f aca="false">'Price History'!K3+('Price History'!K158-'Price History'!K3)*0.857142857142857</f>
        <v>107.681428571429</v>
      </c>
      <c r="AG135" s="138" t="n">
        <f aca="false">'Price History'!L3+('Price History'!L158-'Price History'!L3)*0.857142857142857</f>
        <v>359.641428571429</v>
      </c>
      <c r="AH135" s="138" t="n">
        <f aca="false">'Price History'!M3+('Price History'!M158-'Price History'!M3)*0.857142857142857</f>
        <v>211.847142857143</v>
      </c>
      <c r="AI135" s="138" t="n">
        <f aca="false">'Price History'!N3+('Price History'!N158-'Price History'!N3)*0.857142857142857</f>
        <v>458.922857142857</v>
      </c>
      <c r="AJ135" s="138" t="n">
        <f aca="false">'Price History'!O3+('Price History'!O158-'Price History'!O3)*0.857142857142857</f>
        <v>119.218571428571</v>
      </c>
      <c r="AK135" s="138" t="n">
        <f aca="false">'Price History'!Q3+('Price History'!Q151-'Price History'!Q3)*0.857142857142857</f>
        <v>65.7914285714286</v>
      </c>
      <c r="AL135" s="138" t="n">
        <f aca="false">'Price History'!R3+('Price History'!R158-'Price History'!R3)*0.857142857142857</f>
        <v>56.76</v>
      </c>
      <c r="AM135" s="138" t="n">
        <f aca="false">'Price History'!S3+('Price History'!S158-'Price History'!S3)*0.857142857142857</f>
        <v>131.645714285714</v>
      </c>
      <c r="AN135" s="138" t="n">
        <f aca="false">'Price History'!T3+('Price History'!T158-'Price History'!T3)*0.857142857142857</f>
        <v>46.4785714285714</v>
      </c>
    </row>
    <row r="136" customFormat="false" ht="15" hidden="false" customHeight="true" outlineLevel="0" collapsed="false">
      <c r="A136" s="136" t="n">
        <f aca="false">IF('Price History'!A137="","",'Price History'!A137)</f>
        <v>46087</v>
      </c>
      <c r="B136" s="137" t="n">
        <f aca="false">IFERROR(IF(OR(NOT(ISNUMBER('Price History'!B137)),NOT(ISNUMBER('Price History'!B136)),'Price History'!B136=0),"",'Price History'!B137/'Price History'!B136-1),"")</f>
        <v>0.0808277123585228</v>
      </c>
      <c r="C136" s="137" t="n">
        <f aca="false">IFERROR(IF(OR(NOT(ISNUMBER('Price History'!C137)),NOT(ISNUMBER('Price History'!C136)),'Price History'!C136=0),"",'Price History'!C137/'Price History'!C136-1),"")</f>
        <v>-0.0045692883895132</v>
      </c>
      <c r="D136" s="137" t="n">
        <f aca="false">IFERROR(IF(OR(NOT(ISNUMBER('Price History'!D137)),NOT(ISNUMBER('Price History'!D136)),'Price History'!D136=0),"",'Price History'!D137/'Price History'!D136-1),"")</f>
        <v>-0.108757996911538</v>
      </c>
      <c r="E136" s="137" t="n">
        <f aca="false">IFERROR(IF(OR(NOT(ISNUMBER('Price History'!E137)),NOT(ISNUMBER('Price History'!E136)),'Price History'!E136=0),"",'Price History'!E137/'Price History'!E136-1),"")</f>
        <v>0.0342043498670004</v>
      </c>
      <c r="F136" s="137" t="n">
        <f aca="false">IFERROR(IF(OR(NOT(ISNUMBER('Price History'!F137)),NOT(ISNUMBER('Price History'!F136)),'Price History'!F136=0),"",'Price History'!F137/'Price History'!F136-1),"")</f>
        <v>0.153225806451613</v>
      </c>
      <c r="G136" s="137" t="n">
        <f aca="false">IFERROR(IF(OR(NOT(ISNUMBER('Price History'!G137)),NOT(ISNUMBER('Price History'!G136)),'Price History'!G136=0),"",'Price History'!G137/'Price History'!G136-1),"")</f>
        <v>-0.118063754427391</v>
      </c>
      <c r="H136" s="137" t="n">
        <f aca="false">IFERROR(IF(OR(NOT(ISNUMBER('Price History'!H137)),NOT(ISNUMBER('Price History'!H136)),'Price History'!H136=0),"",'Price History'!H137/'Price History'!H136-1),"")</f>
        <v>-0.102020030555084</v>
      </c>
      <c r="I136" s="137" t="n">
        <f aca="false">IFERROR(IF(OR(NOT(ISNUMBER('Price History'!I137)),NOT(ISNUMBER('Price History'!I136)),'Price History'!I136=0),"",'Price History'!I137/'Price History'!I136-1),"")</f>
        <v>0.00355550538969474</v>
      </c>
      <c r="J136" s="137" t="n">
        <f aca="false">IFERROR(IF(OR(NOT(ISNUMBER('Price History'!J137)),NOT(ISNUMBER('Price History'!J136)),'Price History'!J136=0),"",'Price History'!J137/'Price History'!J136-1),"")</f>
        <v>-0.0563232096513994</v>
      </c>
      <c r="K136" s="137" t="n">
        <f aca="false">IFERROR(IF(OR(NOT(ISNUMBER('Price History'!K137)),NOT(ISNUMBER('Price History'!K136)),'Price History'!K136=0),"",'Price History'!K137/'Price History'!K136-1),"")</f>
        <v>0.145564545520811</v>
      </c>
      <c r="L136" s="137" t="n">
        <f aca="false">IFERROR(IF(OR(NOT(ISNUMBER('Price History'!L137)),NOT(ISNUMBER('Price History'!L136)),'Price History'!L136=0),"",'Price History'!L137/'Price History'!L136-1),"")</f>
        <v>-0.0952800469859576</v>
      </c>
      <c r="M136" s="137" t="n">
        <f aca="false">IFERROR(IF(OR(NOT(ISNUMBER('Price History'!M137)),NOT(ISNUMBER('Price History'!M136)),'Price History'!M136=0),"",'Price History'!M137/'Price History'!M136-1),"")</f>
        <v>-0.0514339519008199</v>
      </c>
      <c r="N136" s="137" t="n">
        <f aca="false">IFERROR(IF(OR(NOT(ISNUMBER('Price History'!N137)),NOT(ISNUMBER('Price History'!N136)),'Price History'!N136=0),"",'Price History'!N137/'Price History'!N136-1),"")</f>
        <v>-0.0807922226918664</v>
      </c>
      <c r="O136" s="137" t="n">
        <f aca="false">IFERROR(IF(OR(NOT(ISNUMBER('Price History'!O137)),NOT(ISNUMBER('Price History'!O136)),'Price History'!O136=0),"",'Price History'!O137/'Price History'!O136-1),"")</f>
        <v>-0.0383253673216498</v>
      </c>
      <c r="P136" s="137" t="str">
        <f aca="false">IFERROR(IF(OR(NOT(ISNUMBER('Price History'!P137)),NOT(ISNUMBER('Price History'!P136)),'Price History'!P136=0),"",'Price History'!P137/'Price History'!P136-1),"")</f>
        <v/>
      </c>
      <c r="Q136" s="137" t="n">
        <f aca="false">IFERROR(IF(OR(NOT(ISNUMBER('Price History'!Q137)),NOT(ISNUMBER('Price History'!Q136)),'Price History'!Q136=0),"",'Price History'!Q137/'Price History'!Q136-1),"")</f>
        <v>0.00223480333730608</v>
      </c>
      <c r="R136" s="137" t="n">
        <f aca="false">IFERROR(IF(OR(NOT(ISNUMBER('Price History'!R137)),NOT(ISNUMBER('Price History'!R136)),'Price History'!R136=0),"",'Price History'!R137/'Price History'!R136-1),"")</f>
        <v>-0.0205031013094418</v>
      </c>
      <c r="S136" s="137" t="n">
        <f aca="false">IFERROR(IF(OR(NOT(ISNUMBER('Price History'!S137)),NOT(ISNUMBER('Price History'!S136)),'Price History'!S136=0),"",'Price History'!S137/'Price History'!S136-1),"")</f>
        <v>-0.0102954716665272</v>
      </c>
      <c r="T136" s="137" t="n">
        <f aca="false">IFERROR(IF(OR(NOT(ISNUMBER('Price History'!T137)),NOT(ISNUMBER('Price History'!T136)),'Price History'!T136=0),"",'Price History'!T137/'Price History'!T136-1),"")</f>
        <v>-0.00914031620553357</v>
      </c>
      <c r="U136" s="137" t="str">
        <f aca="false">IFERROR(IF(OR(NOT(ISNUMBER('Price History'!U137)),NOT(ISNUMBER('Price History'!U136)),'Price History'!U136=0),"",'Price History'!U137/'Price History'!U136-1),"")</f>
        <v/>
      </c>
      <c r="W136" s="138" t="n">
        <f aca="false">'Price History'!B3+('Price History'!B158-'Price History'!B3)*0.863636363636364</f>
        <v>285.597272727273</v>
      </c>
      <c r="X136" s="138" t="n">
        <f aca="false">'Price History'!C3+('Price History'!C158-'Price History'!C3)*0.863636363636364</f>
        <v>161.721363636364</v>
      </c>
      <c r="Y136" s="138" t="n">
        <f aca="false">'Price History'!D3+('Price History'!D158-'Price History'!D3)*0.863636363636364</f>
        <v>1497.10636363636</v>
      </c>
      <c r="Z136" s="138" t="n">
        <f aca="false">'Price History'!E3+('Price History'!E158-'Price History'!E3)*0.863636363636364</f>
        <v>347.511818181818</v>
      </c>
      <c r="AA136" s="138" t="n">
        <f aca="false">'Price History'!F3+('Price History'!F158-'Price History'!F3)*0.863636363636364</f>
        <v>169.887272727273</v>
      </c>
      <c r="AB136" s="138" t="n">
        <f aca="false">'Price History'!G3+('Price History'!G158-'Price History'!G3)*0.863636363636364</f>
        <v>164.421818181818</v>
      </c>
      <c r="AC136" s="138" t="n">
        <f aca="false">'Price History'!H3+('Price History'!H158-'Price History'!H3)*0.863636363636364</f>
        <v>719.576363636364</v>
      </c>
      <c r="AD136" s="138" t="n">
        <f aca="false">'Price History'!I3+('Price History'!I158-'Price History'!I3)*0.863636363636364</f>
        <v>178.945454545455</v>
      </c>
      <c r="AE136" s="138" t="n">
        <f aca="false">'Price History'!J3+('Price History'!J158-'Price History'!J3)*0.863636363636364</f>
        <v>141.732727272727</v>
      </c>
      <c r="AF136" s="138" t="n">
        <f aca="false">'Price History'!K3+('Price History'!K158-'Price History'!K3)*0.863636363636364</f>
        <v>108.380454545455</v>
      </c>
      <c r="AG136" s="138" t="n">
        <f aca="false">'Price History'!L3+('Price History'!L158-'Price History'!L3)*0.863636363636364</f>
        <v>361.669090909091</v>
      </c>
      <c r="AH136" s="138" t="n">
        <f aca="false">'Price History'!M3+('Price History'!M158-'Price History'!M3)*0.863636363636364</f>
        <v>213.198181818182</v>
      </c>
      <c r="AI136" s="138" t="n">
        <f aca="false">'Price History'!N3+('Price History'!N158-'Price History'!N3)*0.863636363636364</f>
        <v>459.749090909091</v>
      </c>
      <c r="AJ136" s="138" t="n">
        <f aca="false">'Price History'!O3+('Price History'!O158-'Price History'!O3)*0.863636363636364</f>
        <v>119.494090909091</v>
      </c>
      <c r="AK136" s="138" t="n">
        <f aca="false">'Price History'!Q3+('Price History'!Q151-'Price History'!Q3)*0.863636363636364</f>
        <v>65.9122727272727</v>
      </c>
      <c r="AL136" s="138" t="n">
        <f aca="false">'Price History'!R3+('Price History'!R158-'Price History'!R3)*0.863636363636364</f>
        <v>56.8277272727273</v>
      </c>
      <c r="AM136" s="138" t="n">
        <f aca="false">'Price History'!S3+('Price History'!S158-'Price History'!S3)*0.863636363636364</f>
        <v>132.199545454546</v>
      </c>
      <c r="AN136" s="138" t="n">
        <f aca="false">'Price History'!T3+('Price History'!T158-'Price History'!T3)*0.863636363636364</f>
        <v>46.6268181818182</v>
      </c>
    </row>
    <row r="137" customFormat="false" ht="15" hidden="false" customHeight="true" outlineLevel="0" collapsed="false">
      <c r="A137" s="136" t="n">
        <f aca="false">IF('Price History'!A138="","",'Price History'!A138)</f>
        <v>46094</v>
      </c>
      <c r="B137" s="137" t="n">
        <f aca="false">IFERROR(IF(OR(NOT(ISNUMBER('Price History'!B138)),NOT(ISNUMBER('Price History'!B137)),'Price History'!B137=0),"",'Price History'!B138/'Price History'!B137-1),"")</f>
        <v>-0.120936464283196</v>
      </c>
      <c r="C137" s="137" t="n">
        <f aca="false">IFERROR(IF(OR(NOT(ISNUMBER('Price History'!C138)),NOT(ISNUMBER('Price History'!C137)),'Price History'!C137=0),"",'Price History'!C138/'Price History'!C137-1),"")</f>
        <v>0.00511701407178866</v>
      </c>
      <c r="D137" s="137" t="n">
        <f aca="false">IFERROR(IF(OR(NOT(ISNUMBER('Price History'!D138)),NOT(ISNUMBER('Price History'!D137)),'Price History'!D137=0),"",'Price History'!D138/'Price History'!D137-1),"")</f>
        <v>0.0409112004950496</v>
      </c>
      <c r="E137" s="137" t="n">
        <f aca="false">IFERROR(IF(OR(NOT(ISNUMBER('Price History'!E138)),NOT(ISNUMBER('Price History'!E137)),'Price History'!E137=0),"",'Price History'!E138/'Price History'!E137-1),"")</f>
        <v>-0.0251755022996852</v>
      </c>
      <c r="F137" s="137" t="n">
        <f aca="false">IFERROR(IF(OR(NOT(ISNUMBER('Price History'!F138)),NOT(ISNUMBER('Price History'!F137)),'Price History'!F137=0),"",'Price History'!F138/'Price History'!F137-1),"")</f>
        <v>0.0298368298368299</v>
      </c>
      <c r="G137" s="137" t="n">
        <f aca="false">IFERROR(IF(OR(NOT(ISNUMBER('Price History'!G138)),NOT(ISNUMBER('Price History'!G137)),'Price History'!G137=0),"",'Price History'!G138/'Price History'!G137-1),"")</f>
        <v>0.0550349546333482</v>
      </c>
      <c r="H137" s="137" t="n">
        <f aca="false">IFERROR(IF(OR(NOT(ISNUMBER('Price History'!H138)),NOT(ISNUMBER('Price History'!H137)),'Price History'!H137=0),"",'Price History'!H138/'Price History'!H137-1),"")</f>
        <v>0.150769646232784</v>
      </c>
      <c r="I137" s="137" t="n">
        <f aca="false">IFERROR(IF(OR(NOT(ISNUMBER('Price History'!I138)),NOT(ISNUMBER('Price History'!I137)),'Price History'!I137=0),"",'Price History'!I138/'Price History'!I137-1),"")</f>
        <v>0.013665504442695</v>
      </c>
      <c r="J137" s="137" t="n">
        <f aca="false">IFERROR(IF(OR(NOT(ISNUMBER('Price History'!J138)),NOT(ISNUMBER('Price History'!J137)),'Price History'!J137=0),"",'Price History'!J138/'Price History'!J137-1),"")</f>
        <v>-0.0207373271889401</v>
      </c>
      <c r="K137" s="137" t="n">
        <f aca="false">IFERROR(IF(OR(NOT(ISNUMBER('Price History'!K138)),NOT(ISNUMBER('Price History'!K137)),'Price History'!K137=0),"",'Price History'!K138/'Price History'!K137-1),"")</f>
        <v>-0.0395138712140495</v>
      </c>
      <c r="L137" s="137" t="n">
        <f aca="false">IFERROR(IF(OR(NOT(ISNUMBER('Price History'!L138)),NOT(ISNUMBER('Price History'!L137)),'Price History'!L137=0),"",'Price History'!L138/'Price History'!L137-1),"")</f>
        <v>-0.0017114697984596</v>
      </c>
      <c r="M137" s="137" t="n">
        <f aca="false">IFERROR(IF(OR(NOT(ISNUMBER('Price History'!M138)),NOT(ISNUMBER('Price History'!M137)),'Price History'!M137=0),"",'Price History'!M138/'Price History'!M137-1),"")</f>
        <v>0.0707254528910579</v>
      </c>
      <c r="N137" s="137" t="n">
        <f aca="false">IFERROR(IF(OR(NOT(ISNUMBER('Price History'!N138)),NOT(ISNUMBER('Price History'!N137)),'Price History'!N137=0),"",'Price History'!N138/'Price History'!N137-1),"")</f>
        <v>0.0276993146335589</v>
      </c>
      <c r="O137" s="137" t="n">
        <f aca="false">IFERROR(IF(OR(NOT(ISNUMBER('Price History'!O138)),NOT(ISNUMBER('Price History'!O137)),'Price History'!O137=0),"",'Price History'!O138/'Price History'!O137-1),"")</f>
        <v>-0.0217211228716061</v>
      </c>
      <c r="P137" s="137" t="str">
        <f aca="false">IFERROR(IF(OR(NOT(ISNUMBER('Price History'!P138)),NOT(ISNUMBER('Price History'!P137)),'Price History'!P137=0),"",'Price History'!P138/'Price History'!P137-1),"")</f>
        <v/>
      </c>
      <c r="Q137" s="137" t="n">
        <f aca="false">IFERROR(IF(OR(NOT(ISNUMBER('Price History'!Q138)),NOT(ISNUMBER('Price History'!Q137)),'Price History'!Q137=0),"",'Price History'!Q138/'Price History'!Q137-1),"")</f>
        <v>0.0040136762301175</v>
      </c>
      <c r="R137" s="137" t="n">
        <f aca="false">IFERROR(IF(OR(NOT(ISNUMBER('Price History'!R138)),NOT(ISNUMBER('Price History'!R137)),'Price History'!R137=0),"",'Price History'!R138/'Price History'!R137-1),"")</f>
        <v>-0.00510114335971856</v>
      </c>
      <c r="S137" s="137" t="n">
        <f aca="false">IFERROR(IF(OR(NOT(ISNUMBER('Price History'!S138)),NOT(ISNUMBER('Price History'!S137)),'Price History'!S137=0),"",'Price History'!S138/'Price History'!S137-1),"")</f>
        <v>-0.0174221921515561</v>
      </c>
      <c r="T137" s="137" t="n">
        <f aca="false">IFERROR(IF(OR(NOT(ISNUMBER('Price History'!T138)),NOT(ISNUMBER('Price History'!T137)),'Price History'!T137=0),"",'Price History'!T138/'Price History'!T137-1),"")</f>
        <v>-0.0226876090750435</v>
      </c>
      <c r="U137" s="137" t="str">
        <f aca="false">IFERROR(IF(OR(NOT(ISNUMBER('Price History'!U138)),NOT(ISNUMBER('Price History'!U137)),'Price History'!U137=0),"",'Price History'!U138/'Price History'!U137-1),"")</f>
        <v/>
      </c>
      <c r="W137" s="138" t="n">
        <f aca="false">'Price History'!B3+('Price History'!B158-'Price History'!B3)*0.87012987012987</f>
        <v>283.921688311688</v>
      </c>
      <c r="X137" s="138" t="n">
        <f aca="false">'Price History'!C3+('Price History'!C158-'Price History'!C3)*0.87012987012987</f>
        <v>162.608441558442</v>
      </c>
      <c r="Y137" s="138" t="n">
        <f aca="false">'Price History'!D3+('Price History'!D158-'Price History'!D3)*0.87012987012987</f>
        <v>1503.38701298701</v>
      </c>
      <c r="Z137" s="138" t="n">
        <f aca="false">'Price History'!E3+('Price History'!E158-'Price History'!E3)*0.87012987012987</f>
        <v>349.500779220779</v>
      </c>
      <c r="AA137" s="138" t="n">
        <f aca="false">'Price History'!F3+('Price History'!F158-'Price History'!F3)*0.87012987012987</f>
        <v>170.885974025974</v>
      </c>
      <c r="AB137" s="138" t="n">
        <f aca="false">'Price History'!G3+('Price History'!G158-'Price History'!G3)*0.87012987012987</f>
        <v>165.297922077922</v>
      </c>
      <c r="AC137" s="138" t="n">
        <f aca="false">'Price History'!H3+('Price History'!H158-'Price History'!H3)*0.87012987012987</f>
        <v>724.502727272727</v>
      </c>
      <c r="AD137" s="138" t="n">
        <f aca="false">'Price History'!I3+('Price History'!I158-'Price History'!I3)*0.87012987012987</f>
        <v>179.983766233766</v>
      </c>
      <c r="AE137" s="138" t="n">
        <f aca="false">'Price History'!J3+('Price History'!J158-'Price History'!J3)*0.87012987012987</f>
        <v>141.86974025974</v>
      </c>
      <c r="AF137" s="138" t="n">
        <f aca="false">'Price History'!K3+('Price History'!K158-'Price History'!K3)*0.87012987012987</f>
        <v>109.079480519481</v>
      </c>
      <c r="AG137" s="138" t="n">
        <f aca="false">'Price History'!L3+('Price History'!L158-'Price History'!L3)*0.87012987012987</f>
        <v>363.696753246753</v>
      </c>
      <c r="AH137" s="138" t="n">
        <f aca="false">'Price History'!M3+('Price History'!M158-'Price History'!M3)*0.87012987012987</f>
        <v>214.549220779221</v>
      </c>
      <c r="AI137" s="138" t="n">
        <f aca="false">'Price History'!N3+('Price History'!N158-'Price History'!N3)*0.87012987012987</f>
        <v>460.575324675325</v>
      </c>
      <c r="AJ137" s="138" t="n">
        <f aca="false">'Price History'!O3+('Price History'!O158-'Price History'!O3)*0.87012987012987</f>
        <v>119.76961038961</v>
      </c>
      <c r="AK137" s="138" t="n">
        <f aca="false">'Price History'!Q3+('Price History'!Q151-'Price History'!Q3)*0.87012987012987</f>
        <v>66.0331168831169</v>
      </c>
      <c r="AL137" s="138" t="n">
        <f aca="false">'Price History'!R3+('Price History'!R158-'Price History'!R3)*0.87012987012987</f>
        <v>56.8954545454545</v>
      </c>
      <c r="AM137" s="138" t="n">
        <f aca="false">'Price History'!S3+('Price History'!S158-'Price History'!S3)*0.87012987012987</f>
        <v>132.753376623377</v>
      </c>
      <c r="AN137" s="138" t="n">
        <f aca="false">'Price History'!T3+('Price History'!T158-'Price History'!T3)*0.87012987012987</f>
        <v>46.7750649350649</v>
      </c>
    </row>
    <row r="138" customFormat="false" ht="15" hidden="false" customHeight="true" outlineLevel="0" collapsed="false">
      <c r="A138" s="136" t="n">
        <f aca="false">IF('Price History'!A139="","",'Price History'!A139)</f>
        <v>46101</v>
      </c>
      <c r="B138" s="137" t="n">
        <f aca="false">IFERROR(IF(OR(NOT(ISNUMBER('Price History'!B139)),NOT(ISNUMBER('Price History'!B138)),'Price History'!B138=0),"",'Price History'!B139/'Price History'!B138-1),"")</f>
        <v>-0.0046927643189475</v>
      </c>
      <c r="C138" s="137" t="n">
        <f aca="false">IFERROR(IF(OR(NOT(ISNUMBER('Price History'!C139)),NOT(ISNUMBER('Price History'!C138)),'Price History'!C138=0),"",'Price History'!C139/'Price History'!C138-1),"")</f>
        <v>-0.0175937710563749</v>
      </c>
      <c r="D138" s="137" t="n">
        <f aca="false">IFERROR(IF(OR(NOT(ISNUMBER('Price History'!D139)),NOT(ISNUMBER('Price History'!D138)),'Price History'!D138=0),"",'Price History'!D139/'Price History'!D138-1),"")</f>
        <v>-0.0211341393634493</v>
      </c>
      <c r="E138" s="137" t="n">
        <f aca="false">IFERROR(IF(OR(NOT(ISNUMBER('Price History'!E139)),NOT(ISNUMBER('Price History'!E138)),'Price History'!E138=0),"",'Price History'!E139/'Price History'!E138-1),"")</f>
        <v>-0.0361621554507078</v>
      </c>
      <c r="F138" s="137" t="n">
        <f aca="false">IFERROR(IF(OR(NOT(ISNUMBER('Price History'!F139)),NOT(ISNUMBER('Price History'!F138)),'Price History'!F138=0),"",'Price History'!F139/'Price History'!F138-1),"")</f>
        <v>-0.0742417383431417</v>
      </c>
      <c r="G138" s="137" t="n">
        <f aca="false">IFERROR(IF(OR(NOT(ISNUMBER('Price History'!G139)),NOT(ISNUMBER('Price History'!G138)),'Price History'!G138=0),"",'Price History'!G139/'Price History'!G138-1),"")</f>
        <v>0.0564641195544904</v>
      </c>
      <c r="H138" s="137" t="n">
        <f aca="false">IFERROR(IF(OR(NOT(ISNUMBER('Price History'!H139)),NOT(ISNUMBER('Price History'!H138)),'Price History'!H138=0),"",'Price History'!H139/'Price History'!H138-1),"")</f>
        <v>-0.0075798465257082</v>
      </c>
      <c r="I138" s="137" t="n">
        <f aca="false">IFERROR(IF(OR(NOT(ISNUMBER('Price History'!I139)),NOT(ISNUMBER('Price History'!I138)),'Price History'!I138=0),"",'Price History'!I139/'Price History'!I138-1),"")</f>
        <v>-0.0418862690707351</v>
      </c>
      <c r="J138" s="137" t="n">
        <f aca="false">IFERROR(IF(OR(NOT(ISNUMBER('Price History'!J139)),NOT(ISNUMBER('Price History'!J138)),'Price History'!J138=0),"",'Price History'!J139/'Price History'!J138-1),"")</f>
        <v>-0.0283870967741936</v>
      </c>
      <c r="K138" s="137" t="n">
        <f aca="false">IFERROR(IF(OR(NOT(ISNUMBER('Price History'!K139)),NOT(ISNUMBER('Price History'!K138)),'Price History'!K138=0),"",'Price History'!K139/'Price History'!K138-1),"")</f>
        <v>-0.00178867174561104</v>
      </c>
      <c r="L138" s="137" t="n">
        <f aca="false">IFERROR(IF(OR(NOT(ISNUMBER('Price History'!L139)),NOT(ISNUMBER('Price History'!L138)),'Price History'!L138=0),"",'Price History'!L139/'Price History'!L138-1),"")</f>
        <v>-0.0268097307203452</v>
      </c>
      <c r="M138" s="137" t="n">
        <f aca="false">IFERROR(IF(OR(NOT(ISNUMBER('Price History'!M139)),NOT(ISNUMBER('Price History'!M138)),'Price History'!M138=0),"",'Price History'!M139/'Price History'!M138-1),"")</f>
        <v>-0.0115883807169345</v>
      </c>
      <c r="N138" s="137" t="n">
        <f aca="false">IFERROR(IF(OR(NOT(ISNUMBER('Price History'!N139)),NOT(ISNUMBER('Price History'!N138)),'Price History'!N138=0),"",'Price History'!N139/'Price History'!N138-1),"")</f>
        <v>-0.032684194826778</v>
      </c>
      <c r="O138" s="137" t="n">
        <f aca="false">IFERROR(IF(OR(NOT(ISNUMBER('Price History'!O139)),NOT(ISNUMBER('Price History'!O138)),'Price History'!O138=0),"",'Price History'!O139/'Price History'!O138-1),"")</f>
        <v>-0.0019757267852103</v>
      </c>
      <c r="P138" s="137" t="str">
        <f aca="false">IFERROR(IF(OR(NOT(ISNUMBER('Price History'!P139)),NOT(ISNUMBER('Price History'!P138)),'Price History'!P138=0),"",'Price History'!P139/'Price History'!P138-1),"")</f>
        <v/>
      </c>
      <c r="Q138" s="137" t="n">
        <f aca="false">IFERROR(IF(OR(NOT(ISNUMBER('Price History'!Q139)),NOT(ISNUMBER('Price History'!Q138)),'Price History'!Q138=0),"",'Price History'!Q139/'Price History'!Q138-1),"")</f>
        <v>0.00207284572105415</v>
      </c>
      <c r="R138" s="137" t="n">
        <f aca="false">IFERROR(IF(OR(NOT(ISNUMBER('Price History'!R139)),NOT(ISNUMBER('Price History'!R138)),'Price History'!R138=0),"",'Price History'!R139/'Price History'!R138-1),"")</f>
        <v>-0.0141442715700142</v>
      </c>
      <c r="S138" s="137" t="n">
        <f aca="false">IFERROR(IF(OR(NOT(ISNUMBER('Price History'!S139)),NOT(ISNUMBER('Price History'!S138)),'Price History'!S138=0),"",'Price History'!S139/'Price History'!S138-1),"")</f>
        <v>-0.0206576002754347</v>
      </c>
      <c r="T138" s="137" t="n">
        <f aca="false">IFERROR(IF(OR(NOT(ISNUMBER('Price History'!T139)),NOT(ISNUMBER('Price History'!T138)),'Price History'!T138=0),"",'Price History'!T139/'Price History'!T138-1),"")</f>
        <v>0.00102040816326521</v>
      </c>
      <c r="U138" s="137" t="str">
        <f aca="false">IFERROR(IF(OR(NOT(ISNUMBER('Price History'!U139)),NOT(ISNUMBER('Price History'!U138)),'Price History'!U138=0),"",'Price History'!U139/'Price History'!U138-1),"")</f>
        <v/>
      </c>
      <c r="W138" s="138" t="n">
        <f aca="false">'Price History'!B3+('Price History'!B158-'Price History'!B3)*0.876623376623377</f>
        <v>282.246103896104</v>
      </c>
      <c r="X138" s="138" t="n">
        <f aca="false">'Price History'!C3+('Price History'!C158-'Price History'!C3)*0.876623376623377</f>
        <v>163.49551948052</v>
      </c>
      <c r="Y138" s="138" t="n">
        <f aca="false">'Price History'!D3+('Price History'!D158-'Price History'!D3)*0.876623376623377</f>
        <v>1509.66766233766</v>
      </c>
      <c r="Z138" s="138" t="n">
        <f aca="false">'Price History'!E3+('Price History'!E158-'Price History'!E3)*0.876623376623377</f>
        <v>351.48974025974</v>
      </c>
      <c r="AA138" s="138" t="n">
        <f aca="false">'Price History'!F3+('Price History'!F158-'Price History'!F3)*0.876623376623377</f>
        <v>171.884675324675</v>
      </c>
      <c r="AB138" s="138" t="n">
        <f aca="false">'Price History'!G3+('Price History'!G158-'Price History'!G3)*0.876623376623377</f>
        <v>166.174025974026</v>
      </c>
      <c r="AC138" s="138" t="n">
        <f aca="false">'Price History'!H3+('Price History'!H158-'Price History'!H3)*0.876623376623377</f>
        <v>729.429090909091</v>
      </c>
      <c r="AD138" s="138" t="n">
        <f aca="false">'Price History'!I3+('Price History'!I158-'Price History'!I3)*0.876623376623377</f>
        <v>181.022077922078</v>
      </c>
      <c r="AE138" s="138" t="n">
        <f aca="false">'Price History'!J3+('Price History'!J158-'Price History'!J3)*0.876623376623377</f>
        <v>142.006753246753</v>
      </c>
      <c r="AF138" s="138" t="n">
        <f aca="false">'Price History'!K3+('Price History'!K158-'Price History'!K3)*0.876623376623377</f>
        <v>109.778506493507</v>
      </c>
      <c r="AG138" s="138" t="n">
        <f aca="false">'Price History'!L3+('Price History'!L158-'Price History'!L3)*0.876623376623377</f>
        <v>365.724415584416</v>
      </c>
      <c r="AH138" s="138" t="n">
        <f aca="false">'Price History'!M3+('Price History'!M158-'Price History'!M3)*0.876623376623377</f>
        <v>215.90025974026</v>
      </c>
      <c r="AI138" s="138" t="n">
        <f aca="false">'Price History'!N3+('Price History'!N158-'Price History'!N3)*0.876623376623377</f>
        <v>461.401558441559</v>
      </c>
      <c r="AJ138" s="138" t="n">
        <f aca="false">'Price History'!O3+('Price History'!O158-'Price History'!O3)*0.876623376623377</f>
        <v>120.04512987013</v>
      </c>
      <c r="AK138" s="138" t="n">
        <f aca="false">'Price History'!Q3+('Price History'!Q151-'Price History'!Q3)*0.876623376623377</f>
        <v>66.153961038961</v>
      </c>
      <c r="AL138" s="138" t="n">
        <f aca="false">'Price History'!R3+('Price History'!R158-'Price History'!R3)*0.876623376623377</f>
        <v>56.9631818181818</v>
      </c>
      <c r="AM138" s="138" t="n">
        <f aca="false">'Price History'!S3+('Price History'!S158-'Price History'!S3)*0.876623376623377</f>
        <v>133.307207792208</v>
      </c>
      <c r="AN138" s="138" t="n">
        <f aca="false">'Price History'!T3+('Price History'!T158-'Price History'!T3)*0.876623376623377</f>
        <v>46.9233116883117</v>
      </c>
    </row>
    <row r="139" customFormat="false" ht="15" hidden="false" customHeight="true" outlineLevel="0" collapsed="false">
      <c r="A139" s="136" t="n">
        <f aca="false">IF('Price History'!A140="","",'Price History'!A140)</f>
        <v>46108</v>
      </c>
      <c r="B139" s="137" t="n">
        <f aca="false">IFERROR(IF(OR(NOT(ISNUMBER('Price History'!B140)),NOT(ISNUMBER('Price History'!B139)),'Price History'!B139=0),"",'Price History'!B140/'Price History'!B139-1),"")</f>
        <v>-0.0536369131573645</v>
      </c>
      <c r="C139" s="137" t="n">
        <f aca="false">IFERROR(IF(OR(NOT(ISNUMBER('Price History'!C140)),NOT(ISNUMBER('Price History'!C139)),'Price History'!C139=0),"",'Price History'!C140/'Price History'!C139-1),"")</f>
        <v>-0.0796372504191435</v>
      </c>
      <c r="D139" s="137" t="n">
        <f aca="false">IFERROR(IF(OR(NOT(ISNUMBER('Price History'!D140)),NOT(ISNUMBER('Price History'!D139)),'Price History'!D139=0),"",'Price History'!D140/'Price History'!D139-1),"")</f>
        <v>-0.0112203454165876</v>
      </c>
      <c r="E139" s="137" t="n">
        <f aca="false">IFERROR(IF(OR(NOT(ISNUMBER('Price History'!E140)),NOT(ISNUMBER('Price History'!E139)),'Price History'!E139=0),"",'Price History'!E140/'Price History'!E139-1),"")</f>
        <v>-0.0316575955685807</v>
      </c>
      <c r="F139" s="137" t="n">
        <f aca="false">IFERROR(IF(OR(NOT(ISNUMBER('Price History'!F140)),NOT(ISNUMBER('Price History'!F139)),'Price History'!F139=0),"",'Price History'!F140/'Price History'!F139-1),"")</f>
        <v>-0.0963325183374083</v>
      </c>
      <c r="G139" s="137" t="n">
        <f aca="false">IFERROR(IF(OR(NOT(ISNUMBER('Price History'!G140)),NOT(ISNUMBER('Price History'!G139)),'Price History'!G139=0),"",'Price History'!G140/'Price History'!G139-1),"")</f>
        <v>-0.0370320944818844</v>
      </c>
      <c r="H139" s="137" t="n">
        <f aca="false">IFERROR(IF(OR(NOT(ISNUMBER('Price History'!H140)),NOT(ISNUMBER('Price History'!H139)),'Price History'!H139=0),"",'Price History'!H140/'Price History'!H139-1),"")</f>
        <v>-0.155308583589501</v>
      </c>
      <c r="I139" s="137" t="n">
        <f aca="false">IFERROR(IF(OR(NOT(ISNUMBER('Price History'!I140)),NOT(ISNUMBER('Price History'!I139)),'Price History'!I139=0),"",'Price History'!I140/'Price History'!I139-1),"")</f>
        <v>-0.0299942096120439</v>
      </c>
      <c r="J139" s="137" t="n">
        <f aca="false">IFERROR(IF(OR(NOT(ISNUMBER('Price History'!J140)),NOT(ISNUMBER('Price History'!J139)),'Price History'!J139=0),"",'Price History'!J140/'Price History'!J139-1),"")</f>
        <v>0.00695258182954461</v>
      </c>
      <c r="K139" s="137" t="n">
        <f aca="false">IFERROR(IF(OR(NOT(ISNUMBER('Price History'!K140)),NOT(ISNUMBER('Price History'!K139)),'Price History'!K139=0),"",'Price History'!K140/'Price History'!K139-1),"")</f>
        <v>-0.0505707459516858</v>
      </c>
      <c r="L139" s="137" t="n">
        <f aca="false">IFERROR(IF(OR(NOT(ISNUMBER('Price History'!L140)),NOT(ISNUMBER('Price History'!L139)),'Price History'!L139=0),"",'Price History'!L140/'Price History'!L139-1),"")</f>
        <v>-0.00759324504920422</v>
      </c>
      <c r="M139" s="137" t="n">
        <f aca="false">IFERROR(IF(OR(NOT(ISNUMBER('Price History'!M140)),NOT(ISNUMBER('Price History'!M139)),'Price History'!M139=0),"",'Price History'!M140/'Price History'!M139-1),"")</f>
        <v>-0.0187978740034391</v>
      </c>
      <c r="N139" s="137" t="n">
        <f aca="false">IFERROR(IF(OR(NOT(ISNUMBER('Price History'!N140)),NOT(ISNUMBER('Price History'!N139)),'Price History'!N139=0),"",'Price History'!N140/'Price History'!N139-1),"")</f>
        <v>-0.0461013215859031</v>
      </c>
      <c r="O139" s="137" t="n">
        <f aca="false">IFERROR(IF(OR(NOT(ISNUMBER('Price History'!O140)),NOT(ISNUMBER('Price History'!O139)),'Price History'!O139=0),"",'Price History'!O140/'Price History'!O139-1),"")</f>
        <v>0.0296945701357467</v>
      </c>
      <c r="P139" s="137" t="str">
        <f aca="false">IFERROR(IF(OR(NOT(ISNUMBER('Price History'!P140)),NOT(ISNUMBER('Price History'!P139)),'Price History'!P139=0),"",'Price History'!P140/'Price History'!P139-1),"")</f>
        <v/>
      </c>
      <c r="Q139" s="137" t="n">
        <f aca="false">IFERROR(IF(OR(NOT(ISNUMBER('Price History'!Q140)),NOT(ISNUMBER('Price History'!Q139)),'Price History'!Q139=0),"",'Price History'!Q140/'Price History'!Q139-1),"")</f>
        <v>0.000295508274231526</v>
      </c>
      <c r="R139" s="137" t="n">
        <f aca="false">IFERROR(IF(OR(NOT(ISNUMBER('Price History'!R140)),NOT(ISNUMBER('Price History'!R139)),'Price History'!R139=0),"",'Price History'!R140/'Price History'!R139-1),"")</f>
        <v>-0.0292324246771879</v>
      </c>
      <c r="S139" s="137" t="n">
        <f aca="false">IFERROR(IF(OR(NOT(ISNUMBER('Price History'!S140)),NOT(ISNUMBER('Price History'!S139)),'Price History'!S139=0),"",'Price History'!S140/'Price History'!S139-1),"")</f>
        <v>-0.0304974512216558</v>
      </c>
      <c r="T139" s="137" t="n">
        <f aca="false">IFERROR(IF(OR(NOT(ISNUMBER('Price History'!T140)),NOT(ISNUMBER('Price History'!T139)),'Price History'!T139=0),"",'Price History'!T140/'Price History'!T139-1),"")</f>
        <v>-0.012487257900102</v>
      </c>
      <c r="U139" s="137" t="str">
        <f aca="false">IFERROR(IF(OR(NOT(ISNUMBER('Price History'!U140)),NOT(ISNUMBER('Price History'!U139)),'Price History'!U139=0),"",'Price History'!U140/'Price History'!U139-1),"")</f>
        <v/>
      </c>
      <c r="W139" s="138" t="n">
        <f aca="false">'Price History'!B3+('Price History'!B158-'Price History'!B3)*0.883116883116883</f>
        <v>280.57051948052</v>
      </c>
      <c r="X139" s="138" t="n">
        <f aca="false">'Price History'!C3+('Price History'!C158-'Price History'!C3)*0.883116883116883</f>
        <v>164.382597402597</v>
      </c>
      <c r="Y139" s="138" t="n">
        <f aca="false">'Price History'!D3+('Price History'!D158-'Price History'!D3)*0.883116883116883</f>
        <v>1515.94831168831</v>
      </c>
      <c r="Z139" s="138" t="n">
        <f aca="false">'Price History'!E3+('Price History'!E158-'Price History'!E3)*0.883116883116883</f>
        <v>353.478701298701</v>
      </c>
      <c r="AA139" s="138" t="n">
        <f aca="false">'Price History'!F3+('Price History'!F158-'Price History'!F3)*0.883116883116883</f>
        <v>172.883376623377</v>
      </c>
      <c r="AB139" s="138" t="n">
        <f aca="false">'Price History'!G3+('Price History'!G158-'Price History'!G3)*0.883116883116883</f>
        <v>167.05012987013</v>
      </c>
      <c r="AC139" s="138" t="n">
        <f aca="false">'Price History'!H3+('Price History'!H158-'Price History'!H3)*0.883116883116883</f>
        <v>734.355454545454</v>
      </c>
      <c r="AD139" s="138" t="n">
        <f aca="false">'Price History'!I3+('Price History'!I158-'Price History'!I3)*0.883116883116883</f>
        <v>182.06038961039</v>
      </c>
      <c r="AE139" s="138" t="n">
        <f aca="false">'Price History'!J3+('Price History'!J158-'Price History'!J3)*0.883116883116883</f>
        <v>142.143766233766</v>
      </c>
      <c r="AF139" s="138" t="n">
        <f aca="false">'Price History'!K3+('Price History'!K158-'Price History'!K3)*0.883116883116883</f>
        <v>110.477532467532</v>
      </c>
      <c r="AG139" s="138" t="n">
        <f aca="false">'Price History'!L3+('Price History'!L158-'Price History'!L3)*0.883116883116883</f>
        <v>367.752077922078</v>
      </c>
      <c r="AH139" s="138" t="n">
        <f aca="false">'Price History'!M3+('Price History'!M158-'Price History'!M3)*0.883116883116883</f>
        <v>217.251298701299</v>
      </c>
      <c r="AI139" s="138" t="n">
        <f aca="false">'Price History'!N3+('Price History'!N158-'Price History'!N3)*0.883116883116883</f>
        <v>462.227792207792</v>
      </c>
      <c r="AJ139" s="138" t="n">
        <f aca="false">'Price History'!O3+('Price History'!O158-'Price History'!O3)*0.883116883116883</f>
        <v>120.320649350649</v>
      </c>
      <c r="AK139" s="138" t="n">
        <f aca="false">'Price History'!Q3+('Price History'!Q151-'Price History'!Q3)*0.883116883116883</f>
        <v>66.2748051948052</v>
      </c>
      <c r="AL139" s="138" t="n">
        <f aca="false">'Price History'!R3+('Price History'!R158-'Price History'!R3)*0.883116883116883</f>
        <v>57.0309090909091</v>
      </c>
      <c r="AM139" s="138" t="n">
        <f aca="false">'Price History'!S3+('Price History'!S158-'Price History'!S3)*0.883116883116883</f>
        <v>133.861038961039</v>
      </c>
      <c r="AN139" s="138" t="n">
        <f aca="false">'Price History'!T3+('Price History'!T158-'Price History'!T3)*0.883116883116883</f>
        <v>47.0715584415584</v>
      </c>
    </row>
    <row r="140" customFormat="false" ht="15" hidden="false" customHeight="true" outlineLevel="0" collapsed="false">
      <c r="A140" s="136" t="n">
        <f aca="false">IF('Price History'!A141="","",'Price History'!A141)</f>
        <v>46114</v>
      </c>
      <c r="B140" s="137" t="n">
        <f aca="false">IFERROR(IF(OR(NOT(ISNUMBER('Price History'!B141)),NOT(ISNUMBER('Price History'!B140)),'Price History'!B140=0),"",'Price History'!B141/'Price History'!B140-1),"")</f>
        <v>0.0344064043604155</v>
      </c>
      <c r="C140" s="137" t="n">
        <f aca="false">IFERROR(IF(OR(NOT(ISNUMBER('Price History'!C141)),NOT(ISNUMBER('Price History'!C140)),'Price History'!C140=0),"",'Price History'!C141/'Price History'!C140-1),"")</f>
        <v>0.0489359940382546</v>
      </c>
      <c r="D140" s="137" t="n">
        <f aca="false">IFERROR(IF(OR(NOT(ISNUMBER('Price History'!D141)),NOT(ISNUMBER('Price History'!D140)),'Price History'!D140=0),"",'Price History'!D141/'Price History'!D140-1),"")</f>
        <v>0.0113323147558102</v>
      </c>
      <c r="E140" s="137" t="n">
        <f aca="false">IFERROR(IF(OR(NOT(ISNUMBER('Price History'!E141)),NOT(ISNUMBER('Price History'!E140)),'Price History'!E140=0),"",'Price History'!E141/'Price History'!E140-1),"")</f>
        <v>0.0461287747771717</v>
      </c>
      <c r="F140" s="137" t="n">
        <f aca="false">IFERROR(IF(OR(NOT(ISNUMBER('Price History'!F141)),NOT(ISNUMBER('Price History'!F140)),'Price History'!F140=0),"",'Price History'!F141/'Price History'!F140-1),"")</f>
        <v>0.0798701298701299</v>
      </c>
      <c r="G140" s="137" t="n">
        <f aca="false">IFERROR(IF(OR(NOT(ISNUMBER('Price History'!G141)),NOT(ISNUMBER('Price History'!G140)),'Price History'!G140=0),"",'Price History'!G141/'Price History'!G140-1),"")</f>
        <v>0.0509977827050998</v>
      </c>
      <c r="H140" s="137" t="n">
        <f aca="false">IFERROR(IF(OR(NOT(ISNUMBER('Price History'!H141)),NOT(ISNUMBER('Price History'!H140)),'Price History'!H140=0),"",'Price History'!H141/'Price History'!H140-1),"")</f>
        <v>0.0252505458820895</v>
      </c>
      <c r="I140" s="137" t="n">
        <f aca="false">IFERROR(IF(OR(NOT(ISNUMBER('Price History'!I141)),NOT(ISNUMBER('Price History'!I140)),'Price History'!I140=0),"",'Price History'!I141/'Price History'!I140-1),"")</f>
        <v>0.0589183381088825</v>
      </c>
      <c r="J140" s="137" t="n">
        <f aca="false">IFERROR(IF(OR(NOT(ISNUMBER('Price History'!J141)),NOT(ISNUMBER('Price History'!J140)),'Price History'!J140=0),"",'Price History'!J141/'Price History'!J140-1),"")</f>
        <v>0.0377812257564003</v>
      </c>
      <c r="K140" s="137" t="n">
        <f aca="false">IFERROR(IF(OR(NOT(ISNUMBER('Price History'!K141)),NOT(ISNUMBER('Price History'!K140)),'Price History'!K140=0),"",'Price History'!K141/'Price History'!K140-1),"")</f>
        <v>0.0377464001118413</v>
      </c>
      <c r="L140" s="137" t="n">
        <f aca="false">IFERROR(IF(OR(NOT(ISNUMBER('Price History'!L141)),NOT(ISNUMBER('Price History'!L140)),'Price History'!L140=0),"",'Price History'!L141/'Price History'!L140-1),"")</f>
        <v>0.0376446103935852</v>
      </c>
      <c r="M140" s="137" t="n">
        <f aca="false">IFERROR(IF(OR(NOT(ISNUMBER('Price History'!M141)),NOT(ISNUMBER('Price History'!M140)),'Price History'!M140=0),"",'Price History'!M141/'Price History'!M140-1),"")</f>
        <v>0.0407057792647469</v>
      </c>
      <c r="N140" s="137" t="n">
        <f aca="false">IFERROR(IF(OR(NOT(ISNUMBER('Price History'!N141)),NOT(ISNUMBER('Price History'!N140)),'Price History'!N140=0),"",'Price History'!N141/'Price History'!N140-1),"")</f>
        <v>0.0130232987738703</v>
      </c>
      <c r="O140" s="137" t="n">
        <f aca="false">IFERROR(IF(OR(NOT(ISNUMBER('Price History'!O141)),NOT(ISNUMBER('Price History'!O140)),'Price History'!O140=0),"",'Price History'!O141/'Price History'!O140-1),"")</f>
        <v>0.0200494369678659</v>
      </c>
      <c r="P140" s="137" t="str">
        <f aca="false">IFERROR(IF(OR(NOT(ISNUMBER('Price History'!P141)),NOT(ISNUMBER('Price History'!P140)),'Price History'!P140=0),"",'Price History'!P141/'Price History'!P140-1),"")</f>
        <v/>
      </c>
      <c r="Q140" s="137" t="n">
        <f aca="false">IFERROR(IF(OR(NOT(ISNUMBER('Price History'!Q141)),NOT(ISNUMBER('Price History'!Q140)),'Price History'!Q140=0),"",'Price History'!Q141/'Price History'!Q140-1),"")</f>
        <v>0.000738552437222984</v>
      </c>
      <c r="R140" s="137" t="n">
        <f aca="false">IFERROR(IF(OR(NOT(ISNUMBER('Price History'!R141)),NOT(ISNUMBER('Price History'!R140)),'Price History'!R140=0),"",'Price History'!R141/'Price History'!R140-1),"")</f>
        <v>0.026972104193608</v>
      </c>
      <c r="S140" s="137" t="n">
        <f aca="false">IFERROR(IF(OR(NOT(ISNUMBER('Price History'!S141)),NOT(ISNUMBER('Price History'!S140)),'Price History'!S140=0),"",'Price History'!S141/'Price History'!S140-1),"")</f>
        <v>0.0401595503580816</v>
      </c>
      <c r="T140" s="137" t="n">
        <f aca="false">IFERROR(IF(OR(NOT(ISNUMBER('Price History'!T141)),NOT(ISNUMBER('Price History'!T140)),'Price History'!T140=0),"",'Price History'!T141/'Price History'!T140-1),"")</f>
        <v>0.0281290322580645</v>
      </c>
      <c r="U140" s="137" t="str">
        <f aca="false">IFERROR(IF(OR(NOT(ISNUMBER('Price History'!U141)),NOT(ISNUMBER('Price History'!U140)),'Price History'!U140=0),"",'Price History'!U141/'Price History'!U140-1),"")</f>
        <v/>
      </c>
      <c r="W140" s="138" t="n">
        <f aca="false">'Price History'!B3+('Price History'!B158-'Price History'!B3)*0.88961038961039</f>
        <v>278.894935064935</v>
      </c>
      <c r="X140" s="138" t="n">
        <f aca="false">'Price History'!C3+('Price History'!C158-'Price History'!C3)*0.88961038961039</f>
        <v>165.269675324675</v>
      </c>
      <c r="Y140" s="138" t="n">
        <f aca="false">'Price History'!D3+('Price History'!D158-'Price History'!D3)*0.88961038961039</f>
        <v>1522.22896103896</v>
      </c>
      <c r="Z140" s="138" t="n">
        <f aca="false">'Price History'!E3+('Price History'!E158-'Price History'!E3)*0.88961038961039</f>
        <v>355.467662337662</v>
      </c>
      <c r="AA140" s="138" t="n">
        <f aca="false">'Price History'!F3+('Price History'!F158-'Price History'!F3)*0.88961038961039</f>
        <v>173.882077922078</v>
      </c>
      <c r="AB140" s="138" t="n">
        <f aca="false">'Price History'!G3+('Price History'!G158-'Price History'!G3)*0.88961038961039</f>
        <v>167.926233766234</v>
      </c>
      <c r="AC140" s="138" t="n">
        <f aca="false">'Price History'!H3+('Price History'!H158-'Price History'!H3)*0.88961038961039</f>
        <v>739.281818181818</v>
      </c>
      <c r="AD140" s="138" t="n">
        <f aca="false">'Price History'!I3+('Price History'!I158-'Price History'!I3)*0.88961038961039</f>
        <v>183.098701298701</v>
      </c>
      <c r="AE140" s="138" t="n">
        <f aca="false">'Price History'!J3+('Price History'!J158-'Price History'!J3)*0.88961038961039</f>
        <v>142.280779220779</v>
      </c>
      <c r="AF140" s="138" t="n">
        <f aca="false">'Price History'!K3+('Price History'!K158-'Price History'!K3)*0.88961038961039</f>
        <v>111.176558441558</v>
      </c>
      <c r="AG140" s="138" t="n">
        <f aca="false">'Price History'!L3+('Price History'!L158-'Price History'!L3)*0.88961038961039</f>
        <v>369.77974025974</v>
      </c>
      <c r="AH140" s="138" t="n">
        <f aca="false">'Price History'!M3+('Price History'!M158-'Price History'!M3)*0.88961038961039</f>
        <v>218.602337662338</v>
      </c>
      <c r="AI140" s="138" t="n">
        <f aca="false">'Price History'!N3+('Price History'!N158-'Price History'!N3)*0.88961038961039</f>
        <v>463.054025974026</v>
      </c>
      <c r="AJ140" s="138" t="n">
        <f aca="false">'Price History'!O3+('Price History'!O158-'Price History'!O3)*0.88961038961039</f>
        <v>120.596168831169</v>
      </c>
      <c r="AK140" s="138" t="n">
        <f aca="false">'Price History'!Q3+('Price History'!Q151-'Price History'!Q3)*0.88961038961039</f>
        <v>66.3956493506494</v>
      </c>
      <c r="AL140" s="138" t="n">
        <f aca="false">'Price History'!R3+('Price History'!R158-'Price History'!R3)*0.88961038961039</f>
        <v>57.0986363636364</v>
      </c>
      <c r="AM140" s="138" t="n">
        <f aca="false">'Price History'!S3+('Price History'!S158-'Price History'!S3)*0.88961038961039</f>
        <v>134.41487012987</v>
      </c>
      <c r="AN140" s="138" t="n">
        <f aca="false">'Price History'!T3+('Price History'!T158-'Price History'!T3)*0.88961038961039</f>
        <v>47.2198051948052</v>
      </c>
    </row>
    <row r="141" customFormat="false" ht="15" hidden="false" customHeight="true" outlineLevel="0" collapsed="false">
      <c r="A141" s="136" t="n">
        <f aca="false">IF('Price History'!A142="","",'Price History'!A142)</f>
        <v>46122</v>
      </c>
      <c r="B141" s="137" t="n">
        <f aca="false">IFERROR(IF(OR(NOT(ISNUMBER('Price History'!B142)),NOT(ISNUMBER('Price History'!B141)),'Price History'!B141=0),"",'Price History'!B142/'Price History'!B141-1),"")</f>
        <v>-0.07232833854767</v>
      </c>
      <c r="C141" s="137" t="n">
        <f aca="false">IFERROR(IF(OR(NOT(ISNUMBER('Price History'!C142)),NOT(ISNUMBER('Price History'!C141)),'Price History'!C141=0),"",'Price History'!C142/'Price History'!C141-1),"")</f>
        <v>0.163167035048942</v>
      </c>
      <c r="D141" s="137" t="n">
        <f aca="false">IFERROR(IF(OR(NOT(ISNUMBER('Price History'!D142)),NOT(ISNUMBER('Price History'!D141)),'Price History'!D141=0),"",'Price History'!D142/'Price History'!D141-1),"")</f>
        <v>0.12226414521382</v>
      </c>
      <c r="E141" s="137" t="n">
        <f aca="false">IFERROR(IF(OR(NOT(ISNUMBER('Price History'!E142)),NOT(ISNUMBER('Price History'!E141)),'Price History'!E141=0),"",'Price History'!E142/'Price History'!E141-1),"")</f>
        <v>0.181211254172628</v>
      </c>
      <c r="F141" s="137" t="n">
        <f aca="false">IFERROR(IF(OR(NOT(ISNUMBER('Price History'!F142)),NOT(ISNUMBER('Price History'!F141)),'Price History'!F141=0),"",'Price History'!F142/'Price History'!F141-1),"")</f>
        <v>-0.0503106835037082</v>
      </c>
      <c r="G141" s="137" t="n">
        <f aca="false">IFERROR(IF(OR(NOT(ISNUMBER('Price History'!G142)),NOT(ISNUMBER('Price History'!G141)),'Price History'!G141=0),"",'Price History'!G142/'Price History'!G141-1),"")</f>
        <v>0.145371835443038</v>
      </c>
      <c r="H141" s="137" t="n">
        <f aca="false">IFERROR(IF(OR(NOT(ISNUMBER('Price History'!H142)),NOT(ISNUMBER('Price History'!H141)),'Price History'!H141=0),"",'Price History'!H142/'Price History'!H141-1),"")</f>
        <v>0.1483999563128</v>
      </c>
      <c r="I141" s="137" t="n">
        <f aca="false">IFERROR(IF(OR(NOT(ISNUMBER('Price History'!I142)),NOT(ISNUMBER('Price History'!I141)),'Price History'!I141=0),"",'Price History'!I142/'Price History'!I141-1),"")</f>
        <v>0.0633632110040026</v>
      </c>
      <c r="J141" s="137" t="n">
        <f aca="false">IFERROR(IF(OR(NOT(ISNUMBER('Price History'!J142)),NOT(ISNUMBER('Price History'!J141)),'Price History'!J141=0),"",'Price History'!J142/'Price History'!J141-1),"")</f>
        <v>0.0255662704642297</v>
      </c>
      <c r="K141" s="137" t="n">
        <f aca="false">IFERROR(IF(OR(NOT(ISNUMBER('Price History'!K142)),NOT(ISNUMBER('Price History'!K141)),'Price History'!K141=0),"",'Price History'!K142/'Price History'!K141-1),"")</f>
        <v>-0.13741075037047</v>
      </c>
      <c r="L141" s="137" t="n">
        <f aca="false">IFERROR(IF(OR(NOT(ISNUMBER('Price History'!L142)),NOT(ISNUMBER('Price History'!L141)),'Price History'!L141=0),"",'Price History'!L142/'Price History'!L141-1),"")</f>
        <v>0.0930863614912694</v>
      </c>
      <c r="M141" s="137" t="n">
        <f aca="false">IFERROR(IF(OR(NOT(ISNUMBER('Price History'!M142)),NOT(ISNUMBER('Price History'!M141)),'Price History'!M141=0),"",'Price History'!M142/'Price History'!M141-1),"")</f>
        <v>0.129434727697195</v>
      </c>
      <c r="N141" s="137" t="n">
        <f aca="false">IFERROR(IF(OR(NOT(ISNUMBER('Price History'!N142)),NOT(ISNUMBER('Price History'!N141)),'Price History'!N141=0),"",'Price History'!N142/'Price History'!N141-1),"")</f>
        <v>-0.0055617606163525</v>
      </c>
      <c r="O141" s="137" t="n">
        <f aca="false">IFERROR(IF(OR(NOT(ISNUMBER('Price History'!O142)),NOT(ISNUMBER('Price History'!O141)),'Price History'!O141=0),"",'Price History'!O142/'Price History'!O141-1),"")</f>
        <v>0.0297074133907738</v>
      </c>
      <c r="P141" s="137" t="str">
        <f aca="false">IFERROR(IF(OR(NOT(ISNUMBER('Price History'!P142)),NOT(ISNUMBER('Price History'!P141)),'Price History'!P141=0),"",'Price History'!P142/'Price History'!P141-1),"")</f>
        <v/>
      </c>
      <c r="Q141" s="137" t="n">
        <f aca="false">IFERROR(IF(OR(NOT(ISNUMBER('Price History'!Q142)),NOT(ISNUMBER('Price History'!Q141)),'Price History'!Q141=0),"",'Price History'!Q142/'Price History'!Q141-1),"")</f>
        <v>0.00428044280442808</v>
      </c>
      <c r="R141" s="137" t="n">
        <f aca="false">IFERROR(IF(OR(NOT(ISNUMBER('Price History'!R142)),NOT(ISNUMBER('Price History'!R141)),'Price History'!R141=0),"",'Price History'!R142/'Price History'!R141-1),"")</f>
        <v>0.0365173592372727</v>
      </c>
      <c r="S141" s="137" t="n">
        <f aca="false">IFERROR(IF(OR(NOT(ISNUMBER('Price History'!S142)),NOT(ISNUMBER('Price History'!S141)),'Price History'!S141=0),"",'Price History'!S142/'Price History'!S141-1),"")</f>
        <v>0.0749520655394806</v>
      </c>
      <c r="T141" s="137" t="n">
        <f aca="false">IFERROR(IF(OR(NOT(ISNUMBER('Price History'!T142)),NOT(ISNUMBER('Price History'!T141)),'Price History'!T141=0),"",'Price History'!T142/'Price History'!T141-1),"")</f>
        <v>-0.0050200803212852</v>
      </c>
      <c r="U141" s="137" t="str">
        <f aca="false">IFERROR(IF(OR(NOT(ISNUMBER('Price History'!U142)),NOT(ISNUMBER('Price History'!U141)),'Price History'!U141=0),"",'Price History'!U142/'Price History'!U141-1),"")</f>
        <v/>
      </c>
      <c r="W141" s="138" t="n">
        <f aca="false">'Price History'!B3+('Price History'!B158-'Price History'!B3)*0.896103896103896</f>
        <v>277.219350649351</v>
      </c>
      <c r="X141" s="138" t="n">
        <f aca="false">'Price History'!C3+('Price History'!C158-'Price History'!C3)*0.896103896103896</f>
        <v>166.156753246753</v>
      </c>
      <c r="Y141" s="138" t="n">
        <f aca="false">'Price History'!D3+('Price History'!D158-'Price History'!D3)*0.896103896103896</f>
        <v>1528.50961038961</v>
      </c>
      <c r="Z141" s="138" t="n">
        <f aca="false">'Price History'!E3+('Price History'!E158-'Price History'!E3)*0.896103896103896</f>
        <v>357.456623376623</v>
      </c>
      <c r="AA141" s="138" t="n">
        <f aca="false">'Price History'!F3+('Price History'!F158-'Price History'!F3)*0.896103896103896</f>
        <v>174.880779220779</v>
      </c>
      <c r="AB141" s="138" t="n">
        <f aca="false">'Price History'!G3+('Price History'!G158-'Price History'!G3)*0.896103896103896</f>
        <v>168.802337662338</v>
      </c>
      <c r="AC141" s="138" t="n">
        <f aca="false">'Price History'!H3+('Price History'!H158-'Price History'!H3)*0.896103896103896</f>
        <v>744.208181818182</v>
      </c>
      <c r="AD141" s="138" t="n">
        <f aca="false">'Price History'!I3+('Price History'!I158-'Price History'!I3)*0.896103896103896</f>
        <v>184.137012987013</v>
      </c>
      <c r="AE141" s="138" t="n">
        <f aca="false">'Price History'!J3+('Price History'!J158-'Price History'!J3)*0.896103896103896</f>
        <v>142.417792207792</v>
      </c>
      <c r="AF141" s="138" t="n">
        <f aca="false">'Price History'!K3+('Price History'!K158-'Price History'!K3)*0.896103896103896</f>
        <v>111.875584415584</v>
      </c>
      <c r="AG141" s="138" t="n">
        <f aca="false">'Price History'!L3+('Price History'!L158-'Price History'!L3)*0.896103896103896</f>
        <v>371.807402597403</v>
      </c>
      <c r="AH141" s="138" t="n">
        <f aca="false">'Price History'!M3+('Price History'!M158-'Price History'!M3)*0.896103896103896</f>
        <v>219.953376623377</v>
      </c>
      <c r="AI141" s="138" t="n">
        <f aca="false">'Price History'!N3+('Price History'!N158-'Price History'!N3)*0.896103896103896</f>
        <v>463.88025974026</v>
      </c>
      <c r="AJ141" s="138" t="n">
        <f aca="false">'Price History'!O3+('Price History'!O158-'Price History'!O3)*0.896103896103896</f>
        <v>120.871688311688</v>
      </c>
      <c r="AK141" s="138" t="n">
        <f aca="false">'Price History'!Q3+('Price History'!Q151-'Price History'!Q3)*0.896103896103896</f>
        <v>66.5164935064935</v>
      </c>
      <c r="AL141" s="138" t="n">
        <f aca="false">'Price History'!R3+('Price History'!R158-'Price History'!R3)*0.896103896103896</f>
        <v>57.1663636363636</v>
      </c>
      <c r="AM141" s="138" t="n">
        <f aca="false">'Price History'!S3+('Price History'!S158-'Price History'!S3)*0.896103896103896</f>
        <v>134.968701298701</v>
      </c>
      <c r="AN141" s="138" t="n">
        <f aca="false">'Price History'!T3+('Price History'!T158-'Price History'!T3)*0.896103896103896</f>
        <v>47.3680519480519</v>
      </c>
    </row>
    <row r="142" customFormat="false" ht="15" hidden="false" customHeight="true" outlineLevel="0" collapsed="false">
      <c r="A142" s="136" t="n">
        <f aca="false">IF('Price History'!A143="","",'Price History'!A143)</f>
        <v>46129</v>
      </c>
      <c r="B142" s="137" t="n">
        <f aca="false">IFERROR(IF(OR(NOT(ISNUMBER('Price History'!B143)),NOT(ISNUMBER('Price History'!B142)),'Price History'!B142=0),"",'Price History'!B143/'Price History'!B142-1),"")</f>
        <v>0.0847570445972932</v>
      </c>
      <c r="C142" s="137" t="n">
        <f aca="false">IFERROR(IF(OR(NOT(ISNUMBER('Price History'!C143)),NOT(ISNUMBER('Price History'!C142)),'Price History'!C142=0),"",'Price History'!C143/'Price History'!C142-1),"")</f>
        <v>0.114557176789956</v>
      </c>
      <c r="D142" s="137" t="n">
        <f aca="false">IFERROR(IF(OR(NOT(ISNUMBER('Price History'!D143)),NOT(ISNUMBER('Price History'!D142)),'Price History'!D142=0),"",'Price History'!D143/'Price History'!D142-1),"")</f>
        <v>-0.012501014692751</v>
      </c>
      <c r="E142" s="137" t="n">
        <f aca="false">IFERROR(IF(OR(NOT(ISNUMBER('Price History'!E143)),NOT(ISNUMBER('Price History'!E142)),'Price History'!E142=0),"",'Price History'!E143/'Price History'!E142-1),"")</f>
        <v>0.0941730588076974</v>
      </c>
      <c r="F142" s="137" t="n">
        <f aca="false">IFERROR(IF(OR(NOT(ISNUMBER('Price History'!F143)),NOT(ISNUMBER('Price History'!F142)),'Price History'!F142=0),"",'Price History'!F143/'Price History'!F142-1),"")</f>
        <v>0.118509919797383</v>
      </c>
      <c r="G142" s="137" t="n">
        <f aca="false">IFERROR(IF(OR(NOT(ISNUMBER('Price History'!G143)),NOT(ISNUMBER('Price History'!G142)),'Price History'!G142=0),"",'Price History'!G143/'Price History'!G142-1),"")</f>
        <v>0.0311402751395844</v>
      </c>
      <c r="H142" s="137" t="n">
        <f aca="false">IFERROR(IF(OR(NOT(ISNUMBER('Price History'!H143)),NOT(ISNUMBER('Price History'!H142)),'Price History'!H142=0),"",'Price History'!H143/'Price History'!H142-1),"")</f>
        <v>0.0819800756080744</v>
      </c>
      <c r="I142" s="137" t="n">
        <f aca="false">IFERROR(IF(OR(NOT(ISNUMBER('Price History'!I143)),NOT(ISNUMBER('Price History'!I142)),'Price History'!I142=0),"",'Price History'!I143/'Price History'!I142-1),"")</f>
        <v>0.0691830567778191</v>
      </c>
      <c r="J142" s="137" t="n">
        <f aca="false">IFERROR(IF(OR(NOT(ISNUMBER('Price History'!J143)),NOT(ISNUMBER('Price History'!J142)),'Price History'!J142=0),"",'Price History'!J143/'Price History'!J142-1),"")</f>
        <v>0.0576572636489541</v>
      </c>
      <c r="K142" s="137" t="n">
        <f aca="false">IFERROR(IF(OR(NOT(ISNUMBER('Price History'!K143)),NOT(ISNUMBER('Price History'!K142)),'Price History'!K142=0),"",'Price History'!K143/'Price History'!K142-1),"")</f>
        <v>0.143136029985944</v>
      </c>
      <c r="L142" s="137" t="n">
        <f aca="false">IFERROR(IF(OR(NOT(ISNUMBER('Price History'!L143)),NOT(ISNUMBER('Price History'!L142)),'Price History'!L142=0),"",'Price History'!L143/'Price History'!L142-1),"")</f>
        <v>-0.000269832703723716</v>
      </c>
      <c r="M142" s="137" t="n">
        <f aca="false">IFERROR(IF(OR(NOT(ISNUMBER('Price History'!M143)),NOT(ISNUMBER('Price History'!M142)),'Price History'!M142=0),"",'Price History'!M143/'Price History'!M142-1),"")</f>
        <v>0.041442174104571</v>
      </c>
      <c r="N142" s="137" t="n">
        <f aca="false">IFERROR(IF(OR(NOT(ISNUMBER('Price History'!N143)),NOT(ISNUMBER('Price History'!N142)),'Price History'!N142=0),"",'Price History'!N143/'Price History'!N142-1),"")</f>
        <v>0.0113003415316204</v>
      </c>
      <c r="O142" s="137" t="n">
        <f aca="false">IFERROR(IF(OR(NOT(ISNUMBER('Price History'!O143)),NOT(ISNUMBER('Price History'!O142)),'Price History'!O142=0),"",'Price History'!O143/'Price History'!O142-1),"")</f>
        <v>0.0243179639152793</v>
      </c>
      <c r="P142" s="137" t="str">
        <f aca="false">IFERROR(IF(OR(NOT(ISNUMBER('Price History'!P143)),NOT(ISNUMBER('Price History'!P142)),'Price History'!P142=0),"",'Price History'!P143/'Price History'!P142-1),"")</f>
        <v/>
      </c>
      <c r="Q142" s="137" t="n">
        <f aca="false">IFERROR(IF(OR(NOT(ISNUMBER('Price History'!Q143)),NOT(ISNUMBER('Price History'!Q142)),'Price History'!Q142=0),"",'Price History'!Q143/'Price History'!Q142-1),"")</f>
        <v>-0.0105820105820108</v>
      </c>
      <c r="R142" s="137" t="n">
        <f aca="false">IFERROR(IF(OR(NOT(ISNUMBER('Price History'!R143)),NOT(ISNUMBER('Price History'!R142)),'Price History'!R142=0),"",'Price History'!R143/'Price History'!R142-1),"")</f>
        <v>0.0180492884415133</v>
      </c>
      <c r="S142" s="137" t="n">
        <f aca="false">IFERROR(IF(OR(NOT(ISNUMBER('Price History'!S143)),NOT(ISNUMBER('Price History'!S142)),'Price History'!S142=0),"",'Price History'!S143/'Price History'!S142-1),"")</f>
        <v>0.0402140424841901</v>
      </c>
      <c r="T142" s="137" t="n">
        <f aca="false">IFERROR(IF(OR(NOT(ISNUMBER('Price History'!T143)),NOT(ISNUMBER('Price History'!T142)),'Price History'!T142=0),"",'Price History'!T143/'Price History'!T142-1),"")</f>
        <v>0.0534813319878908</v>
      </c>
      <c r="U142" s="137" t="str">
        <f aca="false">IFERROR(IF(OR(NOT(ISNUMBER('Price History'!U143)),NOT(ISNUMBER('Price History'!U142)),'Price History'!U142=0),"",'Price History'!U143/'Price History'!U142-1),"")</f>
        <v/>
      </c>
      <c r="W142" s="138" t="n">
        <f aca="false">'Price History'!B3+('Price History'!B158-'Price History'!B3)*0.902597402597403</f>
        <v>275.543766233766</v>
      </c>
      <c r="X142" s="138" t="n">
        <f aca="false">'Price History'!C3+('Price History'!C158-'Price History'!C3)*0.902597402597403</f>
        <v>167.043831168831</v>
      </c>
      <c r="Y142" s="138" t="n">
        <f aca="false">'Price History'!D3+('Price History'!D158-'Price History'!D3)*0.902597402597403</f>
        <v>1534.79025974026</v>
      </c>
      <c r="Z142" s="138" t="n">
        <f aca="false">'Price History'!E3+('Price History'!E158-'Price History'!E3)*0.902597402597403</f>
        <v>359.445584415585</v>
      </c>
      <c r="AA142" s="138" t="n">
        <f aca="false">'Price History'!F3+('Price History'!F158-'Price History'!F3)*0.902597402597403</f>
        <v>175.879480519481</v>
      </c>
      <c r="AB142" s="138" t="n">
        <f aca="false">'Price History'!G3+('Price History'!G158-'Price History'!G3)*0.902597402597403</f>
        <v>169.678441558442</v>
      </c>
      <c r="AC142" s="138" t="n">
        <f aca="false">'Price History'!H3+('Price History'!H158-'Price History'!H3)*0.902597402597403</f>
        <v>749.134545454546</v>
      </c>
      <c r="AD142" s="138" t="n">
        <f aca="false">'Price History'!I3+('Price History'!I158-'Price History'!I3)*0.902597402597403</f>
        <v>185.175324675325</v>
      </c>
      <c r="AE142" s="138" t="n">
        <f aca="false">'Price History'!J3+('Price History'!J158-'Price History'!J3)*0.902597402597403</f>
        <v>142.554805194805</v>
      </c>
      <c r="AF142" s="138" t="n">
        <f aca="false">'Price History'!K3+('Price History'!K158-'Price History'!K3)*0.902597402597403</f>
        <v>112.57461038961</v>
      </c>
      <c r="AG142" s="138" t="n">
        <f aca="false">'Price History'!L3+('Price History'!L158-'Price History'!L3)*0.902597402597403</f>
        <v>373.835064935065</v>
      </c>
      <c r="AH142" s="138" t="n">
        <f aca="false">'Price History'!M3+('Price History'!M158-'Price History'!M3)*0.902597402597403</f>
        <v>221.304415584416</v>
      </c>
      <c r="AI142" s="138" t="n">
        <f aca="false">'Price History'!N3+('Price History'!N158-'Price History'!N3)*0.902597402597403</f>
        <v>464.706493506494</v>
      </c>
      <c r="AJ142" s="138" t="n">
        <f aca="false">'Price History'!O3+('Price History'!O158-'Price History'!O3)*0.902597402597403</f>
        <v>121.147207792208</v>
      </c>
      <c r="AK142" s="138" t="n">
        <f aca="false">'Price History'!Q3+('Price History'!Q151-'Price History'!Q3)*0.902597402597403</f>
        <v>66.6373376623377</v>
      </c>
      <c r="AL142" s="138" t="n">
        <f aca="false">'Price History'!R3+('Price History'!R158-'Price History'!R3)*0.902597402597403</f>
        <v>57.2340909090909</v>
      </c>
      <c r="AM142" s="138" t="n">
        <f aca="false">'Price History'!S3+('Price History'!S158-'Price History'!S3)*0.902597402597403</f>
        <v>135.522532467533</v>
      </c>
      <c r="AN142" s="138" t="n">
        <f aca="false">'Price History'!T3+('Price History'!T158-'Price History'!T3)*0.902597402597403</f>
        <v>47.5162987012987</v>
      </c>
    </row>
    <row r="143" customFormat="false" ht="15" hidden="false" customHeight="true" outlineLevel="0" collapsed="false">
      <c r="A143" s="136" t="n">
        <f aca="false">IF('Price History'!A144="","",'Price History'!A144)</f>
        <v>46136</v>
      </c>
      <c r="B143" s="137" t="n">
        <f aca="false">IFERROR(IF(OR(NOT(ISNUMBER('Price History'!B144)),NOT(ISNUMBER('Price History'!B143)),'Price History'!B143=0),"",'Price History'!B144/'Price History'!B143-1),"")</f>
        <v>0.0040499079566374</v>
      </c>
      <c r="C143" s="137" t="n">
        <f aca="false">IFERROR(IF(OR(NOT(ISNUMBER('Price History'!C144)),NOT(ISNUMBER('Price History'!C143)),'Price History'!C143=0),"",'Price History'!C144/'Price History'!C143-1),"")</f>
        <v>0.0772087925470377</v>
      </c>
      <c r="D143" s="137" t="n">
        <f aca="false">IFERROR(IF(OR(NOT(ISNUMBER('Price History'!D144)),NOT(ISNUMBER('Price History'!D143)),'Price History'!D143=0),"",'Price History'!D144/'Price History'!D143-1),"")</f>
        <v>-0.00143855322646935</v>
      </c>
      <c r="E143" s="137" t="n">
        <f aca="false">IFERROR(IF(OR(NOT(ISNUMBER('Price History'!E144)),NOT(ISNUMBER('Price History'!E143)),'Price History'!E143=0),"",'Price History'!E144/'Price History'!E143-1),"")</f>
        <v>0.0398976730457026</v>
      </c>
      <c r="F143" s="137" t="n">
        <f aca="false">IFERROR(IF(OR(NOT(ISNUMBER('Price History'!F144)),NOT(ISNUMBER('Price History'!F143)),'Price History'!F143=0),"",'Price History'!F144/'Price History'!F143-1),"")</f>
        <v>0.0569865081611474</v>
      </c>
      <c r="G143" s="137" t="n">
        <f aca="false">IFERROR(IF(OR(NOT(ISNUMBER('Price History'!G144)),NOT(ISNUMBER('Price History'!G143)),'Price History'!G143=0),"",'Price History'!G144/'Price History'!G143-1),"")</f>
        <v>0.0801607681143242</v>
      </c>
      <c r="H143" s="137" t="n">
        <f aca="false">IFERROR(IF(OR(NOT(ISNUMBER('Price History'!H144)),NOT(ISNUMBER('Price History'!H143)),'Price History'!H143=0),"",'Price History'!H144/'Price History'!H143-1),"")</f>
        <v>0.0915243808644826</v>
      </c>
      <c r="I143" s="137" t="n">
        <f aca="false">IFERROR(IF(OR(NOT(ISNUMBER('Price History'!I144)),NOT(ISNUMBER('Price History'!I143)),'Price History'!I143=0),"",'Price History'!I144/'Price History'!I143-1),"")</f>
        <v>0.0326755255850852</v>
      </c>
      <c r="J143" s="137" t="n">
        <f aca="false">IFERROR(IF(OR(NOT(ISNUMBER('Price History'!J144)),NOT(ISNUMBER('Price History'!J143)),'Price History'!J143=0),"",'Price History'!J144/'Price History'!J143-1),"")</f>
        <v>-0.0206753962784286</v>
      </c>
      <c r="K143" s="137" t="n">
        <f aca="false">IFERROR(IF(OR(NOT(ISNUMBER('Price History'!K144)),NOT(ISNUMBER('Price History'!K143)),'Price History'!K143=0),"",'Price History'!K144/'Price History'!K143-1),"")</f>
        <v>-0.0225425233964067</v>
      </c>
      <c r="L143" s="137" t="n">
        <f aca="false">IFERROR(IF(OR(NOT(ISNUMBER('Price History'!L144)),NOT(ISNUMBER('Price History'!L143)),'Price History'!L143=0),"",'Price History'!L144/'Price History'!L143-1),"")</f>
        <v>0.0862618083670714</v>
      </c>
      <c r="M143" s="137" t="n">
        <f aca="false">IFERROR(IF(OR(NOT(ISNUMBER('Price History'!M144)),NOT(ISNUMBER('Price History'!M143)),'Price History'!M143=0),"",'Price History'!M144/'Price History'!M143-1),"")</f>
        <v>0.0524500553133338</v>
      </c>
      <c r="N143" s="137" t="n">
        <f aca="false">IFERROR(IF(OR(NOT(ISNUMBER('Price History'!N144)),NOT(ISNUMBER('Price History'!N143)),'Price History'!N143=0),"",'Price History'!N144/'Price History'!N143-1),"")</f>
        <v>-0.0247280145058929</v>
      </c>
      <c r="O143" s="137" t="n">
        <f aca="false">IFERROR(IF(OR(NOT(ISNUMBER('Price History'!O144)),NOT(ISNUMBER('Price History'!O143)),'Price History'!O143=0),"",'Price History'!O144/'Price History'!O143-1),"")</f>
        <v>0.0122532334921714</v>
      </c>
      <c r="P143" s="137" t="str">
        <f aca="false">IFERROR(IF(OR(NOT(ISNUMBER('Price History'!P144)),NOT(ISNUMBER('Price History'!P143)),'Price History'!P143=0),"",'Price History'!P144/'Price History'!P143-1),"")</f>
        <v/>
      </c>
      <c r="Q143" s="137" t="n">
        <f aca="false">IFERROR(IF(OR(NOT(ISNUMBER('Price History'!Q144)),NOT(ISNUMBER('Price History'!Q143)),'Price History'!Q143=0),"",'Price History'!Q144/'Price History'!Q143-1),"")</f>
        <v>0.000445632798574014</v>
      </c>
      <c r="R143" s="137" t="n">
        <f aca="false">IFERROR(IF(OR(NOT(ISNUMBER('Price History'!R144)),NOT(ISNUMBER('Price History'!R143)),'Price History'!R143=0),"",'Price History'!R144/'Price History'!R143-1),"")</f>
        <v>0.00562563927719073</v>
      </c>
      <c r="S143" s="137" t="n">
        <f aca="false">IFERROR(IF(OR(NOT(ISNUMBER('Price History'!S144)),NOT(ISNUMBER('Price History'!S143)),'Price History'!S143=0),"",'Price History'!S144/'Price History'!S143-1),"")</f>
        <v>0.0250974279033516</v>
      </c>
      <c r="T143" s="137" t="n">
        <f aca="false">IFERROR(IF(OR(NOT(ISNUMBER('Price History'!T144)),NOT(ISNUMBER('Price History'!T143)),'Price History'!T143=0),"",'Price History'!T144/'Price History'!T143-1),"")</f>
        <v>-0.00574712643678144</v>
      </c>
      <c r="U143" s="137" t="str">
        <f aca="false">IFERROR(IF(OR(NOT(ISNUMBER('Price History'!U144)),NOT(ISNUMBER('Price History'!U143)),'Price History'!U143=0),"",'Price History'!U144/'Price History'!U143-1),"")</f>
        <v/>
      </c>
      <c r="W143" s="138" t="n">
        <f aca="false">'Price History'!B3+('Price History'!B158-'Price History'!B3)*0.909090909090909</f>
        <v>273.868181818182</v>
      </c>
      <c r="X143" s="138" t="n">
        <f aca="false">'Price History'!C3+('Price History'!C158-'Price History'!C3)*0.909090909090909</f>
        <v>167.930909090909</v>
      </c>
      <c r="Y143" s="138" t="n">
        <f aca="false">'Price History'!D3+('Price History'!D158-'Price History'!D3)*0.909090909090909</f>
        <v>1541.07090909091</v>
      </c>
      <c r="Z143" s="138" t="n">
        <f aca="false">'Price History'!E3+('Price History'!E158-'Price History'!E3)*0.909090909090909</f>
        <v>361.434545454545</v>
      </c>
      <c r="AA143" s="138" t="n">
        <f aca="false">'Price History'!F3+('Price History'!F158-'Price History'!F3)*0.909090909090909</f>
        <v>176.878181818182</v>
      </c>
      <c r="AB143" s="138" t="n">
        <f aca="false">'Price History'!G3+('Price History'!G158-'Price History'!G3)*0.909090909090909</f>
        <v>170.554545454545</v>
      </c>
      <c r="AC143" s="138" t="n">
        <f aca="false">'Price History'!H3+('Price History'!H158-'Price History'!H3)*0.909090909090909</f>
        <v>754.060909090909</v>
      </c>
      <c r="AD143" s="138" t="n">
        <f aca="false">'Price History'!I3+('Price History'!I158-'Price History'!I3)*0.909090909090909</f>
        <v>186.213636363636</v>
      </c>
      <c r="AE143" s="138" t="n">
        <f aca="false">'Price History'!J3+('Price History'!J158-'Price History'!J3)*0.909090909090909</f>
        <v>142.691818181818</v>
      </c>
      <c r="AF143" s="138" t="n">
        <f aca="false">'Price History'!K3+('Price History'!K158-'Price History'!K3)*0.909090909090909</f>
        <v>113.273636363636</v>
      </c>
      <c r="AG143" s="138" t="n">
        <f aca="false">'Price History'!L3+('Price History'!L158-'Price History'!L3)*0.909090909090909</f>
        <v>375.862727272727</v>
      </c>
      <c r="AH143" s="138" t="n">
        <f aca="false">'Price History'!M3+('Price History'!M158-'Price History'!M3)*0.909090909090909</f>
        <v>222.655454545455</v>
      </c>
      <c r="AI143" s="138" t="n">
        <f aca="false">'Price History'!N3+('Price History'!N158-'Price History'!N3)*0.909090909090909</f>
        <v>465.532727272727</v>
      </c>
      <c r="AJ143" s="138" t="n">
        <f aca="false">'Price History'!O3+('Price History'!O158-'Price History'!O3)*0.909090909090909</f>
        <v>121.422727272727</v>
      </c>
      <c r="AK143" s="138" t="n">
        <f aca="false">'Price History'!Q3+('Price History'!Q151-'Price History'!Q3)*0.909090909090909</f>
        <v>66.7581818181818</v>
      </c>
      <c r="AL143" s="138" t="n">
        <f aca="false">'Price History'!R3+('Price History'!R158-'Price History'!R3)*0.909090909090909</f>
        <v>57.3018181818182</v>
      </c>
      <c r="AM143" s="138" t="n">
        <f aca="false">'Price History'!S3+('Price History'!S158-'Price History'!S3)*0.909090909090909</f>
        <v>136.076363636364</v>
      </c>
      <c r="AN143" s="138" t="n">
        <f aca="false">'Price History'!T3+('Price History'!T158-'Price History'!T3)*0.909090909090909</f>
        <v>47.6645454545455</v>
      </c>
    </row>
    <row r="144" customFormat="false" ht="15" hidden="false" customHeight="true" outlineLevel="0" collapsed="false">
      <c r="A144" s="136" t="n">
        <f aca="false">IF('Price History'!A145="","",'Price History'!A145)</f>
        <v>46143</v>
      </c>
      <c r="B144" s="137" t="n">
        <f aca="false">IFERROR(IF(OR(NOT(ISNUMBER('Price History'!B145)),NOT(ISNUMBER('Price History'!B144)),'Price History'!B144=0),"",'Price History'!B145/'Price History'!B144-1),"")</f>
        <v>0.0214716427640156</v>
      </c>
      <c r="C144" s="137" t="n">
        <f aca="false">IFERROR(IF(OR(NOT(ISNUMBER('Price History'!C145)),NOT(ISNUMBER('Price History'!C144)),'Price History'!C144=0),"",'Price History'!C145/'Price History'!C144-1),"")</f>
        <v>-0.0237974111129954</v>
      </c>
      <c r="D144" s="137" t="n">
        <f aca="false">IFERROR(IF(OR(NOT(ISNUMBER('Price History'!D145)),NOT(ISNUMBER('Price History'!D144)),'Price History'!D144=0),"",'Price History'!D145/'Price History'!D144-1),"")</f>
        <v>-0.0210468546340126</v>
      </c>
      <c r="E144" s="137" t="n">
        <f aca="false">IFERROR(IF(OR(NOT(ISNUMBER('Price History'!E145)),NOT(ISNUMBER('Price History'!E144)),'Price History'!E144=0),"",'Price History'!E145/'Price History'!E144-1),"")</f>
        <v>-0.00350080423881172</v>
      </c>
      <c r="F144" s="137" t="n">
        <f aca="false">IFERROR(IF(OR(NOT(ISNUMBER('Price History'!F145)),NOT(ISNUMBER('Price History'!F144)),'Price History'!F144=0),"",'Price History'!F145/'Price History'!F144-1),"")</f>
        <v>0.0167812193162544</v>
      </c>
      <c r="G144" s="137" t="n">
        <f aca="false">IFERROR(IF(OR(NOT(ISNUMBER('Price History'!G145)),NOT(ISNUMBER('Price History'!G144)),'Price History'!G144=0),"",'Price History'!G145/'Price History'!G144-1),"")</f>
        <v>-0.107855297157623</v>
      </c>
      <c r="H144" s="137" t="n">
        <f aca="false">IFERROR(IF(OR(NOT(ISNUMBER('Price History'!H145)),NOT(ISNUMBER('Price History'!H144)),'Price History'!H144=0),"",'Price History'!H145/'Price History'!H144-1),"")</f>
        <v>0.0915807698502174</v>
      </c>
      <c r="I144" s="137" t="n">
        <f aca="false">IFERROR(IF(OR(NOT(ISNUMBER('Price History'!I145)),NOT(ISNUMBER('Price History'!I144)),'Price History'!I144=0),"",'Price History'!I145/'Price History'!I144-1),"")</f>
        <v>-0.0471503337014454</v>
      </c>
      <c r="J144" s="137" t="n">
        <f aca="false">IFERROR(IF(OR(NOT(ISNUMBER('Price History'!J145)),NOT(ISNUMBER('Price History'!J144)),'Price History'!J144=0),"",'Price History'!J145/'Price History'!J144-1),"")</f>
        <v>-0.00485573539760731</v>
      </c>
      <c r="K144" s="137" t="n">
        <f aca="false">IFERROR(IF(OR(NOT(ISNUMBER('Price History'!K145)),NOT(ISNUMBER('Price History'!K144)),'Price History'!K144=0),"",'Price History'!K145/'Price History'!K144-1),"")</f>
        <v>0.00684883639667344</v>
      </c>
      <c r="L144" s="137" t="n">
        <f aca="false">IFERROR(IF(OR(NOT(ISNUMBER('Price History'!L145)),NOT(ISNUMBER('Price History'!L144)),'Price History'!L144=0),"",'Price History'!L145/'Price History'!L144-1),"")</f>
        <v>-0.0119018039059782</v>
      </c>
      <c r="M144" s="137" t="n">
        <f aca="false">IFERROR(IF(OR(NOT(ISNUMBER('Price History'!M145)),NOT(ISNUMBER('Price History'!M144)),'Price History'!M144=0),"",'Price History'!M145/'Price History'!M144-1),"")</f>
        <v>0.01499412601249</v>
      </c>
      <c r="N144" s="137" t="n">
        <f aca="false">IFERROR(IF(OR(NOT(ISNUMBER('Price History'!N145)),NOT(ISNUMBER('Price History'!N144)),'Price History'!N144=0),"",'Price History'!N145/'Price History'!N144-1),"")</f>
        <v>-0.0148039694159753</v>
      </c>
      <c r="O144" s="137" t="n">
        <f aca="false">IFERROR(IF(OR(NOT(ISNUMBER('Price History'!O145)),NOT(ISNUMBER('Price History'!O144)),'Price History'!O144=0),"",'Price History'!O145/'Price History'!O144-1),"")</f>
        <v>0.00840618695359785</v>
      </c>
      <c r="P144" s="137" t="str">
        <f aca="false">IFERROR(IF(OR(NOT(ISNUMBER('Price History'!P145)),NOT(ISNUMBER('Price History'!P144)),'Price History'!P144=0),"",'Price History'!P145/'Price History'!P144-1),"")</f>
        <v/>
      </c>
      <c r="Q144" s="137" t="n">
        <f aca="false">IFERROR(IF(OR(NOT(ISNUMBER('Price History'!Q145)),NOT(ISNUMBER('Price History'!Q144)),'Price History'!Q144=0),"",'Price History'!Q145/'Price History'!Q144-1),"")</f>
        <v>0.00846325167037865</v>
      </c>
      <c r="R144" s="137" t="n">
        <f aca="false">IFERROR(IF(OR(NOT(ISNUMBER('Price History'!R145)),NOT(ISNUMBER('Price History'!R144)),'Price History'!R144=0),"",'Price History'!R145/'Price History'!R144-1),"")</f>
        <v>-0.00220376334972039</v>
      </c>
      <c r="S144" s="137" t="n">
        <f aca="false">IFERROR(IF(OR(NOT(ISNUMBER('Price History'!S145)),NOT(ISNUMBER('Price History'!S144)),'Price History'!S144=0),"",'Price History'!S145/'Price History'!S144-1),"")</f>
        <v>0.0220498783454985</v>
      </c>
      <c r="T144" s="137" t="n">
        <f aca="false">IFERROR(IF(OR(NOT(ISNUMBER('Price History'!T145)),NOT(ISNUMBER('Price History'!T144)),'Price History'!T144=0),"",'Price History'!T145/'Price History'!T144-1),"")</f>
        <v>0.0257707129094413</v>
      </c>
      <c r="U144" s="137" t="str">
        <f aca="false">IFERROR(IF(OR(NOT(ISNUMBER('Price History'!U145)),NOT(ISNUMBER('Price History'!U144)),'Price History'!U144=0),"",'Price History'!U145/'Price History'!U144-1),"")</f>
        <v/>
      </c>
      <c r="W144" s="138" t="n">
        <f aca="false">'Price History'!B3+('Price History'!B158-'Price History'!B3)*0.915584415584416</f>
        <v>272.192597402597</v>
      </c>
      <c r="X144" s="138" t="n">
        <f aca="false">'Price History'!C3+('Price History'!C158-'Price History'!C3)*0.915584415584416</f>
        <v>168.817987012987</v>
      </c>
      <c r="Y144" s="138" t="n">
        <f aca="false">'Price History'!D3+('Price History'!D158-'Price History'!D3)*0.915584415584416</f>
        <v>1547.35155844156</v>
      </c>
      <c r="Z144" s="138" t="n">
        <f aca="false">'Price History'!E3+('Price History'!E158-'Price History'!E3)*0.915584415584416</f>
        <v>363.423506493507</v>
      </c>
      <c r="AA144" s="138" t="n">
        <f aca="false">'Price History'!F3+('Price History'!F158-'Price History'!F3)*0.915584415584416</f>
        <v>177.876883116883</v>
      </c>
      <c r="AB144" s="138" t="n">
        <f aca="false">'Price History'!G3+('Price History'!G158-'Price History'!G3)*0.915584415584416</f>
        <v>171.430649350649</v>
      </c>
      <c r="AC144" s="138" t="n">
        <f aca="false">'Price History'!H3+('Price History'!H158-'Price History'!H3)*0.915584415584416</f>
        <v>758.987272727273</v>
      </c>
      <c r="AD144" s="138" t="n">
        <f aca="false">'Price History'!I3+('Price History'!I158-'Price History'!I3)*0.915584415584416</f>
        <v>187.251948051948</v>
      </c>
      <c r="AE144" s="138" t="n">
        <f aca="false">'Price History'!J3+('Price History'!J158-'Price History'!J3)*0.915584415584416</f>
        <v>142.828831168831</v>
      </c>
      <c r="AF144" s="138" t="n">
        <f aca="false">'Price History'!K3+('Price History'!K158-'Price History'!K3)*0.915584415584416</f>
        <v>113.972662337662</v>
      </c>
      <c r="AG144" s="138" t="n">
        <f aca="false">'Price History'!L3+('Price History'!L158-'Price History'!L3)*0.915584415584416</f>
        <v>377.89038961039</v>
      </c>
      <c r="AH144" s="138" t="n">
        <f aca="false">'Price History'!M3+('Price History'!M158-'Price History'!M3)*0.915584415584416</f>
        <v>224.006493506494</v>
      </c>
      <c r="AI144" s="138" t="n">
        <f aca="false">'Price History'!N3+('Price History'!N158-'Price History'!N3)*0.915584415584416</f>
        <v>466.358961038961</v>
      </c>
      <c r="AJ144" s="138" t="n">
        <f aca="false">'Price History'!O3+('Price History'!O158-'Price History'!O3)*0.915584415584416</f>
        <v>121.698246753247</v>
      </c>
      <c r="AK144" s="138" t="n">
        <f aca="false">'Price History'!Q3+('Price History'!Q151-'Price History'!Q3)*0.915584415584416</f>
        <v>66.879025974026</v>
      </c>
      <c r="AL144" s="138" t="n">
        <f aca="false">'Price History'!R3+('Price History'!R158-'Price History'!R3)*0.915584415584416</f>
        <v>57.3695454545455</v>
      </c>
      <c r="AM144" s="138" t="n">
        <f aca="false">'Price History'!S3+('Price History'!S158-'Price History'!S3)*0.915584415584416</f>
        <v>136.630194805195</v>
      </c>
      <c r="AN144" s="138" t="n">
        <f aca="false">'Price History'!T3+('Price History'!T158-'Price History'!T3)*0.915584415584416</f>
        <v>47.8127922077922</v>
      </c>
    </row>
    <row r="145" customFormat="false" ht="15" hidden="false" customHeight="true" outlineLevel="0" collapsed="false">
      <c r="A145" s="136" t="n">
        <f aca="false">IF('Price History'!A146="","",'Price History'!A146)</f>
        <v>46150</v>
      </c>
      <c r="B145" s="137" t="n">
        <f aca="false">IFERROR(IF(OR(NOT(ISNUMBER('Price History'!B146)),NOT(ISNUMBER('Price History'!B145)),'Price History'!B145=0),"",'Price History'!B146/'Price History'!B145-1),"")</f>
        <v>0.00929360615850983</v>
      </c>
      <c r="C145" s="137" t="n">
        <f aca="false">IFERROR(IF(OR(NOT(ISNUMBER('Price History'!C146)),NOT(ISNUMBER('Price History'!C145)),'Price History'!C145=0),"",'Price History'!C146/'Price History'!C145-1),"")</f>
        <v>-0.179096699478865</v>
      </c>
      <c r="D145" s="137" t="n">
        <f aca="false">IFERROR(IF(OR(NOT(ISNUMBER('Price History'!D146)),NOT(ISNUMBER('Price History'!D145)),'Price History'!D145=0),"",'Price History'!D146/'Price History'!D145-1),"")</f>
        <v>0.115625569368334</v>
      </c>
      <c r="E145" s="137" t="n">
        <f aca="false">IFERROR(IF(OR(NOT(ISNUMBER('Price History'!E146)),NOT(ISNUMBER('Price History'!E145)),'Price History'!E145=0),"",'Price History'!E146/'Price History'!E145-1),"")</f>
        <v>0.0206988226357767</v>
      </c>
      <c r="F145" s="137" t="n">
        <f aca="false">IFERROR(IF(OR(NOT(ISNUMBER('Price History'!F146)),NOT(ISNUMBER('Price History'!F145)),'Price History'!F145=0),"",'Price History'!F146/'Price History'!F145-1),"")</f>
        <v>0.158282854885436</v>
      </c>
      <c r="G145" s="137" t="n">
        <f aca="false">IFERROR(IF(OR(NOT(ISNUMBER('Price History'!G146)),NOT(ISNUMBER('Price History'!G145)),'Price History'!G145=0),"",'Price History'!G146/'Price History'!G145-1),"")</f>
        <v>0.0827781961420377</v>
      </c>
      <c r="H145" s="137" t="n">
        <f aca="false">IFERROR(IF(OR(NOT(ISNUMBER('Price History'!H146)),NOT(ISNUMBER('Price History'!H145)),'Price History'!H145=0),"",'Price History'!H146/'Price History'!H145-1),"")</f>
        <v>0.377344571291566</v>
      </c>
      <c r="I145" s="137" t="n">
        <f aca="false">IFERROR(IF(OR(NOT(ISNUMBER('Price History'!I146)),NOT(ISNUMBER('Price History'!I145)),'Price History'!I145=0),"",'Price History'!I146/'Price History'!I145-1),"")</f>
        <v>0.0844041320231797</v>
      </c>
      <c r="J145" s="137" t="n">
        <f aca="false">IFERROR(IF(OR(NOT(ISNUMBER('Price History'!J146)),NOT(ISNUMBER('Price History'!J145)),'Price History'!J145=0),"",'Price History'!J146/'Price History'!J145-1),"")</f>
        <v>0.0189519835938052</v>
      </c>
      <c r="K145" s="137" t="n">
        <f aca="false">IFERROR(IF(OR(NOT(ISNUMBER('Price History'!K146)),NOT(ISNUMBER('Price History'!K145)),'Price History'!K145=0),"",'Price History'!K146/'Price History'!K145-1),"")</f>
        <v>-0.0435205108627749</v>
      </c>
      <c r="L145" s="137" t="n">
        <f aca="false">IFERROR(IF(OR(NOT(ISNUMBER('Price History'!L146)),NOT(ISNUMBER('Price History'!L145)),'Price History'!L145=0),"",'Price History'!L146/'Price History'!L145-1),"")</f>
        <v>0.0352302160082481</v>
      </c>
      <c r="M145" s="137" t="n">
        <f aca="false">IFERROR(IF(OR(NOT(ISNUMBER('Price History'!M146)),NOT(ISNUMBER('Price History'!M145)),'Price History'!M145=0),"",'Price History'!M146/'Price History'!M145-1),"")</f>
        <v>0.0355152142791875</v>
      </c>
      <c r="N145" s="137" t="n">
        <f aca="false">IFERROR(IF(OR(NOT(ISNUMBER('Price History'!N146)),NOT(ISNUMBER('Price History'!N145)),'Price History'!N145=0),"",'Price History'!N146/'Price History'!N145-1),"")</f>
        <v>0.0139177203245895</v>
      </c>
      <c r="O145" s="137" t="n">
        <f aca="false">IFERROR(IF(OR(NOT(ISNUMBER('Price History'!O146)),NOT(ISNUMBER('Price History'!O145)),'Price History'!O145=0),"",'Price History'!O146/'Price History'!O145-1),"")</f>
        <v>-0.00100033344448136</v>
      </c>
      <c r="P145" s="137" t="str">
        <f aca="false">IFERROR(IF(OR(NOT(ISNUMBER('Price History'!P146)),NOT(ISNUMBER('Price History'!P145)),'Price History'!P145=0),"",'Price History'!P146/'Price History'!P145-1),"")</f>
        <v/>
      </c>
      <c r="Q145" s="137" t="n">
        <f aca="false">IFERROR(IF(OR(NOT(ISNUMBER('Price History'!Q146)),NOT(ISNUMBER('Price History'!Q145)),'Price History'!Q145=0),"",'Price History'!Q146/'Price History'!Q145-1),"")</f>
        <v>-0.0123674911660778</v>
      </c>
      <c r="R145" s="137" t="n">
        <f aca="false">IFERROR(IF(OR(NOT(ISNUMBER('Price History'!R146)),NOT(ISNUMBER('Price History'!R145)),'Price History'!R145=0),"",'Price History'!R146/'Price History'!R145-1),"")</f>
        <v>0.0127420998980632</v>
      </c>
      <c r="S145" s="137" t="n">
        <f aca="false">IFERROR(IF(OR(NOT(ISNUMBER('Price History'!S146)),NOT(ISNUMBER('Price History'!S145)),'Price History'!S145=0),"",'Price History'!S146/'Price History'!S145-1),"")</f>
        <v>0.0698556762386551</v>
      </c>
      <c r="T145" s="137" t="n">
        <f aca="false">IFERROR(IF(OR(NOT(ISNUMBER('Price History'!T146)),NOT(ISNUMBER('Price History'!T145)),'Price History'!T145=0),"",'Price History'!T146/'Price History'!T145-1),"")</f>
        <v>0.0241840807701337</v>
      </c>
      <c r="U145" s="137" t="str">
        <f aca="false">IFERROR(IF(OR(NOT(ISNUMBER('Price History'!U146)),NOT(ISNUMBER('Price History'!U145)),'Price History'!U145=0),"",'Price History'!U146/'Price History'!U145-1),"")</f>
        <v/>
      </c>
      <c r="W145" s="138" t="n">
        <f aca="false">'Price History'!B3+('Price History'!B158-'Price History'!B3)*0.922077922077922</f>
        <v>270.517012987013</v>
      </c>
      <c r="X145" s="138" t="n">
        <f aca="false">'Price History'!C3+('Price History'!C158-'Price History'!C3)*0.922077922077922</f>
        <v>169.705064935065</v>
      </c>
      <c r="Y145" s="138" t="n">
        <f aca="false">'Price History'!D3+('Price History'!D158-'Price History'!D3)*0.922077922077922</f>
        <v>1553.63220779221</v>
      </c>
      <c r="Z145" s="138" t="n">
        <f aca="false">'Price History'!E3+('Price History'!E158-'Price History'!E3)*0.922077922077922</f>
        <v>365.412467532468</v>
      </c>
      <c r="AA145" s="138" t="n">
        <f aca="false">'Price History'!F3+('Price History'!F158-'Price History'!F3)*0.922077922077922</f>
        <v>178.875584415584</v>
      </c>
      <c r="AB145" s="138" t="n">
        <f aca="false">'Price History'!G3+('Price History'!G158-'Price History'!G3)*0.922077922077922</f>
        <v>172.306753246753</v>
      </c>
      <c r="AC145" s="138" t="n">
        <f aca="false">'Price History'!H3+('Price History'!H158-'Price History'!H3)*0.922077922077922</f>
        <v>763.913636363636</v>
      </c>
      <c r="AD145" s="138" t="n">
        <f aca="false">'Price History'!I3+('Price History'!I158-'Price History'!I3)*0.922077922077922</f>
        <v>188.29025974026</v>
      </c>
      <c r="AE145" s="138" t="n">
        <f aca="false">'Price History'!J3+('Price History'!J158-'Price History'!J3)*0.922077922077922</f>
        <v>142.965844155844</v>
      </c>
      <c r="AF145" s="138" t="n">
        <f aca="false">'Price History'!K3+('Price History'!K158-'Price History'!K3)*0.922077922077922</f>
        <v>114.671688311688</v>
      </c>
      <c r="AG145" s="138" t="n">
        <f aca="false">'Price History'!L3+('Price History'!L158-'Price History'!L3)*0.922077922077922</f>
        <v>379.918051948052</v>
      </c>
      <c r="AH145" s="138" t="n">
        <f aca="false">'Price History'!M3+('Price History'!M158-'Price History'!M3)*0.922077922077922</f>
        <v>225.357532467532</v>
      </c>
      <c r="AI145" s="138" t="n">
        <f aca="false">'Price History'!N3+('Price History'!N158-'Price History'!N3)*0.922077922077922</f>
        <v>467.185194805195</v>
      </c>
      <c r="AJ145" s="138" t="n">
        <f aca="false">'Price History'!O3+('Price History'!O158-'Price History'!O3)*0.922077922077922</f>
        <v>121.973766233766</v>
      </c>
      <c r="AK145" s="138" t="n">
        <f aca="false">'Price History'!Q3+('Price History'!Q151-'Price History'!Q3)*0.922077922077922</f>
        <v>66.9998701298701</v>
      </c>
      <c r="AL145" s="138" t="n">
        <f aca="false">'Price History'!R3+('Price History'!R158-'Price History'!R3)*0.922077922077922</f>
        <v>57.4372727272727</v>
      </c>
      <c r="AM145" s="138" t="n">
        <f aca="false">'Price History'!S3+('Price History'!S158-'Price History'!S3)*0.922077922077922</f>
        <v>137.184025974026</v>
      </c>
      <c r="AN145" s="138" t="n">
        <f aca="false">'Price History'!T3+('Price History'!T158-'Price History'!T3)*0.922077922077922</f>
        <v>47.961038961039</v>
      </c>
    </row>
    <row r="146" customFormat="false" ht="15" hidden="false" customHeight="true" outlineLevel="0" collapsed="false">
      <c r="A146" s="136" t="n">
        <f aca="false">IF('Price History'!A147="","",'Price History'!A147)</f>
        <v>46157</v>
      </c>
      <c r="B146" s="137" t="n">
        <f aca="false">IFERROR(IF(OR(NOT(ISNUMBER('Price History'!B147)),NOT(ISNUMBER('Price History'!B146)),'Price History'!B146=0),"",'Price History'!B147/'Price History'!B146-1),"")</f>
        <v>-0.0214985773000316</v>
      </c>
      <c r="C146" s="137" t="n">
        <f aca="false">IFERROR(IF(OR(NOT(ISNUMBER('Price History'!C147)),NOT(ISNUMBER('Price History'!C146)),'Price History'!C146=0),"",'Price History'!C147/'Price History'!C146-1),"")</f>
        <v>0.00141073569866679</v>
      </c>
      <c r="D146" s="137" t="n">
        <f aca="false">IFERROR(IF(OR(NOT(ISNUMBER('Price History'!D147)),NOT(ISNUMBER('Price History'!D146)),'Price History'!D146=0),"",'Price History'!D147/'Price History'!D146-1),"")</f>
        <v>-0.0566638610067713</v>
      </c>
      <c r="E146" s="137" t="n">
        <f aca="false">IFERROR(IF(OR(NOT(ISNUMBER('Price History'!E147)),NOT(ISNUMBER('Price History'!E146)),'Price History'!E146=0),"",'Price History'!E147/'Price History'!E146-1),"")</f>
        <v>-0.0111860465116279</v>
      </c>
      <c r="F146" s="137" t="n">
        <f aca="false">IFERROR(IF(OR(NOT(ISNUMBER('Price History'!F147)),NOT(ISNUMBER('Price History'!F146)),'Price History'!F146=0),"",'Price History'!F147/'Price History'!F146-1),"")</f>
        <v>0.12566318023344</v>
      </c>
      <c r="G146" s="137" t="n">
        <f aca="false">IFERROR(IF(OR(NOT(ISNUMBER('Price History'!G147)),NOT(ISNUMBER('Price History'!G146)),'Price History'!G146=0),"",'Price History'!G147/'Price History'!G146-1),"")</f>
        <v>-0.0347207361438048</v>
      </c>
      <c r="H146" s="137" t="n">
        <f aca="false">IFERROR(IF(OR(NOT(ISNUMBER('Price History'!H147)),NOT(ISNUMBER('Price History'!H146)),'Price History'!H146=0),"",'Price History'!H147/'Price History'!H146-1),"")</f>
        <v>-0.0296594850095741</v>
      </c>
      <c r="I146" s="137" t="n">
        <f aca="false">IFERROR(IF(OR(NOT(ISNUMBER('Price History'!I147)),NOT(ISNUMBER('Price History'!I146)),'Price History'!I146=0),"",'Price History'!I147/'Price History'!I146-1),"")</f>
        <v>0.0470260223048327</v>
      </c>
      <c r="J146" s="137" t="n">
        <f aca="false">IFERROR(IF(OR(NOT(ISNUMBER('Price History'!J147)),NOT(ISNUMBER('Price History'!J146)),'Price History'!J146=0),"",'Price History'!J147/'Price History'!J146-1),"")</f>
        <v>-0.0247067804844194</v>
      </c>
      <c r="K146" s="137" t="n">
        <f aca="false">IFERROR(IF(OR(NOT(ISNUMBER('Price History'!K147)),NOT(ISNUMBER('Price History'!K146)),'Price History'!K146=0),"",'Price History'!K147/'Price History'!K146-1),"")</f>
        <v>-0.0276487663280116</v>
      </c>
      <c r="L146" s="137" t="n">
        <f aca="false">IFERROR(IF(OR(NOT(ISNUMBER('Price History'!L147)),NOT(ISNUMBER('Price History'!L146)),'Price History'!L146=0),"",'Price History'!L147/'Price History'!L146-1),"")</f>
        <v>-0.0178050913330742</v>
      </c>
      <c r="M146" s="137" t="n">
        <f aca="false">IFERROR(IF(OR(NOT(ISNUMBER('Price History'!M147)),NOT(ISNUMBER('Price History'!M146)),'Price History'!M146=0),"",'Price History'!M147/'Price History'!M146-1),"")</f>
        <v>0.0910962732005765</v>
      </c>
      <c r="N146" s="137" t="n">
        <f aca="false">IFERROR(IF(OR(NOT(ISNUMBER('Price History'!N147)),NOT(ISNUMBER('Price History'!N146)),'Price History'!N146=0),"",'Price History'!N147/'Price History'!N146-1),"")</f>
        <v>0.0165883393048252</v>
      </c>
      <c r="O146" s="137" t="n">
        <f aca="false">IFERROR(IF(OR(NOT(ISNUMBER('Price History'!O147)),NOT(ISNUMBER('Price History'!O146)),'Price History'!O146=0),"",'Price History'!O147/'Price History'!O146-1),"")</f>
        <v>-0.0216121495327103</v>
      </c>
      <c r="P146" s="137" t="str">
        <f aca="false">IFERROR(IF(OR(NOT(ISNUMBER('Price History'!P147)),NOT(ISNUMBER('Price History'!P146)),'Price History'!P146=0),"",'Price History'!P147/'Price History'!P146-1),"")</f>
        <v/>
      </c>
      <c r="Q146" s="137" t="n">
        <f aca="false">IFERROR(IF(OR(NOT(ISNUMBER('Price History'!Q147)),NOT(ISNUMBER('Price History'!Q146)),'Price History'!Q146=0),"",'Price History'!Q147/'Price History'!Q146-1),"")</f>
        <v>0.00760286225402518</v>
      </c>
      <c r="R146" s="137" t="n">
        <f aca="false">IFERROR(IF(OR(NOT(ISNUMBER('Price History'!R147)),NOT(ISNUMBER('Price History'!R146)),'Price History'!R146=0),"",'Price History'!R147/'Price History'!R146-1),"")</f>
        <v>0.00268411340379138</v>
      </c>
      <c r="S146" s="137" t="n">
        <f aca="false">IFERROR(IF(OR(NOT(ISNUMBER('Price History'!S147)),NOT(ISNUMBER('Price History'!S146)),'Price History'!S146=0),"",'Price History'!S147/'Price History'!S146-1),"")</f>
        <v>-0.00229469438842922</v>
      </c>
      <c r="T146" s="137" t="n">
        <f aca="false">IFERROR(IF(OR(NOT(ISNUMBER('Price History'!T147)),NOT(ISNUMBER('Price History'!T146)),'Price History'!T146=0),"",'Price History'!T147/'Price History'!T146-1),"")</f>
        <v>-0.0256762952773957</v>
      </c>
      <c r="U146" s="137" t="str">
        <f aca="false">IFERROR(IF(OR(NOT(ISNUMBER('Price History'!U147)),NOT(ISNUMBER('Price History'!U146)),'Price History'!U146=0),"",'Price History'!U147/'Price History'!U146-1),"")</f>
        <v/>
      </c>
      <c r="W146" s="138" t="n">
        <f aca="false">'Price History'!B3+('Price History'!B158-'Price History'!B3)*0.928571428571429</f>
        <v>268.841428571429</v>
      </c>
      <c r="X146" s="138" t="n">
        <f aca="false">'Price History'!C3+('Price History'!C158-'Price History'!C3)*0.928571428571429</f>
        <v>170.592142857143</v>
      </c>
      <c r="Y146" s="138" t="n">
        <f aca="false">'Price History'!D3+('Price History'!D158-'Price History'!D3)*0.928571428571429</f>
        <v>1559.91285714286</v>
      </c>
      <c r="Z146" s="138" t="n">
        <f aca="false">'Price History'!E3+('Price History'!E158-'Price History'!E3)*0.928571428571429</f>
        <v>367.401428571429</v>
      </c>
      <c r="AA146" s="138" t="n">
        <f aca="false">'Price History'!F3+('Price History'!F158-'Price History'!F3)*0.928571428571429</f>
        <v>179.874285714286</v>
      </c>
      <c r="AB146" s="138" t="n">
        <f aca="false">'Price History'!G3+('Price History'!G158-'Price History'!G3)*0.928571428571429</f>
        <v>173.182857142857</v>
      </c>
      <c r="AC146" s="138" t="n">
        <f aca="false">'Price History'!H3+('Price History'!H158-'Price History'!H3)*0.928571428571429</f>
        <v>768.84</v>
      </c>
      <c r="AD146" s="138" t="n">
        <f aca="false">'Price History'!I3+('Price History'!I158-'Price History'!I3)*0.928571428571429</f>
        <v>189.328571428572</v>
      </c>
      <c r="AE146" s="138" t="n">
        <f aca="false">'Price History'!J3+('Price History'!J158-'Price History'!J3)*0.928571428571429</f>
        <v>143.102857142857</v>
      </c>
      <c r="AF146" s="138" t="n">
        <f aca="false">'Price History'!K3+('Price History'!K158-'Price History'!K3)*0.928571428571429</f>
        <v>115.370714285714</v>
      </c>
      <c r="AG146" s="138" t="n">
        <f aca="false">'Price History'!L3+('Price History'!L158-'Price History'!L3)*0.928571428571429</f>
        <v>381.945714285714</v>
      </c>
      <c r="AH146" s="138" t="n">
        <f aca="false">'Price History'!M3+('Price History'!M158-'Price History'!M3)*0.928571428571429</f>
        <v>226.708571428572</v>
      </c>
      <c r="AI146" s="138" t="n">
        <f aca="false">'Price History'!N3+('Price History'!N158-'Price History'!N3)*0.928571428571429</f>
        <v>468.011428571429</v>
      </c>
      <c r="AJ146" s="138" t="n">
        <f aca="false">'Price History'!O3+('Price History'!O158-'Price History'!O3)*0.928571428571429</f>
        <v>122.249285714286</v>
      </c>
      <c r="AK146" s="138" t="n">
        <f aca="false">'Price History'!Q3+('Price History'!Q151-'Price History'!Q3)*0.928571428571429</f>
        <v>67.1207142857143</v>
      </c>
      <c r="AL146" s="138" t="n">
        <f aca="false">'Price History'!R3+('Price History'!R158-'Price History'!R3)*0.928571428571429</f>
        <v>57.505</v>
      </c>
      <c r="AM146" s="138" t="n">
        <f aca="false">'Price History'!S3+('Price History'!S158-'Price History'!S3)*0.928571428571429</f>
        <v>137.737857142857</v>
      </c>
      <c r="AN146" s="138" t="n">
        <f aca="false">'Price History'!T3+('Price History'!T158-'Price History'!T3)*0.928571428571429</f>
        <v>48.1092857142857</v>
      </c>
    </row>
    <row r="147" customFormat="false" ht="15" hidden="false" customHeight="true" outlineLevel="0" collapsed="false">
      <c r="A147" s="136" t="n">
        <f aca="false">IF('Price History'!A148="","",'Price History'!A148)</f>
        <v>46164</v>
      </c>
      <c r="B147" s="137" t="n">
        <f aca="false">IFERROR(IF(OR(NOT(ISNUMBER('Price History'!B148)),NOT(ISNUMBER('Price History'!B147)),'Price History'!B147=0),"",'Price History'!B148/'Price History'!B147-1),"")</f>
        <v>-0.011470113085622</v>
      </c>
      <c r="C147" s="137" t="n">
        <f aca="false">IFERROR(IF(OR(NOT(ISNUMBER('Price History'!C148)),NOT(ISNUMBER('Price History'!C147)),'Price History'!C147=0),"",'Price History'!C148/'Price History'!C147-1),"")</f>
        <v>0.0849475241248152</v>
      </c>
      <c r="D147" s="137" t="n">
        <f aca="false">IFERROR(IF(OR(NOT(ISNUMBER('Price History'!D148)),NOT(ISNUMBER('Price History'!D147)),'Price History'!D147=0),"",'Price History'!D148/'Price History'!D147-1),"")</f>
        <v>0.0872880058063272</v>
      </c>
      <c r="E147" s="137" t="n">
        <f aca="false">IFERROR(IF(OR(NOT(ISNUMBER('Price History'!E148)),NOT(ISNUMBER('Price History'!E147)),'Price History'!E147=0),"",'Price History'!E148/'Price History'!E147-1),"")</f>
        <v>-0.0259883816646675</v>
      </c>
      <c r="F147" s="137" t="n">
        <f aca="false">IFERROR(IF(OR(NOT(ISNUMBER('Price History'!F148)),NOT(ISNUMBER('Price History'!F147)),'Price History'!F147=0),"",'Price History'!F148/'Price History'!F147-1),"")</f>
        <v>0.116819283598169</v>
      </c>
      <c r="G147" s="137" t="n">
        <f aca="false">IFERROR(IF(OR(NOT(ISNUMBER('Price History'!G148)),NOT(ISNUMBER('Price History'!G147)),'Price History'!G147=0),"",'Price History'!G148/'Price History'!G147-1),"")</f>
        <v>0.0466108740231668</v>
      </c>
      <c r="H147" s="137" t="n">
        <f aca="false">IFERROR(IF(OR(NOT(ISNUMBER('Price History'!H148)),NOT(ISNUMBER('Price History'!H147)),'Price History'!H147=0),"",'Price History'!H148/'Price History'!H147-1),"")</f>
        <v>0.0363480804791212</v>
      </c>
      <c r="I147" s="137" t="n">
        <f aca="false">IFERROR(IF(OR(NOT(ISNUMBER('Price History'!I148)),NOT(ISNUMBER('Price History'!I147)),'Price History'!I147=0),"",'Price History'!I148/'Price History'!I147-1),"")</f>
        <v>-0.0443369430143795</v>
      </c>
      <c r="J147" s="137" t="n">
        <f aca="false">IFERROR(IF(OR(NOT(ISNUMBER('Price History'!J148)),NOT(ISNUMBER('Price History'!J147)),'Price History'!J147=0),"",'Price History'!J148/'Price History'!J147-1),"")</f>
        <v>0.0382124813207145</v>
      </c>
      <c r="K147" s="137" t="n">
        <f aca="false">IFERROR(IF(OR(NOT(ISNUMBER('Price History'!K148)),NOT(ISNUMBER('Price History'!K147)),'Price History'!K147=0),"",'Price History'!K148/'Price History'!K147-1),"")</f>
        <v>0.0215687737890886</v>
      </c>
      <c r="L147" s="137" t="n">
        <f aca="false">IFERROR(IF(OR(NOT(ISNUMBER('Price History'!L148)),NOT(ISNUMBER('Price History'!L147)),'Price History'!L147=0),"",'Price History'!L148/'Price History'!L147-1),"")</f>
        <v>0.000420427847162008</v>
      </c>
      <c r="M147" s="137" t="n">
        <f aca="false">IFERROR(IF(OR(NOT(ISNUMBER('Price History'!M148)),NOT(ISNUMBER('Price History'!M147)),'Price History'!M147=0),"",'Price History'!M148/'Price History'!M147-1),"")</f>
        <v>-0.117215722219227</v>
      </c>
      <c r="N147" s="137" t="n">
        <f aca="false">IFERROR(IF(OR(NOT(ISNUMBER('Price History'!N148)),NOT(ISNUMBER('Price History'!N147)),'Price History'!N147=0),"",'Price History'!N148/'Price History'!N147-1),"")</f>
        <v>-0.00556127703398557</v>
      </c>
      <c r="O147" s="137" t="n">
        <f aca="false">IFERROR(IF(OR(NOT(ISNUMBER('Price History'!O148)),NOT(ISNUMBER('Price History'!O147)),'Price History'!O147=0),"",'Price History'!O148/'Price History'!O147-1),"")</f>
        <v>0.0237100213219617</v>
      </c>
      <c r="P147" s="137" t="str">
        <f aca="false">IFERROR(IF(OR(NOT(ISNUMBER('Price History'!P148)),NOT(ISNUMBER('Price History'!P147)),'Price History'!P147=0),"",'Price History'!P148/'Price History'!P147-1),"")</f>
        <v/>
      </c>
      <c r="Q147" s="137" t="n">
        <f aca="false">IFERROR(IF(OR(NOT(ISNUMBER('Price History'!Q148)),NOT(ISNUMBER('Price History'!Q147)),'Price History'!Q147=0),"",'Price History'!Q148/'Price History'!Q147-1),"")</f>
        <v>0.0109483651427724</v>
      </c>
      <c r="R147" s="137" t="n">
        <f aca="false">IFERROR(IF(OR(NOT(ISNUMBER('Price History'!R148)),NOT(ISNUMBER('Price History'!R147)),'Price History'!R147=0),"",'Price History'!R148/'Price History'!R147-1),"")</f>
        <v>0.00736155261837035</v>
      </c>
      <c r="S147" s="137" t="n">
        <f aca="false">IFERROR(IF(OR(NOT(ISNUMBER('Price History'!S148)),NOT(ISNUMBER('Price History'!S147)),'Price History'!S147=0),"",'Price History'!S148/'Price History'!S147-1),"")</f>
        <v>0.0101756342347366</v>
      </c>
      <c r="T147" s="137" t="n">
        <f aca="false">IFERROR(IF(OR(NOT(ISNUMBER('Price History'!T148)),NOT(ISNUMBER('Price History'!T147)),'Price History'!T147=0),"",'Price History'!T148/'Price History'!T147-1),"")</f>
        <v>0.0395294117647058</v>
      </c>
      <c r="U147" s="137" t="str">
        <f aca="false">IFERROR(IF(OR(NOT(ISNUMBER('Price History'!U148)),NOT(ISNUMBER('Price History'!U147)),'Price History'!U147=0),"",'Price History'!U148/'Price History'!U147-1),"")</f>
        <v/>
      </c>
      <c r="W147" s="138" t="n">
        <f aca="false">'Price History'!B3+('Price History'!B158-'Price History'!B3)*0.935064935064935</f>
        <v>267.165844155844</v>
      </c>
      <c r="X147" s="138" t="n">
        <f aca="false">'Price History'!C3+('Price History'!C158-'Price History'!C3)*0.935064935064935</f>
        <v>171.479220779221</v>
      </c>
      <c r="Y147" s="138" t="n">
        <f aca="false">'Price History'!D3+('Price History'!D158-'Price History'!D3)*0.935064935064935</f>
        <v>1566.19350649351</v>
      </c>
      <c r="Z147" s="138" t="n">
        <f aca="false">'Price History'!E3+('Price History'!E158-'Price History'!E3)*0.935064935064935</f>
        <v>369.39038961039</v>
      </c>
      <c r="AA147" s="138" t="n">
        <f aca="false">'Price History'!F3+('Price History'!F158-'Price History'!F3)*0.935064935064935</f>
        <v>180.872987012987</v>
      </c>
      <c r="AB147" s="138" t="n">
        <f aca="false">'Price History'!G3+('Price History'!G158-'Price History'!G3)*0.935064935064935</f>
        <v>174.058961038961</v>
      </c>
      <c r="AC147" s="138" t="n">
        <f aca="false">'Price History'!H3+('Price History'!H158-'Price History'!H3)*0.935064935064935</f>
        <v>773.766363636364</v>
      </c>
      <c r="AD147" s="138" t="n">
        <f aca="false">'Price History'!I3+('Price History'!I158-'Price History'!I3)*0.935064935064935</f>
        <v>190.366883116883</v>
      </c>
      <c r="AE147" s="138" t="n">
        <f aca="false">'Price History'!J3+('Price History'!J158-'Price History'!J3)*0.935064935064935</f>
        <v>143.23987012987</v>
      </c>
      <c r="AF147" s="138" t="n">
        <f aca="false">'Price History'!K3+('Price History'!K158-'Price History'!K3)*0.935064935064935</f>
        <v>116.06974025974</v>
      </c>
      <c r="AG147" s="138" t="n">
        <f aca="false">'Price History'!L3+('Price History'!L158-'Price History'!L3)*0.935064935064935</f>
        <v>383.973376623377</v>
      </c>
      <c r="AH147" s="138" t="n">
        <f aca="false">'Price History'!M3+('Price History'!M158-'Price History'!M3)*0.935064935064935</f>
        <v>228.05961038961</v>
      </c>
      <c r="AI147" s="138" t="n">
        <f aca="false">'Price History'!N3+('Price History'!N158-'Price History'!N3)*0.935064935064935</f>
        <v>468.837662337662</v>
      </c>
      <c r="AJ147" s="138" t="n">
        <f aca="false">'Price History'!O3+('Price History'!O158-'Price History'!O3)*0.935064935064935</f>
        <v>122.524805194805</v>
      </c>
      <c r="AK147" s="138" t="n">
        <f aca="false">'Price History'!Q3+('Price History'!Q151-'Price History'!Q3)*0.935064935064935</f>
        <v>67.2415584415584</v>
      </c>
      <c r="AL147" s="138" t="n">
        <f aca="false">'Price History'!R3+('Price History'!R158-'Price History'!R3)*0.935064935064935</f>
        <v>57.5727272727273</v>
      </c>
      <c r="AM147" s="138" t="n">
        <f aca="false">'Price History'!S3+('Price History'!S158-'Price History'!S3)*0.935064935064935</f>
        <v>138.291688311688</v>
      </c>
      <c r="AN147" s="138" t="n">
        <f aca="false">'Price History'!T3+('Price History'!T158-'Price History'!T3)*0.935064935064935</f>
        <v>48.2575324675325</v>
      </c>
    </row>
    <row r="148" customFormat="false" ht="15" hidden="false" customHeight="true" outlineLevel="0" collapsed="false">
      <c r="A148" s="136" t="n">
        <f aca="false">IF('Price History'!A149="","",'Price History'!A149)</f>
        <v>46171</v>
      </c>
      <c r="B148" s="137" t="n">
        <f aca="false">IFERROR(IF(OR(NOT(ISNUMBER('Price History'!B149)),NOT(ISNUMBER('Price History'!B148)),'Price History'!B148=0),"",'Price History'!B149/'Price History'!B148-1),"")</f>
        <v>0.0590374244157541</v>
      </c>
      <c r="C148" s="137" t="n">
        <f aca="false">IFERROR(IF(OR(NOT(ISNUMBER('Price History'!C149)),NOT(ISNUMBER('Price History'!C148)),'Price History'!C148=0),"",'Price History'!C149/'Price History'!C148-1),"")</f>
        <v>0.0353177952346946</v>
      </c>
      <c r="D148" s="137" t="n">
        <f aca="false">IFERROR(IF(OR(NOT(ISNUMBER('Price History'!D149)),NOT(ISNUMBER('Price History'!D148)),'Price History'!D148=0),"",'Price History'!D149/'Price History'!D148-1),"")</f>
        <v>-0.0123338844999694</v>
      </c>
      <c r="E148" s="137" t="n">
        <f aca="false">IFERROR(IF(OR(NOT(ISNUMBER('Price History'!E149)),NOT(ISNUMBER('Price History'!E148)),'Price History'!E148=0),"",'Price History'!E149/'Price History'!E148-1),"")</f>
        <v>0.0787897812333993</v>
      </c>
      <c r="F148" s="137" t="n">
        <f aca="false">IFERROR(IF(OR(NOT(ISNUMBER('Price History'!F149)),NOT(ISNUMBER('Price History'!F148)),'Price History'!F148=0),"",'Price History'!F149/'Price History'!F148-1),"")</f>
        <v>0.10176644360041</v>
      </c>
      <c r="G148" s="137" t="n">
        <f aca="false">IFERROR(IF(OR(NOT(ISNUMBER('Price History'!G149)),NOT(ISNUMBER('Price History'!G148)),'Price History'!G148=0),"",'Price History'!G149/'Price History'!G148-1),"")</f>
        <v>0.0176339758525734</v>
      </c>
      <c r="H148" s="137" t="n">
        <f aca="false">IFERROR(IF(OR(NOT(ISNUMBER('Price History'!H149)),NOT(ISNUMBER('Price History'!H148)),'Price History'!H148=0),"",'Price History'!H149/'Price History'!H148-1),"")</f>
        <v>0.292942743009321</v>
      </c>
      <c r="I148" s="137" t="n">
        <f aca="false">IFERROR(IF(OR(NOT(ISNUMBER('Price History'!I149)),NOT(ISNUMBER('Price History'!I148)),'Price History'!I148=0),"",'Price History'!I149/'Price History'!I148-1),"")</f>
        <v>-0.0194585055496216</v>
      </c>
      <c r="J148" s="137" t="n">
        <f aca="false">IFERROR(IF(OR(NOT(ISNUMBER('Price History'!J149)),NOT(ISNUMBER('Price History'!J148)),'Price History'!J148=0),"",'Price History'!J149/'Price History'!J148-1),"")</f>
        <v>-0.0166552433173407</v>
      </c>
      <c r="K148" s="137" t="n">
        <f aca="false">IFERROR(IF(OR(NOT(ISNUMBER('Price History'!K149)),NOT(ISNUMBER('Price History'!K148)),'Price History'!K148=0),"",'Price History'!K149/'Price History'!K148-1),"")</f>
        <v>0.143629456458211</v>
      </c>
      <c r="L148" s="137" t="n">
        <f aca="false">IFERROR(IF(OR(NOT(ISNUMBER('Price History'!L149)),NOT(ISNUMBER('Price History'!L148)),'Price History'!L148=0),"",'Price History'!L149/'Price History'!L148-1),"")</f>
        <v>0.0344358746168298</v>
      </c>
      <c r="M148" s="137" t="n">
        <f aca="false">IFERROR(IF(OR(NOT(ISNUMBER('Price History'!M149)),NOT(ISNUMBER('Price History'!M148)),'Price History'!M148=0),"",'Price History'!M149/'Price History'!M148-1),"")</f>
        <v>-0.0358822451597142</v>
      </c>
      <c r="N148" s="137" t="n">
        <f aca="false">IFERROR(IF(OR(NOT(ISNUMBER('Price History'!N149)),NOT(ISNUMBER('Price History'!N148)),'Price History'!N148=0),"",'Price History'!N149/'Price History'!N148-1),"")</f>
        <v>0.0299640983153826</v>
      </c>
      <c r="O148" s="137" t="n">
        <f aca="false">IFERROR(IF(OR(NOT(ISNUMBER('Price History'!O149)),NOT(ISNUMBER('Price History'!O148)),'Price History'!O148=0),"",'Price History'!O149/'Price History'!O148-1),"")</f>
        <v>0.000166625010413979</v>
      </c>
      <c r="P148" s="137" t="str">
        <f aca="false">IFERROR(IF(OR(NOT(ISNUMBER('Price History'!P149)),NOT(ISNUMBER('Price History'!P148)),'Price History'!P148=0),"",'Price History'!P149/'Price History'!P148-1),"")</f>
        <v/>
      </c>
      <c r="Q148" s="137" t="n">
        <f aca="false">IFERROR(IF(OR(NOT(ISNUMBER('Price History'!Q149)),NOT(ISNUMBER('Price History'!Q148)),'Price History'!Q148=0),"",'Price History'!Q149/'Price History'!Q148-1),"")</f>
        <v>-0.00921996194936336</v>
      </c>
      <c r="R148" s="137" t="n">
        <f aca="false">IFERROR(IF(OR(NOT(ISNUMBER('Price History'!R149)),NOT(ISNUMBER('Price History'!R148)),'Price History'!R148=0),"",'Price History'!R149/'Price History'!R148-1),"")</f>
        <v>0.0156120245806344</v>
      </c>
      <c r="S148" s="137" t="n">
        <f aca="false">IFERROR(IF(OR(NOT(ISNUMBER('Price History'!S149)),NOT(ISNUMBER('Price History'!S148)),'Price History'!S148=0),"",'Price History'!S149/'Price History'!S148-1),"")</f>
        <v>0.0389816475783082</v>
      </c>
      <c r="T148" s="137" t="n">
        <f aca="false">IFERROR(IF(OR(NOT(ISNUMBER('Price History'!T149)),NOT(ISNUMBER('Price History'!T148)),'Price History'!T148=0),"",'Price History'!T149/'Price History'!T148-1),"")</f>
        <v>0.0540968764146672</v>
      </c>
      <c r="U148" s="137" t="str">
        <f aca="false">IFERROR(IF(OR(NOT(ISNUMBER('Price History'!U149)),NOT(ISNUMBER('Price History'!U148)),'Price History'!U148=0),"",'Price History'!U149/'Price History'!U148-1),"")</f>
        <v/>
      </c>
      <c r="W148" s="138" t="n">
        <f aca="false">'Price History'!B3+('Price History'!B158-'Price History'!B3)*0.941558441558442</f>
        <v>265.49025974026</v>
      </c>
      <c r="X148" s="138" t="n">
        <f aca="false">'Price History'!C3+('Price History'!C158-'Price History'!C3)*0.941558441558442</f>
        <v>172.366298701299</v>
      </c>
      <c r="Y148" s="138" t="n">
        <f aca="false">'Price History'!D3+('Price History'!D158-'Price History'!D3)*0.941558441558442</f>
        <v>1572.47415584416</v>
      </c>
      <c r="Z148" s="138" t="n">
        <f aca="false">'Price History'!E3+('Price History'!E158-'Price History'!E3)*0.941558441558442</f>
        <v>371.379350649351</v>
      </c>
      <c r="AA148" s="138" t="n">
        <f aca="false">'Price History'!F3+('Price History'!F158-'Price History'!F3)*0.941558441558442</f>
        <v>181.871688311688</v>
      </c>
      <c r="AB148" s="138" t="n">
        <f aca="false">'Price History'!G3+('Price History'!G158-'Price History'!G3)*0.941558441558442</f>
        <v>174.935064935065</v>
      </c>
      <c r="AC148" s="138" t="n">
        <f aca="false">'Price History'!H3+('Price History'!H158-'Price History'!H3)*0.941558441558442</f>
        <v>778.692727272728</v>
      </c>
      <c r="AD148" s="138" t="n">
        <f aca="false">'Price History'!I3+('Price History'!I158-'Price History'!I3)*0.941558441558442</f>
        <v>191.405194805195</v>
      </c>
      <c r="AE148" s="138" t="n">
        <f aca="false">'Price History'!J3+('Price History'!J158-'Price History'!J3)*0.941558441558442</f>
        <v>143.376883116883</v>
      </c>
      <c r="AF148" s="138" t="n">
        <f aca="false">'Price History'!K3+('Price History'!K158-'Price History'!K3)*0.941558441558442</f>
        <v>116.768766233766</v>
      </c>
      <c r="AG148" s="138" t="n">
        <f aca="false">'Price History'!L3+('Price History'!L158-'Price History'!L3)*0.941558441558442</f>
        <v>386.001038961039</v>
      </c>
      <c r="AH148" s="138" t="n">
        <f aca="false">'Price History'!M3+('Price History'!M158-'Price History'!M3)*0.941558441558442</f>
        <v>229.410649350649</v>
      </c>
      <c r="AI148" s="138" t="n">
        <f aca="false">'Price History'!N3+('Price History'!N158-'Price History'!N3)*0.941558441558442</f>
        <v>469.663896103896</v>
      </c>
      <c r="AJ148" s="138" t="n">
        <f aca="false">'Price History'!O3+('Price History'!O158-'Price History'!O3)*0.941558441558442</f>
        <v>122.800324675325</v>
      </c>
      <c r="AK148" s="138" t="n">
        <f aca="false">'Price History'!Q3+('Price History'!Q151-'Price History'!Q3)*0.941558441558442</f>
        <v>67.3624025974026</v>
      </c>
      <c r="AL148" s="138" t="n">
        <f aca="false">'Price History'!R3+('Price History'!R158-'Price History'!R3)*0.941558441558442</f>
        <v>57.6404545454546</v>
      </c>
      <c r="AM148" s="138" t="n">
        <f aca="false">'Price History'!S3+('Price History'!S158-'Price History'!S3)*0.941558441558442</f>
        <v>138.84551948052</v>
      </c>
      <c r="AN148" s="138" t="n">
        <f aca="false">'Price History'!T3+('Price History'!T158-'Price History'!T3)*0.941558441558442</f>
        <v>48.4057792207792</v>
      </c>
    </row>
    <row r="149" customFormat="false" ht="15" hidden="false" customHeight="true" outlineLevel="0" collapsed="false">
      <c r="A149" s="136" t="n">
        <f aca="false">IF('Price History'!A150="","",'Price History'!A150)</f>
        <v>46178</v>
      </c>
      <c r="B149" s="137" t="n">
        <f aca="false">IFERROR(IF(OR(NOT(ISNUMBER('Price History'!B150)),NOT(ISNUMBER('Price History'!B149)),'Price History'!B149=0),"",'Price History'!B150/'Price History'!B149-1),"")</f>
        <v>-0.0299756953821225</v>
      </c>
      <c r="C149" s="137" t="n">
        <f aca="false">IFERROR(IF(OR(NOT(ISNUMBER('Price History'!C150)),NOT(ISNUMBER('Price History'!C149)),'Price History'!C149=0),"",'Price History'!C150/'Price History'!C149-1),"")</f>
        <v>-0.032608014046529</v>
      </c>
      <c r="D149" s="137" t="n">
        <f aca="false">IFERROR(IF(OR(NOT(ISNUMBER('Price History'!D150)),NOT(ISNUMBER('Price History'!D149)),'Price History'!D149=0),"",'Price History'!D150/'Price History'!D149-1),"")</f>
        <v>0.0179691956645751</v>
      </c>
      <c r="E149" s="137" t="n">
        <f aca="false">IFERROR(IF(OR(NOT(ISNUMBER('Price History'!E150)),NOT(ISNUMBER('Price History'!E149)),'Price History'!E149=0),"",'Price History'!E150/'Price History'!E149-1),"")</f>
        <v>-0.136625109116548</v>
      </c>
      <c r="F149" s="137" t="n">
        <f aca="false">IFERROR(IF(OR(NOT(ISNUMBER('Price History'!F150)),NOT(ISNUMBER('Price History'!F149)),'Price History'!F149=0),"",'Price History'!F150/'Price History'!F149-1),"")</f>
        <v>-0.0820246238030097</v>
      </c>
      <c r="G149" s="137" t="n">
        <f aca="false">IFERROR(IF(OR(NOT(ISNUMBER('Price History'!G150)),NOT(ISNUMBER('Price History'!G149)),'Price History'!G149=0),"",'Price History'!G150/'Price History'!G149-1),"")</f>
        <v>0.003902794400791</v>
      </c>
      <c r="H149" s="137" t="n">
        <f aca="false">IFERROR(IF(OR(NOT(ISNUMBER('Price History'!H150)),NOT(ISNUMBER('Price History'!H149)),'Price History'!H149=0),"",'Price History'!H150/'Price History'!H149-1),"")</f>
        <v>-0.110185375901133</v>
      </c>
      <c r="I149" s="137" t="n">
        <f aca="false">IFERROR(IF(OR(NOT(ISNUMBER('Price History'!I150)),NOT(ISNUMBER('Price History'!I149)),'Price History'!I149=0),"",'Price History'!I150/'Price History'!I149-1),"")</f>
        <v>-0.0286066117268163</v>
      </c>
      <c r="J149" s="137" t="n">
        <f aca="false">IFERROR(IF(OR(NOT(ISNUMBER('Price History'!J150)),NOT(ISNUMBER('Price History'!J149)),'Price History'!J149=0),"",'Price History'!J150/'Price History'!J149-1),"")</f>
        <v>0.00745800515787276</v>
      </c>
      <c r="K149" s="137" t="n">
        <f aca="false">IFERROR(IF(OR(NOT(ISNUMBER('Price History'!K150)),NOT(ISNUMBER('Price History'!K149)),'Price History'!K149=0),"",'Price History'!K150/'Price History'!K149-1),"")</f>
        <v>-0.134214897150888</v>
      </c>
      <c r="L149" s="137" t="n">
        <f aca="false">IFERROR(IF(OR(NOT(ISNUMBER('Price History'!L150)),NOT(ISNUMBER('Price History'!L149)),'Price History'!L149=0),"",'Price History'!L150/'Price History'!L149-1),"")</f>
        <v>-0.00783845142788853</v>
      </c>
      <c r="M149" s="137" t="n">
        <f aca="false">IFERROR(IF(OR(NOT(ISNUMBER('Price History'!M150)),NOT(ISNUMBER('Price History'!M149)),'Price History'!M149=0),"",'Price History'!M150/'Price History'!M149-1),"")</f>
        <v>-0.0481454499382344</v>
      </c>
      <c r="N149" s="137" t="n">
        <f aca="false">IFERROR(IF(OR(NOT(ISNUMBER('Price History'!N150)),NOT(ISNUMBER('Price History'!N149)),'Price History'!N149=0),"",'Price History'!N150/'Price History'!N149-1),"")</f>
        <v>-0.00158645037315108</v>
      </c>
      <c r="O149" s="137" t="n">
        <f aca="false">IFERROR(IF(OR(NOT(ISNUMBER('Price History'!O150)),NOT(ISNUMBER('Price History'!O149)),'Price History'!O149=0),"",'Price History'!O150/'Price History'!O149-1),"")</f>
        <v>-0.00291545189504372</v>
      </c>
      <c r="P149" s="137" t="str">
        <f aca="false">IFERROR(IF(OR(NOT(ISNUMBER('Price History'!P150)),NOT(ISNUMBER('Price History'!P149)),'Price History'!P149=0),"",'Price History'!P150/'Price History'!P149-1),"")</f>
        <v/>
      </c>
      <c r="Q149" s="137" t="n">
        <f aca="false">IFERROR(IF(OR(NOT(ISNUMBER('Price History'!Q150)),NOT(ISNUMBER('Price History'!Q149)),'Price History'!Q149=0),"",'Price History'!Q150/'Price History'!Q149-1),"")</f>
        <v>-0.0017725258493354</v>
      </c>
      <c r="R149" s="137" t="n">
        <f aca="false">IFERROR(IF(OR(NOT(ISNUMBER('Price History'!R150)),NOT(ISNUMBER('Price History'!R149)),'Price History'!R149=0),"",'Price History'!R150/'Price History'!R149-1),"")</f>
        <v>-0.0367947669664759</v>
      </c>
      <c r="S149" s="137" t="n">
        <f aca="false">IFERROR(IF(OR(NOT(ISNUMBER('Price History'!S150)),NOT(ISNUMBER('Price History'!S149)),'Price History'!S149=0),"",'Price History'!S150/'Price History'!S149-1),"")</f>
        <v>-0.0419018527126636</v>
      </c>
      <c r="T149" s="137" t="n">
        <f aca="false">IFERROR(IF(OR(NOT(ISNUMBER('Price History'!T150)),NOT(ISNUMBER('Price History'!T149)),'Price History'!T149=0),"",'Price History'!T150/'Price History'!T149-1),"")</f>
        <v>-0.0111659866867082</v>
      </c>
      <c r="U149" s="137" t="str">
        <f aca="false">IFERROR(IF(OR(NOT(ISNUMBER('Price History'!U150)),NOT(ISNUMBER('Price History'!U149)),'Price History'!U149=0),"",'Price History'!U150/'Price History'!U149-1),"")</f>
        <v/>
      </c>
      <c r="W149" s="138" t="n">
        <f aca="false">'Price History'!B3+('Price History'!B158-'Price History'!B3)*0.948051948051948</f>
        <v>263.814675324675</v>
      </c>
      <c r="X149" s="138" t="n">
        <f aca="false">'Price History'!C3+('Price History'!C158-'Price History'!C3)*0.948051948051948</f>
        <v>173.253376623377</v>
      </c>
      <c r="Y149" s="138" t="n">
        <f aca="false">'Price History'!D3+('Price History'!D158-'Price History'!D3)*0.948051948051948</f>
        <v>1578.75480519481</v>
      </c>
      <c r="Z149" s="138" t="n">
        <f aca="false">'Price History'!E3+('Price History'!E158-'Price History'!E3)*0.948051948051948</f>
        <v>373.368311688312</v>
      </c>
      <c r="AA149" s="138" t="n">
        <f aca="false">'Price History'!F3+('Price History'!F158-'Price History'!F3)*0.948051948051948</f>
        <v>182.87038961039</v>
      </c>
      <c r="AB149" s="138" t="n">
        <f aca="false">'Price History'!G3+('Price History'!G158-'Price History'!G3)*0.948051948051948</f>
        <v>175.811168831169</v>
      </c>
      <c r="AC149" s="138" t="n">
        <f aca="false">'Price History'!H3+('Price History'!H158-'Price History'!H3)*0.948051948051948</f>
        <v>783.619090909091</v>
      </c>
      <c r="AD149" s="138" t="n">
        <f aca="false">'Price History'!I3+('Price History'!I158-'Price History'!I3)*0.948051948051948</f>
        <v>192.443506493507</v>
      </c>
      <c r="AE149" s="138" t="n">
        <f aca="false">'Price History'!J3+('Price History'!J158-'Price History'!J3)*0.948051948051948</f>
        <v>143.513896103896</v>
      </c>
      <c r="AF149" s="138" t="n">
        <f aca="false">'Price History'!K3+('Price History'!K158-'Price History'!K3)*0.948051948051948</f>
        <v>117.467792207792</v>
      </c>
      <c r="AG149" s="138" t="n">
        <f aca="false">'Price History'!L3+('Price History'!L158-'Price History'!L3)*0.948051948051948</f>
        <v>388.028701298701</v>
      </c>
      <c r="AH149" s="138" t="n">
        <f aca="false">'Price History'!M3+('Price History'!M158-'Price History'!M3)*0.948051948051948</f>
        <v>230.761688311688</v>
      </c>
      <c r="AI149" s="138" t="n">
        <f aca="false">'Price History'!N3+('Price History'!N158-'Price History'!N3)*0.948051948051948</f>
        <v>470.49012987013</v>
      </c>
      <c r="AJ149" s="138" t="n">
        <f aca="false">'Price History'!O3+('Price History'!O158-'Price History'!O3)*0.948051948051948</f>
        <v>123.075844155844</v>
      </c>
      <c r="AK149" s="138" t="n">
        <f aca="false">'Price History'!Q3+('Price History'!Q151-'Price History'!Q3)*0.948051948051948</f>
        <v>67.4832467532468</v>
      </c>
      <c r="AL149" s="138" t="n">
        <f aca="false">'Price History'!R3+('Price History'!R158-'Price History'!R3)*0.948051948051948</f>
        <v>57.7081818181818</v>
      </c>
      <c r="AM149" s="138" t="n">
        <f aca="false">'Price History'!S3+('Price History'!S158-'Price History'!S3)*0.948051948051948</f>
        <v>139.399350649351</v>
      </c>
      <c r="AN149" s="138" t="n">
        <f aca="false">'Price History'!T3+('Price History'!T158-'Price History'!T3)*0.948051948051948</f>
        <v>48.554025974026</v>
      </c>
    </row>
    <row r="150" customFormat="false" ht="15" hidden="false" customHeight="true" outlineLevel="0" collapsed="false">
      <c r="A150" s="136" t="n">
        <f aca="false">IF('Price History'!A151="","",'Price History'!A151)</f>
        <v>46185</v>
      </c>
      <c r="B150" s="137" t="n">
        <f aca="false">IFERROR(IF(OR(NOT(ISNUMBER('Price History'!B151)),NOT(ISNUMBER('Price History'!B150)),'Price History'!B150=0),"",'Price History'!B151/'Price History'!B150-1),"")</f>
        <v>-0.188593700286351</v>
      </c>
      <c r="C150" s="137" t="n">
        <f aca="false">IFERROR(IF(OR(NOT(ISNUMBER('Price History'!C151)),NOT(ISNUMBER('Price History'!C150)),'Price History'!C150=0),"",'Price History'!C151/'Price History'!C150-1),"")</f>
        <v>0.0581448110455693</v>
      </c>
      <c r="D150" s="137" t="n">
        <f aca="false">IFERROR(IF(OR(NOT(ISNUMBER('Price History'!D151)),NOT(ISNUMBER('Price History'!D150)),'Price History'!D150=0),"",'Price History'!D151/'Price History'!D150-1),"")</f>
        <v>0.135106655134187</v>
      </c>
      <c r="E150" s="137" t="n">
        <f aca="false">IFERROR(IF(OR(NOT(ISNUMBER('Price History'!E151)),NOT(ISNUMBER('Price History'!E150)),'Price History'!E150=0),"",'Price History'!E151/'Price History'!E150-1),"")</f>
        <v>-0.00948850232027587</v>
      </c>
      <c r="F150" s="137" t="n">
        <f aca="false">IFERROR(IF(OR(NOT(ISNUMBER('Price History'!F151)),NOT(ISNUMBER('Price History'!F150)),'Price History'!F150=0),"",'Price History'!F151/'Price History'!F150-1),"")</f>
        <v>0.0175250357653791</v>
      </c>
      <c r="G150" s="137" t="n">
        <f aca="false">IFERROR(IF(OR(NOT(ISNUMBER('Price History'!G151)),NOT(ISNUMBER('Price History'!G150)),'Price History'!G150=0),"",'Price History'!G151/'Price History'!G150-1),"")</f>
        <v>0.319407008086253</v>
      </c>
      <c r="H150" s="137" t="n">
        <f aca="false">IFERROR(IF(OR(NOT(ISNUMBER('Price History'!H151)),NOT(ISNUMBER('Price History'!H150)),'Price History'!H150=0),"",'Price History'!H151/'Price History'!H150-1),"")</f>
        <v>0.136109535769262</v>
      </c>
      <c r="I150" s="137" t="n">
        <f aca="false">IFERROR(IF(OR(NOT(ISNUMBER('Price History'!I151)),NOT(ISNUMBER('Price History'!I150)),'Price History'!I150=0),"",'Price History'!I151/'Price History'!I150-1),"")</f>
        <v>0.000438810336421236</v>
      </c>
      <c r="J150" s="137" t="n">
        <f aca="false">IFERROR(IF(OR(NOT(ISNUMBER('Price History'!J151)),NOT(ISNUMBER('Price History'!J150)),'Price History'!J150=0),"",'Price History'!J151/'Price History'!J150-1),"")</f>
        <v>0.0290577002905772</v>
      </c>
      <c r="K150" s="137" t="n">
        <f aca="false">IFERROR(IF(OR(NOT(ISNUMBER('Price History'!K151)),NOT(ISNUMBER('Price History'!K150)),'Price History'!K150=0),"",'Price History'!K151/'Price History'!K150-1),"")</f>
        <v>-0.0556334390909762</v>
      </c>
      <c r="L150" s="137" t="n">
        <f aca="false">IFERROR(IF(OR(NOT(ISNUMBER('Price History'!L151)),NOT(ISNUMBER('Price History'!L150)),'Price History'!L150=0),"",'Price History'!L151/'Price History'!L150-1),"")</f>
        <v>0.0210997904472867</v>
      </c>
      <c r="M150" s="137" t="n">
        <f aca="false">IFERROR(IF(OR(NOT(ISNUMBER('Price History'!M151)),NOT(ISNUMBER('Price History'!M150)),'Price History'!M150=0),"",'Price History'!M151/'Price History'!M150-1),"")</f>
        <v>0.00785331602941675</v>
      </c>
      <c r="N150" s="137" t="n">
        <f aca="false">IFERROR(IF(OR(NOT(ISNUMBER('Price History'!N151)),NOT(ISNUMBER('Price History'!N150)),'Price History'!N150=0),"",'Price History'!N151/'Price History'!N150-1),"")</f>
        <v>-0.0042521764429424</v>
      </c>
      <c r="O150" s="137" t="n">
        <f aca="false">IFERROR(IF(OR(NOT(ISNUMBER('Price History'!O151)),NOT(ISNUMBER('Price History'!O150)),'Price History'!O150=0),"",'Price History'!O151/'Price History'!O150-1),"")</f>
        <v>0.0390977443609022</v>
      </c>
      <c r="P150" s="137" t="str">
        <f aca="false">IFERROR(IF(OR(NOT(ISNUMBER('Price History'!P151)),NOT(ISNUMBER('Price History'!P150)),'Price History'!P150=0),"",'Price History'!P151/'Price History'!P150-1),"")</f>
        <v/>
      </c>
      <c r="Q150" s="137" t="n">
        <f aca="false">IFERROR(IF(OR(NOT(ISNUMBER('Price History'!Q151)),NOT(ISNUMBER('Price History'!Q150)),'Price History'!Q150=0),"",'Price History'!Q151/'Price History'!Q150-1),"")</f>
        <v>0.0128736312518498</v>
      </c>
      <c r="R150" s="137" t="n">
        <f aca="false">IFERROR(IF(OR(NOT(ISNUMBER('Price History'!R151)),NOT(ISNUMBER('Price History'!R150)),'Price History'!R150=0),"",'Price History'!R151/'Price History'!R150-1),"")</f>
        <v>0.0162988115449916</v>
      </c>
      <c r="S150" s="137" t="n">
        <f aca="false">IFERROR(IF(OR(NOT(ISNUMBER('Price History'!S151)),NOT(ISNUMBER('Price History'!S150)),'Price History'!S150=0),"",'Price History'!S151/'Price History'!S150-1),"")</f>
        <v>0.0568339340171886</v>
      </c>
      <c r="T150" s="137" t="n">
        <f aca="false">IFERROR(IF(OR(NOT(ISNUMBER('Price History'!T151)),NOT(ISNUMBER('Price History'!T150)),'Price History'!T150=0),"",'Price History'!T151/'Price History'!T150-1),"")</f>
        <v>0.00521172638436496</v>
      </c>
      <c r="U150" s="137" t="str">
        <f aca="false">IFERROR(IF(OR(NOT(ISNUMBER('Price History'!U151)),NOT(ISNUMBER('Price History'!U150)),'Price History'!U150=0),"",'Price History'!U151/'Price History'!U150-1),"")</f>
        <v/>
      </c>
      <c r="W150" s="138" t="n">
        <f aca="false">'Price History'!B3+('Price History'!B158-'Price History'!B3)*0.954545454545455</f>
        <v>262.139090909091</v>
      </c>
      <c r="X150" s="138" t="n">
        <f aca="false">'Price History'!C3+('Price History'!C158-'Price History'!C3)*0.954545454545455</f>
        <v>174.140454545455</v>
      </c>
      <c r="Y150" s="138" t="n">
        <f aca="false">'Price History'!D3+('Price History'!D158-'Price History'!D3)*0.954545454545455</f>
        <v>1585.03545454546</v>
      </c>
      <c r="Z150" s="138" t="n">
        <f aca="false">'Price History'!E3+('Price History'!E158-'Price History'!E3)*0.954545454545455</f>
        <v>375.357272727273</v>
      </c>
      <c r="AA150" s="138" t="n">
        <f aca="false">'Price History'!F3+('Price History'!F158-'Price History'!F3)*0.954545454545455</f>
        <v>183.869090909091</v>
      </c>
      <c r="AB150" s="138" t="n">
        <f aca="false">'Price History'!G3+('Price History'!G158-'Price History'!G3)*0.954545454545455</f>
        <v>176.687272727273</v>
      </c>
      <c r="AC150" s="138" t="n">
        <f aca="false">'Price History'!H3+('Price History'!H158-'Price History'!H3)*0.954545454545455</f>
        <v>788.545454545455</v>
      </c>
      <c r="AD150" s="138" t="n">
        <f aca="false">'Price History'!I3+('Price History'!I158-'Price History'!I3)*0.954545454545455</f>
        <v>193.481818181818</v>
      </c>
      <c r="AE150" s="138" t="n">
        <f aca="false">'Price History'!J3+('Price History'!J158-'Price History'!J3)*0.954545454545455</f>
        <v>143.650909090909</v>
      </c>
      <c r="AF150" s="138" t="n">
        <f aca="false">'Price History'!K3+('Price History'!K158-'Price History'!K3)*0.954545454545455</f>
        <v>118.166818181818</v>
      </c>
      <c r="AG150" s="138" t="n">
        <f aca="false">'Price History'!L3+('Price History'!L158-'Price History'!L3)*0.954545454545455</f>
        <v>390.056363636364</v>
      </c>
      <c r="AH150" s="138" t="n">
        <f aca="false">'Price History'!M3+('Price History'!M158-'Price History'!M3)*0.954545454545455</f>
        <v>232.112727272727</v>
      </c>
      <c r="AI150" s="138" t="n">
        <f aca="false">'Price History'!N3+('Price History'!N158-'Price History'!N3)*0.954545454545455</f>
        <v>471.316363636364</v>
      </c>
      <c r="AJ150" s="138" t="n">
        <f aca="false">'Price History'!O3+('Price History'!O158-'Price History'!O3)*0.954545454545455</f>
        <v>123.351363636364</v>
      </c>
      <c r="AK150" s="138" t="n">
        <f aca="false">'Price History'!Q3+('Price History'!Q151-'Price History'!Q3)*0.954545454545455</f>
        <v>67.6040909090909</v>
      </c>
      <c r="AL150" s="138" t="n">
        <f aca="false">'Price History'!R3+('Price History'!R158-'Price History'!R3)*0.954545454545455</f>
        <v>57.7759090909091</v>
      </c>
      <c r="AM150" s="138" t="n">
        <f aca="false">'Price History'!S3+('Price History'!S158-'Price History'!S3)*0.954545454545455</f>
        <v>139.953181818182</v>
      </c>
      <c r="AN150" s="138" t="n">
        <f aca="false">'Price History'!T3+('Price History'!T158-'Price History'!T3)*0.954545454545455</f>
        <v>48.7022727272727</v>
      </c>
    </row>
    <row r="151" customFormat="false" ht="15" hidden="false" customHeight="true" outlineLevel="0" collapsed="false">
      <c r="A151" s="136" t="n">
        <f aca="false">IF('Price History'!A152="","",'Price History'!A152)</f>
        <v>46191</v>
      </c>
      <c r="B151" s="137" t="n">
        <f aca="false">IFERROR(IF(OR(NOT(ISNUMBER('Price History'!B152)),NOT(ISNUMBER('Price History'!B151)),'Price History'!B151=0),"",'Price History'!B152/'Price History'!B151-1),"")</f>
        <v>-0.0434271149887266</v>
      </c>
      <c r="C151" s="137" t="n">
        <f aca="false">IFERROR(IF(OR(NOT(ISNUMBER('Price History'!C152)),NOT(ISNUMBER('Price History'!C151)),'Price History'!C151=0),"",'Price History'!C152/'Price History'!C151-1),"")</f>
        <v>0.0393898554275911</v>
      </c>
      <c r="D151" s="137" t="n">
        <f aca="false">IFERROR(IF(OR(NOT(ISNUMBER('Price History'!D152)),NOT(ISNUMBER('Price History'!D151)),'Price History'!D151=0),"",'Price History'!D152/'Price History'!D151-1),"")</f>
        <v>0.0354860347186821</v>
      </c>
      <c r="E151" s="137" t="n">
        <f aca="false">IFERROR(IF(OR(NOT(ISNUMBER('Price History'!E152)),NOT(ISNUMBER('Price History'!E151)),'Price History'!E151=0),"",'Price History'!E152/'Price History'!E151-1),"")</f>
        <v>0.0766351715654201</v>
      </c>
      <c r="F151" s="137" t="n">
        <f aca="false">IFERROR(IF(OR(NOT(ISNUMBER('Price History'!F152)),NOT(ISNUMBER('Price History'!F151)),'Price History'!F151=0),"",'Price History'!F152/'Price History'!F151-1),"")</f>
        <v>0.00304628002343299</v>
      </c>
      <c r="G151" s="137" t="n">
        <f aca="false">IFERROR(IF(OR(NOT(ISNUMBER('Price History'!G152)),NOT(ISNUMBER('Price History'!G151)),'Price History'!G151=0),"",'Price History'!G152/'Price History'!G151-1),"")</f>
        <v>0.0197218511825255</v>
      </c>
      <c r="H151" s="137" t="n">
        <f aca="false">IFERROR(IF(OR(NOT(ISNUMBER('Price History'!H152)),NOT(ISNUMBER('Price History'!H151)),'Price History'!H151=0),"",'Price History'!H152/'Price History'!H151-1),"")</f>
        <v>0.155234767371971</v>
      </c>
      <c r="I151" s="137" t="n">
        <f aca="false">IFERROR(IF(OR(NOT(ISNUMBER('Price History'!I152)),NOT(ISNUMBER('Price History'!I151)),'Price History'!I151=0),"",'Price History'!I152/'Price History'!I151-1),"")</f>
        <v>0.0268044251669184</v>
      </c>
      <c r="J151" s="137" t="n">
        <f aca="false">IFERROR(IF(OR(NOT(ISNUMBER('Price History'!J152)),NOT(ISNUMBER('Price History'!J151)),'Price History'!J151=0),"",'Price History'!J152/'Price History'!J151-1),"")</f>
        <v>-0.055129756622294</v>
      </c>
      <c r="K151" s="137" t="n">
        <f aca="false">IFERROR(IF(OR(NOT(ISNUMBER('Price History'!K152)),NOT(ISNUMBER('Price History'!K151)),'Price History'!K151=0),"",'Price History'!K152/'Price History'!K151-1),"")</f>
        <v>0.00375029299163998</v>
      </c>
      <c r="L151" s="137" t="n">
        <f aca="false">IFERROR(IF(OR(NOT(ISNUMBER('Price History'!L152)),NOT(ISNUMBER('Price History'!L151)),'Price History'!L151=0),"",'Price History'!L152/'Price History'!L151-1),"")</f>
        <v>0.0900856273441371</v>
      </c>
      <c r="M151" s="137" t="n">
        <f aca="false">IFERROR(IF(OR(NOT(ISNUMBER('Price History'!M152)),NOT(ISNUMBER('Price History'!M151)),'Price History'!M151=0),"",'Price History'!M152/'Price History'!M151-1),"")</f>
        <v>0.099646713111236</v>
      </c>
      <c r="N151" s="137" t="n">
        <f aca="false">IFERROR(IF(OR(NOT(ISNUMBER('Price History'!N152)),NOT(ISNUMBER('Price History'!N151)),'Price History'!N151=0),"",'Price History'!N152/'Price History'!N151-1),"")</f>
        <v>0.0150585485357246</v>
      </c>
      <c r="O151" s="137" t="n">
        <f aca="false">IFERROR(IF(OR(NOT(ISNUMBER('Price History'!O152)),NOT(ISNUMBER('Price History'!O151)),'Price History'!O151=0),"",'Price History'!O152/'Price History'!O151-1),"")</f>
        <v>-0.0191349091493809</v>
      </c>
      <c r="P151" s="137" t="str">
        <f aca="false">IFERROR(IF(OR(NOT(ISNUMBER('Price History'!P152)),NOT(ISNUMBER('Price History'!P151)),'Price History'!P151=0),"",'Price History'!P152/'Price History'!P151-1),"")</f>
        <v/>
      </c>
      <c r="Q151" s="137" t="str">
        <f aca="false">IFERROR(IF(OR(NOT(ISNUMBER('Price History'!Q152)),NOT(ISNUMBER('Price History'!Q151)),'Price History'!Q151=0),"",'Price History'!Q152/'Price History'!Q151-1),"")</f>
        <v/>
      </c>
      <c r="R151" s="137" t="n">
        <f aca="false">IFERROR(IF(OR(NOT(ISNUMBER('Price History'!R152)),NOT(ISNUMBER('Price History'!R151)),'Price History'!R151=0),"",'Price History'!R152/'Price History'!R151-1),"")</f>
        <v>0.0247243568326094</v>
      </c>
      <c r="S151" s="137" t="n">
        <f aca="false">IFERROR(IF(OR(NOT(ISNUMBER('Price History'!S152)),NOT(ISNUMBER('Price History'!S151)),'Price History'!S151=0),"",'Price History'!S152/'Price History'!S151-1),"")</f>
        <v>0.0486621196222457</v>
      </c>
      <c r="T151" s="137" t="n">
        <f aca="false">IFERROR(IF(OR(NOT(ISNUMBER('Price History'!T152)),NOT(ISNUMBER('Price History'!T151)),'Price History'!T151=0),"",'Price History'!T152/'Price History'!T151-1),"")</f>
        <v>-0.0224670555195506</v>
      </c>
      <c r="U151" s="137" t="str">
        <f aca="false">IFERROR(IF(OR(NOT(ISNUMBER('Price History'!U152)),NOT(ISNUMBER('Price History'!U151)),'Price History'!U151=0),"",'Price History'!U152/'Price History'!U151-1),"")</f>
        <v/>
      </c>
      <c r="W151" s="138" t="n">
        <f aca="false">'Price History'!B3+('Price History'!B158-'Price History'!B3)*0.961038961038961</f>
        <v>260.463506493507</v>
      </c>
      <c r="X151" s="138" t="n">
        <f aca="false">'Price History'!C3+('Price History'!C158-'Price History'!C3)*0.961038961038961</f>
        <v>175.027532467532</v>
      </c>
      <c r="Y151" s="138" t="n">
        <f aca="false">'Price History'!D3+('Price History'!D158-'Price History'!D3)*0.961038961038961</f>
        <v>1591.3161038961</v>
      </c>
      <c r="Z151" s="138" t="n">
        <f aca="false">'Price History'!E3+('Price History'!E158-'Price History'!E3)*0.961038961038961</f>
        <v>377.346233766234</v>
      </c>
      <c r="AA151" s="138" t="n">
        <f aca="false">'Price History'!F3+('Price History'!F158-'Price History'!F3)*0.961038961038961</f>
        <v>184.867792207792</v>
      </c>
      <c r="AB151" s="138" t="n">
        <f aca="false">'Price History'!G3+('Price History'!G158-'Price History'!G3)*0.961038961038961</f>
        <v>177.563376623377</v>
      </c>
      <c r="AC151" s="138" t="n">
        <f aca="false">'Price History'!H3+('Price History'!H158-'Price History'!H3)*0.961038961038961</f>
        <v>793.471818181818</v>
      </c>
      <c r="AD151" s="138" t="n">
        <f aca="false">'Price History'!I3+('Price History'!I158-'Price History'!I3)*0.961038961038961</f>
        <v>194.52012987013</v>
      </c>
      <c r="AE151" s="138" t="n">
        <f aca="false">'Price History'!J3+('Price History'!J158-'Price History'!J3)*0.961038961038961</f>
        <v>143.787922077922</v>
      </c>
      <c r="AF151" s="138" t="n">
        <f aca="false">'Price History'!K3+('Price History'!K158-'Price History'!K3)*0.961038961038961</f>
        <v>118.865844155844</v>
      </c>
      <c r="AG151" s="138" t="n">
        <f aca="false">'Price History'!L3+('Price History'!L158-'Price History'!L3)*0.961038961038961</f>
        <v>392.084025974026</v>
      </c>
      <c r="AH151" s="138" t="n">
        <f aca="false">'Price History'!M3+('Price History'!M158-'Price History'!M3)*0.961038961038961</f>
        <v>233.463766233766</v>
      </c>
      <c r="AI151" s="138" t="n">
        <f aca="false">'Price History'!N3+('Price History'!N158-'Price History'!N3)*0.961038961038961</f>
        <v>472.142597402597</v>
      </c>
      <c r="AJ151" s="138" t="n">
        <f aca="false">'Price History'!O3+('Price History'!O158-'Price History'!O3)*0.961038961038961</f>
        <v>123.626883116883</v>
      </c>
      <c r="AK151" s="138" t="n">
        <f aca="false">'Price History'!Q3+('Price History'!Q151-'Price History'!Q3)*0.961038961038961</f>
        <v>67.7249350649351</v>
      </c>
      <c r="AL151" s="138" t="n">
        <f aca="false">'Price History'!R3+('Price History'!R158-'Price History'!R3)*0.961038961038961</f>
        <v>57.8436363636364</v>
      </c>
      <c r="AM151" s="138" t="n">
        <f aca="false">'Price History'!S3+('Price History'!S158-'Price History'!S3)*0.961038961038961</f>
        <v>140.507012987013</v>
      </c>
      <c r="AN151" s="138" t="n">
        <f aca="false">'Price History'!T3+('Price History'!T158-'Price History'!T3)*0.961038961038961</f>
        <v>48.8505194805195</v>
      </c>
    </row>
    <row r="152" customFormat="false" ht="15" hidden="false" customHeight="true" outlineLevel="0" collapsed="false">
      <c r="A152" s="136" t="n">
        <f aca="false">IF('Price History'!A153="","",'Price History'!A153)</f>
        <v>46199</v>
      </c>
      <c r="B152" s="137" t="n">
        <f aca="false">IFERROR(IF(OR(NOT(ISNUMBER('Price History'!B153)),NOT(ISNUMBER('Price History'!B152)),'Price History'!B152=0),"",'Price History'!B153/'Price History'!B152-1),"")</f>
        <v>0.0387886862061897</v>
      </c>
      <c r="C152" s="137" t="n">
        <f aca="false">IFERROR(IF(OR(NOT(ISNUMBER('Price History'!C153)),NOT(ISNUMBER('Price History'!C152)),'Price History'!C152=0),"",'Price History'!C153/'Price History'!C152-1),"")</f>
        <v>-0.0711380915895562</v>
      </c>
      <c r="D152" s="137" t="n">
        <f aca="false">IFERROR(IF(OR(NOT(ISNUMBER('Price History'!D153)),NOT(ISNUMBER('Price History'!D152)),'Price History'!D152=0),"",'Price History'!D153/'Price History'!D152-1),"")</f>
        <v>-0.0699908793167781</v>
      </c>
      <c r="E152" s="137" t="n">
        <f aca="false">IFERROR(IF(OR(NOT(ISNUMBER('Price History'!E153)),NOT(ISNUMBER('Price History'!E152)),'Price History'!E152=0),"",'Price History'!E153/'Price History'!E152-1),"")</f>
        <v>-0.112629147927556</v>
      </c>
      <c r="F152" s="137" t="n">
        <f aca="false">IFERROR(IF(OR(NOT(ISNUMBER('Price History'!F153)),NOT(ISNUMBER('Price History'!F152)),'Price History'!F152=0),"",'Price History'!F153/'Price History'!F152-1),"")</f>
        <v>0.0236537787641631</v>
      </c>
      <c r="G152" s="137" t="n">
        <f aca="false">IFERROR(IF(OR(NOT(ISNUMBER('Price History'!G153)),NOT(ISNUMBER('Price History'!G152)),'Price History'!G152=0),"",'Price History'!G153/'Price History'!G152-1),"")</f>
        <v>-0.0420711974110033</v>
      </c>
      <c r="H152" s="137" t="n">
        <f aca="false">IFERROR(IF(OR(NOT(ISNUMBER('Price History'!H153)),NOT(ISNUMBER('Price History'!H152)),'Price History'!H152=0),"",'Price History'!H153/'Price History'!H152-1),"")</f>
        <v>-0.00146385770597635</v>
      </c>
      <c r="I152" s="137" t="n">
        <f aca="false">IFERROR(IF(OR(NOT(ISNUMBER('Price History'!I153)),NOT(ISNUMBER('Price History'!I152)),'Price History'!I152=0),"",'Price History'!I153/'Price History'!I152-1),"")</f>
        <v>-0.0861929849541981</v>
      </c>
      <c r="J152" s="137" t="n">
        <f aca="false">IFERROR(IF(OR(NOT(ISNUMBER('Price History'!J153)),NOT(ISNUMBER('Price History'!J152)),'Price History'!J152=0),"",'Price History'!J153/'Price History'!J152-1),"")</f>
        <v>-0.00405578482994162</v>
      </c>
      <c r="K152" s="137" t="n">
        <f aca="false">IFERROR(IF(OR(NOT(ISNUMBER('Price History'!K153)),NOT(ISNUMBER('Price History'!K152)),'Price History'!K152=0),"",'Price History'!K153/'Price History'!K152-1),"")</f>
        <v>-0.120962092317273</v>
      </c>
      <c r="L152" s="137" t="n">
        <f aca="false">IFERROR(IF(OR(NOT(ISNUMBER('Price History'!L153)),NOT(ISNUMBER('Price History'!L152)),'Price History'!L152=0),"",'Price History'!L153/'Price History'!L152-1),"")</f>
        <v>-0.0644204968406474</v>
      </c>
      <c r="M152" s="137" t="n">
        <f aca="false">IFERROR(IF(OR(NOT(ISNUMBER('Price History'!M153)),NOT(ISNUMBER('Price History'!M152)),'Price History'!M152=0),"",'Price History'!M153/'Price History'!M152-1),"")</f>
        <v>-0.0873742681279088</v>
      </c>
      <c r="N152" s="137" t="n">
        <f aca="false">IFERROR(IF(OR(NOT(ISNUMBER('Price History'!N153)),NOT(ISNUMBER('Price History'!N152)),'Price History'!N152=0),"",'Price History'!N153/'Price History'!N152-1),"")</f>
        <v>0.0879259570887674</v>
      </c>
      <c r="O152" s="137" t="n">
        <f aca="false">IFERROR(IF(OR(NOT(ISNUMBER('Price History'!O153)),NOT(ISNUMBER('Price History'!O152)),'Price History'!O152=0),"",'Price History'!O153/'Price History'!O152-1),"")</f>
        <v>0.0240983606557377</v>
      </c>
      <c r="P152" s="137" t="str">
        <f aca="false">IFERROR(IF(OR(NOT(ISNUMBER('Price History'!P153)),NOT(ISNUMBER('Price History'!P152)),'Price History'!P152=0),"",'Price History'!P153/'Price History'!P152-1),"")</f>
        <v/>
      </c>
      <c r="Q152" s="137" t="str">
        <f aca="false">IFERROR(IF(OR(NOT(ISNUMBER('Price History'!Q153)),NOT(ISNUMBER('Price History'!Q152)),'Price History'!Q152=0),"",'Price History'!Q153/'Price History'!Q152-1),"")</f>
        <v/>
      </c>
      <c r="R152" s="137" t="n">
        <f aca="false">IFERROR(IF(OR(NOT(ISNUMBER('Price History'!R153)),NOT(ISNUMBER('Price History'!R152)),'Price History'!R152=0),"",'Price History'!R153/'Price History'!R152-1),"")</f>
        <v>-0.0313009455493969</v>
      </c>
      <c r="S152" s="137" t="n">
        <f aca="false">IFERROR(IF(OR(NOT(ISNUMBER('Price History'!S153)),NOT(ISNUMBER('Price History'!S152)),'Price History'!S152=0),"",'Price History'!S153/'Price History'!S152-1),"")</f>
        <v>-0.0356472795497187</v>
      </c>
      <c r="T152" s="137" t="n">
        <f aca="false">IFERROR(IF(OR(NOT(ISNUMBER('Price History'!T153)),NOT(ISNUMBER('Price History'!T152)),'Price History'!T152=0),"",'Price History'!T153/'Price History'!T152-1),"")</f>
        <v>0.0207734806629833</v>
      </c>
      <c r="U152" s="137" t="str">
        <f aca="false">IFERROR(IF(OR(NOT(ISNUMBER('Price History'!U153)),NOT(ISNUMBER('Price History'!U152)),'Price History'!U152=0),"",'Price History'!U153/'Price History'!U152-1),"")</f>
        <v/>
      </c>
      <c r="W152" s="138" t="n">
        <f aca="false">'Price History'!B3+('Price History'!B158-'Price History'!B3)*0.967532467532468</f>
        <v>258.787922077922</v>
      </c>
      <c r="X152" s="138" t="n">
        <f aca="false">'Price History'!C3+('Price History'!C158-'Price History'!C3)*0.967532467532468</f>
        <v>175.91461038961</v>
      </c>
      <c r="Y152" s="138" t="n">
        <f aca="false">'Price History'!D3+('Price History'!D158-'Price History'!D3)*0.967532467532468</f>
        <v>1597.59675324675</v>
      </c>
      <c r="Z152" s="138" t="n">
        <f aca="false">'Price History'!E3+('Price History'!E158-'Price History'!E3)*0.967532467532468</f>
        <v>379.335194805195</v>
      </c>
      <c r="AA152" s="138" t="n">
        <f aca="false">'Price History'!F3+('Price History'!F158-'Price History'!F3)*0.967532467532468</f>
        <v>185.866493506494</v>
      </c>
      <c r="AB152" s="138" t="n">
        <f aca="false">'Price History'!G3+('Price History'!G158-'Price History'!G3)*0.967532467532468</f>
        <v>178.439480519481</v>
      </c>
      <c r="AC152" s="138" t="n">
        <f aca="false">'Price History'!H3+('Price History'!H158-'Price History'!H3)*0.967532467532468</f>
        <v>798.398181818182</v>
      </c>
      <c r="AD152" s="138" t="n">
        <f aca="false">'Price History'!I3+('Price History'!I158-'Price History'!I3)*0.967532467532468</f>
        <v>195.558441558442</v>
      </c>
      <c r="AE152" s="138" t="n">
        <f aca="false">'Price History'!J3+('Price History'!J158-'Price History'!J3)*0.967532467532468</f>
        <v>143.924935064935</v>
      </c>
      <c r="AF152" s="138" t="n">
        <f aca="false">'Price History'!K3+('Price History'!K158-'Price History'!K3)*0.967532467532468</f>
        <v>119.56487012987</v>
      </c>
      <c r="AG152" s="138" t="n">
        <f aca="false">'Price History'!L3+('Price History'!L158-'Price History'!L3)*0.967532467532468</f>
        <v>394.111688311688</v>
      </c>
      <c r="AH152" s="138" t="n">
        <f aca="false">'Price History'!M3+('Price History'!M158-'Price History'!M3)*0.967532467532468</f>
        <v>234.814805194805</v>
      </c>
      <c r="AI152" s="138" t="n">
        <f aca="false">'Price History'!N3+('Price History'!N158-'Price History'!N3)*0.967532467532468</f>
        <v>472.968831168831</v>
      </c>
      <c r="AJ152" s="138" t="n">
        <f aca="false">'Price History'!O3+('Price History'!O158-'Price History'!O3)*0.967532467532468</f>
        <v>123.902402597403</v>
      </c>
      <c r="AK152" s="138" t="n">
        <f aca="false">'Price History'!Q3+('Price History'!Q151-'Price History'!Q3)*0.967532467532468</f>
        <v>67.8457792207792</v>
      </c>
      <c r="AL152" s="138" t="n">
        <f aca="false">'Price History'!R3+('Price History'!R158-'Price History'!R3)*0.967532467532468</f>
        <v>57.9113636363636</v>
      </c>
      <c r="AM152" s="138" t="n">
        <f aca="false">'Price History'!S3+('Price History'!S158-'Price History'!S3)*0.967532467532468</f>
        <v>141.060844155844</v>
      </c>
      <c r="AN152" s="138" t="n">
        <f aca="false">'Price History'!T3+('Price History'!T158-'Price History'!T3)*0.967532467532468</f>
        <v>48.9987662337663</v>
      </c>
    </row>
    <row r="153" customFormat="false" ht="15" hidden="false" customHeight="true" outlineLevel="0" collapsed="false">
      <c r="A153" s="136" t="n">
        <f aca="false">IF('Price History'!A154="","",'Price History'!A154)</f>
        <v>46205</v>
      </c>
      <c r="B153" s="137" t="n">
        <f aca="false">IFERROR(IF(OR(NOT(ISNUMBER('Price History'!B154)),NOT(ISNUMBER('Price History'!B153)),'Price History'!B153=0),"",'Price History'!B154/'Price History'!B153-1),"")</f>
        <v>0.0838060474522764</v>
      </c>
      <c r="C153" s="137" t="n">
        <f aca="false">IFERROR(IF(OR(NOT(ISNUMBER('Price History'!C154)),NOT(ISNUMBER('Price History'!C153)),'Price History'!C153=0),"",'Price History'!C154/'Price History'!C153-1),"")</f>
        <v>0.0151649746192895</v>
      </c>
      <c r="D153" s="137" t="n">
        <f aca="false">IFERROR(IF(OR(NOT(ISNUMBER('Price History'!D154)),NOT(ISNUMBER('Price History'!D153)),'Price History'!D153=0),"",'Price History'!D154/'Price History'!D153-1),"")</f>
        <v>-0.0140976919905049</v>
      </c>
      <c r="E153" s="137" t="n">
        <f aca="false">IFERROR(IF(OR(NOT(ISNUMBER('Price History'!E154)),NOT(ISNUMBER('Price History'!E153)),'Price History'!E153=0),"",'Price History'!E154/'Price History'!E153-1),"")</f>
        <v>-0.0125198619253739</v>
      </c>
      <c r="F153" s="137" t="n">
        <f aca="false">IFERROR(IF(OR(NOT(ISNUMBER('Price History'!F154)),NOT(ISNUMBER('Price History'!F153)),'Price History'!F153=0),"",'Price History'!F154/'Price History'!F153-1),"")</f>
        <v>0.106749586352485</v>
      </c>
      <c r="G153" s="137" t="n">
        <f aca="false">IFERROR(IF(OR(NOT(ISNUMBER('Price History'!G154)),NOT(ISNUMBER('Price History'!G153)),'Price History'!G153=0),"",'Price History'!G154/'Price History'!G153-1),"")</f>
        <v>-0.0526463963963963</v>
      </c>
      <c r="H153" s="137" t="n">
        <f aca="false">IFERROR(IF(OR(NOT(ISNUMBER('Price History'!H154)),NOT(ISNUMBER('Price History'!H153)),'Price History'!H153=0),"",'Price History'!H154/'Price History'!H153-1),"")</f>
        <v>-0.138449038707797</v>
      </c>
      <c r="I153" s="137" t="n">
        <f aca="false">IFERROR(IF(OR(NOT(ISNUMBER('Price History'!I154)),NOT(ISNUMBER('Price History'!I153)),'Price History'!I153=0),"",'Price History'!I154/'Price History'!I153-1),"")</f>
        <v>0.011946190204124</v>
      </c>
      <c r="J153" s="137" t="n">
        <f aca="false">IFERROR(IF(OR(NOT(ISNUMBER('Price History'!J154)),NOT(ISNUMBER('Price History'!J153)),'Price History'!J153=0),"",'Price History'!J154/'Price History'!J153-1),"")</f>
        <v>-0.00385796956490669</v>
      </c>
      <c r="K153" s="137" t="n">
        <f aca="false">IFERROR(IF(OR(NOT(ISNUMBER('Price History'!K154)),NOT(ISNUMBER('Price History'!K153)),'Price History'!K153=0),"",'Price History'!K154/'Price History'!K153-1),"")</f>
        <v>0.144957053041707</v>
      </c>
      <c r="L153" s="137" t="n">
        <f aca="false">IFERROR(IF(OR(NOT(ISNUMBER('Price History'!L154)),NOT(ISNUMBER('Price History'!L153)),'Price History'!L153=0),"",'Price History'!L154/'Price History'!L153-1),"")</f>
        <v>0.00418642303689132</v>
      </c>
      <c r="M153" s="137" t="n">
        <f aca="false">IFERROR(IF(OR(NOT(ISNUMBER('Price History'!M154)),NOT(ISNUMBER('Price History'!M153)),'Price History'!M153=0),"",'Price History'!M154/'Price History'!M153-1),"")</f>
        <v>-0.0112518506333279</v>
      </c>
      <c r="N153" s="137" t="n">
        <f aca="false">IFERROR(IF(OR(NOT(ISNUMBER('Price History'!N154)),NOT(ISNUMBER('Price History'!N153)),'Price History'!N153=0),"",'Price History'!N154/'Price History'!N153-1),"")</f>
        <v>0.074693694793829</v>
      </c>
      <c r="O153" s="137" t="n">
        <f aca="false">IFERROR(IF(OR(NOT(ISNUMBER('Price History'!O154)),NOT(ISNUMBER('Price History'!O153)),'Price History'!O153=0),"",'Price History'!O154/'Price History'!O153-1),"")</f>
        <v>-0.0114454938370417</v>
      </c>
      <c r="P153" s="137" t="str">
        <f aca="false">IFERROR(IF(OR(NOT(ISNUMBER('Price History'!P154)),NOT(ISNUMBER('Price History'!P153)),'Price History'!P153=0),"",'Price History'!P154/'Price History'!P153-1),"")</f>
        <v/>
      </c>
      <c r="Q153" s="137" t="str">
        <f aca="false">IFERROR(IF(OR(NOT(ISNUMBER('Price History'!Q154)),NOT(ISNUMBER('Price History'!Q153)),'Price History'!Q153=0),"",'Price History'!Q154/'Price History'!Q153-1),"")</f>
        <v/>
      </c>
      <c r="R153" s="137" t="n">
        <f aca="false">IFERROR(IF(OR(NOT(ISNUMBER('Price History'!R154)),NOT(ISNUMBER('Price History'!R153)),'Price History'!R153=0),"",'Price History'!R154/'Price History'!R153-1),"")</f>
        <v>-0.000504880511612238</v>
      </c>
      <c r="S153" s="137" t="n">
        <f aca="false">IFERROR(IF(OR(NOT(ISNUMBER('Price History'!S154)),NOT(ISNUMBER('Price History'!S153)),'Price History'!S153=0),"",'Price History'!S154/'Price History'!S153-1),"")</f>
        <v>-0.0218547341115433</v>
      </c>
      <c r="T153" s="137" t="n">
        <f aca="false">IFERROR(IF(OR(NOT(ISNUMBER('Price History'!T154)),NOT(ISNUMBER('Price History'!T153)),'Price History'!T153=0),"",'Price History'!T154/'Price History'!T153-1),"")</f>
        <v>0.0175362632604461</v>
      </c>
      <c r="U153" s="137" t="str">
        <f aca="false">IFERROR(IF(OR(NOT(ISNUMBER('Price History'!U154)),NOT(ISNUMBER('Price History'!U153)),'Price History'!U153=0),"",'Price History'!U154/'Price History'!U153-1),"")</f>
        <v/>
      </c>
      <c r="W153" s="138" t="n">
        <f aca="false">'Price History'!B3+('Price History'!B158-'Price History'!B3)*0.974025974025974</f>
        <v>257.112337662338</v>
      </c>
      <c r="X153" s="138" t="n">
        <f aca="false">'Price History'!C3+('Price History'!C158-'Price History'!C3)*0.974025974025974</f>
        <v>176.801688311688</v>
      </c>
      <c r="Y153" s="138" t="n">
        <f aca="false">'Price History'!D3+('Price History'!D158-'Price History'!D3)*0.974025974025974</f>
        <v>1603.8774025974</v>
      </c>
      <c r="Z153" s="138" t="n">
        <f aca="false">'Price History'!E3+('Price History'!E158-'Price History'!E3)*0.974025974025974</f>
        <v>381.324155844156</v>
      </c>
      <c r="AA153" s="138" t="n">
        <f aca="false">'Price History'!F3+('Price History'!F158-'Price History'!F3)*0.974025974025974</f>
        <v>186.865194805195</v>
      </c>
      <c r="AB153" s="138" t="n">
        <f aca="false">'Price History'!G3+('Price History'!G158-'Price History'!G3)*0.974025974025974</f>
        <v>179.315584415584</v>
      </c>
      <c r="AC153" s="138" t="n">
        <f aca="false">'Price History'!H3+('Price History'!H158-'Price History'!H3)*0.974025974025974</f>
        <v>803.324545454545</v>
      </c>
      <c r="AD153" s="138" t="n">
        <f aca="false">'Price History'!I3+('Price History'!I158-'Price History'!I3)*0.974025974025974</f>
        <v>196.596753246753</v>
      </c>
      <c r="AE153" s="138" t="n">
        <f aca="false">'Price History'!J3+('Price History'!J158-'Price History'!J3)*0.974025974025974</f>
        <v>144.061948051948</v>
      </c>
      <c r="AF153" s="138" t="n">
        <f aca="false">'Price History'!K3+('Price History'!K158-'Price History'!K3)*0.974025974025974</f>
        <v>120.263896103896</v>
      </c>
      <c r="AG153" s="138" t="n">
        <f aca="false">'Price History'!L3+('Price History'!L158-'Price History'!L3)*0.974025974025974</f>
        <v>396.139350649351</v>
      </c>
      <c r="AH153" s="138" t="n">
        <f aca="false">'Price History'!M3+('Price History'!M158-'Price History'!M3)*0.974025974025974</f>
        <v>236.165844155844</v>
      </c>
      <c r="AI153" s="138" t="n">
        <f aca="false">'Price History'!N3+('Price History'!N158-'Price History'!N3)*0.974025974025974</f>
        <v>473.795064935065</v>
      </c>
      <c r="AJ153" s="138" t="n">
        <f aca="false">'Price History'!O3+('Price History'!O158-'Price History'!O3)*0.974025974025974</f>
        <v>124.177922077922</v>
      </c>
      <c r="AK153" s="138" t="n">
        <f aca="false">'Price History'!Q3+('Price History'!Q151-'Price History'!Q3)*0.974025974025974</f>
        <v>67.9666233766234</v>
      </c>
      <c r="AL153" s="138" t="n">
        <f aca="false">'Price History'!R3+('Price History'!R158-'Price History'!R3)*0.974025974025974</f>
        <v>57.9790909090909</v>
      </c>
      <c r="AM153" s="138" t="n">
        <f aca="false">'Price History'!S3+('Price History'!S158-'Price History'!S3)*0.974025974025974</f>
        <v>141.614675324675</v>
      </c>
      <c r="AN153" s="138" t="n">
        <f aca="false">'Price History'!T3+('Price History'!T158-'Price History'!T3)*0.974025974025974</f>
        <v>49.147012987013</v>
      </c>
    </row>
    <row r="154" customFormat="false" ht="15" hidden="false" customHeight="true" outlineLevel="0" collapsed="false">
      <c r="A154" s="136" t="n">
        <f aca="false">IF('Price History'!A155="","",'Price History'!A155)</f>
        <v>46213</v>
      </c>
      <c r="B154" s="137" t="n">
        <f aca="false">IFERROR(IF(OR(NOT(ISNUMBER('Price History'!B155)),NOT(ISNUMBER('Price History'!B154)),'Price History'!B154=0),"",'Price History'!B155/'Price History'!B154-1),"")</f>
        <v>0.0178408884034225</v>
      </c>
      <c r="C154" s="137" t="n">
        <f aca="false">IFERROR(IF(OR(NOT(ISNUMBER('Price History'!C155)),NOT(ISNUMBER('Price History'!C154)),'Price History'!C154=0),"",'Price History'!C155/'Price History'!C154-1),"")</f>
        <v>0.168573035814738</v>
      </c>
      <c r="D154" s="137" t="n">
        <f aca="false">IFERROR(IF(OR(NOT(ISNUMBER('Price History'!D155)),NOT(ISNUMBER('Price History'!D154)),'Price History'!D154=0),"",'Price History'!D155/'Price History'!D154-1),"")</f>
        <v>0.0158252888115209</v>
      </c>
      <c r="E154" s="137" t="n">
        <f aca="false">IFERROR(IF(OR(NOT(ISNUMBER('Price History'!E155)),NOT(ISNUMBER('Price History'!E154)),'Price History'!E154=0),"",'Price History'!E155/'Price History'!E154-1),"")</f>
        <v>0.109640726869191</v>
      </c>
      <c r="F154" s="137" t="n">
        <f aca="false">IFERROR(IF(OR(NOT(ISNUMBER('Price History'!F155)),NOT(ISNUMBER('Price History'!F154)),'Price History'!F154=0),"",'Price History'!F155/'Price History'!F154-1),"")</f>
        <v>-0.0350551603258067</v>
      </c>
      <c r="G154" s="137" t="n">
        <f aca="false">IFERROR(IF(OR(NOT(ISNUMBER('Price History'!G155)),NOT(ISNUMBER('Price History'!G154)),'Price History'!G154=0),"",'Price History'!G155/'Price History'!G154-1),"")</f>
        <v>-0.0171088940776906</v>
      </c>
      <c r="H154" s="137" t="n">
        <f aca="false">IFERROR(IF(OR(NOT(ISNUMBER('Price History'!H155)),NOT(ISNUMBER('Price History'!H154)),'Price History'!H154=0),"",'Price History'!H155/'Price History'!H154-1),"")</f>
        <v>0.00383369551847146</v>
      </c>
      <c r="I154" s="137" t="n">
        <f aca="false">IFERROR(IF(OR(NOT(ISNUMBER('Price History'!I155)),NOT(ISNUMBER('Price History'!I154)),'Price History'!I154=0),"",'Price History'!I155/'Price History'!I154-1),"")</f>
        <v>0.0827901247241185</v>
      </c>
      <c r="J154" s="137" t="n">
        <f aca="false">IFERROR(IF(OR(NOT(ISNUMBER('Price History'!J155)),NOT(ISNUMBER('Price History'!J154)),'Price History'!J154=0),"",'Price History'!J155/'Price History'!J154-1),"")</f>
        <v>0.0103277630352148</v>
      </c>
      <c r="K154" s="137" t="n">
        <f aca="false">IFERROR(IF(OR(NOT(ISNUMBER('Price History'!K155)),NOT(ISNUMBER('Price History'!K154)),'Price History'!K154=0),"",'Price History'!K155/'Price History'!K154-1),"")</f>
        <v>-0.0194122196442382</v>
      </c>
      <c r="L154" s="137" t="n">
        <f aca="false">IFERROR(IF(OR(NOT(ISNUMBER('Price History'!L155)),NOT(ISNUMBER('Price History'!L154)),'Price History'!L154=0),"",'Price History'!L155/'Price History'!L154-1),"")</f>
        <v>-0.000115164916159927</v>
      </c>
      <c r="M154" s="137" t="n">
        <f aca="false">IFERROR(IF(OR(NOT(ISNUMBER('Price History'!M155)),NOT(ISNUMBER('Price History'!M154)),'Price History'!M154=0),"",'Price History'!M155/'Price History'!M154-1),"")</f>
        <v>0.0609922470302466</v>
      </c>
      <c r="N154" s="137" t="n">
        <f aca="false">IFERROR(IF(OR(NOT(ISNUMBER('Price History'!N155)),NOT(ISNUMBER('Price History'!N154)),'Price History'!N154=0),"",'Price History'!N155/'Price History'!N154-1),"")</f>
        <v>-0.0807703961821074</v>
      </c>
      <c r="O154" s="137" t="n">
        <f aca="false">IFERROR(IF(OR(NOT(ISNUMBER('Price History'!O155)),NOT(ISNUMBER('Price History'!O154)),'Price History'!O154=0),"",'Price History'!O155/'Price History'!O154-1),"")</f>
        <v>0.00356246457776699</v>
      </c>
      <c r="P154" s="137" t="str">
        <f aca="false">IFERROR(IF(OR(NOT(ISNUMBER('Price History'!P155)),NOT(ISNUMBER('Price History'!P154)),'Price History'!P154=0),"",'Price History'!P155/'Price History'!P154-1),"")</f>
        <v/>
      </c>
      <c r="Q154" s="137" t="str">
        <f aca="false">IFERROR(IF(OR(NOT(ISNUMBER('Price History'!Q155)),NOT(ISNUMBER('Price History'!Q154)),'Price History'!Q154=0),"",'Price History'!Q155/'Price History'!Q154-1),"")</f>
        <v/>
      </c>
      <c r="R154" s="137" t="n">
        <f aca="false">IFERROR(IF(OR(NOT(ISNUMBER('Price History'!R155)),NOT(ISNUMBER('Price History'!R154)),'Price History'!R154=0),"",'Price History'!R155/'Price History'!R154-1),"")</f>
        <v>0.0188583936689677</v>
      </c>
      <c r="S154" s="137" t="n">
        <f aca="false">IFERROR(IF(OR(NOT(ISNUMBER('Price History'!S155)),NOT(ISNUMBER('Price History'!S154)),'Price History'!S154=0),"",'Price History'!S155/'Price History'!S154-1),"")</f>
        <v>0.0193595438573226</v>
      </c>
      <c r="T154" s="137" t="n">
        <f aca="false">IFERROR(IF(OR(NOT(ISNUMBER('Price History'!T155)),NOT(ISNUMBER('Price History'!T154)),'Price History'!T154=0),"",'Price History'!T155/'Price History'!T154-1),"")</f>
        <v>0.00829787234042545</v>
      </c>
      <c r="U154" s="137" t="str">
        <f aca="false">IFERROR(IF(OR(NOT(ISNUMBER('Price History'!U155)),NOT(ISNUMBER('Price History'!U154)),'Price History'!U154=0),"",'Price History'!U155/'Price History'!U154-1),"")</f>
        <v/>
      </c>
      <c r="W154" s="138" t="n">
        <f aca="false">'Price History'!B3+('Price History'!B158-'Price History'!B3)*0.980519480519481</f>
        <v>255.436753246753</v>
      </c>
      <c r="X154" s="138" t="n">
        <f aca="false">'Price History'!C3+('Price History'!C158-'Price History'!C3)*0.980519480519481</f>
        <v>177.688766233766</v>
      </c>
      <c r="Y154" s="138" t="n">
        <f aca="false">'Price History'!D3+('Price History'!D158-'Price History'!D3)*0.980519480519481</f>
        <v>1610.15805194805</v>
      </c>
      <c r="Z154" s="138" t="n">
        <f aca="false">'Price History'!E3+('Price History'!E158-'Price History'!E3)*0.980519480519481</f>
        <v>383.313116883117</v>
      </c>
      <c r="AA154" s="138" t="n">
        <f aca="false">'Price History'!F3+('Price History'!F158-'Price History'!F3)*0.980519480519481</f>
        <v>187.863896103896</v>
      </c>
      <c r="AB154" s="138" t="n">
        <f aca="false">'Price History'!G3+('Price History'!G158-'Price History'!G3)*0.980519480519481</f>
        <v>180.191688311688</v>
      </c>
      <c r="AC154" s="138" t="n">
        <f aca="false">'Price History'!H3+('Price History'!H158-'Price History'!H3)*0.980519480519481</f>
        <v>808.250909090909</v>
      </c>
      <c r="AD154" s="138" t="n">
        <f aca="false">'Price History'!I3+('Price History'!I158-'Price History'!I3)*0.980519480519481</f>
        <v>197.635064935065</v>
      </c>
      <c r="AE154" s="138" t="n">
        <f aca="false">'Price History'!J3+('Price History'!J158-'Price History'!J3)*0.980519480519481</f>
        <v>144.198961038961</v>
      </c>
      <c r="AF154" s="138" t="n">
        <f aca="false">'Price History'!K3+('Price History'!K158-'Price History'!K3)*0.980519480519481</f>
        <v>120.962922077922</v>
      </c>
      <c r="AG154" s="138" t="n">
        <f aca="false">'Price History'!L3+('Price History'!L158-'Price History'!L3)*0.980519480519481</f>
        <v>398.167012987013</v>
      </c>
      <c r="AH154" s="138" t="n">
        <f aca="false">'Price History'!M3+('Price History'!M158-'Price History'!M3)*0.980519480519481</f>
        <v>237.516883116883</v>
      </c>
      <c r="AI154" s="138" t="n">
        <f aca="false">'Price History'!N3+('Price History'!N158-'Price History'!N3)*0.980519480519481</f>
        <v>474.621298701299</v>
      </c>
      <c r="AJ154" s="138" t="n">
        <f aca="false">'Price History'!O3+('Price History'!O158-'Price History'!O3)*0.980519480519481</f>
        <v>124.453441558442</v>
      </c>
      <c r="AK154" s="138" t="n">
        <f aca="false">'Price History'!Q3+('Price History'!Q151-'Price History'!Q3)*0.980519480519481</f>
        <v>68.0874675324675</v>
      </c>
      <c r="AL154" s="138" t="n">
        <f aca="false">'Price History'!R3+('Price History'!R158-'Price History'!R3)*0.980519480519481</f>
        <v>58.0468181818182</v>
      </c>
      <c r="AM154" s="138" t="n">
        <f aca="false">'Price History'!S3+('Price History'!S158-'Price History'!S3)*0.980519480519481</f>
        <v>142.168506493507</v>
      </c>
      <c r="AN154" s="138" t="n">
        <f aca="false">'Price History'!T3+('Price History'!T158-'Price History'!T3)*0.980519480519481</f>
        <v>49.2952597402598</v>
      </c>
    </row>
    <row r="155" customFormat="false" ht="15" hidden="false" customHeight="true" outlineLevel="0" collapsed="false">
      <c r="A155" s="136" t="n">
        <f aca="false">IF('Price History'!A156="","",'Price History'!A156)</f>
        <v>46220</v>
      </c>
      <c r="B155" s="137" t="n">
        <f aca="false">IFERROR(IF(OR(NOT(ISNUMBER('Price History'!B156)),NOT(ISNUMBER('Price History'!B155)),'Price History'!B155=0),"",'Price History'!B156/'Price History'!B155-1),"")</f>
        <v>0.0608567340368449</v>
      </c>
      <c r="C155" s="137" t="n">
        <f aca="false">IFERROR(IF(OR(NOT(ISNUMBER('Price History'!C156)),NOT(ISNUMBER('Price History'!C155)),'Price History'!C155=0),"",'Price History'!C156/'Price History'!C155-1),"")</f>
        <v>-0.0981493367565254</v>
      </c>
      <c r="D155" s="137" t="n">
        <f aca="false">IFERROR(IF(OR(NOT(ISNUMBER('Price History'!D156)),NOT(ISNUMBER('Price History'!D155)),'Price History'!D155=0),"",'Price History'!D156/'Price History'!D155-1),"")</f>
        <v>-0.027674537644938</v>
      </c>
      <c r="E155" s="137" t="n">
        <f aca="false">IFERROR(IF(OR(NOT(ISNUMBER('Price History'!E156)),NOT(ISNUMBER('Price History'!E155)),'Price History'!E155=0),"",'Price History'!E156/'Price History'!E155-1),"")</f>
        <v>-0.0728554641598121</v>
      </c>
      <c r="F155" s="137" t="n">
        <f aca="false">IFERROR(IF(OR(NOT(ISNUMBER('Price History'!F156)),NOT(ISNUMBER('Price History'!F155)),'Price History'!F155=0),"",'Price History'!F156/'Price History'!F155-1),"")</f>
        <v>0.0849449727534994</v>
      </c>
      <c r="G155" s="137" t="n">
        <f aca="false">IFERROR(IF(OR(NOT(ISNUMBER('Price History'!G156)),NOT(ISNUMBER('Price History'!G155)),'Price History'!G155=0),"",'Price History'!G156/'Price History'!G155-1),"")</f>
        <v>-0.0810729094678646</v>
      </c>
      <c r="H155" s="137" t="n">
        <f aca="false">IFERROR(IF(OR(NOT(ISNUMBER('Price History'!H156)),NOT(ISNUMBER('Price History'!H155)),'Price History'!H155=0),"",'Price History'!H156/'Price History'!H155-1),"")</f>
        <v>-0.133105279281119</v>
      </c>
      <c r="I155" s="137" t="n">
        <f aca="false">IFERROR(IF(OR(NOT(ISNUMBER('Price History'!I156)),NOT(ISNUMBER('Price History'!I155)),'Price History'!I155=0),"",'Price History'!I156/'Price History'!I155-1),"")</f>
        <v>-0.0386329161926432</v>
      </c>
      <c r="J155" s="137" t="n">
        <f aca="false">IFERROR(IF(OR(NOT(ISNUMBER('Price History'!J156)),NOT(ISNUMBER('Price History'!J155)),'Price History'!J155=0),"",'Price History'!J156/'Price History'!J155-1),"")</f>
        <v>0.0633207922197769</v>
      </c>
      <c r="K155" s="137" t="n">
        <f aca="false">IFERROR(IF(OR(NOT(ISNUMBER('Price History'!K156)),NOT(ISNUMBER('Price History'!K155)),'Price History'!K155=0),"",'Price History'!K156/'Price History'!K155-1),"")</f>
        <v>0.0440886505244893</v>
      </c>
      <c r="L155" s="137" t="n">
        <f aca="false">IFERROR(IF(OR(NOT(ISNUMBER('Price History'!L156)),NOT(ISNUMBER('Price History'!L155)),'Price History'!L155=0),"",'Price History'!L156/'Price History'!L155-1),"")</f>
        <v>-0.0823293635253738</v>
      </c>
      <c r="M155" s="137" t="n">
        <f aca="false">IFERROR(IF(OR(NOT(ISNUMBER('Price History'!M156)),NOT(ISNUMBER('Price History'!M155)),'Price History'!M155=0),"",'Price History'!M156/'Price History'!M155-1),"")</f>
        <v>-0.0918898576177634</v>
      </c>
      <c r="N155" s="137" t="n">
        <f aca="false">IFERROR(IF(OR(NOT(ISNUMBER('Price History'!N156)),NOT(ISNUMBER('Price History'!N155)),'Price History'!N155=0),"",'Price History'!N156/'Price History'!N155-1),"")</f>
        <v>0.000535651743958532</v>
      </c>
      <c r="O155" s="137" t="n">
        <f aca="false">IFERROR(IF(OR(NOT(ISNUMBER('Price History'!O156)),NOT(ISNUMBER('Price History'!O155)),'Price History'!O155=0),"",'Price History'!O156/'Price History'!O155-1),"")</f>
        <v>0.0112948769665187</v>
      </c>
      <c r="P155" s="137" t="str">
        <f aca="false">IFERROR(IF(OR(NOT(ISNUMBER('Price History'!P156)),NOT(ISNUMBER('Price History'!P155)),'Price History'!P155=0),"",'Price History'!P156/'Price History'!P155-1),"")</f>
        <v/>
      </c>
      <c r="Q155" s="137" t="str">
        <f aca="false">IFERROR(IF(OR(NOT(ISNUMBER('Price History'!Q156)),NOT(ISNUMBER('Price History'!Q155)),'Price History'!Q155=0),"",'Price History'!Q156/'Price History'!Q155-1),"")</f>
        <v/>
      </c>
      <c r="R155" s="137" t="n">
        <f aca="false">IFERROR(IF(OR(NOT(ISNUMBER('Price History'!R156)),NOT(ISNUMBER('Price History'!R155)),'Price History'!R155=0),"",'Price History'!R156/'Price History'!R155-1),"")</f>
        <v>-0.0330523880350355</v>
      </c>
      <c r="S155" s="137" t="n">
        <f aca="false">IFERROR(IF(OR(NOT(ISNUMBER('Price History'!S156)),NOT(ISNUMBER('Price History'!S155)),'Price History'!S155=0),"",'Price History'!S156/'Price History'!S155-1),"")</f>
        <v>-0.0641300813008131</v>
      </c>
      <c r="T155" s="137" t="n">
        <f aca="false">IFERROR(IF(OR(NOT(ISNUMBER('Price History'!T156)),NOT(ISNUMBER('Price History'!T155)),'Price History'!T155=0),"",'Price History'!T156/'Price History'!T155-1),"")</f>
        <v>0.0086516142646127</v>
      </c>
      <c r="U155" s="137" t="str">
        <f aca="false">IFERROR(IF(OR(NOT(ISNUMBER('Price History'!U156)),NOT(ISNUMBER('Price History'!U155)),'Price History'!U155=0),"",'Price History'!U156/'Price History'!U155-1),"")</f>
        <v/>
      </c>
      <c r="W155" s="138" t="n">
        <f aca="false">'Price History'!B3+('Price History'!B158-'Price History'!B3)*0.987012987012987</f>
        <v>253.761168831169</v>
      </c>
      <c r="X155" s="138" t="n">
        <f aca="false">'Price History'!C3+('Price History'!C158-'Price History'!C3)*0.987012987012987</f>
        <v>178.575844155844</v>
      </c>
      <c r="Y155" s="138" t="n">
        <f aca="false">'Price History'!D3+('Price History'!D158-'Price History'!D3)*0.987012987012987</f>
        <v>1616.4387012987</v>
      </c>
      <c r="Z155" s="138" t="n">
        <f aca="false">'Price History'!E3+('Price History'!E158-'Price History'!E3)*0.987012987012987</f>
        <v>385.302077922078</v>
      </c>
      <c r="AA155" s="138" t="n">
        <f aca="false">'Price History'!F3+('Price History'!F158-'Price History'!F3)*0.987012987012987</f>
        <v>188.862597402597</v>
      </c>
      <c r="AB155" s="138" t="n">
        <f aca="false">'Price History'!G3+('Price History'!G158-'Price History'!G3)*0.987012987012987</f>
        <v>181.067792207792</v>
      </c>
      <c r="AC155" s="138" t="n">
        <f aca="false">'Price History'!H3+('Price History'!H158-'Price History'!H3)*0.987012987012987</f>
        <v>813.177272727273</v>
      </c>
      <c r="AD155" s="138" t="n">
        <f aca="false">'Price History'!I3+('Price History'!I158-'Price History'!I3)*0.987012987012987</f>
        <v>198.673376623377</v>
      </c>
      <c r="AE155" s="138" t="n">
        <f aca="false">'Price History'!J3+('Price History'!J158-'Price History'!J3)*0.987012987012987</f>
        <v>144.335974025974</v>
      </c>
      <c r="AF155" s="138" t="n">
        <f aca="false">'Price History'!K3+('Price History'!K158-'Price History'!K3)*0.987012987012987</f>
        <v>121.661948051948</v>
      </c>
      <c r="AG155" s="138" t="n">
        <f aca="false">'Price History'!L3+('Price History'!L158-'Price History'!L3)*0.987012987012987</f>
        <v>400.194675324675</v>
      </c>
      <c r="AH155" s="138" t="n">
        <f aca="false">'Price History'!M3+('Price History'!M158-'Price History'!M3)*0.987012987012987</f>
        <v>238.867922077922</v>
      </c>
      <c r="AI155" s="138" t="n">
        <f aca="false">'Price History'!N3+('Price History'!N158-'Price History'!N3)*0.987012987012987</f>
        <v>475.447532467533</v>
      </c>
      <c r="AJ155" s="138" t="n">
        <f aca="false">'Price History'!O3+('Price History'!O158-'Price History'!O3)*0.987012987012987</f>
        <v>124.728961038961</v>
      </c>
      <c r="AK155" s="138" t="n">
        <f aca="false">'Price History'!Q3+('Price History'!Q151-'Price History'!Q3)*0.987012987012987</f>
        <v>68.2083116883117</v>
      </c>
      <c r="AL155" s="138" t="n">
        <f aca="false">'Price History'!R3+('Price History'!R158-'Price History'!R3)*0.987012987012987</f>
        <v>58.1145454545455</v>
      </c>
      <c r="AM155" s="138" t="n">
        <f aca="false">'Price History'!S3+('Price History'!S158-'Price History'!S3)*0.987012987012987</f>
        <v>142.722337662338</v>
      </c>
      <c r="AN155" s="138" t="n">
        <f aca="false">'Price History'!T3+('Price History'!T158-'Price History'!T3)*0.987012987012987</f>
        <v>49.4435064935065</v>
      </c>
    </row>
    <row r="156" customFormat="false" ht="15" hidden="false" customHeight="true" outlineLevel="0" collapsed="false">
      <c r="A156" s="136" t="n">
        <f aca="false">IF('Price History'!A157="","",'Price History'!A157)</f>
        <v>46227</v>
      </c>
      <c r="B156" s="137" t="n">
        <f aca="false">IFERROR(IF(OR(NOT(ISNUMBER('Price History'!B157)),NOT(ISNUMBER('Price History'!B156)),'Price History'!B156=0),"",'Price History'!B157/'Price History'!B156-1),"")</f>
        <v>-0.0511696522655426</v>
      </c>
      <c r="C156" s="137" t="n">
        <f aca="false">IFERROR(IF(OR(NOT(ISNUMBER('Price History'!C157)),NOT(ISNUMBER('Price History'!C156)),'Price History'!C156=0),"",'Price History'!C157/'Price History'!C156-1),"")</f>
        <v>0.0319079532649309</v>
      </c>
      <c r="D156" s="137" t="n">
        <f aca="false">IFERROR(IF(OR(NOT(ISNUMBER('Price History'!D157)),NOT(ISNUMBER('Price History'!D156)),'Price History'!D156=0),"",'Price History'!D157/'Price History'!D156-1),"")</f>
        <v>0.00544181096144381</v>
      </c>
      <c r="E156" s="137" t="n">
        <f aca="false">IFERROR(IF(OR(NOT(ISNUMBER('Price History'!E157)),NOT(ISNUMBER('Price History'!E156)),'Price History'!E156=0),"",'Price History'!E157/'Price History'!E156-1),"")</f>
        <v>0.0299058867944881</v>
      </c>
      <c r="F156" s="137" t="n">
        <f aca="false">IFERROR(IF(OR(NOT(ISNUMBER('Price History'!F157)),NOT(ISNUMBER('Price History'!F156)),'Price History'!F156=0),"",'Price History'!F157/'Price History'!F156-1),"")</f>
        <v>-0.0974985227496553</v>
      </c>
      <c r="G156" s="137" t="n">
        <f aca="false">IFERROR(IF(OR(NOT(ISNUMBER('Price History'!G157)),NOT(ISNUMBER('Price History'!G156)),'Price History'!G156=0),"",'Price History'!G157/'Price History'!G156-1),"")</f>
        <v>-0.01048178613396</v>
      </c>
      <c r="H156" s="137" t="n">
        <f aca="false">IFERROR(IF(OR(NOT(ISNUMBER('Price History'!H157)),NOT(ISNUMBER('Price History'!H156)),'Price History'!H156=0),"",'Price History'!H157/'Price History'!H156-1),"")</f>
        <v>0.0848106484480828</v>
      </c>
      <c r="I156" s="137" t="n">
        <f aca="false">IFERROR(IF(OR(NOT(ISNUMBER('Price History'!I157)),NOT(ISNUMBER('Price History'!I156)),'Price History'!I156=0),"",'Price History'!I157/'Price History'!I156-1),"")</f>
        <v>0.0198708150485676</v>
      </c>
      <c r="J156" s="137" t="n">
        <f aca="false">IFERROR(IF(OR(NOT(ISNUMBER('Price History'!J157)),NOT(ISNUMBER('Price History'!J156)),'Price History'!J156=0),"",'Price History'!J157/'Price History'!J156-1),"")</f>
        <v>-0.0144201882635689</v>
      </c>
      <c r="K156" s="137" t="n">
        <f aca="false">IFERROR(IF(OR(NOT(ISNUMBER('Price History'!K157)),NOT(ISNUMBER('Price History'!K156)),'Price History'!K156=0),"",'Price History'!K157/'Price History'!K156-1),"")</f>
        <v>-0.0714609457621996</v>
      </c>
      <c r="L156" s="137" t="n">
        <f aca="false">IFERROR(IF(OR(NOT(ISNUMBER('Price History'!L157)),NOT(ISNUMBER('Price History'!L156)),'Price History'!L156=0),"",'Price History'!L157/'Price History'!L156-1),"")</f>
        <v>0.0126515550869795</v>
      </c>
      <c r="M156" s="137" t="n">
        <f aca="false">IFERROR(IF(OR(NOT(ISNUMBER('Price History'!M157)),NOT(ISNUMBER('Price History'!M156)),'Price History'!M156=0),"",'Price History'!M157/'Price History'!M156-1),"")</f>
        <v>0.0027628125431689</v>
      </c>
      <c r="N156" s="137" t="n">
        <f aca="false">IFERROR(IF(OR(NOT(ISNUMBER('Price History'!N157)),NOT(ISNUMBER('Price History'!N156)),'Price History'!N156=0),"",'Price History'!N157/'Price History'!N156-1),"")</f>
        <v>-0.0170699063111294</v>
      </c>
      <c r="O156" s="137" t="n">
        <f aca="false">IFERROR(IF(OR(NOT(ISNUMBER('Price History'!O157)),NOT(ISNUMBER('Price History'!O156)),'Price History'!O156=0),"",'Price History'!O157/'Price History'!O156-1),"")</f>
        <v>-0.000558436378141125</v>
      </c>
      <c r="P156" s="137" t="str">
        <f aca="false">IFERROR(IF(OR(NOT(ISNUMBER('Price History'!P157)),NOT(ISNUMBER('Price History'!P156)),'Price History'!P156=0),"",'Price History'!P157/'Price History'!P156-1),"")</f>
        <v/>
      </c>
      <c r="Q156" s="137" t="str">
        <f aca="false">IFERROR(IF(OR(NOT(ISNUMBER('Price History'!Q157)),NOT(ISNUMBER('Price History'!Q156)),'Price History'!Q156=0),"",'Price History'!Q157/'Price History'!Q156-1),"")</f>
        <v/>
      </c>
      <c r="R156" s="137" t="n">
        <f aca="false">IFERROR(IF(OR(NOT(ISNUMBER('Price History'!R157)),NOT(ISNUMBER('Price History'!R156)),'Price History'!R156=0),"",'Price History'!R157/'Price History'!R156-1),"")</f>
        <v>-0.0094001025465732</v>
      </c>
      <c r="S156" s="137" t="n">
        <f aca="false">IFERROR(IF(OR(NOT(ISNUMBER('Price History'!S157)),NOT(ISNUMBER('Price History'!S156)),'Price History'!S156=0),"",'Price History'!S157/'Price History'!S156-1),"")</f>
        <v>0.0182083536034472</v>
      </c>
      <c r="T156" s="137" t="n">
        <f aca="false">IFERROR(IF(OR(NOT(ISNUMBER('Price History'!T157)),NOT(ISNUMBER('Price History'!T156)),'Price History'!T156=0),"",'Price History'!T157/'Price History'!T156-1),"")</f>
        <v>0.00711297071129713</v>
      </c>
      <c r="U156" s="137" t="str">
        <f aca="false">IFERROR(IF(OR(NOT(ISNUMBER('Price History'!U157)),NOT(ISNUMBER('Price History'!U156)),'Price History'!U156=0),"",'Price History'!U157/'Price History'!U156-1),"")</f>
        <v/>
      </c>
      <c r="W156" s="138" t="n">
        <f aca="false">'Price History'!B3+('Price History'!B158-'Price History'!B3)*0.993506493506494</f>
        <v>252.085584415584</v>
      </c>
      <c r="X156" s="138" t="n">
        <f aca="false">'Price History'!C3+('Price History'!C158-'Price History'!C3)*0.993506493506494</f>
        <v>179.462922077922</v>
      </c>
      <c r="Y156" s="138" t="n">
        <f aca="false">'Price History'!D3+('Price History'!D158-'Price History'!D3)*0.993506493506494</f>
        <v>1622.71935064935</v>
      </c>
      <c r="Z156" s="138" t="n">
        <f aca="false">'Price History'!E3+('Price History'!E158-'Price History'!E3)*0.993506493506494</f>
        <v>387.291038961039</v>
      </c>
      <c r="AA156" s="138" t="n">
        <f aca="false">'Price History'!F3+('Price History'!F158-'Price History'!F3)*0.993506493506494</f>
        <v>189.861298701299</v>
      </c>
      <c r="AB156" s="138" t="n">
        <f aca="false">'Price History'!G3+('Price History'!G158-'Price History'!G3)*0.993506493506494</f>
        <v>181.943896103896</v>
      </c>
      <c r="AC156" s="138" t="n">
        <f aca="false">'Price History'!H3+('Price History'!H158-'Price History'!H3)*0.993506493506494</f>
        <v>818.103636363637</v>
      </c>
      <c r="AD156" s="138" t="n">
        <f aca="false">'Price History'!I3+('Price History'!I158-'Price History'!I3)*0.993506493506494</f>
        <v>199.711688311688</v>
      </c>
      <c r="AE156" s="138" t="n">
        <f aca="false">'Price History'!J3+('Price History'!J158-'Price History'!J3)*0.993506493506494</f>
        <v>144.472987012987</v>
      </c>
      <c r="AF156" s="138" t="n">
        <f aca="false">'Price History'!K3+('Price History'!K158-'Price History'!K3)*0.993506493506494</f>
        <v>122.360974025974</v>
      </c>
      <c r="AG156" s="138" t="n">
        <f aca="false">'Price History'!L3+('Price History'!L158-'Price History'!L3)*0.993506493506494</f>
        <v>402.222337662338</v>
      </c>
      <c r="AH156" s="138" t="n">
        <f aca="false">'Price History'!M3+('Price History'!M158-'Price History'!M3)*0.993506493506494</f>
        <v>240.218961038961</v>
      </c>
      <c r="AI156" s="138" t="n">
        <f aca="false">'Price History'!N3+('Price History'!N158-'Price History'!N3)*0.993506493506494</f>
        <v>476.273766233766</v>
      </c>
      <c r="AJ156" s="138" t="n">
        <f aca="false">'Price History'!O3+('Price History'!O158-'Price History'!O3)*0.993506493506494</f>
        <v>125.004480519481</v>
      </c>
      <c r="AK156" s="138" t="n">
        <f aca="false">'Price History'!Q3+('Price History'!Q151-'Price History'!Q3)*0.993506493506494</f>
        <v>68.3291558441559</v>
      </c>
      <c r="AL156" s="138" t="n">
        <f aca="false">'Price History'!R3+('Price History'!R158-'Price History'!R3)*0.993506493506494</f>
        <v>58.1822727272727</v>
      </c>
      <c r="AM156" s="138" t="n">
        <f aca="false">'Price History'!S3+('Price History'!S158-'Price History'!S3)*0.993506493506494</f>
        <v>143.276168831169</v>
      </c>
      <c r="AN156" s="138" t="n">
        <f aca="false">'Price History'!T3+('Price History'!T158-'Price History'!T3)*0.993506493506494</f>
        <v>49.5917532467533</v>
      </c>
    </row>
    <row r="157" customFormat="false" ht="15" hidden="false" customHeight="true" outlineLevel="0" collapsed="false">
      <c r="A157" s="136" t="n">
        <f aca="false">IF('Price History'!A158="","",'Price History'!A158)</f>
        <v>46234</v>
      </c>
      <c r="B157" s="137" t="n">
        <f aca="false">IFERROR(IF(OR(NOT(ISNUMBER('Price History'!B158)),NOT(ISNUMBER('Price History'!B157)),'Price History'!B157=0),"",'Price History'!B158/'Price History'!B157-1),"")</f>
        <v>0.112389498467416</v>
      </c>
      <c r="C157" s="137" t="n">
        <f aca="false">IFERROR(IF(OR(NOT(ISNUMBER('Price History'!C158)),NOT(ISNUMBER('Price History'!C157)),'Price History'!C157=0),"",'Price History'!C158/'Price History'!C157-1),"")</f>
        <v>0.0365538249324673</v>
      </c>
      <c r="D157" s="137" t="n">
        <f aca="false">IFERROR(IF(OR(NOT(ISNUMBER('Price History'!D158)),NOT(ISNUMBER('Price History'!D157)),'Price History'!D157=0),"",'Price History'!D158/'Price History'!D157-1),"")</f>
        <v>-0.0728989408624486</v>
      </c>
      <c r="E157" s="137" t="n">
        <f aca="false">IFERROR(IF(OR(NOT(ISNUMBER('Price History'!E158)),NOT(ISNUMBER('Price History'!E157)),'Price History'!E157=0),"",'Price History'!E158/'Price History'!E157-1),"")</f>
        <v>0.0192710515291159</v>
      </c>
      <c r="F157" s="137" t="n">
        <f aca="false">IFERROR(IF(OR(NOT(ISNUMBER('Price History'!F158)),NOT(ISNUMBER('Price History'!F157)),'Price History'!F157=0),"",'Price History'!F158/'Price History'!F157-1),"")</f>
        <v>0.0413574858140551</v>
      </c>
      <c r="G157" s="137" t="n">
        <f aca="false">IFERROR(IF(OR(NOT(ISNUMBER('Price History'!G158)),NOT(ISNUMBER('Price History'!G157)),'Price History'!G157=0),"",'Price History'!G158/'Price History'!G157-1),"")</f>
        <v>-0.131578947368421</v>
      </c>
      <c r="H157" s="137" t="n">
        <f aca="false">IFERROR(IF(OR(NOT(ISNUMBER('Price History'!H158)),NOT(ISNUMBER('Price History'!H157)),'Price History'!H157=0),"",'Price History'!H158/'Price History'!H157-1),"")</f>
        <v>-0.106324990498941</v>
      </c>
      <c r="I157" s="137" t="n">
        <f aca="false">IFERROR(IF(OR(NOT(ISNUMBER('Price History'!I158)),NOT(ISNUMBER('Price History'!I157)),'Price History'!I157=0),"",'Price History'!I158/'Price History'!I157-1),"")</f>
        <v>-0.0294430477663895</v>
      </c>
      <c r="J157" s="137" t="n">
        <f aca="false">IFERROR(IF(OR(NOT(ISNUMBER('Price History'!J158)),NOT(ISNUMBER('Price History'!J157)),'Price History'!J157=0),"",'Price History'!J158/'Price History'!J157-1),"")</f>
        <v>-0.0204565467723361</v>
      </c>
      <c r="K157" s="137" t="n">
        <f aca="false">IFERROR(IF(OR(NOT(ISNUMBER('Price History'!K158)),NOT(ISNUMBER('Price History'!K157)),'Price History'!K157=0),"",'Price History'!K158/'Price History'!K157-1),"")</f>
        <v>0.00113895216400906</v>
      </c>
      <c r="L157" s="137" t="n">
        <f aca="false">IFERROR(IF(OR(NOT(ISNUMBER('Price History'!L158)),NOT(ISNUMBER('Price History'!L157)),'Price History'!L157=0),"",'Price History'!L158/'Price History'!L157-1),"")</f>
        <v>0.00208224882873487</v>
      </c>
      <c r="M157" s="137" t="n">
        <f aca="false">IFERROR(IF(OR(NOT(ISNUMBER('Price History'!M158)),NOT(ISNUMBER('Price History'!M157)),'Price History'!M157=0),"",'Price History'!M158/'Price History'!M157-1),"")</f>
        <v>-0.168032786885246</v>
      </c>
      <c r="N157" s="137" t="n">
        <f aca="false">IFERROR(IF(OR(NOT(ISNUMBER('Price History'!N158)),NOT(ISNUMBER('Price History'!N157)),'Price History'!N157=0),"",'Price History'!N158/'Price History'!N157-1),"")</f>
        <v>-0.000544662309368227</v>
      </c>
      <c r="O157" s="137" t="n">
        <f aca="false">IFERROR(IF(OR(NOT(ISNUMBER('Price History'!O158)),NOT(ISNUMBER('Price History'!O157)),'Price History'!O157=0),"",'Price History'!O158/'Price History'!O157-1),"")</f>
        <v>0</v>
      </c>
      <c r="P157" s="137" t="str">
        <f aca="false">IFERROR(IF(OR(NOT(ISNUMBER('Price History'!P158)),NOT(ISNUMBER('Price History'!P157)),'Price History'!P157=0),"",'Price History'!P158/'Price History'!P157-1),"")</f>
        <v/>
      </c>
      <c r="Q157" s="137" t="str">
        <f aca="false">IFERROR(IF(OR(NOT(ISNUMBER('Price History'!Q158)),NOT(ISNUMBER('Price History'!Q157)),'Price History'!Q157=0),"",'Price History'!Q158/'Price History'!Q157-1),"")</f>
        <v/>
      </c>
      <c r="R157" s="137" t="n">
        <f aca="false">IFERROR(IF(OR(NOT(ISNUMBER('Price History'!R158)),NOT(ISNUMBER('Price History'!R157)),'Price History'!R157=0),"",'Price History'!R158/'Price History'!R157-1),"")</f>
        <v>0.00500345065562446</v>
      </c>
      <c r="S157" s="137" t="n">
        <f aca="false">IFERROR(IF(OR(NOT(ISNUMBER('Price History'!S158)),NOT(ISNUMBER('Price History'!S157)),'Price History'!S157=0),"",'Price History'!S158/'Price History'!S157-1),"")</f>
        <v>-0.0182922667394716</v>
      </c>
      <c r="T157" s="137" t="n">
        <f aca="false">IFERROR(IF(OR(NOT(ISNUMBER('Price History'!T158)),NOT(ISNUMBER('Price History'!T157)),'Price History'!T157=0),"",'Price History'!T158/'Price History'!T157-1),"")</f>
        <v>0.0332363938512672</v>
      </c>
      <c r="U157" s="137" t="str">
        <f aca="false">IFERROR(IF(OR(NOT(ISNUMBER('Price History'!U158)),NOT(ISNUMBER('Price History'!U157)),'Price History'!U157=0),"",'Price History'!U158/'Price History'!U157-1),"")</f>
        <v/>
      </c>
      <c r="W157" s="138" t="n">
        <f aca="false">'Price History'!B3+('Price History'!B158-'Price History'!B3)*1</f>
        <v>250.41</v>
      </c>
      <c r="X157" s="138" t="n">
        <f aca="false">'Price History'!C3+('Price History'!C158-'Price History'!C3)*1</f>
        <v>180.35</v>
      </c>
      <c r="Y157" s="138" t="n">
        <f aca="false">'Price History'!D3+('Price History'!D158-'Price History'!D3)*1</f>
        <v>1629</v>
      </c>
      <c r="Z157" s="138" t="n">
        <f aca="false">'Price History'!E3+('Price History'!E158-'Price History'!E3)*1</f>
        <v>389.28</v>
      </c>
      <c r="AA157" s="138" t="n">
        <f aca="false">'Price History'!F3+('Price History'!F158-'Price History'!F3)*1</f>
        <v>190.86</v>
      </c>
      <c r="AB157" s="138" t="n">
        <f aca="false">'Price History'!G3+('Price History'!G158-'Price History'!G3)*1</f>
        <v>182.82</v>
      </c>
      <c r="AC157" s="138" t="n">
        <f aca="false">'Price History'!H3+('Price History'!H158-'Price History'!H3)*1</f>
        <v>823.03</v>
      </c>
      <c r="AD157" s="138" t="n">
        <f aca="false">'Price History'!I3+('Price History'!I158-'Price History'!I3)*1</f>
        <v>200.75</v>
      </c>
      <c r="AE157" s="138" t="n">
        <f aca="false">'Price History'!J3+('Price History'!J158-'Price History'!J3)*1</f>
        <v>144.61</v>
      </c>
      <c r="AF157" s="138" t="n">
        <f aca="false">'Price History'!K3+('Price History'!K158-'Price History'!K3)*1</f>
        <v>123.06</v>
      </c>
      <c r="AG157" s="138" t="n">
        <f aca="false">'Price History'!L3+('Price History'!L158-'Price History'!L3)*1</f>
        <v>404.25</v>
      </c>
      <c r="AH157" s="138" t="n">
        <f aca="false">'Price History'!M3+('Price History'!M158-'Price History'!M3)*1</f>
        <v>241.57</v>
      </c>
      <c r="AI157" s="138" t="n">
        <f aca="false">'Price History'!N3+('Price History'!N158-'Price History'!N3)*1</f>
        <v>477.1</v>
      </c>
      <c r="AJ157" s="138" t="n">
        <f aca="false">'Price History'!O3+('Price History'!O158-'Price History'!O3)*1</f>
        <v>125.28</v>
      </c>
      <c r="AK157" s="138" t="n">
        <f aca="false">'Price History'!Q3+('Price History'!Q151-'Price History'!Q3)*1</f>
        <v>68.45</v>
      </c>
      <c r="AL157" s="138" t="n">
        <f aca="false">'Price History'!R3+('Price History'!R158-'Price History'!R3)*1</f>
        <v>58.25</v>
      </c>
      <c r="AM157" s="138" t="n">
        <f aca="false">'Price History'!S3+('Price History'!S158-'Price History'!S3)*1</f>
        <v>143.83</v>
      </c>
      <c r="AN157" s="138" t="n">
        <f aca="false">'Price History'!T3+('Price History'!T158-'Price History'!T3)*1</f>
        <v>49.74</v>
      </c>
    </row>
    <row r="158" customFormat="false" ht="15" hidden="false" customHeight="true" outlineLevel="0" collapsed="false">
      <c r="A158" s="136" t="str">
        <f aca="false">IF('Price History'!A159="","",'Price History'!A159)</f>
        <v/>
      </c>
      <c r="B158" s="137" t="str">
        <f aca="false">IFERROR(IF(OR(NOT(ISNUMBER('Price History'!B159)),NOT(ISNUMBER('Price History'!B158)),'Price History'!B158=0),"",'Price History'!B159/'Price History'!B158-1),"")</f>
        <v/>
      </c>
      <c r="C158" s="137" t="str">
        <f aca="false">IFERROR(IF(OR(NOT(ISNUMBER('Price History'!C159)),NOT(ISNUMBER('Price History'!C158)),'Price History'!C158=0),"",'Price History'!C159/'Price History'!C158-1),"")</f>
        <v/>
      </c>
      <c r="D158" s="137" t="str">
        <f aca="false">IFERROR(IF(OR(NOT(ISNUMBER('Price History'!D159)),NOT(ISNUMBER('Price History'!D158)),'Price History'!D158=0),"",'Price History'!D159/'Price History'!D158-1),"")</f>
        <v/>
      </c>
      <c r="E158" s="137" t="str">
        <f aca="false">IFERROR(IF(OR(NOT(ISNUMBER('Price History'!E159)),NOT(ISNUMBER('Price History'!E158)),'Price History'!E158=0),"",'Price History'!E159/'Price History'!E158-1),"")</f>
        <v/>
      </c>
      <c r="F158" s="137" t="str">
        <f aca="false">IFERROR(IF(OR(NOT(ISNUMBER('Price History'!F159)),NOT(ISNUMBER('Price History'!F158)),'Price History'!F158=0),"",'Price History'!F159/'Price History'!F158-1),"")</f>
        <v/>
      </c>
      <c r="G158" s="137" t="str">
        <f aca="false">IFERROR(IF(OR(NOT(ISNUMBER('Price History'!G159)),NOT(ISNUMBER('Price History'!G158)),'Price History'!G158=0),"",'Price History'!G159/'Price History'!G158-1),"")</f>
        <v/>
      </c>
      <c r="H158" s="137" t="str">
        <f aca="false">IFERROR(IF(OR(NOT(ISNUMBER('Price History'!H159)),NOT(ISNUMBER('Price History'!H158)),'Price History'!H158=0),"",'Price History'!H159/'Price History'!H158-1),"")</f>
        <v/>
      </c>
      <c r="I158" s="137" t="str">
        <f aca="false">IFERROR(IF(OR(NOT(ISNUMBER('Price History'!I159)),NOT(ISNUMBER('Price History'!I158)),'Price History'!I158=0),"",'Price History'!I159/'Price History'!I158-1),"")</f>
        <v/>
      </c>
      <c r="J158" s="137" t="str">
        <f aca="false">IFERROR(IF(OR(NOT(ISNUMBER('Price History'!J159)),NOT(ISNUMBER('Price History'!J158)),'Price History'!J158=0),"",'Price History'!J159/'Price History'!J158-1),"")</f>
        <v/>
      </c>
      <c r="K158" s="137" t="str">
        <f aca="false">IFERROR(IF(OR(NOT(ISNUMBER('Price History'!K159)),NOT(ISNUMBER('Price History'!K158)),'Price History'!K158=0),"",'Price History'!K159/'Price History'!K158-1),"")</f>
        <v/>
      </c>
      <c r="L158" s="137" t="str">
        <f aca="false">IFERROR(IF(OR(NOT(ISNUMBER('Price History'!L159)),NOT(ISNUMBER('Price History'!L158)),'Price History'!L158=0),"",'Price History'!L159/'Price History'!L158-1),"")</f>
        <v/>
      </c>
      <c r="M158" s="137" t="str">
        <f aca="false">IFERROR(IF(OR(NOT(ISNUMBER('Price History'!M159)),NOT(ISNUMBER('Price History'!M158)),'Price History'!M158=0),"",'Price History'!M159/'Price History'!M158-1),"")</f>
        <v/>
      </c>
      <c r="N158" s="137" t="str">
        <f aca="false">IFERROR(IF(OR(NOT(ISNUMBER('Price History'!N159)),NOT(ISNUMBER('Price History'!N158)),'Price History'!N158=0),"",'Price History'!N159/'Price History'!N158-1),"")</f>
        <v/>
      </c>
      <c r="O158" s="137" t="str">
        <f aca="false">IFERROR(IF(OR(NOT(ISNUMBER('Price History'!O159)),NOT(ISNUMBER('Price History'!O158)),'Price History'!O158=0),"",'Price History'!O159/'Price History'!O158-1),"")</f>
        <v/>
      </c>
      <c r="P158" s="137" t="str">
        <f aca="false">IFERROR(IF(OR(NOT(ISNUMBER('Price History'!P159)),NOT(ISNUMBER('Price History'!P158)),'Price History'!P158=0),"",'Price History'!P159/'Price History'!P158-1),"")</f>
        <v/>
      </c>
      <c r="Q158" s="137" t="str">
        <f aca="false">IFERROR(IF(OR(NOT(ISNUMBER('Price History'!Q159)),NOT(ISNUMBER('Price History'!Q158)),'Price History'!Q158=0),"",'Price History'!Q159/'Price History'!Q158-1),"")</f>
        <v/>
      </c>
      <c r="R158" s="137" t="str">
        <f aca="false">IFERROR(IF(OR(NOT(ISNUMBER('Price History'!R159)),NOT(ISNUMBER('Price History'!R158)),'Price History'!R158=0),"",'Price History'!R159/'Price History'!R158-1),"")</f>
        <v/>
      </c>
      <c r="S158" s="137" t="str">
        <f aca="false">IFERROR(IF(OR(NOT(ISNUMBER('Price History'!S159)),NOT(ISNUMBER('Price History'!S158)),'Price History'!S158=0),"",'Price History'!S159/'Price History'!S158-1),"")</f>
        <v/>
      </c>
      <c r="T158" s="137" t="str">
        <f aca="false">IFERROR(IF(OR(NOT(ISNUMBER('Price History'!T159)),NOT(ISNUMBER('Price History'!T158)),'Price History'!T158=0),"",'Price History'!T159/'Price History'!T158-1),"")</f>
        <v/>
      </c>
      <c r="U158" s="137" t="str">
        <f aca="false">IFERROR(IF(OR(NOT(ISNUMBER('Price History'!U159)),NOT(ISNUMBER('Price History'!U158)),'Price History'!U158=0),"",'Price History'!U159/'Price History'!U158-1),"")</f>
        <v/>
      </c>
    </row>
    <row r="159" customFormat="false" ht="15" hidden="false" customHeight="true" outlineLevel="0" collapsed="false">
      <c r="A159" s="136" t="str">
        <f aca="false">IF('Price History'!A160="","",'Price History'!A160)</f>
        <v/>
      </c>
      <c r="B159" s="137" t="str">
        <f aca="false">IFERROR(IF(OR(NOT(ISNUMBER('Price History'!B160)),NOT(ISNUMBER('Price History'!B159)),'Price History'!B159=0),"",'Price History'!B160/'Price History'!B159-1),"")</f>
        <v/>
      </c>
      <c r="C159" s="137" t="str">
        <f aca="false">IFERROR(IF(OR(NOT(ISNUMBER('Price History'!C160)),NOT(ISNUMBER('Price History'!C159)),'Price History'!C159=0),"",'Price History'!C160/'Price History'!C159-1),"")</f>
        <v/>
      </c>
      <c r="D159" s="137" t="str">
        <f aca="false">IFERROR(IF(OR(NOT(ISNUMBER('Price History'!D160)),NOT(ISNUMBER('Price History'!D159)),'Price History'!D159=0),"",'Price History'!D160/'Price History'!D159-1),"")</f>
        <v/>
      </c>
      <c r="E159" s="137" t="str">
        <f aca="false">IFERROR(IF(OR(NOT(ISNUMBER('Price History'!E160)),NOT(ISNUMBER('Price History'!E159)),'Price History'!E159=0),"",'Price History'!E160/'Price History'!E159-1),"")</f>
        <v/>
      </c>
      <c r="F159" s="137" t="str">
        <f aca="false">IFERROR(IF(OR(NOT(ISNUMBER('Price History'!F160)),NOT(ISNUMBER('Price History'!F159)),'Price History'!F159=0),"",'Price History'!F160/'Price History'!F159-1),"")</f>
        <v/>
      </c>
      <c r="G159" s="137" t="str">
        <f aca="false">IFERROR(IF(OR(NOT(ISNUMBER('Price History'!G160)),NOT(ISNUMBER('Price History'!G159)),'Price History'!G159=0),"",'Price History'!G160/'Price History'!G159-1),"")</f>
        <v/>
      </c>
      <c r="H159" s="137" t="str">
        <f aca="false">IFERROR(IF(OR(NOT(ISNUMBER('Price History'!H160)),NOT(ISNUMBER('Price History'!H159)),'Price History'!H159=0),"",'Price History'!H160/'Price History'!H159-1),"")</f>
        <v/>
      </c>
      <c r="I159" s="137" t="str">
        <f aca="false">IFERROR(IF(OR(NOT(ISNUMBER('Price History'!I160)),NOT(ISNUMBER('Price History'!I159)),'Price History'!I159=0),"",'Price History'!I160/'Price History'!I159-1),"")</f>
        <v/>
      </c>
      <c r="J159" s="137" t="str">
        <f aca="false">IFERROR(IF(OR(NOT(ISNUMBER('Price History'!J160)),NOT(ISNUMBER('Price History'!J159)),'Price History'!J159=0),"",'Price History'!J160/'Price History'!J159-1),"")</f>
        <v/>
      </c>
      <c r="K159" s="137" t="str">
        <f aca="false">IFERROR(IF(OR(NOT(ISNUMBER('Price History'!K160)),NOT(ISNUMBER('Price History'!K159)),'Price History'!K159=0),"",'Price History'!K160/'Price History'!K159-1),"")</f>
        <v/>
      </c>
      <c r="L159" s="137" t="str">
        <f aca="false">IFERROR(IF(OR(NOT(ISNUMBER('Price History'!L160)),NOT(ISNUMBER('Price History'!L159)),'Price History'!L159=0),"",'Price History'!L160/'Price History'!L159-1),"")</f>
        <v/>
      </c>
      <c r="M159" s="137" t="str">
        <f aca="false">IFERROR(IF(OR(NOT(ISNUMBER('Price History'!M160)),NOT(ISNUMBER('Price History'!M159)),'Price History'!M159=0),"",'Price History'!M160/'Price History'!M159-1),"")</f>
        <v/>
      </c>
      <c r="N159" s="137" t="str">
        <f aca="false">IFERROR(IF(OR(NOT(ISNUMBER('Price History'!N160)),NOT(ISNUMBER('Price History'!N159)),'Price History'!N159=0),"",'Price History'!N160/'Price History'!N159-1),"")</f>
        <v/>
      </c>
      <c r="O159" s="137" t="str">
        <f aca="false">IFERROR(IF(OR(NOT(ISNUMBER('Price History'!O160)),NOT(ISNUMBER('Price History'!O159)),'Price History'!O159=0),"",'Price History'!O160/'Price History'!O159-1),"")</f>
        <v/>
      </c>
      <c r="P159" s="137" t="str">
        <f aca="false">IFERROR(IF(OR(NOT(ISNUMBER('Price History'!P160)),NOT(ISNUMBER('Price History'!P159)),'Price History'!P159=0),"",'Price History'!P160/'Price History'!P159-1),"")</f>
        <v/>
      </c>
      <c r="Q159" s="137" t="str">
        <f aca="false">IFERROR(IF(OR(NOT(ISNUMBER('Price History'!Q160)),NOT(ISNUMBER('Price History'!Q159)),'Price History'!Q159=0),"",'Price History'!Q160/'Price History'!Q159-1),"")</f>
        <v/>
      </c>
      <c r="R159" s="137" t="str">
        <f aca="false">IFERROR(IF(OR(NOT(ISNUMBER('Price History'!R160)),NOT(ISNUMBER('Price History'!R159)),'Price History'!R159=0),"",'Price History'!R160/'Price History'!R159-1),"")</f>
        <v/>
      </c>
      <c r="S159" s="137" t="str">
        <f aca="false">IFERROR(IF(OR(NOT(ISNUMBER('Price History'!S160)),NOT(ISNUMBER('Price History'!S159)),'Price History'!S159=0),"",'Price History'!S160/'Price History'!S159-1),"")</f>
        <v/>
      </c>
      <c r="T159" s="137" t="str">
        <f aca="false">IFERROR(IF(OR(NOT(ISNUMBER('Price History'!T160)),NOT(ISNUMBER('Price History'!T159)),'Price History'!T159=0),"",'Price History'!T160/'Price History'!T159-1),"")</f>
        <v/>
      </c>
      <c r="U159" s="137" t="str">
        <f aca="false">IFERROR(IF(OR(NOT(ISNUMBER('Price History'!U160)),NOT(ISNUMBER('Price History'!U159)),'Price History'!U159=0),"",'Price History'!U160/'Price History'!U159-1),"")</f>
        <v/>
      </c>
    </row>
    <row r="160" customFormat="false" ht="15" hidden="false" customHeight="true" outlineLevel="0" collapsed="false">
      <c r="A160" s="136" t="str">
        <f aca="false">IF('Price History'!A161="","",'Price History'!A161)</f>
        <v/>
      </c>
      <c r="B160" s="137" t="str">
        <f aca="false">IFERROR(IF(OR(NOT(ISNUMBER('Price History'!B161)),NOT(ISNUMBER('Price History'!B160)),'Price History'!B160=0),"",'Price History'!B161/'Price History'!B160-1),"")</f>
        <v/>
      </c>
      <c r="C160" s="137" t="str">
        <f aca="false">IFERROR(IF(OR(NOT(ISNUMBER('Price History'!C161)),NOT(ISNUMBER('Price History'!C160)),'Price History'!C160=0),"",'Price History'!C161/'Price History'!C160-1),"")</f>
        <v/>
      </c>
      <c r="D160" s="137" t="str">
        <f aca="false">IFERROR(IF(OR(NOT(ISNUMBER('Price History'!D161)),NOT(ISNUMBER('Price History'!D160)),'Price History'!D160=0),"",'Price History'!D161/'Price History'!D160-1),"")</f>
        <v/>
      </c>
      <c r="E160" s="137" t="str">
        <f aca="false">IFERROR(IF(OR(NOT(ISNUMBER('Price History'!E161)),NOT(ISNUMBER('Price History'!E160)),'Price History'!E160=0),"",'Price History'!E161/'Price History'!E160-1),"")</f>
        <v/>
      </c>
      <c r="F160" s="137" t="str">
        <f aca="false">IFERROR(IF(OR(NOT(ISNUMBER('Price History'!F161)),NOT(ISNUMBER('Price History'!F160)),'Price History'!F160=0),"",'Price History'!F161/'Price History'!F160-1),"")</f>
        <v/>
      </c>
      <c r="G160" s="137" t="str">
        <f aca="false">IFERROR(IF(OR(NOT(ISNUMBER('Price History'!G161)),NOT(ISNUMBER('Price History'!G160)),'Price History'!G160=0),"",'Price History'!G161/'Price History'!G160-1),"")</f>
        <v/>
      </c>
      <c r="H160" s="137" t="str">
        <f aca="false">IFERROR(IF(OR(NOT(ISNUMBER('Price History'!H161)),NOT(ISNUMBER('Price History'!H160)),'Price History'!H160=0),"",'Price History'!H161/'Price History'!H160-1),"")</f>
        <v/>
      </c>
      <c r="I160" s="137" t="str">
        <f aca="false">IFERROR(IF(OR(NOT(ISNUMBER('Price History'!I161)),NOT(ISNUMBER('Price History'!I160)),'Price History'!I160=0),"",'Price History'!I161/'Price History'!I160-1),"")</f>
        <v/>
      </c>
      <c r="J160" s="137" t="str">
        <f aca="false">IFERROR(IF(OR(NOT(ISNUMBER('Price History'!J161)),NOT(ISNUMBER('Price History'!J160)),'Price History'!J160=0),"",'Price History'!J161/'Price History'!J160-1),"")</f>
        <v/>
      </c>
      <c r="K160" s="137" t="str">
        <f aca="false">IFERROR(IF(OR(NOT(ISNUMBER('Price History'!K161)),NOT(ISNUMBER('Price History'!K160)),'Price History'!K160=0),"",'Price History'!K161/'Price History'!K160-1),"")</f>
        <v/>
      </c>
      <c r="L160" s="137" t="str">
        <f aca="false">IFERROR(IF(OR(NOT(ISNUMBER('Price History'!L161)),NOT(ISNUMBER('Price History'!L160)),'Price History'!L160=0),"",'Price History'!L161/'Price History'!L160-1),"")</f>
        <v/>
      </c>
      <c r="M160" s="137" t="str">
        <f aca="false">IFERROR(IF(OR(NOT(ISNUMBER('Price History'!M161)),NOT(ISNUMBER('Price History'!M160)),'Price History'!M160=0),"",'Price History'!M161/'Price History'!M160-1),"")</f>
        <v/>
      </c>
      <c r="N160" s="137" t="str">
        <f aca="false">IFERROR(IF(OR(NOT(ISNUMBER('Price History'!N161)),NOT(ISNUMBER('Price History'!N160)),'Price History'!N160=0),"",'Price History'!N161/'Price History'!N160-1),"")</f>
        <v/>
      </c>
      <c r="O160" s="137" t="str">
        <f aca="false">IFERROR(IF(OR(NOT(ISNUMBER('Price History'!O161)),NOT(ISNUMBER('Price History'!O160)),'Price History'!O160=0),"",'Price History'!O161/'Price History'!O160-1),"")</f>
        <v/>
      </c>
      <c r="P160" s="137" t="str">
        <f aca="false">IFERROR(IF(OR(NOT(ISNUMBER('Price History'!P161)),NOT(ISNUMBER('Price History'!P160)),'Price History'!P160=0),"",'Price History'!P161/'Price History'!P160-1),"")</f>
        <v/>
      </c>
      <c r="Q160" s="137" t="str">
        <f aca="false">IFERROR(IF(OR(NOT(ISNUMBER('Price History'!Q161)),NOT(ISNUMBER('Price History'!Q160)),'Price History'!Q160=0),"",'Price History'!Q161/'Price History'!Q160-1),"")</f>
        <v/>
      </c>
      <c r="R160" s="137" t="str">
        <f aca="false">IFERROR(IF(OR(NOT(ISNUMBER('Price History'!R161)),NOT(ISNUMBER('Price History'!R160)),'Price History'!R160=0),"",'Price History'!R161/'Price History'!R160-1),"")</f>
        <v/>
      </c>
      <c r="S160" s="137" t="str">
        <f aca="false">IFERROR(IF(OR(NOT(ISNUMBER('Price History'!S161)),NOT(ISNUMBER('Price History'!S160)),'Price History'!S160=0),"",'Price History'!S161/'Price History'!S160-1),"")</f>
        <v/>
      </c>
      <c r="T160" s="137" t="str">
        <f aca="false">IFERROR(IF(OR(NOT(ISNUMBER('Price History'!T161)),NOT(ISNUMBER('Price History'!T160)),'Price History'!T160=0),"",'Price History'!T161/'Price History'!T160-1),"")</f>
        <v/>
      </c>
      <c r="U160" s="137" t="str">
        <f aca="false">IFERROR(IF(OR(NOT(ISNUMBER('Price History'!U161)),NOT(ISNUMBER('Price History'!U160)),'Price History'!U160=0),"",'Price History'!U161/'Price History'!U160-1),"")</f>
        <v/>
      </c>
    </row>
    <row r="161" customFormat="false" ht="15" hidden="false" customHeight="true" outlineLevel="0" collapsed="false">
      <c r="A161" s="136" t="str">
        <f aca="false">IF('Price History'!A162="","",'Price History'!A162)</f>
        <v/>
      </c>
      <c r="B161" s="137" t="str">
        <f aca="false">IFERROR(IF(OR(NOT(ISNUMBER('Price History'!B162)),NOT(ISNUMBER('Price History'!B161)),'Price History'!B161=0),"",'Price History'!B162/'Price History'!B161-1),"")</f>
        <v/>
      </c>
      <c r="C161" s="137" t="str">
        <f aca="false">IFERROR(IF(OR(NOT(ISNUMBER('Price History'!C162)),NOT(ISNUMBER('Price History'!C161)),'Price History'!C161=0),"",'Price History'!C162/'Price History'!C161-1),"")</f>
        <v/>
      </c>
      <c r="D161" s="137" t="str">
        <f aca="false">IFERROR(IF(OR(NOT(ISNUMBER('Price History'!D162)),NOT(ISNUMBER('Price History'!D161)),'Price History'!D161=0),"",'Price History'!D162/'Price History'!D161-1),"")</f>
        <v/>
      </c>
      <c r="E161" s="137" t="str">
        <f aca="false">IFERROR(IF(OR(NOT(ISNUMBER('Price History'!E162)),NOT(ISNUMBER('Price History'!E161)),'Price History'!E161=0),"",'Price History'!E162/'Price History'!E161-1),"")</f>
        <v/>
      </c>
      <c r="F161" s="137" t="str">
        <f aca="false">IFERROR(IF(OR(NOT(ISNUMBER('Price History'!F162)),NOT(ISNUMBER('Price History'!F161)),'Price History'!F161=0),"",'Price History'!F162/'Price History'!F161-1),"")</f>
        <v/>
      </c>
      <c r="G161" s="137" t="str">
        <f aca="false">IFERROR(IF(OR(NOT(ISNUMBER('Price History'!G162)),NOT(ISNUMBER('Price History'!G161)),'Price History'!G161=0),"",'Price History'!G162/'Price History'!G161-1),"")</f>
        <v/>
      </c>
      <c r="H161" s="137" t="str">
        <f aca="false">IFERROR(IF(OR(NOT(ISNUMBER('Price History'!H162)),NOT(ISNUMBER('Price History'!H161)),'Price History'!H161=0),"",'Price History'!H162/'Price History'!H161-1),"")</f>
        <v/>
      </c>
      <c r="I161" s="137" t="str">
        <f aca="false">IFERROR(IF(OR(NOT(ISNUMBER('Price History'!I162)),NOT(ISNUMBER('Price History'!I161)),'Price History'!I161=0),"",'Price History'!I162/'Price History'!I161-1),"")</f>
        <v/>
      </c>
      <c r="J161" s="137" t="str">
        <f aca="false">IFERROR(IF(OR(NOT(ISNUMBER('Price History'!J162)),NOT(ISNUMBER('Price History'!J161)),'Price History'!J161=0),"",'Price History'!J162/'Price History'!J161-1),"")</f>
        <v/>
      </c>
      <c r="K161" s="137" t="str">
        <f aca="false">IFERROR(IF(OR(NOT(ISNUMBER('Price History'!K162)),NOT(ISNUMBER('Price History'!K161)),'Price History'!K161=0),"",'Price History'!K162/'Price History'!K161-1),"")</f>
        <v/>
      </c>
      <c r="L161" s="137" t="str">
        <f aca="false">IFERROR(IF(OR(NOT(ISNUMBER('Price History'!L162)),NOT(ISNUMBER('Price History'!L161)),'Price History'!L161=0),"",'Price History'!L162/'Price History'!L161-1),"")</f>
        <v/>
      </c>
      <c r="M161" s="137" t="str">
        <f aca="false">IFERROR(IF(OR(NOT(ISNUMBER('Price History'!M162)),NOT(ISNUMBER('Price History'!M161)),'Price History'!M161=0),"",'Price History'!M162/'Price History'!M161-1),"")</f>
        <v/>
      </c>
      <c r="N161" s="137" t="str">
        <f aca="false">IFERROR(IF(OR(NOT(ISNUMBER('Price History'!N162)),NOT(ISNUMBER('Price History'!N161)),'Price History'!N161=0),"",'Price History'!N162/'Price History'!N161-1),"")</f>
        <v/>
      </c>
      <c r="O161" s="137" t="str">
        <f aca="false">IFERROR(IF(OR(NOT(ISNUMBER('Price History'!O162)),NOT(ISNUMBER('Price History'!O161)),'Price History'!O161=0),"",'Price History'!O162/'Price History'!O161-1),"")</f>
        <v/>
      </c>
      <c r="P161" s="137" t="str">
        <f aca="false">IFERROR(IF(OR(NOT(ISNUMBER('Price History'!P162)),NOT(ISNUMBER('Price History'!P161)),'Price History'!P161=0),"",'Price History'!P162/'Price History'!P161-1),"")</f>
        <v/>
      </c>
      <c r="Q161" s="137" t="str">
        <f aca="false">IFERROR(IF(OR(NOT(ISNUMBER('Price History'!Q162)),NOT(ISNUMBER('Price History'!Q161)),'Price History'!Q161=0),"",'Price History'!Q162/'Price History'!Q161-1),"")</f>
        <v/>
      </c>
      <c r="R161" s="137" t="str">
        <f aca="false">IFERROR(IF(OR(NOT(ISNUMBER('Price History'!R162)),NOT(ISNUMBER('Price History'!R161)),'Price History'!R161=0),"",'Price History'!R162/'Price History'!R161-1),"")</f>
        <v/>
      </c>
      <c r="S161" s="137" t="str">
        <f aca="false">IFERROR(IF(OR(NOT(ISNUMBER('Price History'!S162)),NOT(ISNUMBER('Price History'!S161)),'Price History'!S161=0),"",'Price History'!S162/'Price History'!S161-1),"")</f>
        <v/>
      </c>
      <c r="T161" s="137" t="str">
        <f aca="false">IFERROR(IF(OR(NOT(ISNUMBER('Price History'!T162)),NOT(ISNUMBER('Price History'!T161)),'Price History'!T161=0),"",'Price History'!T162/'Price History'!T161-1),"")</f>
        <v/>
      </c>
      <c r="U161" s="137" t="str">
        <f aca="false">IFERROR(IF(OR(NOT(ISNUMBER('Price History'!U162)),NOT(ISNUMBER('Price History'!U161)),'Price History'!U161=0),"",'Price History'!U162/'Price History'!U161-1),"")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1" min="2" style="1" width="5.66"/>
    <col collapsed="false" customWidth="true" hidden="false" outlineLevel="0" max="22" min="22" style="1" width="9"/>
  </cols>
  <sheetData>
    <row r="1" customFormat="false" ht="15" hidden="false" customHeight="true" outlineLevel="0" collapsed="false">
      <c r="A1" s="139" t="s">
        <v>390</v>
      </c>
      <c r="B1" s="139"/>
      <c r="C1" s="139"/>
      <c r="D1" s="139"/>
      <c r="E1" s="139"/>
      <c r="F1" s="139"/>
      <c r="G1" s="139"/>
      <c r="H1" s="139"/>
      <c r="I1" s="139"/>
      <c r="J1" s="139"/>
      <c r="K1" s="139"/>
      <c r="L1" s="139"/>
      <c r="M1" s="139"/>
      <c r="N1" s="139"/>
      <c r="O1" s="139"/>
      <c r="P1" s="139"/>
      <c r="Q1" s="139"/>
      <c r="R1" s="139"/>
      <c r="S1" s="139"/>
      <c r="T1" s="139"/>
      <c r="U1" s="139"/>
      <c r="V1" s="139"/>
    </row>
    <row r="2" customFormat="false" ht="27" hidden="false" customHeight="true" outlineLevel="0" collapsed="false">
      <c r="A2" s="93" t="s">
        <v>74</v>
      </c>
      <c r="B2" s="67" t="str">
        <f aca="false">'Returns (Calc)'!B2</f>
        <v>ADBE</v>
      </c>
      <c r="C2" s="67" t="str">
        <f aca="false">'Returns (Calc)'!C2</f>
        <v>ANET</v>
      </c>
      <c r="D2" s="67" t="str">
        <f aca="false">'Returns (Calc)'!D2</f>
        <v>ASML</v>
      </c>
      <c r="E2" s="67" t="str">
        <f aca="false">'Returns (Calc)'!E2</f>
        <v>AVGO</v>
      </c>
      <c r="F2" s="67" t="str">
        <f aca="false">'Returns (Calc)'!F2</f>
        <v>CRWD</v>
      </c>
      <c r="G2" s="67" t="str">
        <f aca="false">'Returns (Calc)'!G2</f>
        <v>KLAC</v>
      </c>
      <c r="H2" s="67" t="str">
        <f aca="false">'Returns (Calc)'!H2</f>
        <v>MU</v>
      </c>
      <c r="I2" s="67" t="str">
        <f aca="false">'Returns (Calc)'!I2</f>
        <v>NVDA</v>
      </c>
      <c r="J2" s="67" t="str">
        <f aca="false">'Returns (Calc)'!J2</f>
        <v>PLD</v>
      </c>
      <c r="K2" s="67" t="str">
        <f aca="false">'Returns (Calc)'!K2</f>
        <v>PLTR</v>
      </c>
      <c r="L2" s="67" t="str">
        <f aca="false">'Returns (Calc)'!L2</f>
        <v>TSM</v>
      </c>
      <c r="M2" s="67" t="str">
        <f aca="false">'Returns (Calc)'!M2</f>
        <v>VRT</v>
      </c>
      <c r="N2" s="67" t="str">
        <f aca="false">'Returns (Calc)'!N2</f>
        <v>VRTX</v>
      </c>
      <c r="O2" s="67" t="str">
        <f aca="false">'Returns (Calc)'!O2</f>
        <v>AVUV</v>
      </c>
      <c r="P2" s="67" t="n">
        <f aca="false">'Returns (Calc)'!P2</f>
        <v>0</v>
      </c>
      <c r="Q2" s="67" t="str">
        <f aca="false">'Returns (Calc)'!Q2</f>
        <v>HELO</v>
      </c>
      <c r="R2" s="67" t="str">
        <f aca="false">'Returns (Calc)'!R2</f>
        <v>JEPQ</v>
      </c>
      <c r="S2" s="67" t="str">
        <f aca="false">'Returns (Calc)'!S2</f>
        <v>SPMO</v>
      </c>
      <c r="T2" s="67" t="str">
        <f aca="false">'Returns (Calc)'!T2</f>
        <v>VFLO</v>
      </c>
      <c r="U2" s="67" t="n">
        <f aca="false">'Returns (Calc)'!U2</f>
        <v>0</v>
      </c>
      <c r="V2" s="67" t="s">
        <v>391</v>
      </c>
    </row>
    <row r="3" customFormat="false" ht="15" hidden="false" customHeight="true" outlineLevel="0" collapsed="false">
      <c r="A3" s="140" t="str">
        <f aca="false">'Returns (Calc)'!B2</f>
        <v>ADBE</v>
      </c>
      <c r="B3" s="141" t="n">
        <v>1</v>
      </c>
      <c r="C3" s="141" t="n">
        <f aca="false">IFERROR(ROUND(CORREL('Returns (Calc)'!$B$3:$B$161,'Returns (Calc)'!$C$3:$C$161),2),"")</f>
        <v>0.22</v>
      </c>
      <c r="D3" s="141" t="n">
        <f aca="false">IFERROR(ROUND(CORREL('Returns (Calc)'!$B$3:$B$161,'Returns (Calc)'!$D$3:$D$161),2),"")</f>
        <v>0.03</v>
      </c>
      <c r="E3" s="141" t="n">
        <f aca="false">IFERROR(ROUND(CORREL('Returns (Calc)'!$B$3:$B$161,'Returns (Calc)'!$E$3:$E$161),2),"")</f>
        <v>0.16</v>
      </c>
      <c r="F3" s="141" t="n">
        <f aca="false">IFERROR(ROUND(CORREL('Returns (Calc)'!$B$3:$B$161,'Returns (Calc)'!$F$3:$F$161),2),"")</f>
        <v>0.42</v>
      </c>
      <c r="G3" s="141" t="n">
        <f aca="false">IFERROR(ROUND(CORREL('Returns (Calc)'!$B$3:$B$161,'Returns (Calc)'!$G$3:$G$161),2),"")</f>
        <v>-0.03</v>
      </c>
      <c r="H3" s="141" t="n">
        <f aca="false">IFERROR(ROUND(CORREL('Returns (Calc)'!$B$3:$B$161,'Returns (Calc)'!$H$3:$H$161),2),"")</f>
        <v>0.07</v>
      </c>
      <c r="I3" s="141" t="n">
        <f aca="false">IFERROR(ROUND(CORREL('Returns (Calc)'!$B$3:$B$161,'Returns (Calc)'!$I$3:$I$161),2),"")</f>
        <v>0.23</v>
      </c>
      <c r="J3" s="141" t="n">
        <f aca="false">IFERROR(ROUND(CORREL('Returns (Calc)'!$B$3:$B$161,'Returns (Calc)'!$J$3:$J$161),2),"")</f>
        <v>0.19</v>
      </c>
      <c r="K3" s="141" t="n">
        <f aca="false">IFERROR(ROUND(CORREL('Returns (Calc)'!$B$3:$B$161,'Returns (Calc)'!$K$3:$K$161),2),"")</f>
        <v>0.36</v>
      </c>
      <c r="L3" s="141" t="n">
        <f aca="false">IFERROR(ROUND(CORREL('Returns (Calc)'!$B$3:$B$161,'Returns (Calc)'!$L$3:$L$161),2),"")</f>
        <v>0.17</v>
      </c>
      <c r="M3" s="141" t="n">
        <f aca="false">IFERROR(ROUND(CORREL('Returns (Calc)'!$B$3:$B$161,'Returns (Calc)'!$M$3:$M$161),2),"")</f>
        <v>0.08</v>
      </c>
      <c r="N3" s="141" t="n">
        <f aca="false">IFERROR(ROUND(CORREL('Returns (Calc)'!$B$3:$B$161,'Returns (Calc)'!$N$3:$N$161),2),"")</f>
        <v>0.13</v>
      </c>
      <c r="O3" s="141" t="n">
        <f aca="false">IFERROR(ROUND(CORREL('Returns (Calc)'!$B$3:$B$161,'Returns (Calc)'!$O$3:$O$161),2),"")</f>
        <v>0.17</v>
      </c>
      <c r="P3" s="141" t="str">
        <f aca="false">IFERROR(ROUND(CORREL('Returns (Calc)'!$B$3:$B$161,'Returns (Calc)'!$P$3:$P$161),2),"")</f>
        <v/>
      </c>
      <c r="Q3" s="141" t="n">
        <f aca="false">IFERROR(ROUND(CORREL('Returns (Calc)'!$B$3:$B$161,'Returns (Calc)'!$Q$3:$Q$161),2),"")</f>
        <v>-0.1</v>
      </c>
      <c r="R3" s="141" t="n">
        <f aca="false">IFERROR(ROUND(CORREL('Returns (Calc)'!$B$3:$B$161,'Returns (Calc)'!$R$3:$R$161),2),"")</f>
        <v>0.32</v>
      </c>
      <c r="S3" s="141" t="n">
        <f aca="false">IFERROR(ROUND(CORREL('Returns (Calc)'!$B$3:$B$161,'Returns (Calc)'!$S$3:$S$161),2),"")</f>
        <v>0.25</v>
      </c>
      <c r="T3" s="141" t="n">
        <f aca="false">IFERROR(ROUND(CORREL('Returns (Calc)'!$B$3:$B$161,'Returns (Calc)'!$T$3:$T$161),2),"")</f>
        <v>0.41</v>
      </c>
      <c r="U3" s="141" t="str">
        <f aca="false">IFERROR(ROUND(CORREL('Returns (Calc)'!$B$3:$B$161,'Returns (Calc)'!$U$3:$U$161),2),"")</f>
        <v/>
      </c>
      <c r="V3" s="142" t="n">
        <f aca="false">COUNTIF(B3:U3,"&gt;0.7")-1</f>
        <v>0</v>
      </c>
    </row>
    <row r="4" customFormat="false" ht="15" hidden="false" customHeight="true" outlineLevel="0" collapsed="false">
      <c r="A4" s="140" t="str">
        <f aca="false">'Returns (Calc)'!C2</f>
        <v>ANET</v>
      </c>
      <c r="B4" s="141" t="n">
        <f aca="false">IFERROR(ROUND(CORREL('Returns (Calc)'!$C$3:$C$161,'Returns (Calc)'!$B$3:$B$161),2),"")</f>
        <v>0.22</v>
      </c>
      <c r="C4" s="141" t="n">
        <v>1</v>
      </c>
      <c r="D4" s="141" t="n">
        <f aca="false">IFERROR(ROUND(CORREL('Returns (Calc)'!$C$3:$C$161,'Returns (Calc)'!$D$3:$D$161),2),"")</f>
        <v>0.39</v>
      </c>
      <c r="E4" s="141" t="n">
        <f aca="false">IFERROR(ROUND(CORREL('Returns (Calc)'!$C$3:$C$161,'Returns (Calc)'!$E$3:$E$161),2),"")</f>
        <v>0.59</v>
      </c>
      <c r="F4" s="141" t="n">
        <f aca="false">IFERROR(ROUND(CORREL('Returns (Calc)'!$C$3:$C$161,'Returns (Calc)'!$F$3:$F$161),2),"")</f>
        <v>0.38</v>
      </c>
      <c r="G4" s="141" t="n">
        <f aca="false">IFERROR(ROUND(CORREL('Returns (Calc)'!$C$3:$C$161,'Returns (Calc)'!$G$3:$G$161),2),"")</f>
        <v>0.44</v>
      </c>
      <c r="H4" s="141" t="n">
        <f aca="false">IFERROR(ROUND(CORREL('Returns (Calc)'!$C$3:$C$161,'Returns (Calc)'!$H$3:$H$161),2),"")</f>
        <v>0.35</v>
      </c>
      <c r="I4" s="141" t="n">
        <f aca="false">IFERROR(ROUND(CORREL('Returns (Calc)'!$C$3:$C$161,'Returns (Calc)'!$I$3:$I$161),2),"")</f>
        <v>0.53</v>
      </c>
      <c r="J4" s="141" t="n">
        <f aca="false">IFERROR(ROUND(CORREL('Returns (Calc)'!$C$3:$C$161,'Returns (Calc)'!$J$3:$J$161),2),"")</f>
        <v>0.19</v>
      </c>
      <c r="K4" s="141" t="n">
        <f aca="false">IFERROR(ROUND(CORREL('Returns (Calc)'!$C$3:$C$161,'Returns (Calc)'!$K$3:$K$161),2),"")</f>
        <v>0.34</v>
      </c>
      <c r="L4" s="141" t="n">
        <f aca="false">IFERROR(ROUND(CORREL('Returns (Calc)'!$C$3:$C$161,'Returns (Calc)'!$L$3:$L$161),2),"")</f>
        <v>0.55</v>
      </c>
      <c r="M4" s="141" t="n">
        <f aca="false">IFERROR(ROUND(CORREL('Returns (Calc)'!$C$3:$C$161,'Returns (Calc)'!$M$3:$M$161),2),"")</f>
        <v>0.59</v>
      </c>
      <c r="N4" s="141" t="n">
        <f aca="false">IFERROR(ROUND(CORREL('Returns (Calc)'!$C$3:$C$161,'Returns (Calc)'!$N$3:$N$161),2),"")</f>
        <v>0.05</v>
      </c>
      <c r="O4" s="141" t="n">
        <f aca="false">IFERROR(ROUND(CORREL('Returns (Calc)'!$C$3:$C$161,'Returns (Calc)'!$O$3:$O$161),2),"")</f>
        <v>0.35</v>
      </c>
      <c r="P4" s="141" t="str">
        <f aca="false">IFERROR(ROUND(CORREL('Returns (Calc)'!$C$3:$C$161,'Returns (Calc)'!$P$3:$P$161),2),"")</f>
        <v/>
      </c>
      <c r="Q4" s="141" t="n">
        <f aca="false">IFERROR(ROUND(CORREL('Returns (Calc)'!$C$3:$C$161,'Returns (Calc)'!$Q$3:$Q$161),2),"")</f>
        <v>-0.01</v>
      </c>
      <c r="R4" s="141" t="n">
        <f aca="false">IFERROR(ROUND(CORREL('Returns (Calc)'!$C$3:$C$161,'Returns (Calc)'!$R$3:$R$161),2),"")</f>
        <v>0.64</v>
      </c>
      <c r="S4" s="141" t="n">
        <f aca="false">IFERROR(ROUND(CORREL('Returns (Calc)'!$C$3:$C$161,'Returns (Calc)'!$S$3:$S$161),2),"")</f>
        <v>0.64</v>
      </c>
      <c r="T4" s="141" t="n">
        <f aca="false">IFERROR(ROUND(CORREL('Returns (Calc)'!$C$3:$C$161,'Returns (Calc)'!$T$3:$T$161),2),"")</f>
        <v>0.35</v>
      </c>
      <c r="U4" s="141" t="str">
        <f aca="false">IFERROR(ROUND(CORREL('Returns (Calc)'!$C$3:$C$161,'Returns (Calc)'!$U$3:$U$161),2),"")</f>
        <v/>
      </c>
      <c r="V4" s="142" t="n">
        <f aca="false">COUNTIF(B4:U4,"&gt;0.7")-1</f>
        <v>0</v>
      </c>
    </row>
    <row r="5" customFormat="false" ht="15" hidden="false" customHeight="true" outlineLevel="0" collapsed="false">
      <c r="A5" s="140" t="str">
        <f aca="false">'Returns (Calc)'!D2</f>
        <v>ASML</v>
      </c>
      <c r="B5" s="141" t="n">
        <f aca="false">IFERROR(ROUND(CORREL('Returns (Calc)'!$D$3:$D$161,'Returns (Calc)'!$B$3:$B$161),2),"")</f>
        <v>0.03</v>
      </c>
      <c r="C5" s="141" t="n">
        <f aca="false">IFERROR(ROUND(CORREL('Returns (Calc)'!$D$3:$D$161,'Returns (Calc)'!$C$3:$C$161),2),"")</f>
        <v>0.39</v>
      </c>
      <c r="D5" s="141" t="n">
        <v>1</v>
      </c>
      <c r="E5" s="141" t="n">
        <f aca="false">IFERROR(ROUND(CORREL('Returns (Calc)'!$D$3:$D$161,'Returns (Calc)'!$E$3:$E$161),2),"")</f>
        <v>0.5</v>
      </c>
      <c r="F5" s="141" t="n">
        <f aca="false">IFERROR(ROUND(CORREL('Returns (Calc)'!$D$3:$D$161,'Returns (Calc)'!$F$3:$F$161),2),"")</f>
        <v>0.33</v>
      </c>
      <c r="G5" s="141" t="n">
        <f aca="false">IFERROR(ROUND(CORREL('Returns (Calc)'!$D$3:$D$161,'Returns (Calc)'!$G$3:$G$161),2),"")</f>
        <v>0.77</v>
      </c>
      <c r="H5" s="141" t="n">
        <f aca="false">IFERROR(ROUND(CORREL('Returns (Calc)'!$D$3:$D$161,'Returns (Calc)'!$H$3:$H$161),2),"")</f>
        <v>0.6</v>
      </c>
      <c r="I5" s="141" t="n">
        <f aca="false">IFERROR(ROUND(CORREL('Returns (Calc)'!$D$3:$D$161,'Returns (Calc)'!$I$3:$I$161),2),"")</f>
        <v>0.48</v>
      </c>
      <c r="J5" s="141" t="n">
        <f aca="false">IFERROR(ROUND(CORREL('Returns (Calc)'!$D$3:$D$161,'Returns (Calc)'!$J$3:$J$161),2),"")</f>
        <v>0.29</v>
      </c>
      <c r="K5" s="141" t="n">
        <f aca="false">IFERROR(ROUND(CORREL('Returns (Calc)'!$D$3:$D$161,'Returns (Calc)'!$K$3:$K$161),2),"")</f>
        <v>0.2</v>
      </c>
      <c r="L5" s="141" t="n">
        <f aca="false">IFERROR(ROUND(CORREL('Returns (Calc)'!$D$3:$D$161,'Returns (Calc)'!$L$3:$L$161),2),"")</f>
        <v>0.63</v>
      </c>
      <c r="M5" s="141" t="n">
        <f aca="false">IFERROR(ROUND(CORREL('Returns (Calc)'!$D$3:$D$161,'Returns (Calc)'!$M$3:$M$161),2),"")</f>
        <v>0.41</v>
      </c>
      <c r="N5" s="141" t="n">
        <f aca="false">IFERROR(ROUND(CORREL('Returns (Calc)'!$D$3:$D$161,'Returns (Calc)'!$N$3:$N$161),2),"")</f>
        <v>0.12</v>
      </c>
      <c r="O5" s="141" t="n">
        <f aca="false">IFERROR(ROUND(CORREL('Returns (Calc)'!$D$3:$D$161,'Returns (Calc)'!$O$3:$O$161),2),"")</f>
        <v>0.38</v>
      </c>
      <c r="P5" s="141" t="str">
        <f aca="false">IFERROR(ROUND(CORREL('Returns (Calc)'!$D$3:$D$161,'Returns (Calc)'!$P$3:$P$161),2),"")</f>
        <v/>
      </c>
      <c r="Q5" s="141" t="n">
        <f aca="false">IFERROR(ROUND(CORREL('Returns (Calc)'!$D$3:$D$161,'Returns (Calc)'!$Q$3:$Q$161),2),"")</f>
        <v>-0.06</v>
      </c>
      <c r="R5" s="141" t="n">
        <f aca="false">IFERROR(ROUND(CORREL('Returns (Calc)'!$D$3:$D$161,'Returns (Calc)'!$R$3:$R$161),2),"")</f>
        <v>0.6</v>
      </c>
      <c r="S5" s="141" t="n">
        <f aca="false">IFERROR(ROUND(CORREL('Returns (Calc)'!$D$3:$D$161,'Returns (Calc)'!$S$3:$S$161),2),"")</f>
        <v>0.6</v>
      </c>
      <c r="T5" s="141" t="n">
        <f aca="false">IFERROR(ROUND(CORREL('Returns (Calc)'!$D$3:$D$161,'Returns (Calc)'!$T$3:$T$161),2),"")</f>
        <v>0.31</v>
      </c>
      <c r="U5" s="141" t="str">
        <f aca="false">IFERROR(ROUND(CORREL('Returns (Calc)'!$D$3:$D$161,'Returns (Calc)'!$U$3:$U$161),2),"")</f>
        <v/>
      </c>
      <c r="V5" s="142" t="n">
        <f aca="false">COUNTIF(B5:U5,"&gt;0.7")-1</f>
        <v>1</v>
      </c>
    </row>
    <row r="6" customFormat="false" ht="15" hidden="false" customHeight="true" outlineLevel="0" collapsed="false">
      <c r="A6" s="140" t="str">
        <f aca="false">'Returns (Calc)'!E2</f>
        <v>AVGO</v>
      </c>
      <c r="B6" s="141" t="n">
        <f aca="false">IFERROR(ROUND(CORREL('Returns (Calc)'!$E$3:$E$161,'Returns (Calc)'!$B$3:$B$161),2),"")</f>
        <v>0.16</v>
      </c>
      <c r="C6" s="141" t="n">
        <f aca="false">IFERROR(ROUND(CORREL('Returns (Calc)'!$E$3:$E$161,'Returns (Calc)'!$C$3:$C$161),2),"")</f>
        <v>0.59</v>
      </c>
      <c r="D6" s="141" t="n">
        <f aca="false">IFERROR(ROUND(CORREL('Returns (Calc)'!$E$3:$E$161,'Returns (Calc)'!$D$3:$D$161),2),"")</f>
        <v>0.5</v>
      </c>
      <c r="E6" s="141" t="n">
        <v>1</v>
      </c>
      <c r="F6" s="141" t="n">
        <f aca="false">IFERROR(ROUND(CORREL('Returns (Calc)'!$E$3:$E$161,'Returns (Calc)'!$F$3:$F$161),2),"")</f>
        <v>0.4</v>
      </c>
      <c r="G6" s="141" t="n">
        <f aca="false">IFERROR(ROUND(CORREL('Returns (Calc)'!$E$3:$E$161,'Returns (Calc)'!$G$3:$G$161),2),"")</f>
        <v>0.54</v>
      </c>
      <c r="H6" s="141" t="n">
        <f aca="false">IFERROR(ROUND(CORREL('Returns (Calc)'!$E$3:$E$161,'Returns (Calc)'!$H$3:$H$161),2),"")</f>
        <v>0.5</v>
      </c>
      <c r="I6" s="141" t="n">
        <f aca="false">IFERROR(ROUND(CORREL('Returns (Calc)'!$E$3:$E$161,'Returns (Calc)'!$I$3:$I$161),2),"")</f>
        <v>0.62</v>
      </c>
      <c r="J6" s="141" t="n">
        <f aca="false">IFERROR(ROUND(CORREL('Returns (Calc)'!$E$3:$E$161,'Returns (Calc)'!$J$3:$J$161),2),"")</f>
        <v>0.23</v>
      </c>
      <c r="K6" s="141" t="n">
        <f aca="false">IFERROR(ROUND(CORREL('Returns (Calc)'!$E$3:$E$161,'Returns (Calc)'!$K$3:$K$161),2),"")</f>
        <v>0.37</v>
      </c>
      <c r="L6" s="141" t="n">
        <f aca="false">IFERROR(ROUND(CORREL('Returns (Calc)'!$E$3:$E$161,'Returns (Calc)'!$L$3:$L$161),2),"")</f>
        <v>0.63</v>
      </c>
      <c r="M6" s="141" t="n">
        <f aca="false">IFERROR(ROUND(CORREL('Returns (Calc)'!$E$3:$E$161,'Returns (Calc)'!$M$3:$M$161),2),"")</f>
        <v>0.53</v>
      </c>
      <c r="N6" s="141" t="n">
        <f aca="false">IFERROR(ROUND(CORREL('Returns (Calc)'!$E$3:$E$161,'Returns (Calc)'!$N$3:$N$161),2),"")</f>
        <v>0.16</v>
      </c>
      <c r="O6" s="141" t="n">
        <f aca="false">IFERROR(ROUND(CORREL('Returns (Calc)'!$E$3:$E$161,'Returns (Calc)'!$O$3:$O$161),2),"")</f>
        <v>0.29</v>
      </c>
      <c r="P6" s="141" t="str">
        <f aca="false">IFERROR(ROUND(CORREL('Returns (Calc)'!$E$3:$E$161,'Returns (Calc)'!$P$3:$P$161),2),"")</f>
        <v/>
      </c>
      <c r="Q6" s="141" t="n">
        <f aca="false">IFERROR(ROUND(CORREL('Returns (Calc)'!$E$3:$E$161,'Returns (Calc)'!$Q$3:$Q$161),2),"")</f>
        <v>-0.08</v>
      </c>
      <c r="R6" s="141" t="n">
        <f aca="false">IFERROR(ROUND(CORREL('Returns (Calc)'!$E$3:$E$161,'Returns (Calc)'!$R$3:$R$161),2),"")</f>
        <v>0.73</v>
      </c>
      <c r="S6" s="141" t="n">
        <f aca="false">IFERROR(ROUND(CORREL('Returns (Calc)'!$E$3:$E$161,'Returns (Calc)'!$S$3:$S$161),2),"")</f>
        <v>0.74</v>
      </c>
      <c r="T6" s="141" t="n">
        <f aca="false">IFERROR(ROUND(CORREL('Returns (Calc)'!$E$3:$E$161,'Returns (Calc)'!$T$3:$T$161),2),"")</f>
        <v>0.29</v>
      </c>
      <c r="U6" s="141" t="str">
        <f aca="false">IFERROR(ROUND(CORREL('Returns (Calc)'!$E$3:$E$161,'Returns (Calc)'!$U$3:$U$161),2),"")</f>
        <v/>
      </c>
      <c r="V6" s="142" t="n">
        <f aca="false">COUNTIF(B6:U6,"&gt;0.7")-1</f>
        <v>2</v>
      </c>
    </row>
    <row r="7" customFormat="false" ht="15" hidden="false" customHeight="true" outlineLevel="0" collapsed="false">
      <c r="A7" s="140" t="str">
        <f aca="false">'Returns (Calc)'!F2</f>
        <v>CRWD</v>
      </c>
      <c r="B7" s="141" t="n">
        <f aca="false">IFERROR(ROUND(CORREL('Returns (Calc)'!$F$3:$F$161,'Returns (Calc)'!$B$3:$B$161),2),"")</f>
        <v>0.42</v>
      </c>
      <c r="C7" s="141" t="n">
        <f aca="false">IFERROR(ROUND(CORREL('Returns (Calc)'!$F$3:$F$161,'Returns (Calc)'!$C$3:$C$161),2),"")</f>
        <v>0.38</v>
      </c>
      <c r="D7" s="141" t="n">
        <f aca="false">IFERROR(ROUND(CORREL('Returns (Calc)'!$F$3:$F$161,'Returns (Calc)'!$D$3:$D$161),2),"")</f>
        <v>0.33</v>
      </c>
      <c r="E7" s="141" t="n">
        <f aca="false">IFERROR(ROUND(CORREL('Returns (Calc)'!$F$3:$F$161,'Returns (Calc)'!$E$3:$E$161),2),"")</f>
        <v>0.4</v>
      </c>
      <c r="F7" s="141" t="n">
        <v>1</v>
      </c>
      <c r="G7" s="141" t="n">
        <f aca="false">IFERROR(ROUND(CORREL('Returns (Calc)'!$F$3:$F$161,'Returns (Calc)'!$G$3:$G$161),2),"")</f>
        <v>0.34</v>
      </c>
      <c r="H7" s="141" t="n">
        <f aca="false">IFERROR(ROUND(CORREL('Returns (Calc)'!$F$3:$F$161,'Returns (Calc)'!$H$3:$H$161),2),"")</f>
        <v>0.34</v>
      </c>
      <c r="I7" s="141" t="n">
        <f aca="false">IFERROR(ROUND(CORREL('Returns (Calc)'!$F$3:$F$161,'Returns (Calc)'!$I$3:$I$161),2),"")</f>
        <v>0.45</v>
      </c>
      <c r="J7" s="141" t="n">
        <f aca="false">IFERROR(ROUND(CORREL('Returns (Calc)'!$F$3:$F$161,'Returns (Calc)'!$J$3:$J$161),2),"")</f>
        <v>0.12</v>
      </c>
      <c r="K7" s="141" t="n">
        <f aca="false">IFERROR(ROUND(CORREL('Returns (Calc)'!$F$3:$F$161,'Returns (Calc)'!$K$3:$K$161),2),"")</f>
        <v>0.5</v>
      </c>
      <c r="L7" s="141" t="n">
        <f aca="false">IFERROR(ROUND(CORREL('Returns (Calc)'!$F$3:$F$161,'Returns (Calc)'!$L$3:$L$161),2),"")</f>
        <v>0.39</v>
      </c>
      <c r="M7" s="141" t="n">
        <f aca="false">IFERROR(ROUND(CORREL('Returns (Calc)'!$F$3:$F$161,'Returns (Calc)'!$M$3:$M$161),2),"")</f>
        <v>0.41</v>
      </c>
      <c r="N7" s="141" t="n">
        <f aca="false">IFERROR(ROUND(CORREL('Returns (Calc)'!$F$3:$F$161,'Returns (Calc)'!$N$3:$N$161),2),"")</f>
        <v>0.21</v>
      </c>
      <c r="O7" s="141" t="n">
        <f aca="false">IFERROR(ROUND(CORREL('Returns (Calc)'!$F$3:$F$161,'Returns (Calc)'!$O$3:$O$161),2),"")</f>
        <v>0.22</v>
      </c>
      <c r="P7" s="141" t="str">
        <f aca="false">IFERROR(ROUND(CORREL('Returns (Calc)'!$F$3:$F$161,'Returns (Calc)'!$P$3:$P$161),2),"")</f>
        <v/>
      </c>
      <c r="Q7" s="141" t="n">
        <f aca="false">IFERROR(ROUND(CORREL('Returns (Calc)'!$F$3:$F$161,'Returns (Calc)'!$Q$3:$Q$161),2),"")</f>
        <v>-0.07</v>
      </c>
      <c r="R7" s="141" t="n">
        <f aca="false">IFERROR(ROUND(CORREL('Returns (Calc)'!$F$3:$F$161,'Returns (Calc)'!$R$3:$R$161),2),"")</f>
        <v>0.54</v>
      </c>
      <c r="S7" s="141" t="n">
        <f aca="false">IFERROR(ROUND(CORREL('Returns (Calc)'!$F$3:$F$161,'Returns (Calc)'!$S$3:$S$161),2),"")</f>
        <v>0.53</v>
      </c>
      <c r="T7" s="141" t="n">
        <f aca="false">IFERROR(ROUND(CORREL('Returns (Calc)'!$F$3:$F$161,'Returns (Calc)'!$T$3:$T$161),2),"")</f>
        <v>0.33</v>
      </c>
      <c r="U7" s="141" t="str">
        <f aca="false">IFERROR(ROUND(CORREL('Returns (Calc)'!$F$3:$F$161,'Returns (Calc)'!$U$3:$U$161),2),"")</f>
        <v/>
      </c>
      <c r="V7" s="142" t="n">
        <f aca="false">COUNTIF(B7:U7,"&gt;0.7")-1</f>
        <v>0</v>
      </c>
    </row>
    <row r="8" customFormat="false" ht="15" hidden="false" customHeight="true" outlineLevel="0" collapsed="false">
      <c r="A8" s="140" t="str">
        <f aca="false">'Returns (Calc)'!G2</f>
        <v>KLAC</v>
      </c>
      <c r="B8" s="141" t="n">
        <f aca="false">IFERROR(ROUND(CORREL('Returns (Calc)'!$G$3:$G$161,'Returns (Calc)'!$B$3:$B$161),2),"")</f>
        <v>-0.03</v>
      </c>
      <c r="C8" s="141" t="n">
        <f aca="false">IFERROR(ROUND(CORREL('Returns (Calc)'!$G$3:$G$161,'Returns (Calc)'!$C$3:$C$161),2),"")</f>
        <v>0.44</v>
      </c>
      <c r="D8" s="141" t="n">
        <f aca="false">IFERROR(ROUND(CORREL('Returns (Calc)'!$G$3:$G$161,'Returns (Calc)'!$D$3:$D$161),2),"")</f>
        <v>0.77</v>
      </c>
      <c r="E8" s="141" t="n">
        <f aca="false">IFERROR(ROUND(CORREL('Returns (Calc)'!$G$3:$G$161,'Returns (Calc)'!$E$3:$E$161),2),"")</f>
        <v>0.54</v>
      </c>
      <c r="F8" s="141" t="n">
        <f aca="false">IFERROR(ROUND(CORREL('Returns (Calc)'!$G$3:$G$161,'Returns (Calc)'!$F$3:$F$161),2),"")</f>
        <v>0.34</v>
      </c>
      <c r="G8" s="141" t="n">
        <v>1</v>
      </c>
      <c r="H8" s="141" t="n">
        <f aca="false">IFERROR(ROUND(CORREL('Returns (Calc)'!$G$3:$G$161,'Returns (Calc)'!$H$3:$H$161),2),"")</f>
        <v>0.6</v>
      </c>
      <c r="I8" s="141" t="n">
        <f aca="false">IFERROR(ROUND(CORREL('Returns (Calc)'!$G$3:$G$161,'Returns (Calc)'!$I$3:$I$161),2),"")</f>
        <v>0.51</v>
      </c>
      <c r="J8" s="141" t="n">
        <f aca="false">IFERROR(ROUND(CORREL('Returns (Calc)'!$G$3:$G$161,'Returns (Calc)'!$J$3:$J$161),2),"")</f>
        <v>0.29</v>
      </c>
      <c r="K8" s="141" t="n">
        <f aca="false">IFERROR(ROUND(CORREL('Returns (Calc)'!$G$3:$G$161,'Returns (Calc)'!$K$3:$K$161),2),"")</f>
        <v>0.24</v>
      </c>
      <c r="L8" s="141" t="n">
        <f aca="false">IFERROR(ROUND(CORREL('Returns (Calc)'!$G$3:$G$161,'Returns (Calc)'!$L$3:$L$161),2),"")</f>
        <v>0.61</v>
      </c>
      <c r="M8" s="141" t="n">
        <f aca="false">IFERROR(ROUND(CORREL('Returns (Calc)'!$G$3:$G$161,'Returns (Calc)'!$M$3:$M$161),2),"")</f>
        <v>0.49</v>
      </c>
      <c r="N8" s="141" t="n">
        <f aca="false">IFERROR(ROUND(CORREL('Returns (Calc)'!$G$3:$G$161,'Returns (Calc)'!$N$3:$N$161),2),"")</f>
        <v>0.18</v>
      </c>
      <c r="O8" s="141" t="n">
        <f aca="false">IFERROR(ROUND(CORREL('Returns (Calc)'!$G$3:$G$161,'Returns (Calc)'!$O$3:$O$161),2),"")</f>
        <v>0.43</v>
      </c>
      <c r="P8" s="141" t="str">
        <f aca="false">IFERROR(ROUND(CORREL('Returns (Calc)'!$G$3:$G$161,'Returns (Calc)'!$P$3:$P$161),2),"")</f>
        <v/>
      </c>
      <c r="Q8" s="141" t="n">
        <f aca="false">IFERROR(ROUND(CORREL('Returns (Calc)'!$G$3:$G$161,'Returns (Calc)'!$Q$3:$Q$161),2),"")</f>
        <v>-0.04</v>
      </c>
      <c r="R8" s="141" t="n">
        <f aca="false">IFERROR(ROUND(CORREL('Returns (Calc)'!$G$3:$G$161,'Returns (Calc)'!$R$3:$R$161),2),"")</f>
        <v>0.62</v>
      </c>
      <c r="S8" s="141" t="n">
        <f aca="false">IFERROR(ROUND(CORREL('Returns (Calc)'!$G$3:$G$161,'Returns (Calc)'!$S$3:$S$161),2),"")</f>
        <v>0.66</v>
      </c>
      <c r="T8" s="141" t="n">
        <f aca="false">IFERROR(ROUND(CORREL('Returns (Calc)'!$G$3:$G$161,'Returns (Calc)'!$T$3:$T$161),2),"")</f>
        <v>0.33</v>
      </c>
      <c r="U8" s="141" t="str">
        <f aca="false">IFERROR(ROUND(CORREL('Returns (Calc)'!$G$3:$G$161,'Returns (Calc)'!$U$3:$U$161),2),"")</f>
        <v/>
      </c>
      <c r="V8" s="142" t="n">
        <f aca="false">COUNTIF(B8:U8,"&gt;0.7")-1</f>
        <v>1</v>
      </c>
    </row>
    <row r="9" customFormat="false" ht="15" hidden="false" customHeight="true" outlineLevel="0" collapsed="false">
      <c r="A9" s="140" t="str">
        <f aca="false">'Returns (Calc)'!H2</f>
        <v>MU</v>
      </c>
      <c r="B9" s="141" t="n">
        <f aca="false">IFERROR(ROUND(CORREL('Returns (Calc)'!$H$3:$H$161,'Returns (Calc)'!$B$3:$B$161),2),"")</f>
        <v>0.07</v>
      </c>
      <c r="C9" s="141" t="n">
        <f aca="false">IFERROR(ROUND(CORREL('Returns (Calc)'!$H$3:$H$161,'Returns (Calc)'!$C$3:$C$161),2),"")</f>
        <v>0.35</v>
      </c>
      <c r="D9" s="141" t="n">
        <f aca="false">IFERROR(ROUND(CORREL('Returns (Calc)'!$H$3:$H$161,'Returns (Calc)'!$D$3:$D$161),2),"")</f>
        <v>0.6</v>
      </c>
      <c r="E9" s="141" t="n">
        <f aca="false">IFERROR(ROUND(CORREL('Returns (Calc)'!$H$3:$H$161,'Returns (Calc)'!$E$3:$E$161),2),"")</f>
        <v>0.5</v>
      </c>
      <c r="F9" s="141" t="n">
        <f aca="false">IFERROR(ROUND(CORREL('Returns (Calc)'!$H$3:$H$161,'Returns (Calc)'!$F$3:$F$161),2),"")</f>
        <v>0.34</v>
      </c>
      <c r="G9" s="141" t="n">
        <f aca="false">IFERROR(ROUND(CORREL('Returns (Calc)'!$H$3:$H$161,'Returns (Calc)'!$G$3:$G$161),2),"")</f>
        <v>0.6</v>
      </c>
      <c r="H9" s="141" t="n">
        <v>1</v>
      </c>
      <c r="I9" s="141" t="n">
        <f aca="false">IFERROR(ROUND(CORREL('Returns (Calc)'!$H$3:$H$161,'Returns (Calc)'!$I$3:$I$161),2),"")</f>
        <v>0.5</v>
      </c>
      <c r="J9" s="141" t="n">
        <f aca="false">IFERROR(ROUND(CORREL('Returns (Calc)'!$H$3:$H$161,'Returns (Calc)'!$J$3:$J$161),2),"")</f>
        <v>0.21</v>
      </c>
      <c r="K9" s="141" t="n">
        <f aca="false">IFERROR(ROUND(CORREL('Returns (Calc)'!$H$3:$H$161,'Returns (Calc)'!$K$3:$K$161),2),"")</f>
        <v>0.17</v>
      </c>
      <c r="L9" s="141" t="n">
        <f aca="false">IFERROR(ROUND(CORREL('Returns (Calc)'!$H$3:$H$161,'Returns (Calc)'!$L$3:$L$161),2),"")</f>
        <v>0.55</v>
      </c>
      <c r="M9" s="141" t="n">
        <f aca="false">IFERROR(ROUND(CORREL('Returns (Calc)'!$H$3:$H$161,'Returns (Calc)'!$M$3:$M$161),2),"")</f>
        <v>0.49</v>
      </c>
      <c r="N9" s="141" t="n">
        <f aca="false">IFERROR(ROUND(CORREL('Returns (Calc)'!$H$3:$H$161,'Returns (Calc)'!$N$3:$N$161),2),"")</f>
        <v>0.18</v>
      </c>
      <c r="O9" s="141" t="n">
        <f aca="false">IFERROR(ROUND(CORREL('Returns (Calc)'!$H$3:$H$161,'Returns (Calc)'!$O$3:$O$161),2),"")</f>
        <v>0.36</v>
      </c>
      <c r="P9" s="141" t="str">
        <f aca="false">IFERROR(ROUND(CORREL('Returns (Calc)'!$H$3:$H$161,'Returns (Calc)'!$P$3:$P$161),2),"")</f>
        <v/>
      </c>
      <c r="Q9" s="141" t="n">
        <f aca="false">IFERROR(ROUND(CORREL('Returns (Calc)'!$H$3:$H$161,'Returns (Calc)'!$Q$3:$Q$161),2),"")</f>
        <v>-0.12</v>
      </c>
      <c r="R9" s="141" t="n">
        <f aca="false">IFERROR(ROUND(CORREL('Returns (Calc)'!$H$3:$H$161,'Returns (Calc)'!$R$3:$R$161),2),"")</f>
        <v>0.61</v>
      </c>
      <c r="S9" s="141" t="n">
        <f aca="false">IFERROR(ROUND(CORREL('Returns (Calc)'!$H$3:$H$161,'Returns (Calc)'!$S$3:$S$161),2),"")</f>
        <v>0.66</v>
      </c>
      <c r="T9" s="141" t="n">
        <f aca="false">IFERROR(ROUND(CORREL('Returns (Calc)'!$H$3:$H$161,'Returns (Calc)'!$T$3:$T$161),2),"")</f>
        <v>0.43</v>
      </c>
      <c r="U9" s="141" t="str">
        <f aca="false">IFERROR(ROUND(CORREL('Returns (Calc)'!$H$3:$H$161,'Returns (Calc)'!$U$3:$U$161),2),"")</f>
        <v/>
      </c>
      <c r="V9" s="142" t="n">
        <f aca="false">COUNTIF(B9:U9,"&gt;0.7")-1</f>
        <v>0</v>
      </c>
    </row>
    <row r="10" customFormat="false" ht="15" hidden="false" customHeight="true" outlineLevel="0" collapsed="false">
      <c r="A10" s="140" t="str">
        <f aca="false">'Returns (Calc)'!I2</f>
        <v>NVDA</v>
      </c>
      <c r="B10" s="141" t="n">
        <f aca="false">IFERROR(ROUND(CORREL('Returns (Calc)'!$I$3:$I$161,'Returns (Calc)'!$B$3:$B$161),2),"")</f>
        <v>0.23</v>
      </c>
      <c r="C10" s="141" t="n">
        <f aca="false">IFERROR(ROUND(CORREL('Returns (Calc)'!$I$3:$I$161,'Returns (Calc)'!$C$3:$C$161),2),"")</f>
        <v>0.53</v>
      </c>
      <c r="D10" s="141" t="n">
        <f aca="false">IFERROR(ROUND(CORREL('Returns (Calc)'!$I$3:$I$161,'Returns (Calc)'!$D$3:$D$161),2),"")</f>
        <v>0.48</v>
      </c>
      <c r="E10" s="141" t="n">
        <f aca="false">IFERROR(ROUND(CORREL('Returns (Calc)'!$I$3:$I$161,'Returns (Calc)'!$E$3:$E$161),2),"")</f>
        <v>0.62</v>
      </c>
      <c r="F10" s="141" t="n">
        <f aca="false">IFERROR(ROUND(CORREL('Returns (Calc)'!$I$3:$I$161,'Returns (Calc)'!$F$3:$F$161),2),"")</f>
        <v>0.45</v>
      </c>
      <c r="G10" s="141" t="n">
        <f aca="false">IFERROR(ROUND(CORREL('Returns (Calc)'!$I$3:$I$161,'Returns (Calc)'!$G$3:$G$161),2),"")</f>
        <v>0.51</v>
      </c>
      <c r="H10" s="141" t="n">
        <f aca="false">IFERROR(ROUND(CORREL('Returns (Calc)'!$I$3:$I$161,'Returns (Calc)'!$H$3:$H$161),2),"")</f>
        <v>0.5</v>
      </c>
      <c r="I10" s="141" t="n">
        <v>1</v>
      </c>
      <c r="J10" s="141" t="n">
        <f aca="false">IFERROR(ROUND(CORREL('Returns (Calc)'!$I$3:$I$161,'Returns (Calc)'!$J$3:$J$161),2),"")</f>
        <v>0.19</v>
      </c>
      <c r="K10" s="141" t="n">
        <f aca="false">IFERROR(ROUND(CORREL('Returns (Calc)'!$I$3:$I$161,'Returns (Calc)'!$K$3:$K$161),2),"")</f>
        <v>0.44</v>
      </c>
      <c r="L10" s="141" t="n">
        <f aca="false">IFERROR(ROUND(CORREL('Returns (Calc)'!$I$3:$I$161,'Returns (Calc)'!$L$3:$L$161),2),"")</f>
        <v>0.64</v>
      </c>
      <c r="M10" s="141" t="n">
        <f aca="false">IFERROR(ROUND(CORREL('Returns (Calc)'!$I$3:$I$161,'Returns (Calc)'!$M$3:$M$161),2),"")</f>
        <v>0.65</v>
      </c>
      <c r="N10" s="141" t="n">
        <f aca="false">IFERROR(ROUND(CORREL('Returns (Calc)'!$I$3:$I$161,'Returns (Calc)'!$N$3:$N$161),2),"")</f>
        <v>0.14</v>
      </c>
      <c r="O10" s="141" t="n">
        <f aca="false">IFERROR(ROUND(CORREL('Returns (Calc)'!$I$3:$I$161,'Returns (Calc)'!$O$3:$O$161),2),"")</f>
        <v>0.27</v>
      </c>
      <c r="P10" s="141" t="str">
        <f aca="false">IFERROR(ROUND(CORREL('Returns (Calc)'!$I$3:$I$161,'Returns (Calc)'!$P$3:$P$161),2),"")</f>
        <v/>
      </c>
      <c r="Q10" s="141" t="n">
        <f aca="false">IFERROR(ROUND(CORREL('Returns (Calc)'!$I$3:$I$161,'Returns (Calc)'!$Q$3:$Q$161),2),"")</f>
        <v>-0.1</v>
      </c>
      <c r="R10" s="141" t="n">
        <f aca="false">IFERROR(ROUND(CORREL('Returns (Calc)'!$I$3:$I$161,'Returns (Calc)'!$R$3:$R$161),2),"")</f>
        <v>0.71</v>
      </c>
      <c r="S10" s="141" t="n">
        <f aca="false">IFERROR(ROUND(CORREL('Returns (Calc)'!$I$3:$I$161,'Returns (Calc)'!$S$3:$S$161),2),"")</f>
        <v>0.73</v>
      </c>
      <c r="T10" s="141" t="n">
        <f aca="false">IFERROR(ROUND(CORREL('Returns (Calc)'!$I$3:$I$161,'Returns (Calc)'!$T$3:$T$161),2),"")</f>
        <v>0.3</v>
      </c>
      <c r="U10" s="141" t="str">
        <f aca="false">IFERROR(ROUND(CORREL('Returns (Calc)'!$I$3:$I$161,'Returns (Calc)'!$U$3:$U$161),2),"")</f>
        <v/>
      </c>
      <c r="V10" s="142" t="n">
        <f aca="false">COUNTIF(B10:U10,"&gt;0.7")-1</f>
        <v>2</v>
      </c>
    </row>
    <row r="11" customFormat="false" ht="15" hidden="false" customHeight="true" outlineLevel="0" collapsed="false">
      <c r="A11" s="140" t="str">
        <f aca="false">'Returns (Calc)'!J2</f>
        <v>PLD</v>
      </c>
      <c r="B11" s="141" t="n">
        <f aca="false">IFERROR(ROUND(CORREL('Returns (Calc)'!$J$3:$J$161,'Returns (Calc)'!$B$3:$B$161),2),"")</f>
        <v>0.19</v>
      </c>
      <c r="C11" s="141" t="n">
        <f aca="false">IFERROR(ROUND(CORREL('Returns (Calc)'!$J$3:$J$161,'Returns (Calc)'!$C$3:$C$161),2),"")</f>
        <v>0.19</v>
      </c>
      <c r="D11" s="141" t="n">
        <f aca="false">IFERROR(ROUND(CORREL('Returns (Calc)'!$J$3:$J$161,'Returns (Calc)'!$D$3:$D$161),2),"")</f>
        <v>0.29</v>
      </c>
      <c r="E11" s="141" t="n">
        <f aca="false">IFERROR(ROUND(CORREL('Returns (Calc)'!$J$3:$J$161,'Returns (Calc)'!$E$3:$E$161),2),"")</f>
        <v>0.23</v>
      </c>
      <c r="F11" s="141" t="n">
        <f aca="false">IFERROR(ROUND(CORREL('Returns (Calc)'!$J$3:$J$161,'Returns (Calc)'!$F$3:$F$161),2),"")</f>
        <v>0.12</v>
      </c>
      <c r="G11" s="141" t="n">
        <f aca="false">IFERROR(ROUND(CORREL('Returns (Calc)'!$J$3:$J$161,'Returns (Calc)'!$G$3:$G$161),2),"")</f>
        <v>0.29</v>
      </c>
      <c r="H11" s="141" t="n">
        <f aca="false">IFERROR(ROUND(CORREL('Returns (Calc)'!$J$3:$J$161,'Returns (Calc)'!$H$3:$H$161),2),"")</f>
        <v>0.21</v>
      </c>
      <c r="I11" s="141" t="n">
        <f aca="false">IFERROR(ROUND(CORREL('Returns (Calc)'!$J$3:$J$161,'Returns (Calc)'!$I$3:$I$161),2),"")</f>
        <v>0.19</v>
      </c>
      <c r="J11" s="141" t="n">
        <v>1</v>
      </c>
      <c r="K11" s="141" t="n">
        <f aca="false">IFERROR(ROUND(CORREL('Returns (Calc)'!$J$3:$J$161,'Returns (Calc)'!$K$3:$K$161),2),"")</f>
        <v>0.16</v>
      </c>
      <c r="L11" s="141" t="n">
        <f aca="false">IFERROR(ROUND(CORREL('Returns (Calc)'!$J$3:$J$161,'Returns (Calc)'!$L$3:$L$161),2),"")</f>
        <v>0.22</v>
      </c>
      <c r="M11" s="141" t="n">
        <f aca="false">IFERROR(ROUND(CORREL('Returns (Calc)'!$J$3:$J$161,'Returns (Calc)'!$M$3:$M$161),2),"")</f>
        <v>0.16</v>
      </c>
      <c r="N11" s="141" t="n">
        <f aca="false">IFERROR(ROUND(CORREL('Returns (Calc)'!$J$3:$J$161,'Returns (Calc)'!$N$3:$N$161),2),"")</f>
        <v>0.26</v>
      </c>
      <c r="O11" s="141" t="n">
        <f aca="false">IFERROR(ROUND(CORREL('Returns (Calc)'!$J$3:$J$161,'Returns (Calc)'!$O$3:$O$161),2),"")</f>
        <v>0.62</v>
      </c>
      <c r="P11" s="141" t="str">
        <f aca="false">IFERROR(ROUND(CORREL('Returns (Calc)'!$J$3:$J$161,'Returns (Calc)'!$P$3:$P$161),2),"")</f>
        <v/>
      </c>
      <c r="Q11" s="141" t="n">
        <f aca="false">IFERROR(ROUND(CORREL('Returns (Calc)'!$J$3:$J$161,'Returns (Calc)'!$Q$3:$Q$161),2),"")</f>
        <v>-0.09</v>
      </c>
      <c r="R11" s="141" t="n">
        <f aca="false">IFERROR(ROUND(CORREL('Returns (Calc)'!$J$3:$J$161,'Returns (Calc)'!$R$3:$R$161),2),"")</f>
        <v>0.38</v>
      </c>
      <c r="S11" s="141" t="n">
        <f aca="false">IFERROR(ROUND(CORREL('Returns (Calc)'!$J$3:$J$161,'Returns (Calc)'!$S$3:$S$161),2),"")</f>
        <v>0.36</v>
      </c>
      <c r="T11" s="141" t="n">
        <f aca="false">IFERROR(ROUND(CORREL('Returns (Calc)'!$J$3:$J$161,'Returns (Calc)'!$T$3:$T$161),2),"")</f>
        <v>0.54</v>
      </c>
      <c r="U11" s="141" t="str">
        <f aca="false">IFERROR(ROUND(CORREL('Returns (Calc)'!$J$3:$J$161,'Returns (Calc)'!$U$3:$U$161),2),"")</f>
        <v/>
      </c>
      <c r="V11" s="142" t="n">
        <f aca="false">COUNTIF(B11:U11,"&gt;0.7")-1</f>
        <v>0</v>
      </c>
    </row>
    <row r="12" customFormat="false" ht="15" hidden="false" customHeight="true" outlineLevel="0" collapsed="false">
      <c r="A12" s="140" t="str">
        <f aca="false">'Returns (Calc)'!K2</f>
        <v>PLTR</v>
      </c>
      <c r="B12" s="141" t="n">
        <f aca="false">IFERROR(ROUND(CORREL('Returns (Calc)'!$K$3:$K$161,'Returns (Calc)'!$B$3:$B$161),2),"")</f>
        <v>0.36</v>
      </c>
      <c r="C12" s="141" t="n">
        <f aca="false">IFERROR(ROUND(CORREL('Returns (Calc)'!$K$3:$K$161,'Returns (Calc)'!$C$3:$C$161),2),"")</f>
        <v>0.34</v>
      </c>
      <c r="D12" s="141" t="n">
        <f aca="false">IFERROR(ROUND(CORREL('Returns (Calc)'!$K$3:$K$161,'Returns (Calc)'!$D$3:$D$161),2),"")</f>
        <v>0.2</v>
      </c>
      <c r="E12" s="141" t="n">
        <f aca="false">IFERROR(ROUND(CORREL('Returns (Calc)'!$K$3:$K$161,'Returns (Calc)'!$E$3:$E$161),2),"")</f>
        <v>0.37</v>
      </c>
      <c r="F12" s="141" t="n">
        <f aca="false">IFERROR(ROUND(CORREL('Returns (Calc)'!$K$3:$K$161,'Returns (Calc)'!$F$3:$F$161),2),"")</f>
        <v>0.5</v>
      </c>
      <c r="G12" s="141" t="n">
        <f aca="false">IFERROR(ROUND(CORREL('Returns (Calc)'!$K$3:$K$161,'Returns (Calc)'!$G$3:$G$161),2),"")</f>
        <v>0.24</v>
      </c>
      <c r="H12" s="141" t="n">
        <f aca="false">IFERROR(ROUND(CORREL('Returns (Calc)'!$K$3:$K$161,'Returns (Calc)'!$H$3:$H$161),2),"")</f>
        <v>0.17</v>
      </c>
      <c r="I12" s="141" t="n">
        <f aca="false">IFERROR(ROUND(CORREL('Returns (Calc)'!$K$3:$K$161,'Returns (Calc)'!$I$3:$I$161),2),"")</f>
        <v>0.44</v>
      </c>
      <c r="J12" s="141" t="n">
        <f aca="false">IFERROR(ROUND(CORREL('Returns (Calc)'!$K$3:$K$161,'Returns (Calc)'!$J$3:$J$161),2),"")</f>
        <v>0.16</v>
      </c>
      <c r="K12" s="141" t="n">
        <v>1</v>
      </c>
      <c r="L12" s="141" t="n">
        <f aca="false">IFERROR(ROUND(CORREL('Returns (Calc)'!$K$3:$K$161,'Returns (Calc)'!$L$3:$L$161),2),"")</f>
        <v>0.39</v>
      </c>
      <c r="M12" s="141" t="n">
        <f aca="false">IFERROR(ROUND(CORREL('Returns (Calc)'!$K$3:$K$161,'Returns (Calc)'!$M$3:$M$161),2),"")</f>
        <v>0.32</v>
      </c>
      <c r="N12" s="141" t="n">
        <f aca="false">IFERROR(ROUND(CORREL('Returns (Calc)'!$K$3:$K$161,'Returns (Calc)'!$N$3:$N$161),2),"")</f>
        <v>0.05</v>
      </c>
      <c r="O12" s="141" t="n">
        <f aca="false">IFERROR(ROUND(CORREL('Returns (Calc)'!$K$3:$K$161,'Returns (Calc)'!$O$3:$O$161),2),"")</f>
        <v>0.25</v>
      </c>
      <c r="P12" s="141" t="str">
        <f aca="false">IFERROR(ROUND(CORREL('Returns (Calc)'!$K$3:$K$161,'Returns (Calc)'!$P$3:$P$161),2),"")</f>
        <v/>
      </c>
      <c r="Q12" s="141" t="n">
        <f aca="false">IFERROR(ROUND(CORREL('Returns (Calc)'!$K$3:$K$161,'Returns (Calc)'!$Q$3:$Q$161),2),"")</f>
        <v>-0.08</v>
      </c>
      <c r="R12" s="141" t="n">
        <f aca="false">IFERROR(ROUND(CORREL('Returns (Calc)'!$K$3:$K$161,'Returns (Calc)'!$R$3:$R$161),2),"")</f>
        <v>0.48</v>
      </c>
      <c r="S12" s="141" t="n">
        <f aca="false">IFERROR(ROUND(CORREL('Returns (Calc)'!$K$3:$K$161,'Returns (Calc)'!$S$3:$S$161),2),"")</f>
        <v>0.45</v>
      </c>
      <c r="T12" s="141" t="n">
        <f aca="false">IFERROR(ROUND(CORREL('Returns (Calc)'!$K$3:$K$161,'Returns (Calc)'!$T$3:$T$161),2),"")</f>
        <v>0.34</v>
      </c>
      <c r="U12" s="141" t="str">
        <f aca="false">IFERROR(ROUND(CORREL('Returns (Calc)'!$K$3:$K$161,'Returns (Calc)'!$U$3:$U$161),2),"")</f>
        <v/>
      </c>
      <c r="V12" s="142" t="n">
        <f aca="false">COUNTIF(B12:U12,"&gt;0.7")-1</f>
        <v>0</v>
      </c>
    </row>
    <row r="13" customFormat="false" ht="15" hidden="false" customHeight="true" outlineLevel="0" collapsed="false">
      <c r="A13" s="140" t="str">
        <f aca="false">'Returns (Calc)'!L2</f>
        <v>TSM</v>
      </c>
      <c r="B13" s="141" t="n">
        <f aca="false">IFERROR(ROUND(CORREL('Returns (Calc)'!$L$3:$L$161,'Returns (Calc)'!$B$3:$B$161),2),"")</f>
        <v>0.17</v>
      </c>
      <c r="C13" s="141" t="n">
        <f aca="false">IFERROR(ROUND(CORREL('Returns (Calc)'!$L$3:$L$161,'Returns (Calc)'!$C$3:$C$161),2),"")</f>
        <v>0.55</v>
      </c>
      <c r="D13" s="141" t="n">
        <f aca="false">IFERROR(ROUND(CORREL('Returns (Calc)'!$L$3:$L$161,'Returns (Calc)'!$D$3:$D$161),2),"")</f>
        <v>0.63</v>
      </c>
      <c r="E13" s="141" t="n">
        <f aca="false">IFERROR(ROUND(CORREL('Returns (Calc)'!$L$3:$L$161,'Returns (Calc)'!$E$3:$E$161),2),"")</f>
        <v>0.63</v>
      </c>
      <c r="F13" s="141" t="n">
        <f aca="false">IFERROR(ROUND(CORREL('Returns (Calc)'!$L$3:$L$161,'Returns (Calc)'!$F$3:$F$161),2),"")</f>
        <v>0.39</v>
      </c>
      <c r="G13" s="141" t="n">
        <f aca="false">IFERROR(ROUND(CORREL('Returns (Calc)'!$L$3:$L$161,'Returns (Calc)'!$G$3:$G$161),2),"")</f>
        <v>0.61</v>
      </c>
      <c r="H13" s="141" t="n">
        <f aca="false">IFERROR(ROUND(CORREL('Returns (Calc)'!$L$3:$L$161,'Returns (Calc)'!$H$3:$H$161),2),"")</f>
        <v>0.55</v>
      </c>
      <c r="I13" s="141" t="n">
        <f aca="false">IFERROR(ROUND(CORREL('Returns (Calc)'!$L$3:$L$161,'Returns (Calc)'!$I$3:$I$161),2),"")</f>
        <v>0.64</v>
      </c>
      <c r="J13" s="141" t="n">
        <f aca="false">IFERROR(ROUND(CORREL('Returns (Calc)'!$L$3:$L$161,'Returns (Calc)'!$J$3:$J$161),2),"")</f>
        <v>0.22</v>
      </c>
      <c r="K13" s="141" t="n">
        <f aca="false">IFERROR(ROUND(CORREL('Returns (Calc)'!$L$3:$L$161,'Returns (Calc)'!$K$3:$K$161),2),"")</f>
        <v>0.39</v>
      </c>
      <c r="L13" s="141" t="n">
        <v>1</v>
      </c>
      <c r="M13" s="141" t="n">
        <f aca="false">IFERROR(ROUND(CORREL('Returns (Calc)'!$L$3:$L$161,'Returns (Calc)'!$M$3:$M$161),2),"")</f>
        <v>0.6</v>
      </c>
      <c r="N13" s="141" t="n">
        <f aca="false">IFERROR(ROUND(CORREL('Returns (Calc)'!$L$3:$L$161,'Returns (Calc)'!$N$3:$N$161),2),"")</f>
        <v>0.16</v>
      </c>
      <c r="O13" s="141" t="n">
        <f aca="false">IFERROR(ROUND(CORREL('Returns (Calc)'!$L$3:$L$161,'Returns (Calc)'!$O$3:$O$161),2),"")</f>
        <v>0.33</v>
      </c>
      <c r="P13" s="141" t="str">
        <f aca="false">IFERROR(ROUND(CORREL('Returns (Calc)'!$L$3:$L$161,'Returns (Calc)'!$P$3:$P$161),2),"")</f>
        <v/>
      </c>
      <c r="Q13" s="141" t="n">
        <f aca="false">IFERROR(ROUND(CORREL('Returns (Calc)'!$L$3:$L$161,'Returns (Calc)'!$Q$3:$Q$161),2),"")</f>
        <v>-0</v>
      </c>
      <c r="R13" s="141" t="n">
        <f aca="false">IFERROR(ROUND(CORREL('Returns (Calc)'!$L$3:$L$161,'Returns (Calc)'!$R$3:$R$161),2),"")</f>
        <v>0.66</v>
      </c>
      <c r="S13" s="141" t="n">
        <f aca="false">IFERROR(ROUND(CORREL('Returns (Calc)'!$L$3:$L$161,'Returns (Calc)'!$S$3:$S$161),2),"")</f>
        <v>0.69</v>
      </c>
      <c r="T13" s="141" t="n">
        <f aca="false">IFERROR(ROUND(CORREL('Returns (Calc)'!$L$3:$L$161,'Returns (Calc)'!$T$3:$T$161),2),"")</f>
        <v>0.29</v>
      </c>
      <c r="U13" s="141" t="str">
        <f aca="false">IFERROR(ROUND(CORREL('Returns (Calc)'!$L$3:$L$161,'Returns (Calc)'!$U$3:$U$161),2),"")</f>
        <v/>
      </c>
      <c r="V13" s="142" t="n">
        <f aca="false">COUNTIF(B13:U13,"&gt;0.7")-1</f>
        <v>0</v>
      </c>
    </row>
    <row r="14" customFormat="false" ht="15" hidden="false" customHeight="true" outlineLevel="0" collapsed="false">
      <c r="A14" s="140" t="str">
        <f aca="false">'Returns (Calc)'!M2</f>
        <v>VRT</v>
      </c>
      <c r="B14" s="141" t="n">
        <f aca="false">IFERROR(ROUND(CORREL('Returns (Calc)'!$M$3:$M$161,'Returns (Calc)'!$B$3:$B$161),2),"")</f>
        <v>0.08</v>
      </c>
      <c r="C14" s="141" t="n">
        <f aca="false">IFERROR(ROUND(CORREL('Returns (Calc)'!$M$3:$M$161,'Returns (Calc)'!$C$3:$C$161),2),"")</f>
        <v>0.59</v>
      </c>
      <c r="D14" s="141" t="n">
        <f aca="false">IFERROR(ROUND(CORREL('Returns (Calc)'!$M$3:$M$161,'Returns (Calc)'!$D$3:$D$161),2),"")</f>
        <v>0.41</v>
      </c>
      <c r="E14" s="141" t="n">
        <f aca="false">IFERROR(ROUND(CORREL('Returns (Calc)'!$M$3:$M$161,'Returns (Calc)'!$E$3:$E$161),2),"")</f>
        <v>0.53</v>
      </c>
      <c r="F14" s="141" t="n">
        <f aca="false">IFERROR(ROUND(CORREL('Returns (Calc)'!$M$3:$M$161,'Returns (Calc)'!$F$3:$F$161),2),"")</f>
        <v>0.41</v>
      </c>
      <c r="G14" s="141" t="n">
        <f aca="false">IFERROR(ROUND(CORREL('Returns (Calc)'!$M$3:$M$161,'Returns (Calc)'!$G$3:$G$161),2),"")</f>
        <v>0.49</v>
      </c>
      <c r="H14" s="141" t="n">
        <f aca="false">IFERROR(ROUND(CORREL('Returns (Calc)'!$M$3:$M$161,'Returns (Calc)'!$H$3:$H$161),2),"")</f>
        <v>0.49</v>
      </c>
      <c r="I14" s="141" t="n">
        <f aca="false">IFERROR(ROUND(CORREL('Returns (Calc)'!$M$3:$M$161,'Returns (Calc)'!$I$3:$I$161),2),"")</f>
        <v>0.65</v>
      </c>
      <c r="J14" s="141" t="n">
        <f aca="false">IFERROR(ROUND(CORREL('Returns (Calc)'!$M$3:$M$161,'Returns (Calc)'!$J$3:$J$161),2),"")</f>
        <v>0.16</v>
      </c>
      <c r="K14" s="141" t="n">
        <f aca="false">IFERROR(ROUND(CORREL('Returns (Calc)'!$M$3:$M$161,'Returns (Calc)'!$K$3:$K$161),2),"")</f>
        <v>0.32</v>
      </c>
      <c r="L14" s="141" t="n">
        <f aca="false">IFERROR(ROUND(CORREL('Returns (Calc)'!$M$3:$M$161,'Returns (Calc)'!$L$3:$L$161),2),"")</f>
        <v>0.6</v>
      </c>
      <c r="M14" s="141" t="n">
        <v>1</v>
      </c>
      <c r="N14" s="141" t="n">
        <f aca="false">IFERROR(ROUND(CORREL('Returns (Calc)'!$M$3:$M$161,'Returns (Calc)'!$N$3:$N$161),2),"")</f>
        <v>0.12</v>
      </c>
      <c r="O14" s="141" t="n">
        <f aca="false">IFERROR(ROUND(CORREL('Returns (Calc)'!$M$3:$M$161,'Returns (Calc)'!$O$3:$O$161),2),"")</f>
        <v>0.34</v>
      </c>
      <c r="P14" s="141" t="str">
        <f aca="false">IFERROR(ROUND(CORREL('Returns (Calc)'!$M$3:$M$161,'Returns (Calc)'!$P$3:$P$161),2),"")</f>
        <v/>
      </c>
      <c r="Q14" s="141" t="n">
        <f aca="false">IFERROR(ROUND(CORREL('Returns (Calc)'!$M$3:$M$161,'Returns (Calc)'!$Q$3:$Q$161),2),"")</f>
        <v>-0.02</v>
      </c>
      <c r="R14" s="141" t="n">
        <f aca="false">IFERROR(ROUND(CORREL('Returns (Calc)'!$M$3:$M$161,'Returns (Calc)'!$R$3:$R$161),2),"")</f>
        <v>0.61</v>
      </c>
      <c r="S14" s="141" t="n">
        <f aca="false">IFERROR(ROUND(CORREL('Returns (Calc)'!$M$3:$M$161,'Returns (Calc)'!$S$3:$S$161),2),"")</f>
        <v>0.65</v>
      </c>
      <c r="T14" s="141" t="n">
        <f aca="false">IFERROR(ROUND(CORREL('Returns (Calc)'!$M$3:$M$161,'Returns (Calc)'!$T$3:$T$161),2),"")</f>
        <v>0.29</v>
      </c>
      <c r="U14" s="141" t="str">
        <f aca="false">IFERROR(ROUND(CORREL('Returns (Calc)'!$M$3:$M$161,'Returns (Calc)'!$U$3:$U$161),2),"")</f>
        <v/>
      </c>
      <c r="V14" s="142" t="n">
        <f aca="false">COUNTIF(B14:U14,"&gt;0.7")-1</f>
        <v>0</v>
      </c>
    </row>
    <row r="15" customFormat="false" ht="15" hidden="false" customHeight="true" outlineLevel="0" collapsed="false">
      <c r="A15" s="140" t="str">
        <f aca="false">'Returns (Calc)'!N2</f>
        <v>VRTX</v>
      </c>
      <c r="B15" s="141" t="n">
        <f aca="false">IFERROR(ROUND(CORREL('Returns (Calc)'!$N$3:$N$161,'Returns (Calc)'!$B$3:$B$161),2),"")</f>
        <v>0.13</v>
      </c>
      <c r="C15" s="141" t="n">
        <f aca="false">IFERROR(ROUND(CORREL('Returns (Calc)'!$N$3:$N$161,'Returns (Calc)'!$C$3:$C$161),2),"")</f>
        <v>0.05</v>
      </c>
      <c r="D15" s="141" t="n">
        <f aca="false">IFERROR(ROUND(CORREL('Returns (Calc)'!$N$3:$N$161,'Returns (Calc)'!$D$3:$D$161),2),"")</f>
        <v>0.12</v>
      </c>
      <c r="E15" s="141" t="n">
        <f aca="false">IFERROR(ROUND(CORREL('Returns (Calc)'!$N$3:$N$161,'Returns (Calc)'!$E$3:$E$161),2),"")</f>
        <v>0.16</v>
      </c>
      <c r="F15" s="141" t="n">
        <f aca="false">IFERROR(ROUND(CORREL('Returns (Calc)'!$N$3:$N$161,'Returns (Calc)'!$F$3:$F$161),2),"")</f>
        <v>0.21</v>
      </c>
      <c r="G15" s="141" t="n">
        <f aca="false">IFERROR(ROUND(CORREL('Returns (Calc)'!$N$3:$N$161,'Returns (Calc)'!$G$3:$G$161),2),"")</f>
        <v>0.18</v>
      </c>
      <c r="H15" s="141" t="n">
        <f aca="false">IFERROR(ROUND(CORREL('Returns (Calc)'!$N$3:$N$161,'Returns (Calc)'!$H$3:$H$161),2),"")</f>
        <v>0.18</v>
      </c>
      <c r="I15" s="141" t="n">
        <f aca="false">IFERROR(ROUND(CORREL('Returns (Calc)'!$N$3:$N$161,'Returns (Calc)'!$I$3:$I$161),2),"")</f>
        <v>0.14</v>
      </c>
      <c r="J15" s="141" t="n">
        <f aca="false">IFERROR(ROUND(CORREL('Returns (Calc)'!$N$3:$N$161,'Returns (Calc)'!$J$3:$J$161),2),"")</f>
        <v>0.26</v>
      </c>
      <c r="K15" s="141" t="n">
        <f aca="false">IFERROR(ROUND(CORREL('Returns (Calc)'!$N$3:$N$161,'Returns (Calc)'!$K$3:$K$161),2),"")</f>
        <v>0.05</v>
      </c>
      <c r="L15" s="141" t="n">
        <f aca="false">IFERROR(ROUND(CORREL('Returns (Calc)'!$N$3:$N$161,'Returns (Calc)'!$L$3:$L$161),2),"")</f>
        <v>0.16</v>
      </c>
      <c r="M15" s="141" t="n">
        <f aca="false">IFERROR(ROUND(CORREL('Returns (Calc)'!$N$3:$N$161,'Returns (Calc)'!$M$3:$M$161),2),"")</f>
        <v>0.12</v>
      </c>
      <c r="N15" s="141" t="n">
        <v>1</v>
      </c>
      <c r="O15" s="141" t="n">
        <f aca="false">IFERROR(ROUND(CORREL('Returns (Calc)'!$N$3:$N$161,'Returns (Calc)'!$O$3:$O$161),2),"")</f>
        <v>0.24</v>
      </c>
      <c r="P15" s="141" t="str">
        <f aca="false">IFERROR(ROUND(CORREL('Returns (Calc)'!$N$3:$N$161,'Returns (Calc)'!$P$3:$P$161),2),"")</f>
        <v/>
      </c>
      <c r="Q15" s="141" t="n">
        <f aca="false">IFERROR(ROUND(CORREL('Returns (Calc)'!$N$3:$N$161,'Returns (Calc)'!$Q$3:$Q$161),2),"")</f>
        <v>0.04</v>
      </c>
      <c r="R15" s="141" t="n">
        <f aca="false">IFERROR(ROUND(CORREL('Returns (Calc)'!$N$3:$N$161,'Returns (Calc)'!$R$3:$R$161),2),"")</f>
        <v>0.2</v>
      </c>
      <c r="S15" s="141" t="n">
        <f aca="false">IFERROR(ROUND(CORREL('Returns (Calc)'!$N$3:$N$161,'Returns (Calc)'!$S$3:$S$161),2),"")</f>
        <v>0.17</v>
      </c>
      <c r="T15" s="141" t="n">
        <f aca="false">IFERROR(ROUND(CORREL('Returns (Calc)'!$N$3:$N$161,'Returns (Calc)'!$T$3:$T$161),2),"")</f>
        <v>0.31</v>
      </c>
      <c r="U15" s="141" t="str">
        <f aca="false">IFERROR(ROUND(CORREL('Returns (Calc)'!$N$3:$N$161,'Returns (Calc)'!$U$3:$U$161),2),"")</f>
        <v/>
      </c>
      <c r="V15" s="142" t="n">
        <f aca="false">COUNTIF(B15:U15,"&gt;0.7")-1</f>
        <v>0</v>
      </c>
    </row>
    <row r="16" customFormat="false" ht="15" hidden="false" customHeight="true" outlineLevel="0" collapsed="false">
      <c r="A16" s="140" t="str">
        <f aca="false">'Returns (Calc)'!O2</f>
        <v>AVUV</v>
      </c>
      <c r="B16" s="141" t="n">
        <f aca="false">IFERROR(ROUND(CORREL('Returns (Calc)'!$O$3:$O$161,'Returns (Calc)'!$B$3:$B$161),2),"")</f>
        <v>0.17</v>
      </c>
      <c r="C16" s="141" t="n">
        <f aca="false">IFERROR(ROUND(CORREL('Returns (Calc)'!$O$3:$O$161,'Returns (Calc)'!$C$3:$C$161),2),"")</f>
        <v>0.35</v>
      </c>
      <c r="D16" s="141" t="n">
        <f aca="false">IFERROR(ROUND(CORREL('Returns (Calc)'!$O$3:$O$161,'Returns (Calc)'!$D$3:$D$161),2),"")</f>
        <v>0.38</v>
      </c>
      <c r="E16" s="141" t="n">
        <f aca="false">IFERROR(ROUND(CORREL('Returns (Calc)'!$O$3:$O$161,'Returns (Calc)'!$E$3:$E$161),2),"")</f>
        <v>0.29</v>
      </c>
      <c r="F16" s="141" t="n">
        <f aca="false">IFERROR(ROUND(CORREL('Returns (Calc)'!$O$3:$O$161,'Returns (Calc)'!$F$3:$F$161),2),"")</f>
        <v>0.22</v>
      </c>
      <c r="G16" s="141" t="n">
        <f aca="false">IFERROR(ROUND(CORREL('Returns (Calc)'!$O$3:$O$161,'Returns (Calc)'!$G$3:$G$161),2),"")</f>
        <v>0.43</v>
      </c>
      <c r="H16" s="141" t="n">
        <f aca="false">IFERROR(ROUND(CORREL('Returns (Calc)'!$O$3:$O$161,'Returns (Calc)'!$H$3:$H$161),2),"")</f>
        <v>0.36</v>
      </c>
      <c r="I16" s="141" t="n">
        <f aca="false">IFERROR(ROUND(CORREL('Returns (Calc)'!$O$3:$O$161,'Returns (Calc)'!$I$3:$I$161),2),"")</f>
        <v>0.27</v>
      </c>
      <c r="J16" s="141" t="n">
        <f aca="false">IFERROR(ROUND(CORREL('Returns (Calc)'!$O$3:$O$161,'Returns (Calc)'!$J$3:$J$161),2),"")</f>
        <v>0.62</v>
      </c>
      <c r="K16" s="141" t="n">
        <f aca="false">IFERROR(ROUND(CORREL('Returns (Calc)'!$O$3:$O$161,'Returns (Calc)'!$K$3:$K$161),2),"")</f>
        <v>0.25</v>
      </c>
      <c r="L16" s="141" t="n">
        <f aca="false">IFERROR(ROUND(CORREL('Returns (Calc)'!$O$3:$O$161,'Returns (Calc)'!$L$3:$L$161),2),"")</f>
        <v>0.33</v>
      </c>
      <c r="M16" s="141" t="n">
        <f aca="false">IFERROR(ROUND(CORREL('Returns (Calc)'!$O$3:$O$161,'Returns (Calc)'!$M$3:$M$161),2),"")</f>
        <v>0.34</v>
      </c>
      <c r="N16" s="141" t="n">
        <f aca="false">IFERROR(ROUND(CORREL('Returns (Calc)'!$O$3:$O$161,'Returns (Calc)'!$N$3:$N$161),2),"")</f>
        <v>0.24</v>
      </c>
      <c r="O16" s="141" t="n">
        <v>1</v>
      </c>
      <c r="P16" s="141" t="str">
        <f aca="false">IFERROR(ROUND(CORREL('Returns (Calc)'!$O$3:$O$161,'Returns (Calc)'!$P$3:$P$161),2),"")</f>
        <v/>
      </c>
      <c r="Q16" s="141" t="n">
        <f aca="false">IFERROR(ROUND(CORREL('Returns (Calc)'!$O$3:$O$161,'Returns (Calc)'!$Q$3:$Q$161),2),"")</f>
        <v>-0.04</v>
      </c>
      <c r="R16" s="141" t="n">
        <f aca="false">IFERROR(ROUND(CORREL('Returns (Calc)'!$O$3:$O$161,'Returns (Calc)'!$R$3:$R$161),2),"")</f>
        <v>0.54</v>
      </c>
      <c r="S16" s="141" t="n">
        <f aca="false">IFERROR(ROUND(CORREL('Returns (Calc)'!$O$3:$O$161,'Returns (Calc)'!$S$3:$S$161),2),"")</f>
        <v>0.49</v>
      </c>
      <c r="T16" s="141" t="n">
        <f aca="false">IFERROR(ROUND(CORREL('Returns (Calc)'!$O$3:$O$161,'Returns (Calc)'!$T$3:$T$161),2),"")</f>
        <v>0.81</v>
      </c>
      <c r="U16" s="141" t="str">
        <f aca="false">IFERROR(ROUND(CORREL('Returns (Calc)'!$O$3:$O$161,'Returns (Calc)'!$U$3:$U$161),2),"")</f>
        <v/>
      </c>
      <c r="V16" s="142" t="n">
        <f aca="false">COUNTIF(B16:U16,"&gt;0.7")-1</f>
        <v>1</v>
      </c>
    </row>
    <row r="17" customFormat="false" ht="15" hidden="false" customHeight="true" outlineLevel="0" collapsed="false">
      <c r="A17" s="140" t="n">
        <f aca="false">'Returns (Calc)'!P2</f>
        <v>0</v>
      </c>
      <c r="B17" s="141" t="str">
        <f aca="false">IFERROR(ROUND(CORREL('Returns (Calc)'!$P$3:$P$161,'Returns (Calc)'!$B$3:$B$161),2),"")</f>
        <v/>
      </c>
      <c r="C17" s="141" t="str">
        <f aca="false">IFERROR(ROUND(CORREL('Returns (Calc)'!$P$3:$P$161,'Returns (Calc)'!$C$3:$C$161),2),"")</f>
        <v/>
      </c>
      <c r="D17" s="141" t="str">
        <f aca="false">IFERROR(ROUND(CORREL('Returns (Calc)'!$P$3:$P$161,'Returns (Calc)'!$D$3:$D$161),2),"")</f>
        <v/>
      </c>
      <c r="E17" s="141" t="str">
        <f aca="false">IFERROR(ROUND(CORREL('Returns (Calc)'!$P$3:$P$161,'Returns (Calc)'!$E$3:$E$161),2),"")</f>
        <v/>
      </c>
      <c r="F17" s="141" t="str">
        <f aca="false">IFERROR(ROUND(CORREL('Returns (Calc)'!$P$3:$P$161,'Returns (Calc)'!$F$3:$F$161),2),"")</f>
        <v/>
      </c>
      <c r="G17" s="141" t="str">
        <f aca="false">IFERROR(ROUND(CORREL('Returns (Calc)'!$P$3:$P$161,'Returns (Calc)'!$G$3:$G$161),2),"")</f>
        <v/>
      </c>
      <c r="H17" s="141" t="str">
        <f aca="false">IFERROR(ROUND(CORREL('Returns (Calc)'!$P$3:$P$161,'Returns (Calc)'!$H$3:$H$161),2),"")</f>
        <v/>
      </c>
      <c r="I17" s="141" t="str">
        <f aca="false">IFERROR(ROUND(CORREL('Returns (Calc)'!$P$3:$P$161,'Returns (Calc)'!$I$3:$I$161),2),"")</f>
        <v/>
      </c>
      <c r="J17" s="141" t="str">
        <f aca="false">IFERROR(ROUND(CORREL('Returns (Calc)'!$P$3:$P$161,'Returns (Calc)'!$J$3:$J$161),2),"")</f>
        <v/>
      </c>
      <c r="K17" s="141" t="str">
        <f aca="false">IFERROR(ROUND(CORREL('Returns (Calc)'!$P$3:$P$161,'Returns (Calc)'!$K$3:$K$161),2),"")</f>
        <v/>
      </c>
      <c r="L17" s="141" t="str">
        <f aca="false">IFERROR(ROUND(CORREL('Returns (Calc)'!$P$3:$P$161,'Returns (Calc)'!$L$3:$L$161),2),"")</f>
        <v/>
      </c>
      <c r="M17" s="141" t="str">
        <f aca="false">IFERROR(ROUND(CORREL('Returns (Calc)'!$P$3:$P$161,'Returns (Calc)'!$M$3:$M$161),2),"")</f>
        <v/>
      </c>
      <c r="N17" s="141" t="str">
        <f aca="false">IFERROR(ROUND(CORREL('Returns (Calc)'!$P$3:$P$161,'Returns (Calc)'!$N$3:$N$161),2),"")</f>
        <v/>
      </c>
      <c r="O17" s="141" t="str">
        <f aca="false">IFERROR(ROUND(CORREL('Returns (Calc)'!$P$3:$P$161,'Returns (Calc)'!$O$3:$O$161),2),"")</f>
        <v/>
      </c>
      <c r="P17" s="141" t="n">
        <v>1</v>
      </c>
      <c r="Q17" s="141" t="str">
        <f aca="false">IFERROR(ROUND(CORREL('Returns (Calc)'!$P$3:$P$161,'Returns (Calc)'!$Q$3:$Q$161),2),"")</f>
        <v/>
      </c>
      <c r="R17" s="141" t="str">
        <f aca="false">IFERROR(ROUND(CORREL('Returns (Calc)'!$P$3:$P$161,'Returns (Calc)'!$R$3:$R$161),2),"")</f>
        <v/>
      </c>
      <c r="S17" s="141" t="str">
        <f aca="false">IFERROR(ROUND(CORREL('Returns (Calc)'!$P$3:$P$161,'Returns (Calc)'!$S$3:$S$161),2),"")</f>
        <v/>
      </c>
      <c r="T17" s="141" t="str">
        <f aca="false">IFERROR(ROUND(CORREL('Returns (Calc)'!$P$3:$P$161,'Returns (Calc)'!$T$3:$T$161),2),"")</f>
        <v/>
      </c>
      <c r="U17" s="141" t="str">
        <f aca="false">IFERROR(ROUND(CORREL('Returns (Calc)'!$P$3:$P$161,'Returns (Calc)'!$U$3:$U$161),2),"")</f>
        <v/>
      </c>
      <c r="V17" s="142" t="n">
        <f aca="false">COUNTIF(B17:U17,"&gt;0.7")-1</f>
        <v>0</v>
      </c>
    </row>
    <row r="18" customFormat="false" ht="15" hidden="false" customHeight="true" outlineLevel="0" collapsed="false">
      <c r="A18" s="140" t="str">
        <f aca="false">'Returns (Calc)'!Q2</f>
        <v>HELO</v>
      </c>
      <c r="B18" s="141" t="n">
        <f aca="false">IFERROR(ROUND(CORREL('Returns (Calc)'!$Q$3:$Q$161,'Returns (Calc)'!$B$3:$B$161),2),"")</f>
        <v>-0.1</v>
      </c>
      <c r="C18" s="141" t="n">
        <f aca="false">IFERROR(ROUND(CORREL('Returns (Calc)'!$Q$3:$Q$161,'Returns (Calc)'!$C$3:$C$161),2),"")</f>
        <v>-0.01</v>
      </c>
      <c r="D18" s="141" t="n">
        <f aca="false">IFERROR(ROUND(CORREL('Returns (Calc)'!$Q$3:$Q$161,'Returns (Calc)'!$D$3:$D$161),2),"")</f>
        <v>-0.06</v>
      </c>
      <c r="E18" s="141" t="n">
        <f aca="false">IFERROR(ROUND(CORREL('Returns (Calc)'!$Q$3:$Q$161,'Returns (Calc)'!$E$3:$E$161),2),"")</f>
        <v>-0.08</v>
      </c>
      <c r="F18" s="141" t="n">
        <f aca="false">IFERROR(ROUND(CORREL('Returns (Calc)'!$Q$3:$Q$161,'Returns (Calc)'!$F$3:$F$161),2),"")</f>
        <v>-0.07</v>
      </c>
      <c r="G18" s="141" t="n">
        <f aca="false">IFERROR(ROUND(CORREL('Returns (Calc)'!$Q$3:$Q$161,'Returns (Calc)'!$G$3:$G$161),2),"")</f>
        <v>-0.04</v>
      </c>
      <c r="H18" s="141" t="n">
        <f aca="false">IFERROR(ROUND(CORREL('Returns (Calc)'!$Q$3:$Q$161,'Returns (Calc)'!$H$3:$H$161),2),"")</f>
        <v>-0.12</v>
      </c>
      <c r="I18" s="141" t="n">
        <f aca="false">IFERROR(ROUND(CORREL('Returns (Calc)'!$Q$3:$Q$161,'Returns (Calc)'!$I$3:$I$161),2),"")</f>
        <v>-0.1</v>
      </c>
      <c r="J18" s="141" t="n">
        <f aca="false">IFERROR(ROUND(CORREL('Returns (Calc)'!$Q$3:$Q$161,'Returns (Calc)'!$J$3:$J$161),2),"")</f>
        <v>-0.09</v>
      </c>
      <c r="K18" s="141" t="n">
        <f aca="false">IFERROR(ROUND(CORREL('Returns (Calc)'!$Q$3:$Q$161,'Returns (Calc)'!$K$3:$K$161),2),"")</f>
        <v>-0.08</v>
      </c>
      <c r="L18" s="141" t="n">
        <f aca="false">IFERROR(ROUND(CORREL('Returns (Calc)'!$Q$3:$Q$161,'Returns (Calc)'!$L$3:$L$161),2),"")</f>
        <v>-0</v>
      </c>
      <c r="M18" s="141" t="n">
        <f aca="false">IFERROR(ROUND(CORREL('Returns (Calc)'!$Q$3:$Q$161,'Returns (Calc)'!$M$3:$M$161),2),"")</f>
        <v>-0.02</v>
      </c>
      <c r="N18" s="141" t="n">
        <f aca="false">IFERROR(ROUND(CORREL('Returns (Calc)'!$Q$3:$Q$161,'Returns (Calc)'!$N$3:$N$161),2),"")</f>
        <v>0.04</v>
      </c>
      <c r="O18" s="141" t="n">
        <f aca="false">IFERROR(ROUND(CORREL('Returns (Calc)'!$Q$3:$Q$161,'Returns (Calc)'!$O$3:$O$161),2),"")</f>
        <v>-0.04</v>
      </c>
      <c r="P18" s="141" t="str">
        <f aca="false">IFERROR(ROUND(CORREL('Returns (Calc)'!$Q$3:$Q$161,'Returns (Calc)'!$P$3:$P$161),2),"")</f>
        <v/>
      </c>
      <c r="Q18" s="141" t="n">
        <v>1</v>
      </c>
      <c r="R18" s="141" t="n">
        <f aca="false">IFERROR(ROUND(CORREL('Returns (Calc)'!$Q$3:$Q$161,'Returns (Calc)'!$R$3:$R$161),2),"")</f>
        <v>-0.04</v>
      </c>
      <c r="S18" s="141" t="n">
        <f aca="false">IFERROR(ROUND(CORREL('Returns (Calc)'!$Q$3:$Q$161,'Returns (Calc)'!$S$3:$S$161),2),"")</f>
        <v>-0.05</v>
      </c>
      <c r="T18" s="141" t="n">
        <f aca="false">IFERROR(ROUND(CORREL('Returns (Calc)'!$Q$3:$Q$161,'Returns (Calc)'!$T$3:$T$161),2),"")</f>
        <v>-0.08</v>
      </c>
      <c r="U18" s="141" t="str">
        <f aca="false">IFERROR(ROUND(CORREL('Returns (Calc)'!$Q$3:$Q$161,'Returns (Calc)'!$U$3:$U$161),2),"")</f>
        <v/>
      </c>
      <c r="V18" s="142" t="n">
        <f aca="false">COUNTIF(B18:U18,"&gt;0.7")-1</f>
        <v>0</v>
      </c>
    </row>
    <row r="19" customFormat="false" ht="15" hidden="false" customHeight="true" outlineLevel="0" collapsed="false">
      <c r="A19" s="140" t="str">
        <f aca="false">'Returns (Calc)'!R2</f>
        <v>JEPQ</v>
      </c>
      <c r="B19" s="141" t="n">
        <f aca="false">IFERROR(ROUND(CORREL('Returns (Calc)'!$R$3:$R$161,'Returns (Calc)'!$B$3:$B$161),2),"")</f>
        <v>0.32</v>
      </c>
      <c r="C19" s="141" t="n">
        <f aca="false">IFERROR(ROUND(CORREL('Returns (Calc)'!$R$3:$R$161,'Returns (Calc)'!$C$3:$C$161),2),"")</f>
        <v>0.64</v>
      </c>
      <c r="D19" s="141" t="n">
        <f aca="false">IFERROR(ROUND(CORREL('Returns (Calc)'!$R$3:$R$161,'Returns (Calc)'!$D$3:$D$161),2),"")</f>
        <v>0.6</v>
      </c>
      <c r="E19" s="141" t="n">
        <f aca="false">IFERROR(ROUND(CORREL('Returns (Calc)'!$R$3:$R$161,'Returns (Calc)'!$E$3:$E$161),2),"")</f>
        <v>0.73</v>
      </c>
      <c r="F19" s="141" t="n">
        <f aca="false">IFERROR(ROUND(CORREL('Returns (Calc)'!$R$3:$R$161,'Returns (Calc)'!$F$3:$F$161),2),"")</f>
        <v>0.54</v>
      </c>
      <c r="G19" s="141" t="n">
        <f aca="false">IFERROR(ROUND(CORREL('Returns (Calc)'!$R$3:$R$161,'Returns (Calc)'!$G$3:$G$161),2),"")</f>
        <v>0.62</v>
      </c>
      <c r="H19" s="141" t="n">
        <f aca="false">IFERROR(ROUND(CORREL('Returns (Calc)'!$R$3:$R$161,'Returns (Calc)'!$H$3:$H$161),2),"")</f>
        <v>0.61</v>
      </c>
      <c r="I19" s="141" t="n">
        <f aca="false">IFERROR(ROUND(CORREL('Returns (Calc)'!$R$3:$R$161,'Returns (Calc)'!$I$3:$I$161),2),"")</f>
        <v>0.71</v>
      </c>
      <c r="J19" s="141" t="n">
        <f aca="false">IFERROR(ROUND(CORREL('Returns (Calc)'!$R$3:$R$161,'Returns (Calc)'!$J$3:$J$161),2),"")</f>
        <v>0.38</v>
      </c>
      <c r="K19" s="141" t="n">
        <f aca="false">IFERROR(ROUND(CORREL('Returns (Calc)'!$R$3:$R$161,'Returns (Calc)'!$K$3:$K$161),2),"")</f>
        <v>0.48</v>
      </c>
      <c r="L19" s="141" t="n">
        <f aca="false">IFERROR(ROUND(CORREL('Returns (Calc)'!$R$3:$R$161,'Returns (Calc)'!$L$3:$L$161),2),"")</f>
        <v>0.66</v>
      </c>
      <c r="M19" s="141" t="n">
        <f aca="false">IFERROR(ROUND(CORREL('Returns (Calc)'!$R$3:$R$161,'Returns (Calc)'!$M$3:$M$161),2),"")</f>
        <v>0.61</v>
      </c>
      <c r="N19" s="141" t="n">
        <f aca="false">IFERROR(ROUND(CORREL('Returns (Calc)'!$R$3:$R$161,'Returns (Calc)'!$N$3:$N$161),2),"")</f>
        <v>0.2</v>
      </c>
      <c r="O19" s="141" t="n">
        <f aca="false">IFERROR(ROUND(CORREL('Returns (Calc)'!$R$3:$R$161,'Returns (Calc)'!$O$3:$O$161),2),"")</f>
        <v>0.54</v>
      </c>
      <c r="P19" s="141" t="str">
        <f aca="false">IFERROR(ROUND(CORREL('Returns (Calc)'!$R$3:$R$161,'Returns (Calc)'!$P$3:$P$161),2),"")</f>
        <v/>
      </c>
      <c r="Q19" s="141" t="n">
        <f aca="false">IFERROR(ROUND(CORREL('Returns (Calc)'!$R$3:$R$161,'Returns (Calc)'!$Q$3:$Q$161),2),"")</f>
        <v>-0.04</v>
      </c>
      <c r="R19" s="141" t="n">
        <v>1</v>
      </c>
      <c r="S19" s="141" t="n">
        <f aca="false">IFERROR(ROUND(CORREL('Returns (Calc)'!$R$3:$R$161,'Returns (Calc)'!$S$3:$S$161),2),"")</f>
        <v>0.88</v>
      </c>
      <c r="T19" s="141" t="n">
        <f aca="false">IFERROR(ROUND(CORREL('Returns (Calc)'!$R$3:$R$161,'Returns (Calc)'!$T$3:$T$161),2),"")</f>
        <v>0.57</v>
      </c>
      <c r="U19" s="141" t="str">
        <f aca="false">IFERROR(ROUND(CORREL('Returns (Calc)'!$R$3:$R$161,'Returns (Calc)'!$U$3:$U$161),2),"")</f>
        <v/>
      </c>
      <c r="V19" s="142" t="n">
        <f aca="false">COUNTIF(B19:U19,"&gt;0.7")-1</f>
        <v>3</v>
      </c>
    </row>
    <row r="20" customFormat="false" ht="15" hidden="false" customHeight="true" outlineLevel="0" collapsed="false">
      <c r="A20" s="140" t="str">
        <f aca="false">'Returns (Calc)'!S2</f>
        <v>SPMO</v>
      </c>
      <c r="B20" s="141" t="n">
        <f aca="false">IFERROR(ROUND(CORREL('Returns (Calc)'!$S$3:$S$161,'Returns (Calc)'!$B$3:$B$161),2),"")</f>
        <v>0.25</v>
      </c>
      <c r="C20" s="141" t="n">
        <f aca="false">IFERROR(ROUND(CORREL('Returns (Calc)'!$S$3:$S$161,'Returns (Calc)'!$C$3:$C$161),2),"")</f>
        <v>0.64</v>
      </c>
      <c r="D20" s="141" t="n">
        <f aca="false">IFERROR(ROUND(CORREL('Returns (Calc)'!$S$3:$S$161,'Returns (Calc)'!$D$3:$D$161),2),"")</f>
        <v>0.6</v>
      </c>
      <c r="E20" s="141" t="n">
        <f aca="false">IFERROR(ROUND(CORREL('Returns (Calc)'!$S$3:$S$161,'Returns (Calc)'!$E$3:$E$161),2),"")</f>
        <v>0.74</v>
      </c>
      <c r="F20" s="141" t="n">
        <f aca="false">IFERROR(ROUND(CORREL('Returns (Calc)'!$S$3:$S$161,'Returns (Calc)'!$F$3:$F$161),2),"")</f>
        <v>0.53</v>
      </c>
      <c r="G20" s="141" t="n">
        <f aca="false">IFERROR(ROUND(CORREL('Returns (Calc)'!$S$3:$S$161,'Returns (Calc)'!$G$3:$G$161),2),"")</f>
        <v>0.66</v>
      </c>
      <c r="H20" s="141" t="n">
        <f aca="false">IFERROR(ROUND(CORREL('Returns (Calc)'!$S$3:$S$161,'Returns (Calc)'!$H$3:$H$161),2),"")</f>
        <v>0.66</v>
      </c>
      <c r="I20" s="141" t="n">
        <f aca="false">IFERROR(ROUND(CORREL('Returns (Calc)'!$S$3:$S$161,'Returns (Calc)'!$I$3:$I$161),2),"")</f>
        <v>0.73</v>
      </c>
      <c r="J20" s="141" t="n">
        <f aca="false">IFERROR(ROUND(CORREL('Returns (Calc)'!$S$3:$S$161,'Returns (Calc)'!$J$3:$J$161),2),"")</f>
        <v>0.36</v>
      </c>
      <c r="K20" s="141" t="n">
        <f aca="false">IFERROR(ROUND(CORREL('Returns (Calc)'!$S$3:$S$161,'Returns (Calc)'!$K$3:$K$161),2),"")</f>
        <v>0.45</v>
      </c>
      <c r="L20" s="141" t="n">
        <f aca="false">IFERROR(ROUND(CORREL('Returns (Calc)'!$S$3:$S$161,'Returns (Calc)'!$L$3:$L$161),2),"")</f>
        <v>0.69</v>
      </c>
      <c r="M20" s="141" t="n">
        <f aca="false">IFERROR(ROUND(CORREL('Returns (Calc)'!$S$3:$S$161,'Returns (Calc)'!$M$3:$M$161),2),"")</f>
        <v>0.65</v>
      </c>
      <c r="N20" s="141" t="n">
        <f aca="false">IFERROR(ROUND(CORREL('Returns (Calc)'!$S$3:$S$161,'Returns (Calc)'!$N$3:$N$161),2),"")</f>
        <v>0.17</v>
      </c>
      <c r="O20" s="141" t="n">
        <f aca="false">IFERROR(ROUND(CORREL('Returns (Calc)'!$S$3:$S$161,'Returns (Calc)'!$O$3:$O$161),2),"")</f>
        <v>0.49</v>
      </c>
      <c r="P20" s="141" t="str">
        <f aca="false">IFERROR(ROUND(CORREL('Returns (Calc)'!$S$3:$S$161,'Returns (Calc)'!$P$3:$P$161),2),"")</f>
        <v/>
      </c>
      <c r="Q20" s="141" t="n">
        <f aca="false">IFERROR(ROUND(CORREL('Returns (Calc)'!$S$3:$S$161,'Returns (Calc)'!$Q$3:$Q$161),2),"")</f>
        <v>-0.05</v>
      </c>
      <c r="R20" s="141" t="n">
        <f aca="false">IFERROR(ROUND(CORREL('Returns (Calc)'!$S$3:$S$161,'Returns (Calc)'!$R$3:$R$161),2),"")</f>
        <v>0.88</v>
      </c>
      <c r="S20" s="141" t="n">
        <v>1</v>
      </c>
      <c r="T20" s="141" t="n">
        <f aca="false">IFERROR(ROUND(CORREL('Returns (Calc)'!$S$3:$S$161,'Returns (Calc)'!$T$3:$T$161),2),"")</f>
        <v>0.53</v>
      </c>
      <c r="U20" s="141" t="str">
        <f aca="false">IFERROR(ROUND(CORREL('Returns (Calc)'!$S$3:$S$161,'Returns (Calc)'!$U$3:$U$161),2),"")</f>
        <v/>
      </c>
      <c r="V20" s="142" t="n">
        <f aca="false">COUNTIF(B20:U20,"&gt;0.7")-1</f>
        <v>3</v>
      </c>
    </row>
    <row r="21" customFormat="false" ht="15" hidden="false" customHeight="true" outlineLevel="0" collapsed="false">
      <c r="A21" s="140" t="str">
        <f aca="false">'Returns (Calc)'!T2</f>
        <v>VFLO</v>
      </c>
      <c r="B21" s="141" t="n">
        <f aca="false">IFERROR(ROUND(CORREL('Returns (Calc)'!$T$3:$T$161,'Returns (Calc)'!$B$3:$B$161),2),"")</f>
        <v>0.41</v>
      </c>
      <c r="C21" s="141" t="n">
        <f aca="false">IFERROR(ROUND(CORREL('Returns (Calc)'!$T$3:$T$161,'Returns (Calc)'!$C$3:$C$161),2),"")</f>
        <v>0.35</v>
      </c>
      <c r="D21" s="141" t="n">
        <f aca="false">IFERROR(ROUND(CORREL('Returns (Calc)'!$T$3:$T$161,'Returns (Calc)'!$D$3:$D$161),2),"")</f>
        <v>0.31</v>
      </c>
      <c r="E21" s="141" t="n">
        <f aca="false">IFERROR(ROUND(CORREL('Returns (Calc)'!$T$3:$T$161,'Returns (Calc)'!$E$3:$E$161),2),"")</f>
        <v>0.29</v>
      </c>
      <c r="F21" s="141" t="n">
        <f aca="false">IFERROR(ROUND(CORREL('Returns (Calc)'!$T$3:$T$161,'Returns (Calc)'!$F$3:$F$161),2),"")</f>
        <v>0.33</v>
      </c>
      <c r="G21" s="141" t="n">
        <f aca="false">IFERROR(ROUND(CORREL('Returns (Calc)'!$T$3:$T$161,'Returns (Calc)'!$G$3:$G$161),2),"")</f>
        <v>0.33</v>
      </c>
      <c r="H21" s="141" t="n">
        <f aca="false">IFERROR(ROUND(CORREL('Returns (Calc)'!$T$3:$T$161,'Returns (Calc)'!$H$3:$H$161),2),"")</f>
        <v>0.43</v>
      </c>
      <c r="I21" s="141" t="n">
        <f aca="false">IFERROR(ROUND(CORREL('Returns (Calc)'!$T$3:$T$161,'Returns (Calc)'!$I$3:$I$161),2),"")</f>
        <v>0.3</v>
      </c>
      <c r="J21" s="141" t="n">
        <f aca="false">IFERROR(ROUND(CORREL('Returns (Calc)'!$T$3:$T$161,'Returns (Calc)'!$J$3:$J$161),2),"")</f>
        <v>0.54</v>
      </c>
      <c r="K21" s="141" t="n">
        <f aca="false">IFERROR(ROUND(CORREL('Returns (Calc)'!$T$3:$T$161,'Returns (Calc)'!$K$3:$K$161),2),"")</f>
        <v>0.34</v>
      </c>
      <c r="L21" s="141" t="n">
        <f aca="false">IFERROR(ROUND(CORREL('Returns (Calc)'!$T$3:$T$161,'Returns (Calc)'!$L$3:$L$161),2),"")</f>
        <v>0.29</v>
      </c>
      <c r="M21" s="141" t="n">
        <f aca="false">IFERROR(ROUND(CORREL('Returns (Calc)'!$T$3:$T$161,'Returns (Calc)'!$M$3:$M$161),2),"")</f>
        <v>0.29</v>
      </c>
      <c r="N21" s="141" t="n">
        <f aca="false">IFERROR(ROUND(CORREL('Returns (Calc)'!$T$3:$T$161,'Returns (Calc)'!$N$3:$N$161),2),"")</f>
        <v>0.31</v>
      </c>
      <c r="O21" s="141" t="n">
        <f aca="false">IFERROR(ROUND(CORREL('Returns (Calc)'!$T$3:$T$161,'Returns (Calc)'!$O$3:$O$161),2),"")</f>
        <v>0.81</v>
      </c>
      <c r="P21" s="141" t="str">
        <f aca="false">IFERROR(ROUND(CORREL('Returns (Calc)'!$T$3:$T$161,'Returns (Calc)'!$P$3:$P$161),2),"")</f>
        <v/>
      </c>
      <c r="Q21" s="141" t="n">
        <f aca="false">IFERROR(ROUND(CORREL('Returns (Calc)'!$T$3:$T$161,'Returns (Calc)'!$Q$3:$Q$161),2),"")</f>
        <v>-0.08</v>
      </c>
      <c r="R21" s="141" t="n">
        <f aca="false">IFERROR(ROUND(CORREL('Returns (Calc)'!$T$3:$T$161,'Returns (Calc)'!$R$3:$R$161),2),"")</f>
        <v>0.57</v>
      </c>
      <c r="S21" s="141" t="n">
        <f aca="false">IFERROR(ROUND(CORREL('Returns (Calc)'!$T$3:$T$161,'Returns (Calc)'!$S$3:$S$161),2),"")</f>
        <v>0.53</v>
      </c>
      <c r="T21" s="141" t="n">
        <v>1</v>
      </c>
      <c r="U21" s="141" t="str">
        <f aca="false">IFERROR(ROUND(CORREL('Returns (Calc)'!$T$3:$T$161,'Returns (Calc)'!$U$3:$U$161),2),"")</f>
        <v/>
      </c>
      <c r="V21" s="142" t="n">
        <f aca="false">COUNTIF(B21:U21,"&gt;0.7")-1</f>
        <v>1</v>
      </c>
    </row>
    <row r="22" customFormat="false" ht="15" hidden="false" customHeight="true" outlineLevel="0" collapsed="false">
      <c r="A22" s="140" t="n">
        <f aca="false">'Returns (Calc)'!U2</f>
        <v>0</v>
      </c>
      <c r="B22" s="141" t="str">
        <f aca="false">IFERROR(ROUND(CORREL('Returns (Calc)'!$U$3:$U$161,'Returns (Calc)'!$B$3:$B$161),2),"")</f>
        <v/>
      </c>
      <c r="C22" s="141" t="str">
        <f aca="false">IFERROR(ROUND(CORREL('Returns (Calc)'!$U$3:$U$161,'Returns (Calc)'!$C$3:$C$161),2),"")</f>
        <v/>
      </c>
      <c r="D22" s="141" t="str">
        <f aca="false">IFERROR(ROUND(CORREL('Returns (Calc)'!$U$3:$U$161,'Returns (Calc)'!$D$3:$D$161),2),"")</f>
        <v/>
      </c>
      <c r="E22" s="141" t="str">
        <f aca="false">IFERROR(ROUND(CORREL('Returns (Calc)'!$U$3:$U$161,'Returns (Calc)'!$E$3:$E$161),2),"")</f>
        <v/>
      </c>
      <c r="F22" s="141" t="str">
        <f aca="false">IFERROR(ROUND(CORREL('Returns (Calc)'!$U$3:$U$161,'Returns (Calc)'!$F$3:$F$161),2),"")</f>
        <v/>
      </c>
      <c r="G22" s="141" t="str">
        <f aca="false">IFERROR(ROUND(CORREL('Returns (Calc)'!$U$3:$U$161,'Returns (Calc)'!$G$3:$G$161),2),"")</f>
        <v/>
      </c>
      <c r="H22" s="141" t="str">
        <f aca="false">IFERROR(ROUND(CORREL('Returns (Calc)'!$U$3:$U$161,'Returns (Calc)'!$H$3:$H$161),2),"")</f>
        <v/>
      </c>
      <c r="I22" s="141" t="str">
        <f aca="false">IFERROR(ROUND(CORREL('Returns (Calc)'!$U$3:$U$161,'Returns (Calc)'!$I$3:$I$161),2),"")</f>
        <v/>
      </c>
      <c r="J22" s="141" t="str">
        <f aca="false">IFERROR(ROUND(CORREL('Returns (Calc)'!$U$3:$U$161,'Returns (Calc)'!$J$3:$J$161),2),"")</f>
        <v/>
      </c>
      <c r="K22" s="141" t="str">
        <f aca="false">IFERROR(ROUND(CORREL('Returns (Calc)'!$U$3:$U$161,'Returns (Calc)'!$K$3:$K$161),2),"")</f>
        <v/>
      </c>
      <c r="L22" s="141" t="str">
        <f aca="false">IFERROR(ROUND(CORREL('Returns (Calc)'!$U$3:$U$161,'Returns (Calc)'!$L$3:$L$161),2),"")</f>
        <v/>
      </c>
      <c r="M22" s="141" t="str">
        <f aca="false">IFERROR(ROUND(CORREL('Returns (Calc)'!$U$3:$U$161,'Returns (Calc)'!$M$3:$M$161),2),"")</f>
        <v/>
      </c>
      <c r="N22" s="141" t="str">
        <f aca="false">IFERROR(ROUND(CORREL('Returns (Calc)'!$U$3:$U$161,'Returns (Calc)'!$N$3:$N$161),2),"")</f>
        <v/>
      </c>
      <c r="O22" s="141" t="str">
        <f aca="false">IFERROR(ROUND(CORREL('Returns (Calc)'!$U$3:$U$161,'Returns (Calc)'!$O$3:$O$161),2),"")</f>
        <v/>
      </c>
      <c r="P22" s="141" t="str">
        <f aca="false">IFERROR(ROUND(CORREL('Returns (Calc)'!$U$3:$U$161,'Returns (Calc)'!$P$3:$P$161),2),"")</f>
        <v/>
      </c>
      <c r="Q22" s="141" t="str">
        <f aca="false">IFERROR(ROUND(CORREL('Returns (Calc)'!$U$3:$U$161,'Returns (Calc)'!$Q$3:$Q$161),2),"")</f>
        <v/>
      </c>
      <c r="R22" s="141" t="str">
        <f aca="false">IFERROR(ROUND(CORREL('Returns (Calc)'!$U$3:$U$161,'Returns (Calc)'!$R$3:$R$161),2),"")</f>
        <v/>
      </c>
      <c r="S22" s="141" t="str">
        <f aca="false">IFERROR(ROUND(CORREL('Returns (Calc)'!$U$3:$U$161,'Returns (Calc)'!$S$3:$S$161),2),"")</f>
        <v/>
      </c>
      <c r="T22" s="141" t="str">
        <f aca="false">IFERROR(ROUND(CORREL('Returns (Calc)'!$U$3:$U$161,'Returns (Calc)'!$T$3:$T$161),2),"")</f>
        <v/>
      </c>
      <c r="U22" s="141" t="n">
        <v>1</v>
      </c>
      <c r="V22" s="142" t="n">
        <f aca="false">COUNTIF(B22:U22,"&gt;0.7")-1</f>
        <v>0</v>
      </c>
    </row>
    <row r="24" customFormat="false" ht="15" hidden="false" customHeight="true" outlineLevel="0" collapsed="false">
      <c r="A24" s="143" t="s">
        <v>392</v>
      </c>
      <c r="B24" s="144"/>
      <c r="I24" s="145" t="n">
        <f aca="false">COUNTIF(V3:V22,"&gt;1")</f>
        <v>4</v>
      </c>
    </row>
    <row r="25" customFormat="false" ht="15" hidden="false" customHeight="true" outlineLevel="0" collapsed="false">
      <c r="A25" s="143" t="s">
        <v>393</v>
      </c>
      <c r="B25" s="120"/>
      <c r="I25" s="146" t="str">
        <f aca="false">IF(B24&gt;0,"REVIEW REQUIRED","OK")</f>
        <v>OK</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23">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47" t="s">
        <v>394</v>
      </c>
      <c r="B1" s="147"/>
      <c r="C1" s="147"/>
      <c r="D1" s="147"/>
      <c r="E1" s="147"/>
      <c r="F1" s="147"/>
      <c r="G1" s="147"/>
      <c r="H1" s="147"/>
    </row>
    <row r="2" customFormat="false" ht="27.75" hidden="false" customHeight="true" outlineLevel="0" collapsed="false">
      <c r="A2" s="67" t="s">
        <v>395</v>
      </c>
      <c r="B2" s="67" t="s">
        <v>396</v>
      </c>
      <c r="C2" s="67" t="s">
        <v>397</v>
      </c>
      <c r="D2" s="67" t="s">
        <v>398</v>
      </c>
      <c r="E2" s="67" t="s">
        <v>399</v>
      </c>
      <c r="F2" s="67" t="s">
        <v>400</v>
      </c>
      <c r="G2" s="67" t="s">
        <v>401</v>
      </c>
      <c r="H2" s="67" t="s">
        <v>178</v>
      </c>
    </row>
    <row r="3" customFormat="false" ht="15" hidden="false" customHeight="true" outlineLevel="0" collapsed="false">
      <c r="A3" s="73" t="n">
        <v>46245</v>
      </c>
      <c r="B3" s="130" t="n">
        <v>700739.19</v>
      </c>
      <c r="C3" s="148" t="n">
        <f aca="false">IF(B3="","",B3)</f>
        <v>700739.19</v>
      </c>
      <c r="D3" s="72" t="n">
        <f aca="false">IF(OR(B3="",C3=""),"",B3/C3-1)</f>
        <v>0</v>
      </c>
      <c r="E3" s="76" t="str">
        <f aca="false">IF(D3="","",IF(D3&gt;=-0.1,"Normal",IF(D3&gt;=-0.2,"Elevated",IF(D3&gt;=-0.3,"Severe","Critical"))))</f>
        <v>Normal</v>
      </c>
      <c r="F3" s="98" t="str">
        <f aca="false">IF(E3="","",IF(E3="Normal","5-15%",IF(E3="Elevated","15%",IF(E3="Severe","20%","25%"))))</f>
        <v>5-15%</v>
      </c>
      <c r="G3" s="98" t="str">
        <f aca="false">IF(E3="","",IF(E3="Normal","Standard (score &gt;=65)",IF(E3="Elevated","Restricted (score &gt;=80 only)","Suspended")))</f>
        <v>Standard (score &gt;=65)</v>
      </c>
      <c r="H3" s="69"/>
    </row>
    <row r="4" customFormat="false" ht="15" hidden="false" customHeight="true" outlineLevel="0" collapsed="false">
      <c r="A4" s="73"/>
      <c r="B4" s="130"/>
      <c r="C4" s="148" t="str">
        <f aca="false">IF(B4="","",MAX(C3,B4))</f>
        <v/>
      </c>
      <c r="D4" s="72" t="str">
        <f aca="false">IF(OR(B4="",C4=""),"",B4/C4-1)</f>
        <v/>
      </c>
      <c r="E4" s="76" t="str">
        <f aca="false">IF(D4="","",IF(D4&gt;=-0.1,"Normal",IF(D4&gt;=-0.2,"Elevated",IF(D4&gt;=-0.3,"Severe","Critical"))))</f>
        <v/>
      </c>
      <c r="F4" s="98" t="str">
        <f aca="false">IF(E4="","",IF(E4="Normal","5-15%",IF(E4="Elevated","15%",IF(E4="Severe","20%","25%"))))</f>
        <v/>
      </c>
      <c r="G4" s="98" t="str">
        <f aca="false">IF(E4="","",IF(E4="Normal","Standard (score &gt;=65)",IF(E4="Elevated","Restricted (score &gt;=80 only)","Suspended")))</f>
        <v/>
      </c>
      <c r="H4" s="69"/>
    </row>
    <row r="5" customFormat="false" ht="15" hidden="false" customHeight="true" outlineLevel="0" collapsed="false">
      <c r="A5" s="73"/>
      <c r="B5" s="130"/>
      <c r="C5" s="148" t="str">
        <f aca="false">IF(B5="","",MAX(C4,B5))</f>
        <v/>
      </c>
      <c r="D5" s="72" t="str">
        <f aca="false">IF(OR(B5="",C5=""),"",B5/C5-1)</f>
        <v/>
      </c>
      <c r="E5" s="76" t="str">
        <f aca="false">IF(D5="","",IF(D5&gt;=-0.1,"Normal",IF(D5&gt;=-0.2,"Elevated",IF(D5&gt;=-0.3,"Severe","Critical"))))</f>
        <v/>
      </c>
      <c r="F5" s="98" t="str">
        <f aca="false">IF(E5="","",IF(E5="Normal","5-15%",IF(E5="Elevated","15%",IF(E5="Severe","20%","25%"))))</f>
        <v/>
      </c>
      <c r="G5" s="98" t="str">
        <f aca="false">IF(E5="","",IF(E5="Normal","Standard (score &gt;=65)",IF(E5="Elevated","Restricted (score &gt;=80 only)","Suspended")))</f>
        <v/>
      </c>
      <c r="H5" s="69"/>
    </row>
    <row r="6" customFormat="false" ht="15" hidden="false" customHeight="true" outlineLevel="0" collapsed="false">
      <c r="A6" s="73"/>
      <c r="B6" s="130"/>
      <c r="C6" s="148" t="str">
        <f aca="false">IF(B6="","",MAX(C5,B6))</f>
        <v/>
      </c>
      <c r="D6" s="72" t="str">
        <f aca="false">IF(OR(B6="",C6=""),"",B6/C6-1)</f>
        <v/>
      </c>
      <c r="E6" s="76" t="str">
        <f aca="false">IF(D6="","",IF(D6&gt;=-0.1,"Normal",IF(D6&gt;=-0.2,"Elevated",IF(D6&gt;=-0.3,"Severe","Critical"))))</f>
        <v/>
      </c>
      <c r="F6" s="98" t="str">
        <f aca="false">IF(E6="","",IF(E6="Normal","5-15%",IF(E6="Elevated","15%",IF(E6="Severe","20%","25%"))))</f>
        <v/>
      </c>
      <c r="G6" s="98" t="str">
        <f aca="false">IF(E6="","",IF(E6="Normal","Standard (score &gt;=65)",IF(E6="Elevated","Restricted (score &gt;=80 only)","Suspended")))</f>
        <v/>
      </c>
      <c r="H6" s="69"/>
    </row>
    <row r="7" customFormat="false" ht="15" hidden="false" customHeight="true" outlineLevel="0" collapsed="false">
      <c r="A7" s="73"/>
      <c r="B7" s="130"/>
      <c r="C7" s="148" t="str">
        <f aca="false">IF(B7="","",MAX(C6,B7))</f>
        <v/>
      </c>
      <c r="D7" s="72" t="str">
        <f aca="false">IF(OR(B7="",C7=""),"",B7/C7-1)</f>
        <v/>
      </c>
      <c r="E7" s="76" t="str">
        <f aca="false">IF(D7="","",IF(D7&gt;=-0.1,"Normal",IF(D7&gt;=-0.2,"Elevated",IF(D7&gt;=-0.3,"Severe","Critical"))))</f>
        <v/>
      </c>
      <c r="F7" s="98" t="str">
        <f aca="false">IF(E7="","",IF(E7="Normal","5-15%",IF(E7="Elevated","15%",IF(E7="Severe","20%","25%"))))</f>
        <v/>
      </c>
      <c r="G7" s="98" t="str">
        <f aca="false">IF(E7="","",IF(E7="Normal","Standard (score &gt;=65)",IF(E7="Elevated","Restricted (score &gt;=80 only)","Suspended")))</f>
        <v/>
      </c>
      <c r="H7" s="69"/>
    </row>
    <row r="8" customFormat="false" ht="15" hidden="false" customHeight="true" outlineLevel="0" collapsed="false">
      <c r="A8" s="73"/>
      <c r="B8" s="130"/>
      <c r="C8" s="148" t="str">
        <f aca="false">IF(B8="","",MAX(C7,B8))</f>
        <v/>
      </c>
      <c r="D8" s="72" t="str">
        <f aca="false">IF(OR(B8="",C8=""),"",B8/C8-1)</f>
        <v/>
      </c>
      <c r="E8" s="76" t="str">
        <f aca="false">IF(D8="","",IF(D8&gt;=-0.1,"Normal",IF(D8&gt;=-0.2,"Elevated",IF(D8&gt;=-0.3,"Severe","Critical"))))</f>
        <v/>
      </c>
      <c r="F8" s="98" t="str">
        <f aca="false">IF(E8="","",IF(E8="Normal","5-15%",IF(E8="Elevated","15%",IF(E8="Severe","20%","25%"))))</f>
        <v/>
      </c>
      <c r="G8" s="98" t="str">
        <f aca="false">IF(E8="","",IF(E8="Normal","Standard (score &gt;=65)",IF(E8="Elevated","Restricted (score &gt;=80 only)","Suspended")))</f>
        <v/>
      </c>
      <c r="H8" s="69"/>
    </row>
    <row r="9" customFormat="false" ht="15" hidden="false" customHeight="true" outlineLevel="0" collapsed="false">
      <c r="A9" s="73"/>
      <c r="B9" s="130"/>
      <c r="C9" s="148" t="str">
        <f aca="false">IF(B9="","",MAX(C8,B9))</f>
        <v/>
      </c>
      <c r="D9" s="72" t="str">
        <f aca="false">IF(OR(B9="",C9=""),"",B9/C9-1)</f>
        <v/>
      </c>
      <c r="E9" s="76" t="str">
        <f aca="false">IF(D9="","",IF(D9&gt;=-0.1,"Normal",IF(D9&gt;=-0.2,"Elevated",IF(D9&gt;=-0.3,"Severe","Critical"))))</f>
        <v/>
      </c>
      <c r="F9" s="98" t="str">
        <f aca="false">IF(E9="","",IF(E9="Normal","5-15%",IF(E9="Elevated","15%",IF(E9="Severe","20%","25%"))))</f>
        <v/>
      </c>
      <c r="G9" s="98" t="str">
        <f aca="false">IF(E9="","",IF(E9="Normal","Standard (score &gt;=65)",IF(E9="Elevated","Restricted (score &gt;=80 only)","Suspended")))</f>
        <v/>
      </c>
      <c r="H9" s="69"/>
    </row>
    <row r="10" customFormat="false" ht="15" hidden="false" customHeight="true" outlineLevel="0" collapsed="false">
      <c r="A10" s="73"/>
      <c r="B10" s="130"/>
      <c r="C10" s="148" t="str">
        <f aca="false">IF(B10="","",MAX(C9,B10))</f>
        <v/>
      </c>
      <c r="D10" s="72" t="str">
        <f aca="false">IF(OR(B10="",C10=""),"",B10/C10-1)</f>
        <v/>
      </c>
      <c r="E10" s="76" t="str">
        <f aca="false">IF(D10="","",IF(D10&gt;=-0.1,"Normal",IF(D10&gt;=-0.2,"Elevated",IF(D10&gt;=-0.3,"Severe","Critical"))))</f>
        <v/>
      </c>
      <c r="F10" s="98" t="str">
        <f aca="false">IF(E10="","",IF(E10="Normal","5-15%",IF(E10="Elevated","15%",IF(E10="Severe","20%","25%"))))</f>
        <v/>
      </c>
      <c r="G10" s="98" t="str">
        <f aca="false">IF(E10="","",IF(E10="Normal","Standard (score &gt;=65)",IF(E10="Elevated","Restricted (score &gt;=80 only)","Suspended")))</f>
        <v/>
      </c>
      <c r="H10" s="69"/>
    </row>
    <row r="11" customFormat="false" ht="15" hidden="false" customHeight="true" outlineLevel="0" collapsed="false">
      <c r="A11" s="73"/>
      <c r="B11" s="130"/>
      <c r="C11" s="148" t="str">
        <f aca="false">IF(B11="","",MAX(C10,B11))</f>
        <v/>
      </c>
      <c r="D11" s="72" t="str">
        <f aca="false">IF(OR(B11="",C11=""),"",B11/C11-1)</f>
        <v/>
      </c>
      <c r="E11" s="76" t="str">
        <f aca="false">IF(D11="","",IF(D11&gt;=-0.1,"Normal",IF(D11&gt;=-0.2,"Elevated",IF(D11&gt;=-0.3,"Severe","Critical"))))</f>
        <v/>
      </c>
      <c r="F11" s="98" t="str">
        <f aca="false">IF(E11="","",IF(E11="Normal","5-15%",IF(E11="Elevated","15%",IF(E11="Severe","20%","25%"))))</f>
        <v/>
      </c>
      <c r="G11" s="98" t="str">
        <f aca="false">IF(E11="","",IF(E11="Normal","Standard (score &gt;=65)",IF(E11="Elevated","Restricted (score &gt;=80 only)","Suspended")))</f>
        <v/>
      </c>
      <c r="H11" s="69"/>
    </row>
    <row r="12" customFormat="false" ht="15" hidden="false" customHeight="true" outlineLevel="0" collapsed="false">
      <c r="A12" s="73"/>
      <c r="B12" s="130"/>
      <c r="C12" s="148" t="str">
        <f aca="false">IF(B12="","",MAX(C11,B12))</f>
        <v/>
      </c>
      <c r="D12" s="72" t="str">
        <f aca="false">IF(OR(B12="",C12=""),"",B12/C12-1)</f>
        <v/>
      </c>
      <c r="E12" s="76" t="str">
        <f aca="false">IF(D12="","",IF(D12&gt;=-0.1,"Normal",IF(D12&gt;=-0.2,"Elevated",IF(D12&gt;=-0.3,"Severe","Critical"))))</f>
        <v/>
      </c>
      <c r="F12" s="98" t="str">
        <f aca="false">IF(E12="","",IF(E12="Normal","5-15%",IF(E12="Elevated","15%",IF(E12="Severe","20%","25%"))))</f>
        <v/>
      </c>
      <c r="G12" s="98" t="str">
        <f aca="false">IF(E12="","",IF(E12="Normal","Standard (score &gt;=65)",IF(E12="Elevated","Restricted (score &gt;=80 only)","Suspended")))</f>
        <v/>
      </c>
      <c r="H12" s="69"/>
    </row>
    <row r="13" customFormat="false" ht="15" hidden="false" customHeight="true" outlineLevel="0" collapsed="false">
      <c r="A13" s="73"/>
      <c r="B13" s="130"/>
      <c r="C13" s="148" t="str">
        <f aca="false">IF(B13="","",MAX(C12,B13))</f>
        <v/>
      </c>
      <c r="D13" s="72" t="str">
        <f aca="false">IF(OR(B13="",C13=""),"",B13/C13-1)</f>
        <v/>
      </c>
      <c r="E13" s="76" t="str">
        <f aca="false">IF(D13="","",IF(D13&gt;=-0.1,"Normal",IF(D13&gt;=-0.2,"Elevated",IF(D13&gt;=-0.3,"Severe","Critical"))))</f>
        <v/>
      </c>
      <c r="F13" s="98" t="str">
        <f aca="false">IF(E13="","",IF(E13="Normal","5-15%",IF(E13="Elevated","15%",IF(E13="Severe","20%","25%"))))</f>
        <v/>
      </c>
      <c r="G13" s="98" t="str">
        <f aca="false">IF(E13="","",IF(E13="Normal","Standard (score &gt;=65)",IF(E13="Elevated","Restricted (score &gt;=80 only)","Suspended")))</f>
        <v/>
      </c>
      <c r="H13" s="69"/>
    </row>
    <row r="14" customFormat="false" ht="15" hidden="false" customHeight="true" outlineLevel="0" collapsed="false">
      <c r="A14" s="73"/>
      <c r="B14" s="130"/>
      <c r="C14" s="148" t="str">
        <f aca="false">IF(B14="","",MAX(C13,B14))</f>
        <v/>
      </c>
      <c r="D14" s="72" t="str">
        <f aca="false">IF(OR(B14="",C14=""),"",B14/C14-1)</f>
        <v/>
      </c>
      <c r="E14" s="76" t="str">
        <f aca="false">IF(D14="","",IF(D14&gt;=-0.1,"Normal",IF(D14&gt;=-0.2,"Elevated",IF(D14&gt;=-0.3,"Severe","Critical"))))</f>
        <v/>
      </c>
      <c r="F14" s="98" t="str">
        <f aca="false">IF(E14="","",IF(E14="Normal","5-15%",IF(E14="Elevated","15%",IF(E14="Severe","20%","25%"))))</f>
        <v/>
      </c>
      <c r="G14" s="98" t="str">
        <f aca="false">IF(E14="","",IF(E14="Normal","Standard (score &gt;=65)",IF(E14="Elevated","Restricted (score &gt;=80 only)","Suspended")))</f>
        <v/>
      </c>
      <c r="H14" s="69"/>
    </row>
    <row r="15" customFormat="false" ht="15" hidden="false" customHeight="true" outlineLevel="0" collapsed="false">
      <c r="A15" s="73"/>
      <c r="B15" s="130"/>
      <c r="C15" s="148" t="str">
        <f aca="false">IF(B15="","",MAX(C14,B15))</f>
        <v/>
      </c>
      <c r="D15" s="72" t="str">
        <f aca="false">IF(OR(B15="",C15=""),"",B15/C15-1)</f>
        <v/>
      </c>
      <c r="E15" s="76" t="str">
        <f aca="false">IF(D15="","",IF(D15&gt;=-0.1,"Normal",IF(D15&gt;=-0.2,"Elevated",IF(D15&gt;=-0.3,"Severe","Critical"))))</f>
        <v/>
      </c>
      <c r="F15" s="98" t="str">
        <f aca="false">IF(E15="","",IF(E15="Normal","5-15%",IF(E15="Elevated","15%",IF(E15="Severe","20%","25%"))))</f>
        <v/>
      </c>
      <c r="G15" s="98" t="str">
        <f aca="false">IF(E15="","",IF(E15="Normal","Standard (score &gt;=65)",IF(E15="Elevated","Restricted (score &gt;=80 only)","Suspended")))</f>
        <v/>
      </c>
      <c r="H15" s="69"/>
    </row>
    <row r="16" customFormat="false" ht="15" hidden="false" customHeight="true" outlineLevel="0" collapsed="false">
      <c r="A16" s="73"/>
      <c r="B16" s="130"/>
      <c r="C16" s="148" t="str">
        <f aca="false">IF(B16="","",MAX(C15,B16))</f>
        <v/>
      </c>
      <c r="D16" s="72" t="str">
        <f aca="false">IF(OR(B16="",C16=""),"",B16/C16-1)</f>
        <v/>
      </c>
      <c r="E16" s="76" t="str">
        <f aca="false">IF(D16="","",IF(D16&gt;=-0.1,"Normal",IF(D16&gt;=-0.2,"Elevated",IF(D16&gt;=-0.3,"Severe","Critical"))))</f>
        <v/>
      </c>
      <c r="F16" s="98" t="str">
        <f aca="false">IF(E16="","",IF(E16="Normal","5-15%",IF(E16="Elevated","15%",IF(E16="Severe","20%","25%"))))</f>
        <v/>
      </c>
      <c r="G16" s="98" t="str">
        <f aca="false">IF(E16="","",IF(E16="Normal","Standard (score &gt;=65)",IF(E16="Elevated","Restricted (score &gt;=80 only)","Suspended")))</f>
        <v/>
      </c>
      <c r="H16" s="69"/>
    </row>
    <row r="17" customFormat="false" ht="15" hidden="false" customHeight="true" outlineLevel="0" collapsed="false">
      <c r="A17" s="73"/>
      <c r="B17" s="130"/>
      <c r="C17" s="148" t="str">
        <f aca="false">IF(B17="","",MAX(C16,B17))</f>
        <v/>
      </c>
      <c r="D17" s="72" t="str">
        <f aca="false">IF(OR(B17="",C17=""),"",B17/C17-1)</f>
        <v/>
      </c>
      <c r="E17" s="76" t="str">
        <f aca="false">IF(D17="","",IF(D17&gt;=-0.1,"Normal",IF(D17&gt;=-0.2,"Elevated",IF(D17&gt;=-0.3,"Severe","Critical"))))</f>
        <v/>
      </c>
      <c r="F17" s="98" t="str">
        <f aca="false">IF(E17="","",IF(E17="Normal","5-15%",IF(E17="Elevated","15%",IF(E17="Severe","20%","25%"))))</f>
        <v/>
      </c>
      <c r="G17" s="98" t="str">
        <f aca="false">IF(E17="","",IF(E17="Normal","Standard (score &gt;=65)",IF(E17="Elevated","Restricted (score &gt;=80 only)","Suspended")))</f>
        <v/>
      </c>
      <c r="H17" s="69"/>
    </row>
    <row r="18" customFormat="false" ht="15" hidden="false" customHeight="true" outlineLevel="0" collapsed="false">
      <c r="A18" s="73"/>
      <c r="B18" s="130"/>
      <c r="C18" s="148" t="str">
        <f aca="false">IF(B18="","",MAX(C17,B18))</f>
        <v/>
      </c>
      <c r="D18" s="72" t="str">
        <f aca="false">IF(OR(B18="",C18=""),"",B18/C18-1)</f>
        <v/>
      </c>
      <c r="E18" s="76" t="str">
        <f aca="false">IF(D18="","",IF(D18&gt;=-0.1,"Normal",IF(D18&gt;=-0.2,"Elevated",IF(D18&gt;=-0.3,"Severe","Critical"))))</f>
        <v/>
      </c>
      <c r="F18" s="98" t="str">
        <f aca="false">IF(E18="","",IF(E18="Normal","5-15%",IF(E18="Elevated","15%",IF(E18="Severe","20%","25%"))))</f>
        <v/>
      </c>
      <c r="G18" s="98" t="str">
        <f aca="false">IF(E18="","",IF(E18="Normal","Standard (score &gt;=65)",IF(E18="Elevated","Restricted (score &gt;=80 only)","Suspended")))</f>
        <v/>
      </c>
      <c r="H18" s="69"/>
    </row>
    <row r="19" customFormat="false" ht="15" hidden="false" customHeight="true" outlineLevel="0" collapsed="false">
      <c r="A19" s="73"/>
      <c r="B19" s="130"/>
      <c r="C19" s="148" t="str">
        <f aca="false">IF(B19="","",MAX(C18,B19))</f>
        <v/>
      </c>
      <c r="D19" s="72" t="str">
        <f aca="false">IF(OR(B19="",C19=""),"",B19/C19-1)</f>
        <v/>
      </c>
      <c r="E19" s="76" t="str">
        <f aca="false">IF(D19="","",IF(D19&gt;=-0.1,"Normal",IF(D19&gt;=-0.2,"Elevated",IF(D19&gt;=-0.3,"Severe","Critical"))))</f>
        <v/>
      </c>
      <c r="F19" s="98" t="str">
        <f aca="false">IF(E19="","",IF(E19="Normal","5-15%",IF(E19="Elevated","15%",IF(E19="Severe","20%","25%"))))</f>
        <v/>
      </c>
      <c r="G19" s="98" t="str">
        <f aca="false">IF(E19="","",IF(E19="Normal","Standard (score &gt;=65)",IF(E19="Elevated","Restricted (score &gt;=80 only)","Suspended")))</f>
        <v/>
      </c>
      <c r="H19" s="69"/>
    </row>
    <row r="20" customFormat="false" ht="15" hidden="false" customHeight="true" outlineLevel="0" collapsed="false">
      <c r="A20" s="73"/>
      <c r="B20" s="130"/>
      <c r="C20" s="148" t="str">
        <f aca="false">IF(B20="","",MAX(C19,B20))</f>
        <v/>
      </c>
      <c r="D20" s="72" t="str">
        <f aca="false">IF(OR(B20="",C20=""),"",B20/C20-1)</f>
        <v/>
      </c>
      <c r="E20" s="76" t="str">
        <f aca="false">IF(D20="","",IF(D20&gt;=-0.1,"Normal",IF(D20&gt;=-0.2,"Elevated",IF(D20&gt;=-0.3,"Severe","Critical"))))</f>
        <v/>
      </c>
      <c r="F20" s="98" t="str">
        <f aca="false">IF(E20="","",IF(E20="Normal","5-15%",IF(E20="Elevated","15%",IF(E20="Severe","20%","25%"))))</f>
        <v/>
      </c>
      <c r="G20" s="98" t="str">
        <f aca="false">IF(E20="","",IF(E20="Normal","Standard (score &gt;=65)",IF(E20="Elevated","Restricted (score &gt;=80 only)","Suspended")))</f>
        <v/>
      </c>
      <c r="H20" s="69"/>
    </row>
    <row r="21" customFormat="false" ht="15" hidden="false" customHeight="true" outlineLevel="0" collapsed="false">
      <c r="A21" s="73"/>
      <c r="B21" s="130"/>
      <c r="C21" s="148" t="str">
        <f aca="false">IF(B21="","",MAX(C20,B21))</f>
        <v/>
      </c>
      <c r="D21" s="72" t="str">
        <f aca="false">IF(OR(B21="",C21=""),"",B21/C21-1)</f>
        <v/>
      </c>
      <c r="E21" s="76" t="str">
        <f aca="false">IF(D21="","",IF(D21&gt;=-0.1,"Normal",IF(D21&gt;=-0.2,"Elevated",IF(D21&gt;=-0.3,"Severe","Critical"))))</f>
        <v/>
      </c>
      <c r="F21" s="98" t="str">
        <f aca="false">IF(E21="","",IF(E21="Normal","5-15%",IF(E21="Elevated","15%",IF(E21="Severe","20%","25%"))))</f>
        <v/>
      </c>
      <c r="G21" s="98" t="str">
        <f aca="false">IF(E21="","",IF(E21="Normal","Standard (score &gt;=65)",IF(E21="Elevated","Restricted (score &gt;=80 only)","Suspended")))</f>
        <v/>
      </c>
      <c r="H21" s="69"/>
    </row>
    <row r="22" customFormat="false" ht="15" hidden="false" customHeight="true" outlineLevel="0" collapsed="false">
      <c r="A22" s="73"/>
      <c r="B22" s="130"/>
      <c r="C22" s="148" t="str">
        <f aca="false">IF(B22="","",MAX(C21,B22))</f>
        <v/>
      </c>
      <c r="D22" s="72" t="str">
        <f aca="false">IF(OR(B22="",C22=""),"",B22/C22-1)</f>
        <v/>
      </c>
      <c r="E22" s="76" t="str">
        <f aca="false">IF(D22="","",IF(D22&gt;=-0.1,"Normal",IF(D22&gt;=-0.2,"Elevated",IF(D22&gt;=-0.3,"Severe","Critical"))))</f>
        <v/>
      </c>
      <c r="F22" s="98" t="str">
        <f aca="false">IF(E22="","",IF(E22="Normal","5-15%",IF(E22="Elevated","15%",IF(E22="Severe","20%","25%"))))</f>
        <v/>
      </c>
      <c r="G22" s="98" t="str">
        <f aca="false">IF(E22="","",IF(E22="Normal","Standard (score &gt;=65)",IF(E22="Elevated","Restricted (score &gt;=80 only)","Suspended")))</f>
        <v/>
      </c>
      <c r="H22" s="69"/>
    </row>
    <row r="23" customFormat="false" ht="15" hidden="false" customHeight="true" outlineLevel="0" collapsed="false">
      <c r="A23" s="73"/>
      <c r="B23" s="130"/>
      <c r="C23" s="148" t="str">
        <f aca="false">IF(B23="","",MAX(C22,B23))</f>
        <v/>
      </c>
      <c r="D23" s="72" t="str">
        <f aca="false">IF(OR(B23="",C23=""),"",B23/C23-1)</f>
        <v/>
      </c>
      <c r="E23" s="76" t="str">
        <f aca="false">IF(D23="","",IF(D23&gt;=-0.1,"Normal",IF(D23&gt;=-0.2,"Elevated",IF(D23&gt;=-0.3,"Severe","Critical"))))</f>
        <v/>
      </c>
      <c r="F23" s="98" t="str">
        <f aca="false">IF(E23="","",IF(E23="Normal","5-15%",IF(E23="Elevated","15%",IF(E23="Severe","20%","25%"))))</f>
        <v/>
      </c>
      <c r="G23" s="98" t="str">
        <f aca="false">IF(E23="","",IF(E23="Normal","Standard (score &gt;=65)",IF(E23="Elevated","Restricted (score &gt;=80 only)","Suspended")))</f>
        <v/>
      </c>
      <c r="H23" s="69"/>
    </row>
    <row r="24" customFormat="false" ht="15" hidden="false" customHeight="true" outlineLevel="0" collapsed="false">
      <c r="A24" s="73"/>
      <c r="B24" s="130"/>
      <c r="C24" s="148" t="str">
        <f aca="false">IF(B24="","",MAX(C23,B24))</f>
        <v/>
      </c>
      <c r="D24" s="72" t="str">
        <f aca="false">IF(OR(B24="",C24=""),"",B24/C24-1)</f>
        <v/>
      </c>
      <c r="E24" s="76" t="str">
        <f aca="false">IF(D24="","",IF(D24&gt;=-0.1,"Normal",IF(D24&gt;=-0.2,"Elevated",IF(D24&gt;=-0.3,"Severe","Critical"))))</f>
        <v/>
      </c>
      <c r="F24" s="98" t="str">
        <f aca="false">IF(E24="","",IF(E24="Normal","5-15%",IF(E24="Elevated","15%",IF(E24="Severe","20%","25%"))))</f>
        <v/>
      </c>
      <c r="G24" s="98" t="str">
        <f aca="false">IF(E24="","",IF(E24="Normal","Standard (score &gt;=65)",IF(E24="Elevated","Restricted (score &gt;=80 only)","Suspended")))</f>
        <v/>
      </c>
      <c r="H24" s="69"/>
    </row>
    <row r="25" customFormat="false" ht="15" hidden="false" customHeight="true" outlineLevel="0" collapsed="false">
      <c r="A25" s="73"/>
      <c r="B25" s="130"/>
      <c r="C25" s="148" t="str">
        <f aca="false">IF(B25="","",MAX(C24,B25))</f>
        <v/>
      </c>
      <c r="D25" s="72" t="str">
        <f aca="false">IF(OR(B25="",C25=""),"",B25/C25-1)</f>
        <v/>
      </c>
      <c r="E25" s="76" t="str">
        <f aca="false">IF(D25="","",IF(D25&gt;=-0.1,"Normal",IF(D25&gt;=-0.2,"Elevated",IF(D25&gt;=-0.3,"Severe","Critical"))))</f>
        <v/>
      </c>
      <c r="F25" s="98" t="str">
        <f aca="false">IF(E25="","",IF(E25="Normal","5-15%",IF(E25="Elevated","15%",IF(E25="Severe","20%","25%"))))</f>
        <v/>
      </c>
      <c r="G25" s="98" t="str">
        <f aca="false">IF(E25="","",IF(E25="Normal","Standard (score &gt;=65)",IF(E25="Elevated","Restricted (score &gt;=80 only)","Suspended")))</f>
        <v/>
      </c>
      <c r="H25" s="69"/>
    </row>
    <row r="26" customFormat="false" ht="15" hidden="false" customHeight="true" outlineLevel="0" collapsed="false">
      <c r="A26" s="73"/>
      <c r="B26" s="130"/>
      <c r="C26" s="148" t="str">
        <f aca="false">IF(B26="","",MAX(C25,B26))</f>
        <v/>
      </c>
      <c r="D26" s="72" t="str">
        <f aca="false">IF(OR(B26="",C26=""),"",B26/C26-1)</f>
        <v/>
      </c>
      <c r="E26" s="76" t="str">
        <f aca="false">IF(D26="","",IF(D26&gt;=-0.1,"Normal",IF(D26&gt;=-0.2,"Elevated",IF(D26&gt;=-0.3,"Severe","Critical"))))</f>
        <v/>
      </c>
      <c r="F26" s="98" t="str">
        <f aca="false">IF(E26="","",IF(E26="Normal","5-15%",IF(E26="Elevated","15%",IF(E26="Severe","20%","25%"))))</f>
        <v/>
      </c>
      <c r="G26" s="98" t="str">
        <f aca="false">IF(E26="","",IF(E26="Normal","Standard (score &gt;=65)",IF(E26="Elevated","Restricted (score &gt;=80 only)","Suspended")))</f>
        <v/>
      </c>
      <c r="H26" s="69"/>
    </row>
    <row r="27" customFormat="false" ht="15" hidden="false" customHeight="true" outlineLevel="0" collapsed="false">
      <c r="A27" s="73"/>
      <c r="B27" s="130"/>
      <c r="C27" s="148" t="str">
        <f aca="false">IF(B27="","",MAX(C26,B27))</f>
        <v/>
      </c>
      <c r="D27" s="72" t="str">
        <f aca="false">IF(OR(B27="",C27=""),"",B27/C27-1)</f>
        <v/>
      </c>
      <c r="E27" s="76" t="str">
        <f aca="false">IF(D27="","",IF(D27&gt;=-0.1,"Normal",IF(D27&gt;=-0.2,"Elevated",IF(D27&gt;=-0.3,"Severe","Critical"))))</f>
        <v/>
      </c>
      <c r="F27" s="98" t="str">
        <f aca="false">IF(E27="","",IF(E27="Normal","5-15%",IF(E27="Elevated","15%",IF(E27="Severe","20%","25%"))))</f>
        <v/>
      </c>
      <c r="G27" s="98" t="str">
        <f aca="false">IF(E27="","",IF(E27="Normal","Standard (score &gt;=65)",IF(E27="Elevated","Restricted (score &gt;=80 only)","Suspended")))</f>
        <v/>
      </c>
      <c r="H27" s="69"/>
    </row>
    <row r="28" customFormat="false" ht="15" hidden="false" customHeight="true" outlineLevel="0" collapsed="false">
      <c r="A28" s="73"/>
      <c r="B28" s="130"/>
      <c r="C28" s="148" t="str">
        <f aca="false">IF(B28="","",MAX(C27,B28))</f>
        <v/>
      </c>
      <c r="D28" s="72" t="str">
        <f aca="false">IF(OR(B28="",C28=""),"",B28/C28-1)</f>
        <v/>
      </c>
      <c r="E28" s="76" t="str">
        <f aca="false">IF(D28="","",IF(D28&gt;=-0.1,"Normal",IF(D28&gt;=-0.2,"Elevated",IF(D28&gt;=-0.3,"Severe","Critical"))))</f>
        <v/>
      </c>
      <c r="F28" s="98" t="str">
        <f aca="false">IF(E28="","",IF(E28="Normal","5-15%",IF(E28="Elevated","15%",IF(E28="Severe","20%","25%"))))</f>
        <v/>
      </c>
      <c r="G28" s="98" t="str">
        <f aca="false">IF(E28="","",IF(E28="Normal","Standard (score &gt;=65)",IF(E28="Elevated","Restricted (score &gt;=80 only)","Suspended")))</f>
        <v/>
      </c>
      <c r="H28" s="69"/>
    </row>
    <row r="29" customFormat="false" ht="15" hidden="false" customHeight="true" outlineLevel="0" collapsed="false">
      <c r="A29" s="73"/>
      <c r="B29" s="130"/>
      <c r="C29" s="148" t="str">
        <f aca="false">IF(B29="","",MAX(C28,B29))</f>
        <v/>
      </c>
      <c r="D29" s="72" t="str">
        <f aca="false">IF(OR(B29="",C29=""),"",B29/C29-1)</f>
        <v/>
      </c>
      <c r="E29" s="76" t="str">
        <f aca="false">IF(D29="","",IF(D29&gt;=-0.1,"Normal",IF(D29&gt;=-0.2,"Elevated",IF(D29&gt;=-0.3,"Severe","Critical"))))</f>
        <v/>
      </c>
      <c r="F29" s="98" t="str">
        <f aca="false">IF(E29="","",IF(E29="Normal","5-15%",IF(E29="Elevated","15%",IF(E29="Severe","20%","25%"))))</f>
        <v/>
      </c>
      <c r="G29" s="98" t="str">
        <f aca="false">IF(E29="","",IF(E29="Normal","Standard (score &gt;=65)",IF(E29="Elevated","Restricted (score &gt;=80 only)","Suspended")))</f>
        <v/>
      </c>
      <c r="H29" s="69"/>
    </row>
    <row r="30" customFormat="false" ht="15" hidden="false" customHeight="true" outlineLevel="0" collapsed="false">
      <c r="A30" s="73"/>
      <c r="B30" s="130"/>
      <c r="C30" s="148" t="str">
        <f aca="false">IF(B30="","",MAX(C29,B30))</f>
        <v/>
      </c>
      <c r="D30" s="72" t="str">
        <f aca="false">IF(OR(B30="",C30=""),"",B30/C30-1)</f>
        <v/>
      </c>
      <c r="E30" s="76" t="str">
        <f aca="false">IF(D30="","",IF(D30&gt;=-0.1,"Normal",IF(D30&gt;=-0.2,"Elevated",IF(D30&gt;=-0.3,"Severe","Critical"))))</f>
        <v/>
      </c>
      <c r="F30" s="98" t="str">
        <f aca="false">IF(E30="","",IF(E30="Normal","5-15%",IF(E30="Elevated","15%",IF(E30="Severe","20%","25%"))))</f>
        <v/>
      </c>
      <c r="G30" s="98" t="str">
        <f aca="false">IF(E30="","",IF(E30="Normal","Standard (score &gt;=65)",IF(E30="Elevated","Restricted (score &gt;=80 only)","Suspended")))</f>
        <v/>
      </c>
      <c r="H30" s="69"/>
    </row>
    <row r="31" customFormat="false" ht="15" hidden="false" customHeight="true" outlineLevel="0" collapsed="false">
      <c r="A31" s="73"/>
      <c r="B31" s="130"/>
      <c r="C31" s="148" t="str">
        <f aca="false">IF(B31="","",MAX(C30,B31))</f>
        <v/>
      </c>
      <c r="D31" s="72" t="str">
        <f aca="false">IF(OR(B31="",C31=""),"",B31/C31-1)</f>
        <v/>
      </c>
      <c r="E31" s="76" t="str">
        <f aca="false">IF(D31="","",IF(D31&gt;=-0.1,"Normal",IF(D31&gt;=-0.2,"Elevated",IF(D31&gt;=-0.3,"Severe","Critical"))))</f>
        <v/>
      </c>
      <c r="F31" s="98" t="str">
        <f aca="false">IF(E31="","",IF(E31="Normal","5-15%",IF(E31="Elevated","15%",IF(E31="Severe","20%","25%"))))</f>
        <v/>
      </c>
      <c r="G31" s="98" t="str">
        <f aca="false">IF(E31="","",IF(E31="Normal","Standard (score &gt;=65)",IF(E31="Elevated","Restricted (score &gt;=80 only)","Suspended")))</f>
        <v/>
      </c>
      <c r="H31" s="69"/>
    </row>
    <row r="32" customFormat="false" ht="15" hidden="false" customHeight="true" outlineLevel="0" collapsed="false">
      <c r="A32" s="73"/>
      <c r="B32" s="130"/>
      <c r="C32" s="148" t="str">
        <f aca="false">IF(B32="","",MAX(C31,B32))</f>
        <v/>
      </c>
      <c r="D32" s="72" t="str">
        <f aca="false">IF(OR(B32="",C32=""),"",B32/C32-1)</f>
        <v/>
      </c>
      <c r="E32" s="76" t="str">
        <f aca="false">IF(D32="","",IF(D32&gt;=-0.1,"Normal",IF(D32&gt;=-0.2,"Elevated",IF(D32&gt;=-0.3,"Severe","Critical"))))</f>
        <v/>
      </c>
      <c r="F32" s="98" t="str">
        <f aca="false">IF(E32="","",IF(E32="Normal","5-15%",IF(E32="Elevated","15%",IF(E32="Severe","20%","25%"))))</f>
        <v/>
      </c>
      <c r="G32" s="98" t="str">
        <f aca="false">IF(E32="","",IF(E32="Normal","Standard (score &gt;=65)",IF(E32="Elevated","Restricted (score &gt;=80 only)","Suspended")))</f>
        <v/>
      </c>
      <c r="H32" s="69"/>
    </row>
    <row r="33" customFormat="false" ht="15" hidden="false" customHeight="true" outlineLevel="0" collapsed="false">
      <c r="A33" s="73"/>
      <c r="B33" s="130"/>
      <c r="C33" s="148" t="str">
        <f aca="false">IF(B33="","",MAX(C32,B33))</f>
        <v/>
      </c>
      <c r="D33" s="72" t="str">
        <f aca="false">IF(OR(B33="",C33=""),"",B33/C33-1)</f>
        <v/>
      </c>
      <c r="E33" s="76" t="str">
        <f aca="false">IF(D33="","",IF(D33&gt;=-0.1,"Normal",IF(D33&gt;=-0.2,"Elevated",IF(D33&gt;=-0.3,"Severe","Critical"))))</f>
        <v/>
      </c>
      <c r="F33" s="98" t="str">
        <f aca="false">IF(E33="","",IF(E33="Normal","5-15%",IF(E33="Elevated","15%",IF(E33="Severe","20%","25%"))))</f>
        <v/>
      </c>
      <c r="G33" s="98" t="str">
        <f aca="false">IF(E33="","",IF(E33="Normal","Standard (score &gt;=65)",IF(E33="Elevated","Restricted (score &gt;=80 only)","Suspended")))</f>
        <v/>
      </c>
      <c r="H33" s="69"/>
    </row>
    <row r="34" customFormat="false" ht="15" hidden="false" customHeight="true" outlineLevel="0" collapsed="false">
      <c r="A34" s="73"/>
      <c r="B34" s="130"/>
      <c r="C34" s="148" t="str">
        <f aca="false">IF(B34="","",MAX(C33,B34))</f>
        <v/>
      </c>
      <c r="D34" s="72" t="str">
        <f aca="false">IF(OR(B34="",C34=""),"",B34/C34-1)</f>
        <v/>
      </c>
      <c r="E34" s="76" t="str">
        <f aca="false">IF(D34="","",IF(D34&gt;=-0.1,"Normal",IF(D34&gt;=-0.2,"Elevated",IF(D34&gt;=-0.3,"Severe","Critical"))))</f>
        <v/>
      </c>
      <c r="F34" s="98" t="str">
        <f aca="false">IF(E34="","",IF(E34="Normal","5-15%",IF(E34="Elevated","15%",IF(E34="Severe","20%","25%"))))</f>
        <v/>
      </c>
      <c r="G34" s="98" t="str">
        <f aca="false">IF(E34="","",IF(E34="Normal","Standard (score &gt;=65)",IF(E34="Elevated","Restricted (score &gt;=80 only)","Suspended")))</f>
        <v/>
      </c>
      <c r="H34" s="69"/>
    </row>
    <row r="35" customFormat="false" ht="15" hidden="false" customHeight="true" outlineLevel="0" collapsed="false">
      <c r="A35" s="73"/>
      <c r="B35" s="130"/>
      <c r="C35" s="148" t="str">
        <f aca="false">IF(B35="","",MAX(C34,B35))</f>
        <v/>
      </c>
      <c r="D35" s="72" t="str">
        <f aca="false">IF(OR(B35="",C35=""),"",B35/C35-1)</f>
        <v/>
      </c>
      <c r="E35" s="76" t="str">
        <f aca="false">IF(D35="","",IF(D35&gt;=-0.1,"Normal",IF(D35&gt;=-0.2,"Elevated",IF(D35&gt;=-0.3,"Severe","Critical"))))</f>
        <v/>
      </c>
      <c r="F35" s="98" t="str">
        <f aca="false">IF(E35="","",IF(E35="Normal","5-15%",IF(E35="Elevated","15%",IF(E35="Severe","20%","25%"))))</f>
        <v/>
      </c>
      <c r="G35" s="98" t="str">
        <f aca="false">IF(E35="","",IF(E35="Normal","Standard (score &gt;=65)",IF(E35="Elevated","Restricted (score &gt;=80 only)","Suspended")))</f>
        <v/>
      </c>
      <c r="H35" s="69"/>
    </row>
    <row r="36" customFormat="false" ht="15" hidden="false" customHeight="true" outlineLevel="0" collapsed="false">
      <c r="A36" s="73"/>
      <c r="B36" s="130"/>
      <c r="C36" s="148" t="str">
        <f aca="false">IF(B36="","",MAX(C35,B36))</f>
        <v/>
      </c>
      <c r="D36" s="72" t="str">
        <f aca="false">IF(OR(B36="",C36=""),"",B36/C36-1)</f>
        <v/>
      </c>
      <c r="E36" s="76" t="str">
        <f aca="false">IF(D36="","",IF(D36&gt;=-0.1,"Normal",IF(D36&gt;=-0.2,"Elevated",IF(D36&gt;=-0.3,"Severe","Critical"))))</f>
        <v/>
      </c>
      <c r="F36" s="98" t="str">
        <f aca="false">IF(E36="","",IF(E36="Normal","5-15%",IF(E36="Elevated","15%",IF(E36="Severe","20%","25%"))))</f>
        <v/>
      </c>
      <c r="G36" s="98" t="str">
        <f aca="false">IF(E36="","",IF(E36="Normal","Standard (score &gt;=65)",IF(E36="Elevated","Restricted (score &gt;=80 only)","Suspended")))</f>
        <v/>
      </c>
      <c r="H36" s="69"/>
    </row>
    <row r="37" customFormat="false" ht="15" hidden="false" customHeight="true" outlineLevel="0" collapsed="false">
      <c r="A37" s="73"/>
      <c r="B37" s="130"/>
      <c r="C37" s="148" t="str">
        <f aca="false">IF(B37="","",MAX(C36,B37))</f>
        <v/>
      </c>
      <c r="D37" s="72" t="str">
        <f aca="false">IF(OR(B37="",C37=""),"",B37/C37-1)</f>
        <v/>
      </c>
      <c r="E37" s="76" t="str">
        <f aca="false">IF(D37="","",IF(D37&gt;=-0.1,"Normal",IF(D37&gt;=-0.2,"Elevated",IF(D37&gt;=-0.3,"Severe","Critical"))))</f>
        <v/>
      </c>
      <c r="F37" s="98" t="str">
        <f aca="false">IF(E37="","",IF(E37="Normal","5-15%",IF(E37="Elevated","15%",IF(E37="Severe","20%","25%"))))</f>
        <v/>
      </c>
      <c r="G37" s="98" t="str">
        <f aca="false">IF(E37="","",IF(E37="Normal","Standard (score &gt;=65)",IF(E37="Elevated","Restricted (score &gt;=80 only)","Suspended")))</f>
        <v/>
      </c>
      <c r="H37" s="69"/>
    </row>
    <row r="38" customFormat="false" ht="15" hidden="false" customHeight="true" outlineLevel="0" collapsed="false">
      <c r="A38" s="73"/>
      <c r="B38" s="130"/>
      <c r="C38" s="148" t="str">
        <f aca="false">IF(B38="","",MAX(C37,B38))</f>
        <v/>
      </c>
      <c r="D38" s="72" t="str">
        <f aca="false">IF(OR(B38="",C38=""),"",B38/C38-1)</f>
        <v/>
      </c>
      <c r="E38" s="76" t="str">
        <f aca="false">IF(D38="","",IF(D38&gt;=-0.1,"Normal",IF(D38&gt;=-0.2,"Elevated",IF(D38&gt;=-0.3,"Severe","Critical"))))</f>
        <v/>
      </c>
      <c r="F38" s="98" t="str">
        <f aca="false">IF(E38="","",IF(E38="Normal","5-15%",IF(E38="Elevated","15%",IF(E38="Severe","20%","25%"))))</f>
        <v/>
      </c>
      <c r="G38" s="98" t="str">
        <f aca="false">IF(E38="","",IF(E38="Normal","Standard (score &gt;=65)",IF(E38="Elevated","Restricted (score &gt;=80 only)","Suspended")))</f>
        <v/>
      </c>
      <c r="H38" s="69"/>
    </row>
    <row r="39" customFormat="false" ht="15" hidden="false" customHeight="true" outlineLevel="0" collapsed="false">
      <c r="A39" s="73"/>
      <c r="B39" s="130"/>
      <c r="C39" s="148" t="str">
        <f aca="false">IF(B39="","",MAX(C38,B39))</f>
        <v/>
      </c>
      <c r="D39" s="72" t="str">
        <f aca="false">IF(OR(B39="",C39=""),"",B39/C39-1)</f>
        <v/>
      </c>
      <c r="E39" s="76" t="str">
        <f aca="false">IF(D39="","",IF(D39&gt;=-0.1,"Normal",IF(D39&gt;=-0.2,"Elevated",IF(D39&gt;=-0.3,"Severe","Critical"))))</f>
        <v/>
      </c>
      <c r="F39" s="98" t="str">
        <f aca="false">IF(E39="","",IF(E39="Normal","5-15%",IF(E39="Elevated","15%",IF(E39="Severe","20%","25%"))))</f>
        <v/>
      </c>
      <c r="G39" s="98" t="str">
        <f aca="false">IF(E39="","",IF(E39="Normal","Standard (score &gt;=65)",IF(E39="Elevated","Restricted (score &gt;=80 only)","Suspended")))</f>
        <v/>
      </c>
      <c r="H39" s="69"/>
    </row>
    <row r="40" customFormat="false" ht="15" hidden="false" customHeight="true" outlineLevel="0" collapsed="false">
      <c r="A40" s="73"/>
      <c r="B40" s="130"/>
      <c r="C40" s="148" t="str">
        <f aca="false">IF(B40="","",MAX(C39,B40))</f>
        <v/>
      </c>
      <c r="D40" s="72" t="str">
        <f aca="false">IF(OR(B40="",C40=""),"",B40/C40-1)</f>
        <v/>
      </c>
      <c r="E40" s="76" t="str">
        <f aca="false">IF(D40="","",IF(D40&gt;=-0.1,"Normal",IF(D40&gt;=-0.2,"Elevated",IF(D40&gt;=-0.3,"Severe","Critical"))))</f>
        <v/>
      </c>
      <c r="F40" s="98" t="str">
        <f aca="false">IF(E40="","",IF(E40="Normal","5-15%",IF(E40="Elevated","15%",IF(E40="Severe","20%","25%"))))</f>
        <v/>
      </c>
      <c r="G40" s="98" t="str">
        <f aca="false">IF(E40="","",IF(E40="Normal","Standard (score &gt;=65)",IF(E40="Elevated","Restricted (score &gt;=80 only)","Suspended")))</f>
        <v/>
      </c>
      <c r="H40" s="69"/>
    </row>
    <row r="41" customFormat="false" ht="15" hidden="false" customHeight="true" outlineLevel="0" collapsed="false">
      <c r="A41" s="73"/>
      <c r="B41" s="130"/>
      <c r="C41" s="148" t="str">
        <f aca="false">IF(B41="","",MAX(C40,B41))</f>
        <v/>
      </c>
      <c r="D41" s="72" t="str">
        <f aca="false">IF(OR(B41="",C41=""),"",B41/C41-1)</f>
        <v/>
      </c>
      <c r="E41" s="76" t="str">
        <f aca="false">IF(D41="","",IF(D41&gt;=-0.1,"Normal",IF(D41&gt;=-0.2,"Elevated",IF(D41&gt;=-0.3,"Severe","Critical"))))</f>
        <v/>
      </c>
      <c r="F41" s="98" t="str">
        <f aca="false">IF(E41="","",IF(E41="Normal","5-15%",IF(E41="Elevated","15%",IF(E41="Severe","20%","25%"))))</f>
        <v/>
      </c>
      <c r="G41" s="98" t="str">
        <f aca="false">IF(E41="","",IF(E41="Normal","Standard (score &gt;=65)",IF(E41="Elevated","Restricted (score &gt;=80 only)","Suspended")))</f>
        <v/>
      </c>
      <c r="H41" s="69"/>
    </row>
    <row r="42" customFormat="false" ht="15" hidden="false" customHeight="true" outlineLevel="0" collapsed="false">
      <c r="A42" s="73"/>
      <c r="B42" s="130"/>
      <c r="C42" s="148" t="str">
        <f aca="false">IF(B42="","",MAX(C41,B42))</f>
        <v/>
      </c>
      <c r="D42" s="72" t="str">
        <f aca="false">IF(OR(B42="",C42=""),"",B42/C42-1)</f>
        <v/>
      </c>
      <c r="E42" s="76" t="str">
        <f aca="false">IF(D42="","",IF(D42&gt;=-0.1,"Normal",IF(D42&gt;=-0.2,"Elevated",IF(D42&gt;=-0.3,"Severe","Critical"))))</f>
        <v/>
      </c>
      <c r="F42" s="98" t="str">
        <f aca="false">IF(E42="","",IF(E42="Normal","5-15%",IF(E42="Elevated","15%",IF(E42="Severe","20%","25%"))))</f>
        <v/>
      </c>
      <c r="G42" s="98" t="str">
        <f aca="false">IF(E42="","",IF(E42="Normal","Standard (score &gt;=65)",IF(E42="Elevated","Restricted (score &gt;=80 only)","Suspended")))</f>
        <v/>
      </c>
      <c r="H42" s="69"/>
    </row>
  </sheetData>
  <mergeCells count="1">
    <mergeCell ref="A1:H1"/>
  </mergeCells>
  <conditionalFormatting sqref="E3:E42">
    <cfRule type="cellIs" priority="2" operator="equal" aboveAverage="0" equalAverage="0" bottom="0" percent="0" rank="0" text="" dxfId="23">
      <formula>"Normal"</formula>
    </cfRule>
    <cfRule type="cellIs" priority="3" operator="equal" aboveAverage="0" equalAverage="0" bottom="0" percent="0" rank="0" text="" dxfId="25">
      <formula>"Elevated"</formula>
    </cfRule>
    <cfRule type="cellIs" priority="4" operator="equal" aboveAverage="0" equalAverage="0" bottom="0" percent="0" rank="0" text="" dxfId="17">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36" hidden="false" customHeight="true" outlineLevel="0" collapsed="false">
      <c r="A1" s="149" t="s">
        <v>402</v>
      </c>
      <c r="B1" s="149"/>
      <c r="C1" s="149"/>
      <c r="D1" s="149"/>
      <c r="E1" s="149"/>
      <c r="F1" s="149"/>
      <c r="G1" s="149"/>
      <c r="H1" s="149"/>
      <c r="I1" s="149"/>
      <c r="J1" s="149"/>
      <c r="K1" s="149"/>
      <c r="L1" s="149"/>
      <c r="M1" s="149"/>
    </row>
    <row r="2" customFormat="false" ht="45.75" hidden="false" customHeight="true" outlineLevel="0" collapsed="false">
      <c r="A2" s="117" t="s">
        <v>74</v>
      </c>
      <c r="B2" s="117" t="s">
        <v>216</v>
      </c>
      <c r="C2" s="117" t="s">
        <v>403</v>
      </c>
      <c r="D2" s="117" t="s">
        <v>404</v>
      </c>
      <c r="E2" s="117" t="s">
        <v>405</v>
      </c>
      <c r="F2" s="117" t="s">
        <v>406</v>
      </c>
      <c r="G2" s="117" t="s">
        <v>407</v>
      </c>
      <c r="H2" s="117" t="s">
        <v>408</v>
      </c>
      <c r="I2" s="117" t="s">
        <v>409</v>
      </c>
      <c r="J2" s="117" t="s">
        <v>410</v>
      </c>
      <c r="K2" s="117" t="s">
        <v>411</v>
      </c>
      <c r="L2" s="117" t="s">
        <v>412</v>
      </c>
    </row>
    <row r="3" customFormat="false" ht="15" hidden="false" customHeight="true" outlineLevel="0" collapsed="false">
      <c r="A3" s="150"/>
      <c r="B3" s="150"/>
      <c r="C3" s="150"/>
      <c r="D3" s="151"/>
      <c r="E3" s="150"/>
      <c r="F3" s="150"/>
      <c r="G3" s="151"/>
      <c r="H3" s="150"/>
      <c r="I3" s="136" t="str">
        <f aca="false">IF(D3="","",D3+90)</f>
        <v/>
      </c>
      <c r="J3" s="152" t="str">
        <f aca="true">IF(I3="","",I3-TODAY())</f>
        <v/>
      </c>
      <c r="K3" s="153"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150"/>
    </row>
    <row r="4" customFormat="false" ht="15" hidden="false" customHeight="true" outlineLevel="0" collapsed="false">
      <c r="A4" s="150"/>
      <c r="B4" s="150"/>
      <c r="C4" s="150"/>
      <c r="D4" s="151"/>
      <c r="E4" s="150"/>
      <c r="F4" s="150"/>
      <c r="G4" s="151"/>
      <c r="H4" s="150"/>
      <c r="I4" s="136" t="str">
        <f aca="false">IF(D4="","",D4+90)</f>
        <v/>
      </c>
      <c r="J4" s="152" t="str">
        <f aca="true">IF(I4="","",I4-TODAY())</f>
        <v/>
      </c>
      <c r="K4" s="153"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50"/>
    </row>
    <row r="5" customFormat="false" ht="15" hidden="false" customHeight="true" outlineLevel="0" collapsed="false">
      <c r="A5" s="150"/>
      <c r="B5" s="150"/>
      <c r="C5" s="150"/>
      <c r="D5" s="151"/>
      <c r="E5" s="150"/>
      <c r="F5" s="150"/>
      <c r="G5" s="151"/>
      <c r="H5" s="150"/>
      <c r="I5" s="136" t="str">
        <f aca="false">IF(D5="","",D5+90)</f>
        <v/>
      </c>
      <c r="J5" s="152" t="str">
        <f aca="true">IF(I5="","",I5-TODAY())</f>
        <v/>
      </c>
      <c r="K5" s="153"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50"/>
    </row>
    <row r="6" customFormat="false" ht="15" hidden="false" customHeight="true" outlineLevel="0" collapsed="false">
      <c r="A6" s="150"/>
      <c r="B6" s="150"/>
      <c r="C6" s="150"/>
      <c r="D6" s="151"/>
      <c r="E6" s="150"/>
      <c r="F6" s="150"/>
      <c r="G6" s="151"/>
      <c r="H6" s="150"/>
      <c r="I6" s="136" t="str">
        <f aca="false">IF(D6="","",D6+90)</f>
        <v/>
      </c>
      <c r="J6" s="152" t="str">
        <f aca="true">IF(I6="","",I6-TODAY())</f>
        <v/>
      </c>
      <c r="K6" s="153"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50"/>
    </row>
    <row r="7" customFormat="false" ht="15" hidden="false" customHeight="true" outlineLevel="0" collapsed="false">
      <c r="A7" s="150"/>
      <c r="B7" s="150"/>
      <c r="C7" s="150"/>
      <c r="D7" s="151"/>
      <c r="E7" s="150"/>
      <c r="F7" s="150"/>
      <c r="G7" s="151"/>
      <c r="H7" s="150"/>
      <c r="I7" s="136" t="str">
        <f aca="false">IF(D7="","",D7+90)</f>
        <v/>
      </c>
      <c r="J7" s="152" t="str">
        <f aca="true">IF(I7="","",I7-TODAY())</f>
        <v/>
      </c>
      <c r="K7" s="153"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50"/>
    </row>
    <row r="8" customFormat="false" ht="15" hidden="false" customHeight="true" outlineLevel="0" collapsed="false">
      <c r="A8" s="150"/>
      <c r="B8" s="150"/>
      <c r="C8" s="150"/>
      <c r="D8" s="151"/>
      <c r="E8" s="150"/>
      <c r="F8" s="150"/>
      <c r="G8" s="151"/>
      <c r="H8" s="150"/>
      <c r="I8" s="136" t="str">
        <f aca="false">IF(D8="","",D8+90)</f>
        <v/>
      </c>
      <c r="J8" s="152" t="str">
        <f aca="true">IF(I8="","",I8-TODAY())</f>
        <v/>
      </c>
      <c r="K8" s="153"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50"/>
    </row>
    <row r="9" customFormat="false" ht="15" hidden="false" customHeight="true" outlineLevel="0" collapsed="false">
      <c r="A9" s="150"/>
      <c r="B9" s="150"/>
      <c r="C9" s="150"/>
      <c r="D9" s="151"/>
      <c r="E9" s="150"/>
      <c r="F9" s="150"/>
      <c r="G9" s="151"/>
      <c r="H9" s="150"/>
      <c r="I9" s="136" t="str">
        <f aca="false">IF(D9="","",D9+90)</f>
        <v/>
      </c>
      <c r="J9" s="152" t="str">
        <f aca="true">IF(I9="","",I9-TODAY())</f>
        <v/>
      </c>
      <c r="K9" s="153"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50"/>
    </row>
    <row r="10" customFormat="false" ht="15" hidden="false" customHeight="true" outlineLevel="0" collapsed="false">
      <c r="A10" s="150"/>
      <c r="B10" s="150"/>
      <c r="C10" s="150"/>
      <c r="D10" s="151"/>
      <c r="E10" s="150"/>
      <c r="F10" s="150"/>
      <c r="G10" s="151"/>
      <c r="H10" s="150"/>
      <c r="I10" s="136" t="str">
        <f aca="false">IF(D10="","",D10+90)</f>
        <v/>
      </c>
      <c r="J10" s="152" t="str">
        <f aca="true">IF(I10="","",I10-TODAY())</f>
        <v/>
      </c>
      <c r="K10" s="153"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50"/>
    </row>
    <row r="11" customFormat="false" ht="15" hidden="false" customHeight="true" outlineLevel="0" collapsed="false">
      <c r="A11" s="150"/>
      <c r="B11" s="150"/>
      <c r="C11" s="150"/>
      <c r="D11" s="151"/>
      <c r="E11" s="150"/>
      <c r="F11" s="150"/>
      <c r="G11" s="151"/>
      <c r="H11" s="150"/>
      <c r="I11" s="136" t="str">
        <f aca="false">IF(D11="","",D11+90)</f>
        <v/>
      </c>
      <c r="J11" s="152" t="str">
        <f aca="true">IF(I11="","",I11-TODAY())</f>
        <v/>
      </c>
      <c r="K11" s="153"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50"/>
    </row>
    <row r="12" customFormat="false" ht="15" hidden="false" customHeight="true" outlineLevel="0" collapsed="false">
      <c r="A12" s="150"/>
      <c r="B12" s="150"/>
      <c r="C12" s="150"/>
      <c r="D12" s="151"/>
      <c r="E12" s="150"/>
      <c r="F12" s="150"/>
      <c r="G12" s="151"/>
      <c r="H12" s="150"/>
      <c r="I12" s="136" t="str">
        <f aca="false">IF(D12="","",D12+90)</f>
        <v/>
      </c>
      <c r="J12" s="152" t="str">
        <f aca="true">IF(I12="","",I12-TODAY())</f>
        <v/>
      </c>
      <c r="K12" s="153"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50"/>
    </row>
    <row r="13" customFormat="false" ht="15" hidden="false" customHeight="true" outlineLevel="0" collapsed="false">
      <c r="A13" s="150"/>
      <c r="B13" s="150"/>
      <c r="C13" s="150"/>
      <c r="D13" s="151"/>
      <c r="E13" s="150"/>
      <c r="F13" s="150"/>
      <c r="G13" s="151"/>
      <c r="H13" s="150"/>
      <c r="I13" s="136" t="str">
        <f aca="false">IF(D13="","",D13+90)</f>
        <v/>
      </c>
      <c r="J13" s="152" t="str">
        <f aca="true">IF(I13="","",I13-TODAY())</f>
        <v/>
      </c>
      <c r="K13" s="153"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50"/>
    </row>
    <row r="14" customFormat="false" ht="15" hidden="false" customHeight="true" outlineLevel="0" collapsed="false">
      <c r="A14" s="150"/>
      <c r="B14" s="150"/>
      <c r="C14" s="150"/>
      <c r="D14" s="151"/>
      <c r="E14" s="150"/>
      <c r="F14" s="150"/>
      <c r="G14" s="151"/>
      <c r="H14" s="150"/>
      <c r="I14" s="136" t="str">
        <f aca="false">IF(D14="","",D14+90)</f>
        <v/>
      </c>
      <c r="J14" s="152" t="str">
        <f aca="true">IF(I14="","",I14-TODAY())</f>
        <v/>
      </c>
      <c r="K14" s="153"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50"/>
    </row>
    <row r="15" customFormat="false" ht="15" hidden="false" customHeight="true" outlineLevel="0" collapsed="false">
      <c r="A15" s="150"/>
      <c r="B15" s="150"/>
      <c r="C15" s="150"/>
      <c r="D15" s="151"/>
      <c r="E15" s="150"/>
      <c r="F15" s="150"/>
      <c r="G15" s="151"/>
      <c r="H15" s="150"/>
      <c r="I15" s="136" t="str">
        <f aca="false">IF(D15="","",D15+90)</f>
        <v/>
      </c>
      <c r="J15" s="152" t="str">
        <f aca="true">IF(I15="","",I15-TODAY())</f>
        <v/>
      </c>
      <c r="K15" s="153"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50"/>
    </row>
    <row r="16" customFormat="false" ht="15" hidden="false" customHeight="true" outlineLevel="0" collapsed="false">
      <c r="A16" s="150"/>
      <c r="B16" s="150"/>
      <c r="C16" s="150"/>
      <c r="D16" s="151"/>
      <c r="E16" s="150"/>
      <c r="F16" s="150"/>
      <c r="G16" s="151"/>
      <c r="H16" s="150"/>
      <c r="I16" s="136" t="str">
        <f aca="false">IF(D16="","",D16+90)</f>
        <v/>
      </c>
      <c r="J16" s="152" t="str">
        <f aca="true">IF(I16="","",I16-TODAY())</f>
        <v/>
      </c>
      <c r="K16" s="153"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50"/>
    </row>
    <row r="17" customFormat="false" ht="15" hidden="false" customHeight="true" outlineLevel="0" collapsed="false">
      <c r="A17" s="150"/>
      <c r="B17" s="150"/>
      <c r="C17" s="150"/>
      <c r="D17" s="151"/>
      <c r="E17" s="150"/>
      <c r="F17" s="150"/>
      <c r="G17" s="151"/>
      <c r="H17" s="150"/>
      <c r="I17" s="136" t="str">
        <f aca="false">IF(D17="","",D17+90)</f>
        <v/>
      </c>
      <c r="J17" s="152" t="str">
        <f aca="true">IF(I17="","",I17-TODAY())</f>
        <v/>
      </c>
      <c r="K17" s="153"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50"/>
    </row>
    <row r="18" customFormat="false" ht="15" hidden="false" customHeight="true" outlineLevel="0" collapsed="false">
      <c r="A18" s="150"/>
      <c r="B18" s="150"/>
      <c r="C18" s="150"/>
      <c r="D18" s="151"/>
      <c r="E18" s="150"/>
      <c r="F18" s="150"/>
      <c r="G18" s="151"/>
      <c r="H18" s="150"/>
      <c r="I18" s="136" t="str">
        <f aca="false">IF(D18="","",D18+90)</f>
        <v/>
      </c>
      <c r="J18" s="152" t="str">
        <f aca="true">IF(I18="","",I18-TODAY())</f>
        <v/>
      </c>
      <c r="K18" s="153"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50"/>
    </row>
    <row r="19" customFormat="false" ht="15" hidden="false" customHeight="true" outlineLevel="0" collapsed="false">
      <c r="A19" s="150"/>
      <c r="B19" s="150"/>
      <c r="C19" s="150"/>
      <c r="D19" s="151"/>
      <c r="E19" s="150"/>
      <c r="F19" s="150"/>
      <c r="G19" s="151"/>
      <c r="H19" s="150"/>
      <c r="I19" s="136" t="str">
        <f aca="false">IF(D19="","",D19+90)</f>
        <v/>
      </c>
      <c r="J19" s="152" t="str">
        <f aca="true">IF(I19="","",I19-TODAY())</f>
        <v/>
      </c>
      <c r="K19" s="153"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50"/>
    </row>
    <row r="20" customFormat="false" ht="15" hidden="false" customHeight="true" outlineLevel="0" collapsed="false">
      <c r="A20" s="150"/>
      <c r="B20" s="150"/>
      <c r="C20" s="150"/>
      <c r="D20" s="151"/>
      <c r="E20" s="150"/>
      <c r="F20" s="150"/>
      <c r="G20" s="151"/>
      <c r="H20" s="150"/>
      <c r="I20" s="136" t="str">
        <f aca="false">IF(D20="","",D20+90)</f>
        <v/>
      </c>
      <c r="J20" s="152" t="str">
        <f aca="true">IF(I20="","",I20-TODAY())</f>
        <v/>
      </c>
      <c r="K20" s="153"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50"/>
    </row>
    <row r="21" customFormat="false" ht="15" hidden="false" customHeight="true" outlineLevel="0" collapsed="false">
      <c r="A21" s="150"/>
      <c r="B21" s="150"/>
      <c r="C21" s="150"/>
      <c r="D21" s="151"/>
      <c r="E21" s="150"/>
      <c r="F21" s="150"/>
      <c r="G21" s="151"/>
      <c r="H21" s="150"/>
      <c r="I21" s="136" t="str">
        <f aca="false">IF(D21="","",D21+90)</f>
        <v/>
      </c>
      <c r="J21" s="152" t="str">
        <f aca="true">IF(I21="","",I21-TODAY())</f>
        <v/>
      </c>
      <c r="K21" s="153"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50"/>
    </row>
    <row r="22" customFormat="false" ht="15" hidden="false" customHeight="true" outlineLevel="0" collapsed="false">
      <c r="A22" s="150"/>
      <c r="B22" s="150"/>
      <c r="C22" s="150"/>
      <c r="D22" s="151"/>
      <c r="E22" s="150"/>
      <c r="F22" s="150"/>
      <c r="G22" s="151"/>
      <c r="H22" s="150"/>
      <c r="I22" s="136" t="str">
        <f aca="false">IF(D22="","",D22+90)</f>
        <v/>
      </c>
      <c r="J22" s="152" t="str">
        <f aca="true">IF(I22="","",I22-TODAY())</f>
        <v/>
      </c>
      <c r="K22" s="153"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50"/>
    </row>
  </sheetData>
  <mergeCells count="1">
    <mergeCell ref="A1:M1"/>
  </mergeCells>
  <conditionalFormatting sqref="K3:K22">
    <cfRule type="expression" priority="2" aboveAverage="0" equalAverage="0" bottom="0" percent="0" rank="0" text="" dxfId="23">
      <formula>ISNUMBER(SEARCH("RECOVERED",K3))</formula>
    </cfRule>
    <cfRule type="expression" priority="3" aboveAverage="0" equalAverage="0" bottom="0" percent="0" rank="0" text="" dxfId="23">
      <formula>ISNUMBER(SEARCH("ON TRACK",K3))</formula>
    </cfRule>
    <cfRule type="expression" priority="4" aboveAverage="0" equalAverage="0" bottom="0" percent="0" rank="0" text="" dxfId="16">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34" t="s">
        <v>413</v>
      </c>
      <c r="B1" s="134"/>
      <c r="C1" s="134"/>
      <c r="D1" s="134"/>
      <c r="E1" s="134"/>
      <c r="F1" s="134"/>
      <c r="G1" s="134"/>
      <c r="H1" s="134"/>
      <c r="I1" s="134"/>
      <c r="J1" s="134"/>
      <c r="K1" s="134"/>
      <c r="L1" s="134"/>
      <c r="M1" s="134"/>
      <c r="N1" s="134"/>
      <c r="O1" s="134"/>
      <c r="P1" s="134"/>
      <c r="Q1" s="134"/>
      <c r="R1" s="134"/>
      <c r="S1" s="134"/>
      <c r="T1" s="134"/>
    </row>
    <row r="2" customFormat="false" ht="15.75" hidden="false" customHeight="true" outlineLevel="0" collapsed="false">
      <c r="D2" s="154" t="s">
        <v>414</v>
      </c>
      <c r="E2" s="154"/>
      <c r="F2" s="154"/>
      <c r="G2" s="154"/>
      <c r="H2" s="154"/>
      <c r="I2" s="155" t="s">
        <v>415</v>
      </c>
      <c r="J2" s="155"/>
      <c r="K2" s="155"/>
      <c r="L2" s="155"/>
      <c r="M2" s="155"/>
      <c r="N2" s="156" t="s">
        <v>416</v>
      </c>
      <c r="O2" s="156"/>
      <c r="P2" s="156"/>
      <c r="Q2" s="156"/>
      <c r="R2" s="156"/>
      <c r="S2" s="157" t="s">
        <v>417</v>
      </c>
      <c r="T2" s="157"/>
      <c r="U2" s="157"/>
    </row>
    <row r="3" customFormat="false" ht="42.75" hidden="false" customHeight="true" outlineLevel="0" collapsed="false">
      <c r="A3" s="67" t="s">
        <v>74</v>
      </c>
      <c r="B3" s="67" t="s">
        <v>216</v>
      </c>
      <c r="C3" s="67" t="s">
        <v>418</v>
      </c>
      <c r="D3" s="67" t="s">
        <v>419</v>
      </c>
      <c r="E3" s="67" t="s">
        <v>420</v>
      </c>
      <c r="F3" s="67" t="s">
        <v>421</v>
      </c>
      <c r="G3" s="67" t="s">
        <v>422</v>
      </c>
      <c r="H3" s="67" t="s">
        <v>423</v>
      </c>
      <c r="I3" s="67" t="s">
        <v>419</v>
      </c>
      <c r="J3" s="67" t="s">
        <v>420</v>
      </c>
      <c r="K3" s="67" t="s">
        <v>421</v>
      </c>
      <c r="L3" s="67" t="s">
        <v>422</v>
      </c>
      <c r="M3" s="67" t="s">
        <v>423</v>
      </c>
      <c r="N3" s="67" t="s">
        <v>419</v>
      </c>
      <c r="O3" s="67" t="s">
        <v>420</v>
      </c>
      <c r="P3" s="67" t="s">
        <v>421</v>
      </c>
      <c r="Q3" s="67" t="s">
        <v>422</v>
      </c>
      <c r="R3" s="67" t="s">
        <v>423</v>
      </c>
      <c r="S3" s="67" t="s">
        <v>424</v>
      </c>
      <c r="T3" s="67" t="s">
        <v>425</v>
      </c>
      <c r="U3" s="67" t="s">
        <v>426</v>
      </c>
    </row>
    <row r="4" customFormat="false" ht="15" hidden="false" customHeight="true" outlineLevel="0" collapsed="false">
      <c r="A4" s="68"/>
      <c r="B4" s="121"/>
      <c r="C4" s="158"/>
      <c r="D4" s="158"/>
      <c r="E4" s="122"/>
      <c r="F4" s="158"/>
      <c r="G4" s="159" t="str">
        <f aca="false">IF(OR(C4="",D4="",E4="",F4=""),"",IFERROR(((D4*E4+F4)/C4)^(1/5)-1,"n/a"))</f>
        <v/>
      </c>
      <c r="H4" s="121"/>
      <c r="I4" s="158"/>
      <c r="J4" s="122"/>
      <c r="K4" s="158"/>
      <c r="L4" s="159" t="str">
        <f aca="false">IF(OR(C4="",I4="",J4="",K4=""),"",IFERROR(((I4*J4+K4)/C4)^(1/5)-1,"n/a"))</f>
        <v/>
      </c>
      <c r="M4" s="121"/>
      <c r="N4" s="158"/>
      <c r="O4" s="122"/>
      <c r="P4" s="158"/>
      <c r="Q4" s="159" t="str">
        <f aca="false">IF(OR(C4="",N4="",O4="",P4=""),"",IFERROR(((N4*O4+P4)/C4)^(1/5)-1,"n/a"))</f>
        <v/>
      </c>
      <c r="R4" s="121"/>
      <c r="S4" s="120" t="str">
        <f aca="false">IF(G4="","",IF(G4&gt;0.1,"PASS","FAIL"))</f>
        <v/>
      </c>
      <c r="T4" s="120" t="str">
        <f aca="false">IF(L4="","",IF(L4&gt;=0,"PASS","FAIL"))</f>
        <v/>
      </c>
      <c r="U4" s="120" t="str">
        <f aca="false">IF(COUNTA(H4,M4,R4)=0,"",IF((COUNTIF(H4,"Likely")+COUNTIF(M4,"Likely")+COUNTIF(R4,"Likely"))=1,"OK","CHECK TAGS"))</f>
        <v/>
      </c>
    </row>
    <row r="5" customFormat="false" ht="15" hidden="false" customHeight="true" outlineLevel="0" collapsed="false">
      <c r="A5" s="68"/>
      <c r="B5" s="121"/>
      <c r="C5" s="158"/>
      <c r="D5" s="158"/>
      <c r="E5" s="122"/>
      <c r="F5" s="158"/>
      <c r="G5" s="159" t="str">
        <f aca="false">IF(OR(C5="",D5="",E5="",F5=""),"",IFERROR(((D5*E5+F5)/C5)^(1/5)-1,"n/a"))</f>
        <v/>
      </c>
      <c r="H5" s="121"/>
      <c r="I5" s="158"/>
      <c r="J5" s="122"/>
      <c r="K5" s="158"/>
      <c r="L5" s="159" t="str">
        <f aca="false">IF(OR(C5="",I5="",J5="",K5=""),"",IFERROR(((I5*J5+K5)/C5)^(1/5)-1,"n/a"))</f>
        <v/>
      </c>
      <c r="M5" s="121"/>
      <c r="N5" s="158"/>
      <c r="O5" s="122"/>
      <c r="P5" s="158"/>
      <c r="Q5" s="159" t="str">
        <f aca="false">IF(OR(C5="",N5="",O5="",P5=""),"",IFERROR(((N5*O5+P5)/C5)^(1/5)-1,"n/a"))</f>
        <v/>
      </c>
      <c r="R5" s="121"/>
      <c r="S5" s="120" t="str">
        <f aca="false">IF(G5="","",IF(G5&gt;0.1,"PASS","FAIL"))</f>
        <v/>
      </c>
      <c r="T5" s="120" t="str">
        <f aca="false">IF(L5="","",IF(L5&gt;=0,"PASS","FAIL"))</f>
        <v/>
      </c>
      <c r="U5" s="120" t="str">
        <f aca="false">IF(COUNTA(H5,M5,R5)=0,"",IF((COUNTIF(H5,"Likely")+COUNTIF(M5,"Likely")+COUNTIF(R5,"Likely"))=1,"OK","CHECK TAGS"))</f>
        <v/>
      </c>
    </row>
    <row r="6" customFormat="false" ht="15" hidden="false" customHeight="true" outlineLevel="0" collapsed="false">
      <c r="A6" s="68"/>
      <c r="B6" s="121"/>
      <c r="C6" s="158"/>
      <c r="D6" s="158"/>
      <c r="E6" s="122"/>
      <c r="F6" s="158"/>
      <c r="G6" s="159" t="str">
        <f aca="false">IF(OR(C6="",D6="",E6="",F6=""),"",IFERROR(((D6*E6+F6)/C6)^(1/5)-1,"n/a"))</f>
        <v/>
      </c>
      <c r="H6" s="121"/>
      <c r="I6" s="158"/>
      <c r="J6" s="122"/>
      <c r="K6" s="158"/>
      <c r="L6" s="159" t="str">
        <f aca="false">IF(OR(C6="",I6="",J6="",K6=""),"",IFERROR(((I6*J6+K6)/C6)^(1/5)-1,"n/a"))</f>
        <v/>
      </c>
      <c r="M6" s="121"/>
      <c r="N6" s="158"/>
      <c r="O6" s="122"/>
      <c r="P6" s="158"/>
      <c r="Q6" s="159" t="str">
        <f aca="false">IF(OR(C6="",N6="",O6="",P6=""),"",IFERROR(((N6*O6+P6)/C6)^(1/5)-1,"n/a"))</f>
        <v/>
      </c>
      <c r="R6" s="121"/>
      <c r="S6" s="120" t="str">
        <f aca="false">IF(G6="","",IF(G6&gt;0.1,"PASS","FAIL"))</f>
        <v/>
      </c>
      <c r="T6" s="120" t="str">
        <f aca="false">IF(L6="","",IF(L6&gt;=0,"PASS","FAIL"))</f>
        <v/>
      </c>
      <c r="U6" s="120" t="str">
        <f aca="false">IF(COUNTA(H6,M6,R6)=0,"",IF((COUNTIF(H6,"Likely")+COUNTIF(M6,"Likely")+COUNTIF(R6,"Likely"))=1,"OK","CHECK TAGS"))</f>
        <v/>
      </c>
    </row>
    <row r="7" customFormat="false" ht="15" hidden="false" customHeight="true" outlineLevel="0" collapsed="false">
      <c r="A7" s="68"/>
      <c r="B7" s="121"/>
      <c r="C7" s="158"/>
      <c r="D7" s="158"/>
      <c r="E7" s="122"/>
      <c r="F7" s="158"/>
      <c r="G7" s="159" t="str">
        <f aca="false">IF(OR(C7="",D7="",E7="",F7=""),"",IFERROR(((D7*E7+F7)/C7)^(1/5)-1,"n/a"))</f>
        <v/>
      </c>
      <c r="H7" s="121"/>
      <c r="I7" s="158"/>
      <c r="J7" s="122"/>
      <c r="K7" s="158"/>
      <c r="L7" s="159" t="str">
        <f aca="false">IF(OR(C7="",I7="",J7="",K7=""),"",IFERROR(((I7*J7+K7)/C7)^(1/5)-1,"n/a"))</f>
        <v/>
      </c>
      <c r="M7" s="121"/>
      <c r="N7" s="158"/>
      <c r="O7" s="122"/>
      <c r="P7" s="158"/>
      <c r="Q7" s="159" t="str">
        <f aca="false">IF(OR(C7="",N7="",O7="",P7=""),"",IFERROR(((N7*O7+P7)/C7)^(1/5)-1,"n/a"))</f>
        <v/>
      </c>
      <c r="R7" s="121"/>
      <c r="S7" s="120" t="str">
        <f aca="false">IF(G7="","",IF(G7&gt;0.1,"PASS","FAIL"))</f>
        <v/>
      </c>
      <c r="T7" s="120" t="str">
        <f aca="false">IF(L7="","",IF(L7&gt;=0,"PASS","FAIL"))</f>
        <v/>
      </c>
      <c r="U7" s="120" t="str">
        <f aca="false">IF(COUNTA(H7,M7,R7)=0,"",IF((COUNTIF(H7,"Likely")+COUNTIF(M7,"Likely")+COUNTIF(R7,"Likely"))=1,"OK","CHECK TAGS"))</f>
        <v/>
      </c>
    </row>
    <row r="8" customFormat="false" ht="15" hidden="false" customHeight="true" outlineLevel="0" collapsed="false">
      <c r="A8" s="68"/>
      <c r="B8" s="121"/>
      <c r="C8" s="158"/>
      <c r="D8" s="158"/>
      <c r="E8" s="122"/>
      <c r="F8" s="158"/>
      <c r="G8" s="159" t="str">
        <f aca="false">IF(OR(C8="",D8="",E8="",F8=""),"",IFERROR(((D8*E8+F8)/C8)^(1/5)-1,"n/a"))</f>
        <v/>
      </c>
      <c r="H8" s="121"/>
      <c r="I8" s="158"/>
      <c r="J8" s="122"/>
      <c r="K8" s="158"/>
      <c r="L8" s="159" t="str">
        <f aca="false">IF(OR(C8="",I8="",J8="",K8=""),"",IFERROR(((I8*J8+K8)/C8)^(1/5)-1,"n/a"))</f>
        <v/>
      </c>
      <c r="M8" s="121"/>
      <c r="N8" s="158"/>
      <c r="O8" s="122"/>
      <c r="P8" s="158"/>
      <c r="Q8" s="159" t="str">
        <f aca="false">IF(OR(C8="",N8="",O8="",P8=""),"",IFERROR(((N8*O8+P8)/C8)^(1/5)-1,"n/a"))</f>
        <v/>
      </c>
      <c r="R8" s="121"/>
      <c r="S8" s="120" t="str">
        <f aca="false">IF(G8="","",IF(G8&gt;0.1,"PASS","FAIL"))</f>
        <v/>
      </c>
      <c r="T8" s="120" t="str">
        <f aca="false">IF(L8="","",IF(L8&gt;=0,"PASS","FAIL"))</f>
        <v/>
      </c>
      <c r="U8" s="120" t="str">
        <f aca="false">IF(COUNTA(H8,M8,R8)=0,"",IF((COUNTIF(H8,"Likely")+COUNTIF(M8,"Likely")+COUNTIF(R8,"Likely"))=1,"OK","CHECK TAGS"))</f>
        <v/>
      </c>
    </row>
    <row r="9" customFormat="false" ht="15" hidden="false" customHeight="true" outlineLevel="0" collapsed="false">
      <c r="A9" s="68"/>
      <c r="B9" s="121"/>
      <c r="C9" s="158"/>
      <c r="D9" s="158"/>
      <c r="E9" s="122"/>
      <c r="F9" s="158"/>
      <c r="G9" s="159" t="str">
        <f aca="false">IF(OR(C9="",D9="",E9="",F9=""),"",IFERROR(((D9*E9+F9)/C9)^(1/5)-1,"n/a"))</f>
        <v/>
      </c>
      <c r="H9" s="121"/>
      <c r="I9" s="158"/>
      <c r="J9" s="122"/>
      <c r="K9" s="158"/>
      <c r="L9" s="159" t="str">
        <f aca="false">IF(OR(C9="",I9="",J9="",K9=""),"",IFERROR(((I9*J9+K9)/C9)^(1/5)-1,"n/a"))</f>
        <v/>
      </c>
      <c r="M9" s="121"/>
      <c r="N9" s="158"/>
      <c r="O9" s="122"/>
      <c r="P9" s="158"/>
      <c r="Q9" s="159" t="str">
        <f aca="false">IF(OR(C9="",N9="",O9="",P9=""),"",IFERROR(((N9*O9+P9)/C9)^(1/5)-1,"n/a"))</f>
        <v/>
      </c>
      <c r="R9" s="121"/>
      <c r="S9" s="120" t="str">
        <f aca="false">IF(G9="","",IF(G9&gt;0.1,"PASS","FAIL"))</f>
        <v/>
      </c>
      <c r="T9" s="120" t="str">
        <f aca="false">IF(L9="","",IF(L9&gt;=0,"PASS","FAIL"))</f>
        <v/>
      </c>
      <c r="U9" s="120" t="str">
        <f aca="false">IF(COUNTA(H9,M9,R9)=0,"",IF((COUNTIF(H9,"Likely")+COUNTIF(M9,"Likely")+COUNTIF(R9,"Likely"))=1,"OK","CHECK TAGS"))</f>
        <v/>
      </c>
    </row>
    <row r="10" customFormat="false" ht="15" hidden="false" customHeight="true" outlineLevel="0" collapsed="false">
      <c r="A10" s="68"/>
      <c r="B10" s="121"/>
      <c r="C10" s="158"/>
      <c r="D10" s="158"/>
      <c r="E10" s="122"/>
      <c r="F10" s="158"/>
      <c r="G10" s="159" t="str">
        <f aca="false">IF(OR(C10="",D10="",E10="",F10=""),"",IFERROR(((D10*E10+F10)/C10)^(1/5)-1,"n/a"))</f>
        <v/>
      </c>
      <c r="H10" s="121"/>
      <c r="I10" s="158"/>
      <c r="J10" s="122"/>
      <c r="K10" s="158"/>
      <c r="L10" s="159" t="str">
        <f aca="false">IF(OR(C10="",I10="",J10="",K10=""),"",IFERROR(((I10*J10+K10)/C10)^(1/5)-1,"n/a"))</f>
        <v/>
      </c>
      <c r="M10" s="121"/>
      <c r="N10" s="158"/>
      <c r="O10" s="122"/>
      <c r="P10" s="158"/>
      <c r="Q10" s="159" t="str">
        <f aca="false">IF(OR(C10="",N10="",O10="",P10=""),"",IFERROR(((N10*O10+P10)/C10)^(1/5)-1,"n/a"))</f>
        <v/>
      </c>
      <c r="R10" s="121"/>
      <c r="S10" s="120" t="str">
        <f aca="false">IF(G10="","",IF(G10&gt;0.1,"PASS","FAIL"))</f>
        <v/>
      </c>
      <c r="T10" s="120" t="str">
        <f aca="false">IF(L10="","",IF(L10&gt;=0,"PASS","FAIL"))</f>
        <v/>
      </c>
      <c r="U10" s="120" t="str">
        <f aca="false">IF(COUNTA(H10,M10,R10)=0,"",IF((COUNTIF(H10,"Likely")+COUNTIF(M10,"Likely")+COUNTIF(R10,"Likely"))=1,"OK","CHECK TAGS"))</f>
        <v/>
      </c>
    </row>
    <row r="11" customFormat="false" ht="15" hidden="false" customHeight="true" outlineLevel="0" collapsed="false">
      <c r="A11" s="68"/>
      <c r="B11" s="121"/>
      <c r="C11" s="158"/>
      <c r="D11" s="158"/>
      <c r="E11" s="122"/>
      <c r="F11" s="158"/>
      <c r="G11" s="159" t="str">
        <f aca="false">IF(OR(C11="",D11="",E11="",F11=""),"",IFERROR(((D11*E11+F11)/C11)^(1/5)-1,"n/a"))</f>
        <v/>
      </c>
      <c r="H11" s="121"/>
      <c r="I11" s="158"/>
      <c r="J11" s="122"/>
      <c r="K11" s="158"/>
      <c r="L11" s="159" t="str">
        <f aca="false">IF(OR(C11="",I11="",J11="",K11=""),"",IFERROR(((I11*J11+K11)/C11)^(1/5)-1,"n/a"))</f>
        <v/>
      </c>
      <c r="M11" s="121"/>
      <c r="N11" s="158"/>
      <c r="O11" s="122"/>
      <c r="P11" s="158"/>
      <c r="Q11" s="159" t="str">
        <f aca="false">IF(OR(C11="",N11="",O11="",P11=""),"",IFERROR(((N11*O11+P11)/C11)^(1/5)-1,"n/a"))</f>
        <v/>
      </c>
      <c r="R11" s="121"/>
      <c r="S11" s="120" t="str">
        <f aca="false">IF(G11="","",IF(G11&gt;0.1,"PASS","FAIL"))</f>
        <v/>
      </c>
      <c r="T11" s="120" t="str">
        <f aca="false">IF(L11="","",IF(L11&gt;=0,"PASS","FAIL"))</f>
        <v/>
      </c>
      <c r="U11" s="120" t="str">
        <f aca="false">IF(COUNTA(H11,M11,R11)=0,"",IF((COUNTIF(H11,"Likely")+COUNTIF(M11,"Likely")+COUNTIF(R11,"Likely"))=1,"OK","CHECK TAGS"))</f>
        <v/>
      </c>
    </row>
    <row r="12" customFormat="false" ht="15" hidden="false" customHeight="true" outlineLevel="0" collapsed="false">
      <c r="A12" s="68"/>
      <c r="B12" s="121"/>
      <c r="C12" s="158"/>
      <c r="D12" s="158"/>
      <c r="E12" s="122"/>
      <c r="F12" s="158"/>
      <c r="G12" s="159" t="str">
        <f aca="false">IF(OR(C12="",D12="",E12="",F12=""),"",IFERROR(((D12*E12+F12)/C12)^(1/5)-1,"n/a"))</f>
        <v/>
      </c>
      <c r="H12" s="121"/>
      <c r="I12" s="158"/>
      <c r="J12" s="122"/>
      <c r="K12" s="158"/>
      <c r="L12" s="159" t="str">
        <f aca="false">IF(OR(C12="",I12="",J12="",K12=""),"",IFERROR(((I12*J12+K12)/C12)^(1/5)-1,"n/a"))</f>
        <v/>
      </c>
      <c r="M12" s="121"/>
      <c r="N12" s="158"/>
      <c r="O12" s="122"/>
      <c r="P12" s="158"/>
      <c r="Q12" s="159" t="str">
        <f aca="false">IF(OR(C12="",N12="",O12="",P12=""),"",IFERROR(((N12*O12+P12)/C12)^(1/5)-1,"n/a"))</f>
        <v/>
      </c>
      <c r="R12" s="121"/>
      <c r="S12" s="120" t="str">
        <f aca="false">IF(G12="","",IF(G12&gt;0.1,"PASS","FAIL"))</f>
        <v/>
      </c>
      <c r="T12" s="120" t="str">
        <f aca="false">IF(L12="","",IF(L12&gt;=0,"PASS","FAIL"))</f>
        <v/>
      </c>
      <c r="U12" s="120" t="str">
        <f aca="false">IF(COUNTA(H12,M12,R12)=0,"",IF((COUNTIF(H12,"Likely")+COUNTIF(M12,"Likely")+COUNTIF(R12,"Likely"))=1,"OK","CHECK TAGS"))</f>
        <v/>
      </c>
    </row>
    <row r="13" customFormat="false" ht="15" hidden="false" customHeight="true" outlineLevel="0" collapsed="false">
      <c r="A13" s="68"/>
      <c r="B13" s="121"/>
      <c r="C13" s="158"/>
      <c r="D13" s="158"/>
      <c r="E13" s="122"/>
      <c r="F13" s="158"/>
      <c r="G13" s="159" t="str">
        <f aca="false">IF(OR(C13="",D13="",E13="",F13=""),"",IFERROR(((D13*E13+F13)/C13)^(1/5)-1,"n/a"))</f>
        <v/>
      </c>
      <c r="H13" s="121"/>
      <c r="I13" s="158"/>
      <c r="J13" s="122"/>
      <c r="K13" s="158"/>
      <c r="L13" s="159" t="str">
        <f aca="false">IF(OR(C13="",I13="",J13="",K13=""),"",IFERROR(((I13*J13+K13)/C13)^(1/5)-1,"n/a"))</f>
        <v/>
      </c>
      <c r="M13" s="121"/>
      <c r="N13" s="158"/>
      <c r="O13" s="122"/>
      <c r="P13" s="158"/>
      <c r="Q13" s="159" t="str">
        <f aca="false">IF(OR(C13="",N13="",O13="",P13=""),"",IFERROR(((N13*O13+P13)/C13)^(1/5)-1,"n/a"))</f>
        <v/>
      </c>
      <c r="R13" s="121"/>
      <c r="S13" s="120" t="str">
        <f aca="false">IF(G13="","",IF(G13&gt;0.1,"PASS","FAIL"))</f>
        <v/>
      </c>
      <c r="T13" s="120" t="str">
        <f aca="false">IF(L13="","",IF(L13&gt;=0,"PASS","FAIL"))</f>
        <v/>
      </c>
      <c r="U13" s="120" t="str">
        <f aca="false">IF(COUNTA(H13,M13,R13)=0,"",IF((COUNTIF(H13,"Likely")+COUNTIF(M13,"Likely")+COUNTIF(R13,"Likely"))=1,"OK","CHECK TAGS"))</f>
        <v/>
      </c>
    </row>
    <row r="14" customFormat="false" ht="15" hidden="false" customHeight="true" outlineLevel="0" collapsed="false">
      <c r="A14" s="68"/>
      <c r="B14" s="121"/>
      <c r="C14" s="158"/>
      <c r="D14" s="158"/>
      <c r="E14" s="122"/>
      <c r="F14" s="158"/>
      <c r="G14" s="159" t="str">
        <f aca="false">IF(OR(C14="",D14="",E14="",F14=""),"",IFERROR(((D14*E14+F14)/C14)^(1/5)-1,"n/a"))</f>
        <v/>
      </c>
      <c r="H14" s="121"/>
      <c r="I14" s="158"/>
      <c r="J14" s="122"/>
      <c r="K14" s="158"/>
      <c r="L14" s="159" t="str">
        <f aca="false">IF(OR(C14="",I14="",J14="",K14=""),"",IFERROR(((I14*J14+K14)/C14)^(1/5)-1,"n/a"))</f>
        <v/>
      </c>
      <c r="M14" s="121"/>
      <c r="N14" s="158"/>
      <c r="O14" s="122"/>
      <c r="P14" s="158"/>
      <c r="Q14" s="159" t="str">
        <f aca="false">IF(OR(C14="",N14="",O14="",P14=""),"",IFERROR(((N14*O14+P14)/C14)^(1/5)-1,"n/a"))</f>
        <v/>
      </c>
      <c r="R14" s="121"/>
      <c r="S14" s="120" t="str">
        <f aca="false">IF(G14="","",IF(G14&gt;0.1,"PASS","FAIL"))</f>
        <v/>
      </c>
      <c r="T14" s="120" t="str">
        <f aca="false">IF(L14="","",IF(L14&gt;=0,"PASS","FAIL"))</f>
        <v/>
      </c>
      <c r="U14" s="120" t="str">
        <f aca="false">IF(COUNTA(H14,M14,R14)=0,"",IF((COUNTIF(H14,"Likely")+COUNTIF(M14,"Likely")+COUNTIF(R14,"Likely"))=1,"OK","CHECK TAGS"))</f>
        <v/>
      </c>
    </row>
    <row r="15" customFormat="false" ht="15" hidden="false" customHeight="true" outlineLevel="0" collapsed="false">
      <c r="A15" s="68"/>
      <c r="B15" s="121"/>
      <c r="C15" s="158"/>
      <c r="D15" s="158"/>
      <c r="E15" s="122"/>
      <c r="F15" s="158"/>
      <c r="G15" s="159" t="str">
        <f aca="false">IF(OR(C15="",D15="",E15="",F15=""),"",IFERROR(((D15*E15+F15)/C15)^(1/5)-1,"n/a"))</f>
        <v/>
      </c>
      <c r="H15" s="121"/>
      <c r="I15" s="158"/>
      <c r="J15" s="122"/>
      <c r="K15" s="158"/>
      <c r="L15" s="159" t="str">
        <f aca="false">IF(OR(C15="",I15="",J15="",K15=""),"",IFERROR(((I15*J15+K15)/C15)^(1/5)-1,"n/a"))</f>
        <v/>
      </c>
      <c r="M15" s="121"/>
      <c r="N15" s="158"/>
      <c r="O15" s="122"/>
      <c r="P15" s="158"/>
      <c r="Q15" s="159" t="str">
        <f aca="false">IF(OR(C15="",N15="",O15="",P15=""),"",IFERROR(((N15*O15+P15)/C15)^(1/5)-1,"n/a"))</f>
        <v/>
      </c>
      <c r="R15" s="121"/>
      <c r="S15" s="120" t="str">
        <f aca="false">IF(G15="","",IF(G15&gt;0.1,"PASS","FAIL"))</f>
        <v/>
      </c>
      <c r="T15" s="120" t="str">
        <f aca="false">IF(L15="","",IF(L15&gt;=0,"PASS","FAIL"))</f>
        <v/>
      </c>
      <c r="U15" s="120" t="str">
        <f aca="false">IF(COUNTA(H15,M15,R15)=0,"",IF((COUNTIF(H15,"Likely")+COUNTIF(M15,"Likely")+COUNTIF(R15,"Likely"))=1,"OK","CHECK TAGS"))</f>
        <v/>
      </c>
    </row>
    <row r="16" customFormat="false" ht="15" hidden="false" customHeight="true" outlineLevel="0" collapsed="false">
      <c r="A16" s="68"/>
      <c r="B16" s="121"/>
      <c r="C16" s="158"/>
      <c r="D16" s="158"/>
      <c r="E16" s="122"/>
      <c r="F16" s="158"/>
      <c r="G16" s="159" t="str">
        <f aca="false">IF(OR(C16="",D16="",E16="",F16=""),"",IFERROR(((D16*E16+F16)/C16)^(1/5)-1,"n/a"))</f>
        <v/>
      </c>
      <c r="H16" s="121"/>
      <c r="I16" s="158"/>
      <c r="J16" s="122"/>
      <c r="K16" s="158"/>
      <c r="L16" s="159" t="str">
        <f aca="false">IF(OR(C16="",I16="",J16="",K16=""),"",IFERROR(((I16*J16+K16)/C16)^(1/5)-1,"n/a"))</f>
        <v/>
      </c>
      <c r="M16" s="121"/>
      <c r="N16" s="158"/>
      <c r="O16" s="122"/>
      <c r="P16" s="158"/>
      <c r="Q16" s="159" t="str">
        <f aca="false">IF(OR(C16="",N16="",O16="",P16=""),"",IFERROR(((N16*O16+P16)/C16)^(1/5)-1,"n/a"))</f>
        <v/>
      </c>
      <c r="R16" s="121"/>
      <c r="S16" s="120" t="str">
        <f aca="false">IF(G16="","",IF(G16&gt;0.1,"PASS","FAIL"))</f>
        <v/>
      </c>
      <c r="T16" s="120" t="str">
        <f aca="false">IF(L16="","",IF(L16&gt;=0,"PASS","FAIL"))</f>
        <v/>
      </c>
      <c r="U16" s="120" t="str">
        <f aca="false">IF(COUNTA(H16,M16,R16)=0,"",IF((COUNTIF(H16,"Likely")+COUNTIF(M16,"Likely")+COUNTIF(R16,"Likely"))=1,"OK","CHECK TAGS"))</f>
        <v/>
      </c>
    </row>
    <row r="17" customFormat="false" ht="15" hidden="false" customHeight="true" outlineLevel="0" collapsed="false">
      <c r="A17" s="68"/>
      <c r="B17" s="121"/>
      <c r="C17" s="158"/>
      <c r="D17" s="158"/>
      <c r="E17" s="122"/>
      <c r="F17" s="158"/>
      <c r="G17" s="159" t="str">
        <f aca="false">IF(OR(C17="",D17="",E17="",F17=""),"",IFERROR(((D17*E17+F17)/C17)^(1/5)-1,"n/a"))</f>
        <v/>
      </c>
      <c r="H17" s="121"/>
      <c r="I17" s="158"/>
      <c r="J17" s="122"/>
      <c r="K17" s="158"/>
      <c r="L17" s="159" t="str">
        <f aca="false">IF(OR(C17="",I17="",J17="",K17=""),"",IFERROR(((I17*J17+K17)/C17)^(1/5)-1,"n/a"))</f>
        <v/>
      </c>
      <c r="M17" s="121"/>
      <c r="N17" s="158"/>
      <c r="O17" s="122"/>
      <c r="P17" s="158"/>
      <c r="Q17" s="159" t="str">
        <f aca="false">IF(OR(C17="",N17="",O17="",P17=""),"",IFERROR(((N17*O17+P17)/C17)^(1/5)-1,"n/a"))</f>
        <v/>
      </c>
      <c r="R17" s="121"/>
      <c r="S17" s="120" t="str">
        <f aca="false">IF(G17="","",IF(G17&gt;0.1,"PASS","FAIL"))</f>
        <v/>
      </c>
      <c r="T17" s="120" t="str">
        <f aca="false">IF(L17="","",IF(L17&gt;=0,"PASS","FAIL"))</f>
        <v/>
      </c>
      <c r="U17" s="120" t="str">
        <f aca="false">IF(COUNTA(H17,M17,R17)=0,"",IF((COUNTIF(H17,"Likely")+COUNTIF(M17,"Likely")+COUNTIF(R17,"Likely"))=1,"OK","CHECK TAGS"))</f>
        <v/>
      </c>
    </row>
    <row r="18" customFormat="false" ht="15" hidden="false" customHeight="true" outlineLevel="0" collapsed="false">
      <c r="A18" s="68"/>
      <c r="B18" s="121"/>
      <c r="C18" s="158"/>
      <c r="D18" s="158"/>
      <c r="E18" s="122"/>
      <c r="F18" s="158"/>
      <c r="G18" s="159" t="str">
        <f aca="false">IF(OR(C18="",D18="",E18="",F18=""),"",IFERROR(((D18*E18+F18)/C18)^(1/5)-1,"n/a"))</f>
        <v/>
      </c>
      <c r="H18" s="121"/>
      <c r="I18" s="158"/>
      <c r="J18" s="122"/>
      <c r="K18" s="158"/>
      <c r="L18" s="159" t="str">
        <f aca="false">IF(OR(C18="",I18="",J18="",K18=""),"",IFERROR(((I18*J18+K18)/C18)^(1/5)-1,"n/a"))</f>
        <v/>
      </c>
      <c r="M18" s="121"/>
      <c r="N18" s="158"/>
      <c r="O18" s="122"/>
      <c r="P18" s="158"/>
      <c r="Q18" s="159" t="str">
        <f aca="false">IF(OR(C18="",N18="",O18="",P18=""),"",IFERROR(((N18*O18+P18)/C18)^(1/5)-1,"n/a"))</f>
        <v/>
      </c>
      <c r="R18" s="121"/>
      <c r="S18" s="120" t="str">
        <f aca="false">IF(G18="","",IF(G18&gt;0.1,"PASS","FAIL"))</f>
        <v/>
      </c>
      <c r="T18" s="120" t="str">
        <f aca="false">IF(L18="","",IF(L18&gt;=0,"PASS","FAIL"))</f>
        <v/>
      </c>
      <c r="U18" s="120" t="str">
        <f aca="false">IF(COUNTA(H18,M18,R18)=0,"",IF((COUNTIF(H18,"Likely")+COUNTIF(M18,"Likely")+COUNTIF(R18,"Likely"))=1,"OK","CHECK TAGS"))</f>
        <v/>
      </c>
    </row>
    <row r="19" customFormat="false" ht="15" hidden="false" customHeight="true" outlineLevel="0" collapsed="false">
      <c r="A19" s="68"/>
      <c r="B19" s="121"/>
      <c r="C19" s="158"/>
      <c r="D19" s="158"/>
      <c r="E19" s="122"/>
      <c r="F19" s="158"/>
      <c r="G19" s="159" t="str">
        <f aca="false">IF(OR(C19="",D19="",E19="",F19=""),"",IFERROR(((D19*E19+F19)/C19)^(1/5)-1,"n/a"))</f>
        <v/>
      </c>
      <c r="H19" s="121"/>
      <c r="I19" s="158"/>
      <c r="J19" s="122"/>
      <c r="K19" s="158"/>
      <c r="L19" s="159" t="str">
        <f aca="false">IF(OR(C19="",I19="",J19="",K19=""),"",IFERROR(((I19*J19+K19)/C19)^(1/5)-1,"n/a"))</f>
        <v/>
      </c>
      <c r="M19" s="121"/>
      <c r="N19" s="158"/>
      <c r="O19" s="122"/>
      <c r="P19" s="158"/>
      <c r="Q19" s="159" t="str">
        <f aca="false">IF(OR(C19="",N19="",O19="",P19=""),"",IFERROR(((N19*O19+P19)/C19)^(1/5)-1,"n/a"))</f>
        <v/>
      </c>
      <c r="R19" s="121"/>
      <c r="S19" s="120" t="str">
        <f aca="false">IF(G19="","",IF(G19&gt;0.1,"PASS","FAIL"))</f>
        <v/>
      </c>
      <c r="T19" s="120" t="str">
        <f aca="false">IF(L19="","",IF(L19&gt;=0,"PASS","FAIL"))</f>
        <v/>
      </c>
      <c r="U19" s="120" t="str">
        <f aca="false">IF(COUNTA(H19,M19,R19)=0,"",IF((COUNTIF(H19,"Likely")+COUNTIF(M19,"Likely")+COUNTIF(R19,"Likely"))=1,"OK","CHECK TAGS"))</f>
        <v/>
      </c>
    </row>
    <row r="20" customFormat="false" ht="15" hidden="false" customHeight="true" outlineLevel="0" collapsed="false">
      <c r="A20" s="68" t="s">
        <v>190</v>
      </c>
      <c r="B20" s="121" t="s">
        <v>427</v>
      </c>
      <c r="C20" s="158" t="n">
        <v>967.17</v>
      </c>
      <c r="D20" s="158" t="n">
        <v>23.11</v>
      </c>
      <c r="E20" s="122" t="n">
        <v>61.48</v>
      </c>
      <c r="F20" s="158" t="n">
        <v>32</v>
      </c>
      <c r="G20" s="159" t="n">
        <f aca="false">IF(OR(C20="",D20="",E20="",F20=""),"",IFERROR(((D20*E20+F20)/C20)^(1/5)-1,"n/a"))</f>
        <v>0.0847777537329333</v>
      </c>
      <c r="H20" s="121" t="s">
        <v>428</v>
      </c>
      <c r="I20" s="158" t="n">
        <v>19.14</v>
      </c>
      <c r="J20" s="122" t="n">
        <v>50</v>
      </c>
      <c r="K20" s="158" t="n">
        <v>28</v>
      </c>
      <c r="L20" s="159" t="n">
        <f aca="false">IF(OR(C20="",I20="",J20="",K20=""),"",IFERROR(((I20*J20+K20)/C20)^(1/5)-1,"n/a"))</f>
        <v>0.00366015400817998</v>
      </c>
      <c r="M20" s="121" t="s">
        <v>428</v>
      </c>
      <c r="N20" s="158" t="n">
        <v>26.51</v>
      </c>
      <c r="O20" s="122" t="n">
        <v>61.48</v>
      </c>
      <c r="P20" s="158" t="n">
        <v>35</v>
      </c>
      <c r="Q20" s="159" t="n">
        <f aca="false">IF(OR(C20="",N20="",O20="",P20=""),"",IFERROR(((N20*O20+P20)/C20)^(1/5)-1,"n/a"))</f>
        <v>0.114740206784953</v>
      </c>
      <c r="R20" s="121" t="s">
        <v>429</v>
      </c>
      <c r="S20" s="120" t="str">
        <f aca="false">IF(G20="","",IF(G20&gt;0.1,"PASS","FAIL"))</f>
        <v>FAIL</v>
      </c>
      <c r="T20" s="120" t="str">
        <f aca="false">IF(L20="","",IF(L20&gt;=0,"PASS","FAIL"))</f>
        <v>PASS</v>
      </c>
      <c r="U20" s="120" t="str">
        <f aca="false">IF(COUNTA(H20,M20,R20)=0,"",IF((COUNTIF(H20,"Likely")+COUNTIF(M20,"Likely")+COUNTIF(R20,"Likely"))=1,"OK","CHECK TAGS"))</f>
        <v>OK</v>
      </c>
    </row>
    <row r="21" customFormat="false" ht="15" hidden="false" customHeight="true" outlineLevel="0" collapsed="false">
      <c r="A21" s="68" t="s">
        <v>211</v>
      </c>
      <c r="B21" s="121" t="s">
        <v>288</v>
      </c>
      <c r="C21" s="158" t="n">
        <v>380.63</v>
      </c>
      <c r="D21" s="158" t="n">
        <v>17.84</v>
      </c>
      <c r="E21" s="122" t="n">
        <v>34.36</v>
      </c>
      <c r="F21" s="158" t="n">
        <v>16</v>
      </c>
      <c r="G21" s="159" t="n">
        <f aca="false">IF(OR(C21="",D21="",E21="",F21=""),"",IFERROR(((D21*E21+F21)/C21)^(1/5)-1,"n/a"))</f>
        <v>0.105673995986338</v>
      </c>
      <c r="H21" s="121" t="s">
        <v>429</v>
      </c>
      <c r="I21" s="158" t="n">
        <v>14.14</v>
      </c>
      <c r="J21" s="122" t="n">
        <v>28</v>
      </c>
      <c r="K21" s="158" t="n">
        <v>14</v>
      </c>
      <c r="L21" s="159" t="n">
        <f aca="false">IF(OR(C21="",I21="",J21="",K21=""),"",IFERROR(((I21*J21+K21)/C21)^(1/5)-1,"n/a"))</f>
        <v>0.0149373117952127</v>
      </c>
      <c r="M21" s="121" t="s">
        <v>428</v>
      </c>
      <c r="N21" s="158" t="n">
        <v>21.33</v>
      </c>
      <c r="O21" s="122" t="n">
        <v>38</v>
      </c>
      <c r="P21" s="158" t="n">
        <v>18</v>
      </c>
      <c r="Q21" s="159" t="n">
        <f aca="false">IF(OR(C21="",N21="",O21="",P21=""),"",IFERROR(((N21*O21+P21)/C21)^(1/5)-1,"n/a"))</f>
        <v>0.168320757920451</v>
      </c>
      <c r="R21" s="121" t="s">
        <v>428</v>
      </c>
      <c r="S21" s="120" t="str">
        <f aca="false">IF(G21="","",IF(G21&gt;0.1,"PASS","FAIL"))</f>
        <v>PASS</v>
      </c>
      <c r="T21" s="120" t="str">
        <f aca="false">IF(L21="","",IF(L21&gt;=0,"PASS","FAIL"))</f>
        <v>PASS</v>
      </c>
      <c r="U21" s="120" t="str">
        <f aca="false">IF(COUNTA(H21,M21,R21)=0,"",IF((COUNTIF(H21,"Likely")+COUNTIF(M21,"Likely")+COUNTIF(R21,"Likely"))=1,"OK","CHECK TAGS"))</f>
        <v>OK</v>
      </c>
    </row>
    <row r="22" customFormat="false" ht="15" hidden="false" customHeight="true" outlineLevel="0" collapsed="false">
      <c r="A22" s="68"/>
      <c r="B22" s="121"/>
      <c r="C22" s="158"/>
      <c r="D22" s="158"/>
      <c r="E22" s="122"/>
      <c r="F22" s="158"/>
      <c r="G22" s="159" t="str">
        <f aca="false">IF(OR(C22="",D22="",E22="",F22=""),"",IFERROR(((D22*E22+F22)/C22)^(1/5)-1,"n/a"))</f>
        <v/>
      </c>
      <c r="H22" s="121"/>
      <c r="I22" s="158"/>
      <c r="J22" s="122"/>
      <c r="K22" s="158"/>
      <c r="L22" s="159" t="str">
        <f aca="false">IF(OR(C22="",I22="",J22="",K22=""),"",IFERROR(((I22*J22+K22)/C22)^(1/5)-1,"n/a"))</f>
        <v/>
      </c>
      <c r="M22" s="121"/>
      <c r="N22" s="158"/>
      <c r="O22" s="122"/>
      <c r="P22" s="158"/>
      <c r="Q22" s="159" t="str">
        <f aca="false">IF(OR(C22="",N22="",O22="",P22=""),"",IFERROR(((N22*O22+P22)/C22)^(1/5)-1,"n/a"))</f>
        <v/>
      </c>
      <c r="R22" s="121"/>
      <c r="S22" s="120" t="str">
        <f aca="false">IF(G22="","",IF(G22&gt;0.1,"PASS","FAIL"))</f>
        <v/>
      </c>
      <c r="T22" s="120" t="str">
        <f aca="false">IF(L22="","",IF(L22&gt;=0,"PASS","FAIL"))</f>
        <v/>
      </c>
      <c r="U22" s="120" t="str">
        <f aca="false">IF(COUNTA(H22,M22,R22)=0,"",IF((COUNTIF(H22,"Likely")+COUNTIF(M22,"Likely")+COUNTIF(R22,"Likely"))=1,"OK","CHECK TAGS"))</f>
        <v/>
      </c>
    </row>
    <row r="23" customFormat="false" ht="15" hidden="false" customHeight="true" outlineLevel="0" collapsed="false">
      <c r="A23" s="68"/>
      <c r="B23" s="121"/>
      <c r="C23" s="158"/>
      <c r="D23" s="158"/>
      <c r="E23" s="122"/>
      <c r="F23" s="158"/>
      <c r="G23" s="159" t="str">
        <f aca="false">IF(OR(C23="",D23="",E23="",F23=""),"",IFERROR(((D23*E23+F23)/C23)^(1/5)-1,"n/a"))</f>
        <v/>
      </c>
      <c r="H23" s="121"/>
      <c r="I23" s="158"/>
      <c r="J23" s="122"/>
      <c r="K23" s="158"/>
      <c r="L23" s="159" t="str">
        <f aca="false">IF(OR(C23="",I23="",J23="",K23=""),"",IFERROR(((I23*J23+K23)/C23)^(1/5)-1,"n/a"))</f>
        <v/>
      </c>
      <c r="M23" s="121"/>
      <c r="N23" s="158"/>
      <c r="O23" s="122"/>
      <c r="P23" s="158"/>
      <c r="Q23" s="159" t="str">
        <f aca="false">IF(OR(C23="",N23="",O23="",P23=""),"",IFERROR(((N23*O23+P23)/C23)^(1/5)-1,"n/a"))</f>
        <v/>
      </c>
      <c r="R23" s="121"/>
      <c r="S23" s="120" t="str">
        <f aca="false">IF(G23="","",IF(G23&gt;0.1,"PASS","FAIL"))</f>
        <v/>
      </c>
      <c r="T23" s="120" t="str">
        <f aca="false">IF(L23="","",IF(L23&gt;=0,"PASS","FAIL"))</f>
        <v/>
      </c>
      <c r="U23" s="120" t="str">
        <f aca="false">IF(COUNTA(H23,M23,R23)=0,"",IF((COUNTIF(H23,"Likely")+COUNTIF(M23,"Likely")+COUNTIF(R23,"Likely"))=1,"OK","CHECK TAGS"))</f>
        <v/>
      </c>
    </row>
    <row r="24" customFormat="false" ht="15" hidden="false" customHeight="false" outlineLevel="0" collapsed="false">
      <c r="A24" s="78"/>
      <c r="B24" s="78"/>
      <c r="C24" s="80"/>
      <c r="D24" s="80"/>
      <c r="E24" s="126"/>
      <c r="F24" s="80"/>
      <c r="G24" s="81" t="str">
        <f aca="false">IF(OR(C24="",D24="",E24="",F24=""),"",IFERROR(((D24*E24+F24)/C24)^(1/5)-1,"n/a"))</f>
        <v/>
      </c>
      <c r="H24" s="78"/>
      <c r="I24" s="80"/>
      <c r="J24" s="126"/>
      <c r="K24" s="80"/>
      <c r="L24" s="81" t="str">
        <f aca="false">IF(OR(C24="",I24="",J24="",K24=""),"",IFERROR(((I24*J24+K24)/C24)^(1/5)-1,"n/a"))</f>
        <v/>
      </c>
      <c r="M24" s="78"/>
      <c r="N24" s="80"/>
      <c r="O24" s="126"/>
      <c r="P24" s="80"/>
      <c r="Q24" s="81" t="str">
        <f aca="false">IF(OR(C24="",N24="",O24="",P24=""),"",IFERROR(((N24*O24+P24)/C24)^(1/5)-1,"n/a"))</f>
        <v/>
      </c>
      <c r="R24" s="78"/>
      <c r="S24" s="1" t="str">
        <f aca="false">IF(G24="","",IF(G24&gt;0.1,"PASS","FAIL"))</f>
        <v/>
      </c>
      <c r="T24" s="1" t="str">
        <f aca="false">IF(L24="","",IF(L24&gt;=0,"PASS","FAIL"))</f>
        <v/>
      </c>
      <c r="U24" s="1" t="str">
        <f aca="false">IF(COUNTA(H24,M24,R24)=0,"",IF((COUNTIF(H24,"Likely")+COUNTIF(M24,"Likely")+COUNTIF(R24,"Likely"))=1,"OK","CHECK TAGS"))</f>
        <v/>
      </c>
    </row>
    <row r="25" customFormat="false" ht="15" hidden="false" customHeight="false" outlineLevel="0" collapsed="false">
      <c r="A25" s="78"/>
      <c r="B25" s="78"/>
      <c r="C25" s="80"/>
      <c r="D25" s="80"/>
      <c r="E25" s="126"/>
      <c r="F25" s="80"/>
      <c r="G25" s="81" t="str">
        <f aca="false">IF(OR(C25="",D25="",E25="",F25=""),"",IFERROR(((D25*E25+F25)/C25)^(1/5)-1,"n/a"))</f>
        <v/>
      </c>
      <c r="H25" s="78"/>
      <c r="I25" s="80"/>
      <c r="J25" s="126"/>
      <c r="K25" s="80"/>
      <c r="L25" s="81" t="str">
        <f aca="false">IF(OR(C25="",I25="",J25="",K25=""),"",IFERROR(((I25*J25+K25)/C25)^(1/5)-1,"n/a"))</f>
        <v/>
      </c>
      <c r="M25" s="78"/>
      <c r="N25" s="80"/>
      <c r="O25" s="126"/>
      <c r="P25" s="80"/>
      <c r="Q25" s="81" t="str">
        <f aca="false">IF(OR(C25="",N25="",O25="",P25=""),"",IFERROR(((N25*O25+P25)/C25)^(1/5)-1,"n/a"))</f>
        <v/>
      </c>
      <c r="R25" s="78"/>
      <c r="S25" s="1" t="str">
        <f aca="false">IF(G25="","",IF(G25&gt;0.1,"PASS","FAIL"))</f>
        <v/>
      </c>
      <c r="T25" s="1" t="str">
        <f aca="false">IF(L25="","",IF(L25&gt;=0,"PASS","FAIL"))</f>
        <v/>
      </c>
      <c r="U25" s="1" t="str">
        <f aca="false">IF(COUNTA(H25,M25,R25)=0,"",IF((COUNTIF(H25,"Likely")+COUNTIF(M25,"Likely")+COUNTIF(R25,"Likely"))=1,"OK","CHECK TAGS"))</f>
        <v/>
      </c>
    </row>
    <row r="26" customFormat="false" ht="15" hidden="false" customHeight="false" outlineLevel="0" collapsed="false">
      <c r="A26" s="78"/>
      <c r="B26" s="78"/>
      <c r="C26" s="80"/>
      <c r="D26" s="80"/>
      <c r="E26" s="126"/>
      <c r="F26" s="80"/>
      <c r="G26" s="81" t="str">
        <f aca="false">IF(OR(C26="",D26="",E26="",F26=""),"",IFERROR(((D26*E26+F26)/C26)^(1/5)-1,"n/a"))</f>
        <v/>
      </c>
      <c r="H26" s="78"/>
      <c r="I26" s="80"/>
      <c r="J26" s="126"/>
      <c r="K26" s="80"/>
      <c r="L26" s="81" t="str">
        <f aca="false">IF(OR(C26="",I26="",J26="",K26=""),"",IFERROR(((I26*J26+K26)/C26)^(1/5)-1,"n/a"))</f>
        <v/>
      </c>
      <c r="M26" s="78"/>
      <c r="N26" s="80"/>
      <c r="O26" s="126"/>
      <c r="P26" s="80"/>
      <c r="Q26" s="81" t="str">
        <f aca="false">IF(OR(C26="",N26="",O26="",P26=""),"",IFERROR(((N26*O26+P26)/C26)^(1/5)-1,"n/a"))</f>
        <v/>
      </c>
      <c r="R26" s="78"/>
      <c r="S26" s="1" t="str">
        <f aca="false">IF(G26="","",IF(G26&gt;0.1,"PASS","FAIL"))</f>
        <v/>
      </c>
      <c r="T26" s="1" t="str">
        <f aca="false">IF(L26="","",IF(L26&gt;=0,"PASS","FAIL"))</f>
        <v/>
      </c>
      <c r="U26" s="1" t="str">
        <f aca="false">IF(COUNTA(H26,M26,R26)=0,"",IF((COUNTIF(H26,"Likely")+COUNTIF(M26,"Likely")+COUNTIF(R26,"Likely"))=1,"OK","CHECK TAGS"))</f>
        <v/>
      </c>
    </row>
    <row r="27" customFormat="false" ht="15" hidden="false" customHeight="false" outlineLevel="0" collapsed="false">
      <c r="A27" s="78"/>
      <c r="B27" s="78"/>
      <c r="C27" s="80"/>
      <c r="D27" s="80"/>
      <c r="E27" s="126"/>
      <c r="F27" s="80"/>
      <c r="G27" s="81" t="str">
        <f aca="false">IF(OR(C27="",D27="",E27="",F27=""),"",IFERROR(((D27*E27+F27)/C27)^(1/5)-1,"n/a"))</f>
        <v/>
      </c>
      <c r="H27" s="78"/>
      <c r="I27" s="80"/>
      <c r="J27" s="126"/>
      <c r="K27" s="80"/>
      <c r="L27" s="81" t="str">
        <f aca="false">IF(OR(C27="",I27="",J27="",K27=""),"",IFERROR(((I27*J27+K27)/C27)^(1/5)-1,"n/a"))</f>
        <v/>
      </c>
      <c r="M27" s="78"/>
      <c r="N27" s="80"/>
      <c r="O27" s="126"/>
      <c r="P27" s="80"/>
      <c r="Q27" s="81" t="str">
        <f aca="false">IF(OR(C27="",N27="",O27="",P27=""),"",IFERROR(((N27*O27+P27)/C27)^(1/5)-1,"n/a"))</f>
        <v/>
      </c>
      <c r="R27" s="78"/>
      <c r="S27" s="1" t="str">
        <f aca="false">IF(G27="","",IF(G27&gt;0.1,"PASS","FAIL"))</f>
        <v/>
      </c>
      <c r="T27" s="1" t="str">
        <f aca="false">IF(L27="","",IF(L27&gt;=0,"PASS","FAIL"))</f>
        <v/>
      </c>
      <c r="U27" s="1" t="str">
        <f aca="false">IF(COUNTA(H27,M27,R27)=0,"",IF((COUNTIF(H27,"Likely")+COUNTIF(M27,"Likely")+COUNTIF(R27,"Likely"))=1,"OK","CHECK TAGS"))</f>
        <v/>
      </c>
    </row>
    <row r="28" customFormat="false" ht="15" hidden="false" customHeight="false" outlineLevel="0" collapsed="false">
      <c r="A28" s="78"/>
      <c r="B28" s="78"/>
      <c r="C28" s="80"/>
      <c r="D28" s="80"/>
      <c r="E28" s="126"/>
      <c r="F28" s="80"/>
      <c r="G28" s="81" t="str">
        <f aca="false">IF(OR(C28="",D28="",E28="",F28=""),"",IFERROR(((D28*E28+F28)/C28)^(1/5)-1,"n/a"))</f>
        <v/>
      </c>
      <c r="H28" s="78"/>
      <c r="I28" s="80"/>
      <c r="J28" s="126"/>
      <c r="K28" s="80"/>
      <c r="L28" s="81" t="str">
        <f aca="false">IF(OR(C28="",I28="",J28="",K28=""),"",IFERROR(((I28*J28+K28)/C28)^(1/5)-1,"n/a"))</f>
        <v/>
      </c>
      <c r="M28" s="78"/>
      <c r="N28" s="80"/>
      <c r="O28" s="126"/>
      <c r="P28" s="80"/>
      <c r="Q28" s="81" t="str">
        <f aca="false">IF(OR(C28="",N28="",O28="",P28=""),"",IFERROR(((N28*O28+P28)/C28)^(1/5)-1,"n/a"))</f>
        <v/>
      </c>
      <c r="R28" s="78"/>
      <c r="S28" s="1" t="str">
        <f aca="false">IF(G28="","",IF(G28&gt;0.1,"PASS","FAIL"))</f>
        <v/>
      </c>
      <c r="T28" s="1" t="str">
        <f aca="false">IF(L28="","",IF(L28&gt;=0,"PASS","FAIL"))</f>
        <v/>
      </c>
      <c r="U28" s="1" t="str">
        <f aca="false">IF(COUNTA(H28,M28,R28)=0,"",IF((COUNTIF(H28,"Likely")+COUNTIF(M28,"Likely")+COUNTIF(R28,"Likely"))=1,"OK","CHECK TAGS"))</f>
        <v/>
      </c>
    </row>
    <row r="29" customFormat="false" ht="15" hidden="false" customHeight="false" outlineLevel="0" collapsed="false">
      <c r="A29" s="78"/>
      <c r="B29" s="78"/>
      <c r="C29" s="80"/>
      <c r="D29" s="80"/>
      <c r="E29" s="126"/>
      <c r="F29" s="80"/>
      <c r="G29" s="81" t="str">
        <f aca="false">IF(OR(C29="",D29="",E29="",F29=""),"",IFERROR(((D29*E29+F29)/C29)^(1/5)-1,"n/a"))</f>
        <v/>
      </c>
      <c r="H29" s="78"/>
      <c r="I29" s="80"/>
      <c r="J29" s="126"/>
      <c r="K29" s="80"/>
      <c r="L29" s="81" t="str">
        <f aca="false">IF(OR(C29="",I29="",J29="",K29=""),"",IFERROR(((I29*J29+K29)/C29)^(1/5)-1,"n/a"))</f>
        <v/>
      </c>
      <c r="M29" s="78"/>
      <c r="N29" s="80"/>
      <c r="O29" s="126"/>
      <c r="P29" s="80"/>
      <c r="Q29" s="81" t="str">
        <f aca="false">IF(OR(C29="",N29="",O29="",P29=""),"",IFERROR(((N29*O29+P29)/C29)^(1/5)-1,"n/a"))</f>
        <v/>
      </c>
      <c r="R29" s="78"/>
      <c r="S29" s="1" t="str">
        <f aca="false">IF(G29="","",IF(G29&gt;0.1,"PASS","FAIL"))</f>
        <v/>
      </c>
      <c r="T29" s="1" t="str">
        <f aca="false">IF(L29="","",IF(L29&gt;=0,"PASS","FAIL"))</f>
        <v/>
      </c>
      <c r="U29" s="1" t="str">
        <f aca="false">IF(COUNTA(H29,M29,R29)=0,"",IF((COUNTIF(H29,"Likely")+COUNTIF(M29,"Likely")+COUNTIF(R29,"Likely"))=1,"OK","CHECK TAGS"))</f>
        <v/>
      </c>
    </row>
    <row r="30" customFormat="false" ht="15" hidden="false" customHeight="false" outlineLevel="0" collapsed="false">
      <c r="A30" s="78"/>
      <c r="B30" s="78"/>
      <c r="C30" s="80"/>
      <c r="D30" s="80"/>
      <c r="E30" s="126"/>
      <c r="F30" s="80"/>
      <c r="G30" s="81" t="str">
        <f aca="false">IF(OR(C30="",D30="",E30="",F30=""),"",IFERROR(((D30*E30+F30)/C30)^(1/5)-1,"n/a"))</f>
        <v/>
      </c>
      <c r="H30" s="78"/>
      <c r="I30" s="80"/>
      <c r="J30" s="126"/>
      <c r="K30" s="80"/>
      <c r="L30" s="81" t="str">
        <f aca="false">IF(OR(C30="",I30="",J30="",K30=""),"",IFERROR(((I30*J30+K30)/C30)^(1/5)-1,"n/a"))</f>
        <v/>
      </c>
      <c r="M30" s="78"/>
      <c r="N30" s="80"/>
      <c r="O30" s="126"/>
      <c r="P30" s="80"/>
      <c r="Q30" s="81" t="str">
        <f aca="false">IF(OR(C30="",N30="",O30="",P30=""),"",IFERROR(((N30*O30+P30)/C30)^(1/5)-1,"n/a"))</f>
        <v/>
      </c>
      <c r="R30" s="78"/>
      <c r="S30" s="1" t="str">
        <f aca="false">IF(G30="","",IF(G30&gt;0.1,"PASS","FAIL"))</f>
        <v/>
      </c>
      <c r="T30" s="1" t="str">
        <f aca="false">IF(L30="","",IF(L30&gt;=0,"PASS","FAIL"))</f>
        <v/>
      </c>
      <c r="U30" s="1" t="str">
        <f aca="false">IF(COUNTA(H30,M30,R30)=0,"",IF((COUNTIF(H30,"Likely")+COUNTIF(M30,"Likely")+COUNTIF(R30,"Likely"))=1,"OK","CHECK TAGS"))</f>
        <v/>
      </c>
    </row>
    <row r="31" customFormat="false" ht="15" hidden="false" customHeight="false" outlineLevel="0" collapsed="false">
      <c r="A31" s="78"/>
      <c r="B31" s="78"/>
      <c r="C31" s="80"/>
      <c r="D31" s="80"/>
      <c r="E31" s="126"/>
      <c r="F31" s="80"/>
      <c r="G31" s="81" t="str">
        <f aca="false">IF(OR(C31="",D31="",E31="",F31=""),"",IFERROR(((D31*E31+F31)/C31)^(1/5)-1,"n/a"))</f>
        <v/>
      </c>
      <c r="H31" s="78"/>
      <c r="I31" s="80"/>
      <c r="J31" s="126"/>
      <c r="K31" s="80"/>
      <c r="L31" s="81" t="str">
        <f aca="false">IF(OR(C31="",I31="",J31="",K31=""),"",IFERROR(((I31*J31+K31)/C31)^(1/5)-1,"n/a"))</f>
        <v/>
      </c>
      <c r="M31" s="78"/>
      <c r="N31" s="80"/>
      <c r="O31" s="126"/>
      <c r="P31" s="80"/>
      <c r="Q31" s="81" t="str">
        <f aca="false">IF(OR(C31="",N31="",O31="",P31=""),"",IFERROR(((N31*O31+P31)/C31)^(1/5)-1,"n/a"))</f>
        <v/>
      </c>
      <c r="R31" s="78"/>
      <c r="S31" s="1" t="str">
        <f aca="false">IF(G31="","",IF(G31&gt;0.1,"PASS","FAIL"))</f>
        <v/>
      </c>
      <c r="T31" s="1" t="str">
        <f aca="false">IF(L31="","",IF(L31&gt;=0,"PASS","FAIL"))</f>
        <v/>
      </c>
      <c r="U31" s="1" t="str">
        <f aca="false">IF(COUNTA(H31,M31,R31)=0,"",IF((COUNTIF(H31,"Likely")+COUNTIF(M31,"Likely")+COUNTIF(R31,"Likely"))=1,"OK","CHECK TAGS"))</f>
        <v/>
      </c>
    </row>
    <row r="32" customFormat="false" ht="15" hidden="false" customHeight="false" outlineLevel="0" collapsed="false">
      <c r="A32" s="78"/>
      <c r="B32" s="78"/>
      <c r="C32" s="80"/>
      <c r="D32" s="80"/>
      <c r="E32" s="126"/>
      <c r="F32" s="80"/>
      <c r="G32" s="81" t="str">
        <f aca="false">IF(OR(C32="",D32="",E32="",F32=""),"",IFERROR(((D32*E32+F32)/C32)^(1/5)-1,"n/a"))</f>
        <v/>
      </c>
      <c r="H32" s="78"/>
      <c r="I32" s="80"/>
      <c r="J32" s="126"/>
      <c r="K32" s="80"/>
      <c r="L32" s="81" t="str">
        <f aca="false">IF(OR(C32="",I32="",J32="",K32=""),"",IFERROR(((I32*J32+K32)/C32)^(1/5)-1,"n/a"))</f>
        <v/>
      </c>
      <c r="M32" s="78"/>
      <c r="N32" s="80"/>
      <c r="O32" s="126"/>
      <c r="P32" s="80"/>
      <c r="Q32" s="81" t="str">
        <f aca="false">IF(OR(C32="",N32="",O32="",P32=""),"",IFERROR(((N32*O32+P32)/C32)^(1/5)-1,"n/a"))</f>
        <v/>
      </c>
      <c r="R32" s="78"/>
      <c r="S32" s="1" t="str">
        <f aca="false">IF(G32="","",IF(G32&gt;0.1,"PASS","FAIL"))</f>
        <v/>
      </c>
      <c r="T32" s="1" t="str">
        <f aca="false">IF(L32="","",IF(L32&gt;=0,"PASS","FAIL"))</f>
        <v/>
      </c>
      <c r="U32" s="1" t="str">
        <f aca="false">IF(COUNTA(H32,M32,R32)=0,"",IF((COUNTIF(H32,"Likely")+COUNTIF(M32,"Likely")+COUNTIF(R32,"Likely"))=1,"OK","CHECK TAGS"))</f>
        <v/>
      </c>
    </row>
    <row r="33" customFormat="false" ht="15" hidden="false" customHeight="false" outlineLevel="0" collapsed="false">
      <c r="A33" s="78"/>
      <c r="B33" s="78"/>
      <c r="C33" s="80"/>
      <c r="D33" s="80"/>
      <c r="E33" s="126"/>
      <c r="F33" s="80"/>
      <c r="G33" s="81" t="str">
        <f aca="false">IF(OR(C33="",D33="",E33="",F33=""),"",IFERROR(((D33*E33+F33)/C33)^(1/5)-1,"n/a"))</f>
        <v/>
      </c>
      <c r="H33" s="78"/>
      <c r="I33" s="80"/>
      <c r="J33" s="126"/>
      <c r="K33" s="80"/>
      <c r="L33" s="81" t="str">
        <f aca="false">IF(OR(C33="",I33="",J33="",K33=""),"",IFERROR(((I33*J33+K33)/C33)^(1/5)-1,"n/a"))</f>
        <v/>
      </c>
      <c r="M33" s="78"/>
      <c r="N33" s="80"/>
      <c r="O33" s="126"/>
      <c r="P33" s="80"/>
      <c r="Q33" s="81" t="str">
        <f aca="false">IF(OR(C33="",N33="",O33="",P33=""),"",IFERROR(((N33*O33+P33)/C33)^(1/5)-1,"n/a"))</f>
        <v/>
      </c>
      <c r="R33" s="78"/>
      <c r="S33" s="1" t="str">
        <f aca="false">IF(G33="","",IF(G33&gt;0.1,"PASS","FAIL"))</f>
        <v/>
      </c>
      <c r="T33" s="1" t="str">
        <f aca="false">IF(L33="","",IF(L33&gt;=0,"PASS","FAIL"))</f>
        <v/>
      </c>
      <c r="U33" s="1" t="str">
        <f aca="false">IF(COUNTA(H33,M33,R33)=0,"",IF((COUNTIF(H33,"Likely")+COUNTIF(M33,"Likely")+COUNTIF(R33,"Likely"))=1,"OK","CHECK TAGS"))</f>
        <v/>
      </c>
    </row>
    <row r="34" customFormat="false" ht="15" hidden="false" customHeight="false" outlineLevel="0" collapsed="false">
      <c r="A34" s="78"/>
      <c r="B34" s="78"/>
      <c r="C34" s="80"/>
      <c r="D34" s="80"/>
      <c r="E34" s="126"/>
      <c r="F34" s="80"/>
      <c r="G34" s="81" t="str">
        <f aca="false">IF(OR(C34="",D34="",E34="",F34=""),"",IFERROR(((D34*E34+F34)/C34)^(1/5)-1,"n/a"))</f>
        <v/>
      </c>
      <c r="H34" s="78"/>
      <c r="I34" s="80"/>
      <c r="J34" s="126"/>
      <c r="K34" s="80"/>
      <c r="L34" s="81" t="str">
        <f aca="false">IF(OR(C34="",I34="",J34="",K34=""),"",IFERROR(((I34*J34+K34)/C34)^(1/5)-1,"n/a"))</f>
        <v/>
      </c>
      <c r="M34" s="78"/>
      <c r="N34" s="80"/>
      <c r="O34" s="126"/>
      <c r="P34" s="80"/>
      <c r="Q34" s="81" t="str">
        <f aca="false">IF(OR(C34="",N34="",O34="",P34=""),"",IFERROR(((N34*O34+P34)/C34)^(1/5)-1,"n/a"))</f>
        <v/>
      </c>
      <c r="R34" s="78"/>
      <c r="S34" s="1" t="str">
        <f aca="false">IF(G34="","",IF(G34&gt;0.1,"PASS","FAIL"))</f>
        <v/>
      </c>
      <c r="T34" s="1" t="str">
        <f aca="false">IF(L34="","",IF(L34&gt;=0,"PASS","FAIL"))</f>
        <v/>
      </c>
      <c r="U34" s="1" t="str">
        <f aca="false">IF(COUNTA(H34,M34,R34)=0,"",IF((COUNTIF(H34,"Likely")+COUNTIF(M34,"Likely")+COUNTIF(R34,"Likely"))=1,"OK","CHECK TAGS"))</f>
        <v/>
      </c>
    </row>
    <row r="35" customFormat="false" ht="15" hidden="false" customHeight="false" outlineLevel="0" collapsed="false">
      <c r="A35" s="78"/>
      <c r="B35" s="78"/>
      <c r="C35" s="80"/>
      <c r="D35" s="80"/>
      <c r="E35" s="126"/>
      <c r="F35" s="80"/>
      <c r="G35" s="81" t="str">
        <f aca="false">IF(OR(C35="",D35="",E35="",F35=""),"",IFERROR(((D35*E35+F35)/C35)^(1/5)-1,"n/a"))</f>
        <v/>
      </c>
      <c r="H35" s="78"/>
      <c r="I35" s="80"/>
      <c r="J35" s="126"/>
      <c r="K35" s="80"/>
      <c r="L35" s="81" t="str">
        <f aca="false">IF(OR(C35="",I35="",J35="",K35=""),"",IFERROR(((I35*J35+K35)/C35)^(1/5)-1,"n/a"))</f>
        <v/>
      </c>
      <c r="M35" s="78"/>
      <c r="N35" s="80"/>
      <c r="O35" s="126"/>
      <c r="P35" s="80"/>
      <c r="Q35" s="81" t="str">
        <f aca="false">IF(OR(C35="",N35="",O35="",P35=""),"",IFERROR(((N35*O35+P35)/C35)^(1/5)-1,"n/a"))</f>
        <v/>
      </c>
      <c r="R35" s="78"/>
      <c r="S35" s="1" t="str">
        <f aca="false">IF(G35="","",IF(G35&gt;0.1,"PASS","FAIL"))</f>
        <v/>
      </c>
      <c r="T35" s="1" t="str">
        <f aca="false">IF(L35="","",IF(L35&gt;=0,"PASS","FAIL"))</f>
        <v/>
      </c>
      <c r="U35" s="1" t="str">
        <f aca="false">IF(COUNTA(H35,M35,R35)=0,"",IF((COUNTIF(H35,"Likely")+COUNTIF(M35,"Likely")+COUNTIF(R35,"Likely"))=1,"OK","CHECK TAGS"))</f>
        <v/>
      </c>
    </row>
    <row r="36" customFormat="false" ht="15" hidden="false" customHeight="false" outlineLevel="0" collapsed="false">
      <c r="A36" s="78"/>
      <c r="B36" s="78"/>
      <c r="C36" s="80"/>
      <c r="D36" s="80"/>
      <c r="E36" s="126"/>
      <c r="F36" s="80"/>
      <c r="G36" s="81" t="str">
        <f aca="false">IF(OR(C36="",D36="",E36="",F36=""),"",IFERROR(((D36*E36+F36)/C36)^(1/5)-1,"n/a"))</f>
        <v/>
      </c>
      <c r="H36" s="78"/>
      <c r="I36" s="80"/>
      <c r="J36" s="126"/>
      <c r="K36" s="80"/>
      <c r="L36" s="81" t="str">
        <f aca="false">IF(OR(C36="",I36="",J36="",K36=""),"",IFERROR(((I36*J36+K36)/C36)^(1/5)-1,"n/a"))</f>
        <v/>
      </c>
      <c r="M36" s="78"/>
      <c r="N36" s="80"/>
      <c r="O36" s="126"/>
      <c r="P36" s="80"/>
      <c r="Q36" s="81" t="str">
        <f aca="false">IF(OR(C36="",N36="",O36="",P36=""),"",IFERROR(((N36*O36+P36)/C36)^(1/5)-1,"n/a"))</f>
        <v/>
      </c>
      <c r="R36" s="78"/>
      <c r="S36" s="1" t="str">
        <f aca="false">IF(G36="","",IF(G36&gt;0.1,"PASS","FAIL"))</f>
        <v/>
      </c>
      <c r="T36" s="1" t="str">
        <f aca="false">IF(L36="","",IF(L36&gt;=0,"PASS","FAIL"))</f>
        <v/>
      </c>
      <c r="U36" s="1" t="str">
        <f aca="false">IF(COUNTA(H36,M36,R36)=0,"",IF((COUNTIF(H36,"Likely")+COUNTIF(M36,"Likely")+COUNTIF(R36,"Likely"))=1,"OK","CHECK TAGS"))</f>
        <v/>
      </c>
    </row>
    <row r="37" customFormat="false" ht="15" hidden="false" customHeight="false" outlineLevel="0" collapsed="false">
      <c r="A37" s="78"/>
      <c r="B37" s="78"/>
      <c r="C37" s="80"/>
      <c r="D37" s="80"/>
      <c r="E37" s="126"/>
      <c r="F37" s="80"/>
      <c r="G37" s="81" t="str">
        <f aca="false">IF(OR(C37="",D37="",E37="",F37=""),"",IFERROR(((D37*E37+F37)/C37)^(1/5)-1,"n/a"))</f>
        <v/>
      </c>
      <c r="H37" s="78"/>
      <c r="I37" s="80"/>
      <c r="J37" s="126"/>
      <c r="K37" s="80"/>
      <c r="L37" s="81" t="str">
        <f aca="false">IF(OR(C37="",I37="",J37="",K37=""),"",IFERROR(((I37*J37+K37)/C37)^(1/5)-1,"n/a"))</f>
        <v/>
      </c>
      <c r="M37" s="78"/>
      <c r="N37" s="80"/>
      <c r="O37" s="126"/>
      <c r="P37" s="80"/>
      <c r="Q37" s="81" t="str">
        <f aca="false">IF(OR(C37="",N37="",O37="",P37=""),"",IFERROR(((N37*O37+P37)/C37)^(1/5)-1,"n/a"))</f>
        <v/>
      </c>
      <c r="R37" s="78"/>
      <c r="S37" s="1" t="str">
        <f aca="false">IF(G37="","",IF(G37&gt;0.1,"PASS","FAIL"))</f>
        <v/>
      </c>
      <c r="T37" s="1" t="str">
        <f aca="false">IF(L37="","",IF(L37&gt;=0,"PASS","FAIL"))</f>
        <v/>
      </c>
      <c r="U37" s="1" t="str">
        <f aca="false">IF(COUNTA(H37,M37,R37)=0,"",IF((COUNTIF(H37,"Likely")+COUNTIF(M37,"Likely")+COUNTIF(R37,"Likely"))=1,"OK","CHECK TAGS"))</f>
        <v/>
      </c>
    </row>
    <row r="38" customFormat="false" ht="15" hidden="false" customHeight="false" outlineLevel="0" collapsed="false">
      <c r="A38" s="78"/>
      <c r="B38" s="78"/>
      <c r="C38" s="80"/>
      <c r="D38" s="80"/>
      <c r="E38" s="126"/>
      <c r="F38" s="80"/>
      <c r="G38" s="81" t="str">
        <f aca="false">IF(OR(C38="",D38="",E38="",F38=""),"",IFERROR(((D38*E38+F38)/C38)^(1/5)-1,"n/a"))</f>
        <v/>
      </c>
      <c r="H38" s="78"/>
      <c r="I38" s="80"/>
      <c r="J38" s="126"/>
      <c r="K38" s="80"/>
      <c r="L38" s="81" t="str">
        <f aca="false">IF(OR(C38="",I38="",J38="",K38=""),"",IFERROR(((I38*J38+K38)/C38)^(1/5)-1,"n/a"))</f>
        <v/>
      </c>
      <c r="M38" s="78"/>
      <c r="N38" s="80"/>
      <c r="O38" s="126"/>
      <c r="P38" s="80"/>
      <c r="Q38" s="81" t="str">
        <f aca="false">IF(OR(C38="",N38="",O38="",P38=""),"",IFERROR(((N38*O38+P38)/C38)^(1/5)-1,"n/a"))</f>
        <v/>
      </c>
      <c r="R38" s="78"/>
      <c r="S38" s="1" t="str">
        <f aca="false">IF(G38="","",IF(G38&gt;0.1,"PASS","FAIL"))</f>
        <v/>
      </c>
      <c r="T38" s="1" t="str">
        <f aca="false">IF(L38="","",IF(L38&gt;=0,"PASS","FAIL"))</f>
        <v/>
      </c>
      <c r="U38" s="1" t="str">
        <f aca="false">IF(COUNTA(H38,M38,R38)=0,"",IF((COUNTIF(H38,"Likely")+COUNTIF(M38,"Likely")+COUNTIF(R38,"Likely"))=1,"OK","CHECK TAGS"))</f>
        <v/>
      </c>
    </row>
    <row r="39" customFormat="false" ht="15" hidden="false" customHeight="false" outlineLevel="0" collapsed="false">
      <c r="A39" s="78"/>
      <c r="B39" s="78"/>
      <c r="C39" s="80"/>
      <c r="D39" s="80"/>
      <c r="E39" s="126"/>
      <c r="F39" s="80"/>
      <c r="G39" s="81" t="str">
        <f aca="false">IF(OR(C39="",D39="",E39="",F39=""),"",IFERROR(((D39*E39+F39)/C39)^(1/5)-1,"n/a"))</f>
        <v/>
      </c>
      <c r="H39" s="78"/>
      <c r="I39" s="80"/>
      <c r="J39" s="126"/>
      <c r="K39" s="80"/>
      <c r="L39" s="81" t="str">
        <f aca="false">IF(OR(C39="",I39="",J39="",K39=""),"",IFERROR(((I39*J39+K39)/C39)^(1/5)-1,"n/a"))</f>
        <v/>
      </c>
      <c r="M39" s="78"/>
      <c r="N39" s="80"/>
      <c r="O39" s="126"/>
      <c r="P39" s="80"/>
      <c r="Q39" s="81" t="str">
        <f aca="false">IF(OR(C39="",N39="",O39="",P39=""),"",IFERROR(((N39*O39+P39)/C39)^(1/5)-1,"n/a"))</f>
        <v/>
      </c>
      <c r="R39" s="78"/>
      <c r="S39" s="1" t="str">
        <f aca="false">IF(G39="","",IF(G39&gt;0.1,"PASS","FAIL"))</f>
        <v/>
      </c>
      <c r="T39" s="1" t="str">
        <f aca="false">IF(L39="","",IF(L39&gt;=0,"PASS","FAIL"))</f>
        <v/>
      </c>
      <c r="U39" s="1" t="str">
        <f aca="false">IF(COUNTA(H39,M39,R39)=0,"",IF((COUNTIF(H39,"Likely")+COUNTIF(M39,"Likely")+COUNTIF(R39,"Likely"))=1,"OK","CHECK TAGS"))</f>
        <v/>
      </c>
    </row>
    <row r="40" customFormat="false" ht="15" hidden="false" customHeight="false" outlineLevel="0" collapsed="false">
      <c r="A40" s="78"/>
      <c r="B40" s="78"/>
      <c r="C40" s="80"/>
      <c r="D40" s="80"/>
      <c r="E40" s="126"/>
      <c r="F40" s="80"/>
      <c r="G40" s="81" t="str">
        <f aca="false">IF(OR(C40="",D40="",E40="",F40=""),"",IFERROR(((D40*E40+F40)/C40)^(1/5)-1,"n/a"))</f>
        <v/>
      </c>
      <c r="H40" s="78"/>
      <c r="I40" s="80"/>
      <c r="J40" s="126"/>
      <c r="K40" s="80"/>
      <c r="L40" s="81" t="str">
        <f aca="false">IF(OR(C40="",I40="",J40="",K40=""),"",IFERROR(((I40*J40+K40)/C40)^(1/5)-1,"n/a"))</f>
        <v/>
      </c>
      <c r="M40" s="78"/>
      <c r="N40" s="80"/>
      <c r="O40" s="126"/>
      <c r="P40" s="80"/>
      <c r="Q40" s="81" t="str">
        <f aca="false">IF(OR(C40="",N40="",O40="",P40=""),"",IFERROR(((N40*O40+P40)/C40)^(1/5)-1,"n/a"))</f>
        <v/>
      </c>
      <c r="R40" s="78"/>
      <c r="S40" s="1" t="str">
        <f aca="false">IF(G40="","",IF(G40&gt;0.1,"PASS","FAIL"))</f>
        <v/>
      </c>
      <c r="T40" s="1" t="str">
        <f aca="false">IF(L40="","",IF(L40&gt;=0,"PASS","FAIL"))</f>
        <v/>
      </c>
      <c r="U40" s="1" t="str">
        <f aca="false">IF(COUNTA(H40,M40,R40)=0,"",IF((COUNTIF(H40,"Likely")+COUNTIF(M40,"Likely")+COUNTIF(R40,"Likely"))=1,"OK","CHECK TAGS"))</f>
        <v/>
      </c>
    </row>
    <row r="41" customFormat="false" ht="15" hidden="false" customHeight="false" outlineLevel="0" collapsed="false">
      <c r="A41" s="78"/>
      <c r="B41" s="78"/>
      <c r="C41" s="80"/>
      <c r="D41" s="80"/>
      <c r="E41" s="126"/>
      <c r="F41" s="80"/>
      <c r="G41" s="81" t="str">
        <f aca="false">IF(OR(C41="",D41="",E41="",F41=""),"",IFERROR(((D41*E41+F41)/C41)^(1/5)-1,"n/a"))</f>
        <v/>
      </c>
      <c r="H41" s="78"/>
      <c r="I41" s="80"/>
      <c r="J41" s="126"/>
      <c r="K41" s="80"/>
      <c r="L41" s="81" t="str">
        <f aca="false">IF(OR(C41="",I41="",J41="",K41=""),"",IFERROR(((I41*J41+K41)/C41)^(1/5)-1,"n/a"))</f>
        <v/>
      </c>
      <c r="M41" s="78"/>
      <c r="N41" s="80"/>
      <c r="O41" s="126"/>
      <c r="P41" s="80"/>
      <c r="Q41" s="81" t="str">
        <f aca="false">IF(OR(C41="",N41="",O41="",P41=""),"",IFERROR(((N41*O41+P41)/C41)^(1/5)-1,"n/a"))</f>
        <v/>
      </c>
      <c r="R41" s="78"/>
      <c r="S41" s="1" t="str">
        <f aca="false">IF(G41="","",IF(G41&gt;0.1,"PASS","FAIL"))</f>
        <v/>
      </c>
      <c r="T41" s="1" t="str">
        <f aca="false">IF(L41="","",IF(L41&gt;=0,"PASS","FAIL"))</f>
        <v/>
      </c>
      <c r="U41" s="1" t="str">
        <f aca="false">IF(COUNTA(H41,M41,R41)=0,"",IF((COUNTIF(H41,"Likely")+COUNTIF(M41,"Likely")+COUNTIF(R41,"Likely"))=1,"OK","CHECK TAGS"))</f>
        <v/>
      </c>
    </row>
    <row r="42" customFormat="false" ht="15" hidden="false" customHeight="false" outlineLevel="0" collapsed="false">
      <c r="A42" s="78"/>
      <c r="B42" s="78"/>
      <c r="C42" s="80"/>
      <c r="D42" s="80"/>
      <c r="E42" s="126"/>
      <c r="F42" s="80"/>
      <c r="G42" s="81" t="str">
        <f aca="false">IF(OR(C42="",D42="",E42="",F42=""),"",IFERROR(((D42*E42+F42)/C42)^(1/5)-1,"n/a"))</f>
        <v/>
      </c>
      <c r="H42" s="78"/>
      <c r="I42" s="80"/>
      <c r="J42" s="126"/>
      <c r="K42" s="80"/>
      <c r="L42" s="81" t="str">
        <f aca="false">IF(OR(C42="",I42="",J42="",K42=""),"",IFERROR(((I42*J42+K42)/C42)^(1/5)-1,"n/a"))</f>
        <v/>
      </c>
      <c r="M42" s="78"/>
      <c r="N42" s="80"/>
      <c r="O42" s="126"/>
      <c r="P42" s="80"/>
      <c r="Q42" s="81" t="str">
        <f aca="false">IF(OR(C42="",N42="",O42="",P42=""),"",IFERROR(((N42*O42+P42)/C42)^(1/5)-1,"n/a"))</f>
        <v/>
      </c>
      <c r="R42" s="78"/>
      <c r="S42" s="1" t="str">
        <f aca="false">IF(G42="","",IF(G42&gt;0.1,"PASS","FAIL"))</f>
        <v/>
      </c>
      <c r="T42" s="1" t="str">
        <f aca="false">IF(L42="","",IF(L42&gt;=0,"PASS","FAIL"))</f>
        <v/>
      </c>
      <c r="U42" s="1" t="str">
        <f aca="false">IF(COUNTA(H42,M42,R42)=0,"",IF((COUNTIF(H42,"Likely")+COUNTIF(M42,"Likely")+COUNTIF(R42,"Likely"))=1,"OK","CHECK TAGS"))</f>
        <v/>
      </c>
    </row>
    <row r="43" customFormat="false" ht="15" hidden="false" customHeight="false" outlineLevel="0" collapsed="false">
      <c r="A43" s="78"/>
      <c r="B43" s="78"/>
      <c r="C43" s="80"/>
      <c r="D43" s="80"/>
      <c r="E43" s="126"/>
      <c r="F43" s="80"/>
      <c r="G43" s="81" t="str">
        <f aca="false">IF(OR(C43="",D43="",E43="",F43=""),"",IFERROR(((D43*E43+F43)/C43)^(1/5)-1,"n/a"))</f>
        <v/>
      </c>
      <c r="H43" s="78"/>
      <c r="I43" s="80"/>
      <c r="J43" s="126"/>
      <c r="K43" s="80"/>
      <c r="L43" s="81" t="str">
        <f aca="false">IF(OR(C43="",I43="",J43="",K43=""),"",IFERROR(((I43*J43+K43)/C43)^(1/5)-1,"n/a"))</f>
        <v/>
      </c>
      <c r="M43" s="78"/>
      <c r="N43" s="80"/>
      <c r="O43" s="126"/>
      <c r="P43" s="80"/>
      <c r="Q43" s="81" t="str">
        <f aca="false">IF(OR(C43="",N43="",O43="",P43=""),"",IFERROR(((N43*O43+P43)/C43)^(1/5)-1,"n/a"))</f>
        <v/>
      </c>
      <c r="R43" s="78"/>
      <c r="S43" s="1" t="str">
        <f aca="false">IF(G43="","",IF(G43&gt;0.1,"PASS","FAIL"))</f>
        <v/>
      </c>
      <c r="T43" s="1" t="str">
        <f aca="false">IF(L43="","",IF(L43&gt;=0,"PASS","FAIL"))</f>
        <v/>
      </c>
      <c r="U43" s="1" t="str">
        <f aca="false">IF(COUNTA(H43,M43,R43)=0,"",IF((COUNTIF(H43,"Likely")+COUNTIF(M43,"Likely")+COUNTIF(R43,"Likely"))=1,"OK","CHECK TAGS"))</f>
        <v/>
      </c>
    </row>
    <row r="44" customFormat="false" ht="15" hidden="false" customHeight="false" outlineLevel="0" collapsed="false">
      <c r="A44" s="78"/>
      <c r="B44" s="78"/>
      <c r="C44" s="80"/>
      <c r="D44" s="80"/>
      <c r="E44" s="126"/>
      <c r="F44" s="80"/>
      <c r="G44" s="81" t="str">
        <f aca="false">IF(OR(C44="",D44="",E44="",F44=""),"",IFERROR(((D44*E44+F44)/C44)^(1/5)-1,"n/a"))</f>
        <v/>
      </c>
      <c r="H44" s="78"/>
      <c r="I44" s="80"/>
      <c r="J44" s="126"/>
      <c r="K44" s="80"/>
      <c r="L44" s="81" t="str">
        <f aca="false">IF(OR(C44="",I44="",J44="",K44=""),"",IFERROR(((I44*J44+K44)/C44)^(1/5)-1,"n/a"))</f>
        <v/>
      </c>
      <c r="M44" s="78"/>
      <c r="N44" s="80"/>
      <c r="O44" s="126"/>
      <c r="P44" s="80"/>
      <c r="Q44" s="81" t="str">
        <f aca="false">IF(OR(C44="",N44="",O44="",P44=""),"",IFERROR(((N44*O44+P44)/C44)^(1/5)-1,"n/a"))</f>
        <v/>
      </c>
      <c r="R44" s="78"/>
      <c r="S44" s="1" t="str">
        <f aca="false">IF(G44="","",IF(G44&gt;0.1,"PASS","FAIL"))</f>
        <v/>
      </c>
      <c r="T44" s="1" t="str">
        <f aca="false">IF(L44="","",IF(L44&gt;=0,"PASS","FAIL"))</f>
        <v/>
      </c>
      <c r="U44" s="1" t="str">
        <f aca="false">IF(COUNTA(H44,M44,R44)=0,"",IF((COUNTIF(H44,"Likely")+COUNTIF(M44,"Likely")+COUNTIF(R44,"Likely"))=1,"OK","CHECK TAGS"))</f>
        <v/>
      </c>
    </row>
    <row r="45" customFormat="false" ht="15" hidden="false" customHeight="false" outlineLevel="0" collapsed="false">
      <c r="A45" s="78"/>
      <c r="B45" s="78"/>
      <c r="C45" s="80"/>
      <c r="D45" s="80"/>
      <c r="E45" s="126"/>
      <c r="F45" s="80"/>
      <c r="G45" s="81" t="str">
        <f aca="false">IF(OR(C45="",D45="",E45="",F45=""),"",IFERROR(((D45*E45+F45)/C45)^(1/5)-1,"n/a"))</f>
        <v/>
      </c>
      <c r="H45" s="78"/>
      <c r="I45" s="80"/>
      <c r="J45" s="126"/>
      <c r="K45" s="80"/>
      <c r="L45" s="81" t="str">
        <f aca="false">IF(OR(C45="",I45="",J45="",K45=""),"",IFERROR(((I45*J45+K45)/C45)^(1/5)-1,"n/a"))</f>
        <v/>
      </c>
      <c r="M45" s="78"/>
      <c r="N45" s="80"/>
      <c r="O45" s="126"/>
      <c r="P45" s="80"/>
      <c r="Q45" s="81" t="str">
        <f aca="false">IF(OR(C45="",N45="",O45="",P45=""),"",IFERROR(((N45*O45+P45)/C45)^(1/5)-1,"n/a"))</f>
        <v/>
      </c>
      <c r="R45" s="78"/>
      <c r="S45" s="1" t="str">
        <f aca="false">IF(G45="","",IF(G45&gt;0.1,"PASS","FAIL"))</f>
        <v/>
      </c>
      <c r="T45" s="1" t="str">
        <f aca="false">IF(L45="","",IF(L45&gt;=0,"PASS","FAIL"))</f>
        <v/>
      </c>
      <c r="U45" s="1" t="str">
        <f aca="false">IF(COUNTA(H45,M45,R45)=0,"",IF((COUNTIF(H45,"Likely")+COUNTIF(M45,"Likely")+COUNTIF(R45,"Likely"))=1,"OK","CHECK TAGS"))</f>
        <v/>
      </c>
    </row>
    <row r="46" customFormat="false" ht="15" hidden="false" customHeight="false" outlineLevel="0" collapsed="false">
      <c r="A46" s="78"/>
      <c r="B46" s="78"/>
      <c r="C46" s="80"/>
      <c r="D46" s="80"/>
      <c r="E46" s="126"/>
      <c r="F46" s="80"/>
      <c r="G46" s="81" t="str">
        <f aca="false">IF(OR(C46="",D46="",E46="",F46=""),"",IFERROR(((D46*E46+F46)/C46)^(1/5)-1,"n/a"))</f>
        <v/>
      </c>
      <c r="H46" s="78"/>
      <c r="I46" s="80"/>
      <c r="J46" s="126"/>
      <c r="K46" s="80"/>
      <c r="L46" s="81" t="str">
        <f aca="false">IF(OR(C46="",I46="",J46="",K46=""),"",IFERROR(((I46*J46+K46)/C46)^(1/5)-1,"n/a"))</f>
        <v/>
      </c>
      <c r="M46" s="78"/>
      <c r="N46" s="80"/>
      <c r="O46" s="126"/>
      <c r="P46" s="80"/>
      <c r="Q46" s="81" t="str">
        <f aca="false">IF(OR(C46="",N46="",O46="",P46=""),"",IFERROR(((N46*O46+P46)/C46)^(1/5)-1,"n/a"))</f>
        <v/>
      </c>
      <c r="R46" s="78"/>
      <c r="S46" s="1" t="str">
        <f aca="false">IF(G46="","",IF(G46&gt;0.1,"PASS","FAIL"))</f>
        <v/>
      </c>
      <c r="T46" s="1" t="str">
        <f aca="false">IF(L46="","",IF(L46&gt;=0,"PASS","FAIL"))</f>
        <v/>
      </c>
      <c r="U46" s="1" t="str">
        <f aca="false">IF(COUNTA(H46,M46,R46)=0,"",IF((COUNTIF(H46,"Likely")+COUNTIF(M46,"Likely")+COUNTIF(R46,"Likely"))=1,"OK","CHECK TAGS"))</f>
        <v/>
      </c>
    </row>
    <row r="47" customFormat="false" ht="15" hidden="false" customHeight="false" outlineLevel="0" collapsed="false">
      <c r="A47" s="78"/>
      <c r="B47" s="78"/>
      <c r="C47" s="80"/>
      <c r="D47" s="80"/>
      <c r="E47" s="126"/>
      <c r="F47" s="80"/>
      <c r="G47" s="81" t="str">
        <f aca="false">IF(OR(C47="",D47="",E47="",F47=""),"",IFERROR(((D47*E47+F47)/C47)^(1/5)-1,"n/a"))</f>
        <v/>
      </c>
      <c r="H47" s="78"/>
      <c r="I47" s="80"/>
      <c r="J47" s="126"/>
      <c r="K47" s="80"/>
      <c r="L47" s="81" t="str">
        <f aca="false">IF(OR(C47="",I47="",J47="",K47=""),"",IFERROR(((I47*J47+K47)/C47)^(1/5)-1,"n/a"))</f>
        <v/>
      </c>
      <c r="M47" s="78"/>
      <c r="N47" s="80"/>
      <c r="O47" s="126"/>
      <c r="P47" s="80"/>
      <c r="Q47" s="81" t="str">
        <f aca="false">IF(OR(C47="",N47="",O47="",P47=""),"",IFERROR(((N47*O47+P47)/C47)^(1/5)-1,"n/a"))</f>
        <v/>
      </c>
      <c r="R47" s="78"/>
      <c r="S47" s="1" t="str">
        <f aca="false">IF(G47="","",IF(G47&gt;0.1,"PASS","FAIL"))</f>
        <v/>
      </c>
      <c r="T47" s="1" t="str">
        <f aca="false">IF(L47="","",IF(L47&gt;=0,"PASS","FAIL"))</f>
        <v/>
      </c>
      <c r="U47" s="1" t="str">
        <f aca="false">IF(COUNTA(H47,M47,R47)=0,"",IF((COUNTIF(H47,"Likely")+COUNTIF(M47,"Likely")+COUNTIF(R47,"Likely"))=1,"OK","CHECK TAGS"))</f>
        <v/>
      </c>
    </row>
    <row r="48" customFormat="false" ht="15" hidden="false" customHeight="false" outlineLevel="0" collapsed="false">
      <c r="A48" s="78"/>
      <c r="B48" s="78"/>
      <c r="C48" s="80"/>
      <c r="D48" s="80"/>
      <c r="E48" s="126"/>
      <c r="F48" s="80"/>
      <c r="G48" s="81" t="str">
        <f aca="false">IF(OR(C48="",D48="",E48="",F48=""),"",IFERROR(((D48*E48+F48)/C48)^(1/5)-1,"n/a"))</f>
        <v/>
      </c>
      <c r="H48" s="78"/>
      <c r="I48" s="80"/>
      <c r="J48" s="126"/>
      <c r="K48" s="80"/>
      <c r="L48" s="81" t="str">
        <f aca="false">IF(OR(C48="",I48="",J48="",K48=""),"",IFERROR(((I48*J48+K48)/C48)^(1/5)-1,"n/a"))</f>
        <v/>
      </c>
      <c r="M48" s="78"/>
      <c r="N48" s="80"/>
      <c r="O48" s="126"/>
      <c r="P48" s="80"/>
      <c r="Q48" s="81" t="str">
        <f aca="false">IF(OR(C48="",N48="",O48="",P48=""),"",IFERROR(((N48*O48+P48)/C48)^(1/5)-1,"n/a"))</f>
        <v/>
      </c>
      <c r="R48" s="78"/>
      <c r="S48" s="1" t="str">
        <f aca="false">IF(G48="","",IF(G48&gt;0.1,"PASS","FAIL"))</f>
        <v/>
      </c>
      <c r="T48" s="1" t="str">
        <f aca="false">IF(L48="","",IF(L48&gt;=0,"PASS","FAIL"))</f>
        <v/>
      </c>
      <c r="U48" s="1" t="str">
        <f aca="false">IF(COUNTA(H48,M48,R48)=0,"",IF((COUNTIF(H48,"Likely")+COUNTIF(M48,"Likely")+COUNTIF(R48,"Likely"))=1,"OK","CHECK TAGS"))</f>
        <v/>
      </c>
    </row>
    <row r="49" customFormat="false" ht="15" hidden="false" customHeight="false" outlineLevel="0" collapsed="false">
      <c r="A49" s="78"/>
      <c r="B49" s="78"/>
      <c r="C49" s="80"/>
      <c r="D49" s="80"/>
      <c r="E49" s="126"/>
      <c r="F49" s="80"/>
      <c r="G49" s="81" t="str">
        <f aca="false">IF(OR(C49="",D49="",E49="",F49=""),"",IFERROR(((D49*E49+F49)/C49)^(1/5)-1,"n/a"))</f>
        <v/>
      </c>
      <c r="H49" s="78"/>
      <c r="I49" s="80"/>
      <c r="J49" s="126"/>
      <c r="K49" s="80"/>
      <c r="L49" s="81" t="str">
        <f aca="false">IF(OR(C49="",I49="",J49="",K49=""),"",IFERROR(((I49*J49+K49)/C49)^(1/5)-1,"n/a"))</f>
        <v/>
      </c>
      <c r="M49" s="78"/>
      <c r="N49" s="80"/>
      <c r="O49" s="126"/>
      <c r="P49" s="80"/>
      <c r="Q49" s="81" t="str">
        <f aca="false">IF(OR(C49="",N49="",O49="",P49=""),"",IFERROR(((N49*O49+P49)/C49)^(1/5)-1,"n/a"))</f>
        <v/>
      </c>
      <c r="R49" s="78"/>
      <c r="S49" s="1" t="str">
        <f aca="false">IF(G49="","",IF(G49&gt;0.1,"PASS","FAIL"))</f>
        <v/>
      </c>
      <c r="T49" s="1" t="str">
        <f aca="false">IF(L49="","",IF(L49&gt;=0,"PASS","FAIL"))</f>
        <v/>
      </c>
      <c r="U49" s="1" t="str">
        <f aca="false">IF(COUNTA(H49,M49,R49)=0,"",IF((COUNTIF(H49,"Likely")+COUNTIF(M49,"Likely")+COUNTIF(R49,"Likely"))=1,"OK","CHECK TAGS"))</f>
        <v/>
      </c>
    </row>
    <row r="50" customFormat="false" ht="15" hidden="false" customHeight="false" outlineLevel="0" collapsed="false">
      <c r="A50" s="78"/>
      <c r="B50" s="78"/>
      <c r="C50" s="80"/>
      <c r="D50" s="80"/>
      <c r="E50" s="126"/>
      <c r="F50" s="80"/>
      <c r="G50" s="81" t="str">
        <f aca="false">IF(OR(C50="",D50="",E50="",F50=""),"",IFERROR(((D50*E50+F50)/C50)^(1/5)-1,"n/a"))</f>
        <v/>
      </c>
      <c r="H50" s="78"/>
      <c r="I50" s="80"/>
      <c r="J50" s="126"/>
      <c r="K50" s="80"/>
      <c r="L50" s="81" t="str">
        <f aca="false">IF(OR(C50="",I50="",J50="",K50=""),"",IFERROR(((I50*J50+K50)/C50)^(1/5)-1,"n/a"))</f>
        <v/>
      </c>
      <c r="M50" s="78"/>
      <c r="N50" s="80"/>
      <c r="O50" s="126"/>
      <c r="P50" s="80"/>
      <c r="Q50" s="81" t="str">
        <f aca="false">IF(OR(C50="",N50="",O50="",P50=""),"",IFERROR(((N50*O50+P50)/C50)^(1/5)-1,"n/a"))</f>
        <v/>
      </c>
      <c r="R50" s="78"/>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23">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23">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25.5" hidden="false" customHeight="true" outlineLevel="0" collapsed="false">
      <c r="A1" s="66" t="s">
        <v>430</v>
      </c>
      <c r="B1" s="66"/>
      <c r="C1" s="66"/>
      <c r="D1" s="66"/>
      <c r="E1" s="66"/>
      <c r="F1" s="66"/>
      <c r="G1" s="66"/>
      <c r="H1" s="66"/>
      <c r="I1" s="66"/>
      <c r="J1" s="66"/>
      <c r="K1" s="66"/>
      <c r="L1" s="66"/>
      <c r="M1" s="66"/>
      <c r="N1" s="66"/>
      <c r="O1" s="66"/>
      <c r="P1" s="66"/>
      <c r="Q1" s="66"/>
      <c r="R1" s="66"/>
      <c r="S1" s="66"/>
      <c r="T1" s="66"/>
      <c r="U1" s="66"/>
      <c r="V1" s="66"/>
    </row>
    <row r="2" customFormat="false" ht="25.5" hidden="false" customHeight="true" outlineLevel="0" collapsed="false">
      <c r="E2" s="160" t="s">
        <v>431</v>
      </c>
      <c r="F2" s="160"/>
      <c r="G2" s="160"/>
      <c r="H2" s="160"/>
      <c r="I2" s="160"/>
      <c r="J2" s="160"/>
      <c r="K2" s="160"/>
      <c r="L2" s="160"/>
      <c r="M2" s="160"/>
      <c r="N2" s="160"/>
      <c r="O2" s="160"/>
      <c r="P2" s="160"/>
      <c r="Q2" s="160"/>
      <c r="R2" s="160"/>
      <c r="S2" s="160"/>
      <c r="T2" s="161" t="s">
        <v>432</v>
      </c>
      <c r="U2" s="161"/>
      <c r="V2" s="161"/>
      <c r="W2" s="161"/>
      <c r="X2" s="161"/>
      <c r="Y2" s="161"/>
      <c r="Z2" s="161"/>
    </row>
    <row r="3" customFormat="false" ht="54" hidden="false" customHeight="true" outlineLevel="0" collapsed="false">
      <c r="A3" s="118" t="s">
        <v>74</v>
      </c>
      <c r="B3" s="118" t="s">
        <v>216</v>
      </c>
      <c r="C3" s="118" t="s">
        <v>433</v>
      </c>
      <c r="D3" s="118" t="s">
        <v>434</v>
      </c>
      <c r="E3" s="118" t="s">
        <v>435</v>
      </c>
      <c r="F3" s="118" t="s">
        <v>436</v>
      </c>
      <c r="G3" s="118" t="s">
        <v>437</v>
      </c>
      <c r="H3" s="118" t="s">
        <v>438</v>
      </c>
      <c r="I3" s="118" t="s">
        <v>439</v>
      </c>
      <c r="J3" s="118" t="s">
        <v>437</v>
      </c>
      <c r="K3" s="118" t="s">
        <v>440</v>
      </c>
      <c r="L3" s="118" t="s">
        <v>441</v>
      </c>
      <c r="M3" s="118" t="s">
        <v>437</v>
      </c>
      <c r="N3" s="118" t="s">
        <v>442</v>
      </c>
      <c r="O3" s="118" t="s">
        <v>443</v>
      </c>
      <c r="P3" s="118" t="s">
        <v>437</v>
      </c>
      <c r="Q3" s="118" t="s">
        <v>444</v>
      </c>
      <c r="R3" s="118" t="s">
        <v>445</v>
      </c>
      <c r="S3" s="118" t="s">
        <v>437</v>
      </c>
      <c r="T3" s="118" t="s">
        <v>446</v>
      </c>
      <c r="U3" s="118" t="s">
        <v>447</v>
      </c>
      <c r="V3" s="118" t="s">
        <v>448</v>
      </c>
      <c r="W3" s="118" t="s">
        <v>449</v>
      </c>
      <c r="X3" s="118" t="s">
        <v>450</v>
      </c>
      <c r="Y3" s="118" t="s">
        <v>451</v>
      </c>
      <c r="Z3" s="118" t="s">
        <v>452</v>
      </c>
      <c r="AA3" s="118" t="s">
        <v>453</v>
      </c>
      <c r="AB3" s="118" t="s">
        <v>411</v>
      </c>
    </row>
    <row r="4" customFormat="false" ht="15" hidden="false" customHeight="true" outlineLevel="0" collapsed="false">
      <c r="A4" s="162"/>
      <c r="B4" s="162"/>
      <c r="C4" s="163"/>
      <c r="D4" s="163"/>
      <c r="E4" s="162"/>
      <c r="F4" s="162"/>
      <c r="G4" s="164" t="str">
        <f aca="false">IF(OR(E4="",F4=""),"",IF(AND(E4&lt;=2,F4&lt;=2),"TRIGGER","OK"))</f>
        <v/>
      </c>
      <c r="H4" s="162"/>
      <c r="I4" s="162"/>
      <c r="J4" s="164" t="str">
        <f aca="false">IF(OR(H4="",I4=""),"",IF(AND(H4&lt;=2,I4&lt;=2),"TRIGGER","OK"))</f>
        <v/>
      </c>
      <c r="K4" s="162"/>
      <c r="L4" s="162"/>
      <c r="M4" s="164" t="str">
        <f aca="false">IF(OR(K4="",L4=""),"",IF(AND(K4&lt;=2,L4&lt;=2),"TRIGGER","OK"))</f>
        <v/>
      </c>
      <c r="N4" s="162"/>
      <c r="O4" s="162"/>
      <c r="P4" s="164" t="str">
        <f aca="false">IF(OR(N4="",O4=""),"",IF(AND(N4&lt;=2,O4&lt;=2),"TRIGGER","OK"))</f>
        <v/>
      </c>
      <c r="Q4" s="162"/>
      <c r="R4" s="162"/>
      <c r="S4" s="164" t="str">
        <f aca="false">IF(OR(Q4="",R4=""),"",IF(AND(Q4&lt;=2,R4&lt;=2),"TRIGGER","OK"))</f>
        <v/>
      </c>
      <c r="T4" s="165"/>
      <c r="U4" s="165"/>
      <c r="V4" s="163"/>
      <c r="W4" s="163"/>
      <c r="X4" s="162"/>
      <c r="Y4" s="162"/>
      <c r="Z4" s="164"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62"/>
      <c r="AB4" s="166"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62"/>
      <c r="B5" s="162"/>
      <c r="C5" s="163"/>
      <c r="D5" s="163"/>
      <c r="E5" s="162"/>
      <c r="F5" s="162"/>
      <c r="G5" s="164" t="str">
        <f aca="false">IF(OR(E5="",F5=""),"",IF(AND(E5&lt;=2,F5&lt;=2),"TRIGGER","OK"))</f>
        <v/>
      </c>
      <c r="H5" s="162"/>
      <c r="I5" s="162"/>
      <c r="J5" s="164" t="str">
        <f aca="false">IF(OR(H5="",I5=""),"",IF(AND(H5&lt;=2,I5&lt;=2),"TRIGGER","OK"))</f>
        <v/>
      </c>
      <c r="K5" s="162"/>
      <c r="L5" s="162"/>
      <c r="M5" s="164" t="str">
        <f aca="false">IF(OR(K5="",L5=""),"",IF(AND(K5&lt;=2,L5&lt;=2),"TRIGGER","OK"))</f>
        <v/>
      </c>
      <c r="N5" s="162"/>
      <c r="O5" s="162"/>
      <c r="P5" s="164" t="str">
        <f aca="false">IF(OR(N5="",O5=""),"",IF(AND(N5&lt;=2,O5&lt;=2),"TRIGGER","OK"))</f>
        <v/>
      </c>
      <c r="Q5" s="162"/>
      <c r="R5" s="162"/>
      <c r="S5" s="164" t="str">
        <f aca="false">IF(OR(Q5="",R5=""),"",IF(AND(Q5&lt;=2,R5&lt;=2),"TRIGGER","OK"))</f>
        <v/>
      </c>
      <c r="T5" s="165"/>
      <c r="U5" s="165"/>
      <c r="V5" s="163"/>
      <c r="W5" s="163"/>
      <c r="X5" s="162"/>
      <c r="Y5" s="162"/>
      <c r="Z5" s="164"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62"/>
      <c r="AB5" s="166"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62"/>
      <c r="B6" s="162"/>
      <c r="C6" s="163"/>
      <c r="D6" s="163"/>
      <c r="E6" s="162"/>
      <c r="F6" s="162"/>
      <c r="G6" s="164" t="str">
        <f aca="false">IF(OR(E6="",F6=""),"",IF(AND(E6&lt;=2,F6&lt;=2),"TRIGGER","OK"))</f>
        <v/>
      </c>
      <c r="H6" s="162"/>
      <c r="I6" s="162"/>
      <c r="J6" s="164" t="str">
        <f aca="false">IF(OR(H6="",I6=""),"",IF(AND(H6&lt;=2,I6&lt;=2),"TRIGGER","OK"))</f>
        <v/>
      </c>
      <c r="K6" s="162"/>
      <c r="L6" s="162"/>
      <c r="M6" s="164" t="str">
        <f aca="false">IF(OR(K6="",L6=""),"",IF(AND(K6&lt;=2,L6&lt;=2),"TRIGGER","OK"))</f>
        <v/>
      </c>
      <c r="N6" s="162"/>
      <c r="O6" s="162"/>
      <c r="P6" s="164" t="str">
        <f aca="false">IF(OR(N6="",O6=""),"",IF(AND(N6&lt;=2,O6&lt;=2),"TRIGGER","OK"))</f>
        <v/>
      </c>
      <c r="Q6" s="162"/>
      <c r="R6" s="162"/>
      <c r="S6" s="164" t="str">
        <f aca="false">IF(OR(Q6="",R6=""),"",IF(AND(Q6&lt;=2,R6&lt;=2),"TRIGGER","OK"))</f>
        <v/>
      </c>
      <c r="T6" s="165"/>
      <c r="U6" s="165"/>
      <c r="V6" s="163"/>
      <c r="W6" s="163"/>
      <c r="X6" s="162"/>
      <c r="Y6" s="162"/>
      <c r="Z6" s="164"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62"/>
      <c r="AB6" s="166"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62"/>
      <c r="B7" s="162"/>
      <c r="C7" s="163"/>
      <c r="D7" s="163"/>
      <c r="E7" s="162"/>
      <c r="F7" s="162"/>
      <c r="G7" s="164" t="str">
        <f aca="false">IF(OR(E7="",F7=""),"",IF(AND(E7&lt;=2,F7&lt;=2),"TRIGGER","OK"))</f>
        <v/>
      </c>
      <c r="H7" s="162"/>
      <c r="I7" s="162"/>
      <c r="J7" s="164" t="str">
        <f aca="false">IF(OR(H7="",I7=""),"",IF(AND(H7&lt;=2,I7&lt;=2),"TRIGGER","OK"))</f>
        <v/>
      </c>
      <c r="K7" s="162"/>
      <c r="L7" s="162"/>
      <c r="M7" s="164" t="str">
        <f aca="false">IF(OR(K7="",L7=""),"",IF(AND(K7&lt;=2,L7&lt;=2),"TRIGGER","OK"))</f>
        <v/>
      </c>
      <c r="N7" s="162"/>
      <c r="O7" s="162"/>
      <c r="P7" s="164" t="str">
        <f aca="false">IF(OR(N7="",O7=""),"",IF(AND(N7&lt;=2,O7&lt;=2),"TRIGGER","OK"))</f>
        <v/>
      </c>
      <c r="Q7" s="162"/>
      <c r="R7" s="162"/>
      <c r="S7" s="164" t="str">
        <f aca="false">IF(OR(Q7="",R7=""),"",IF(AND(Q7&lt;=2,R7&lt;=2),"TRIGGER","OK"))</f>
        <v/>
      </c>
      <c r="T7" s="165"/>
      <c r="U7" s="165"/>
      <c r="V7" s="163"/>
      <c r="W7" s="163"/>
      <c r="X7" s="162"/>
      <c r="Y7" s="162"/>
      <c r="Z7" s="164"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62"/>
      <c r="AB7" s="166"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62"/>
      <c r="B8" s="162"/>
      <c r="C8" s="163"/>
      <c r="D8" s="163"/>
      <c r="E8" s="162"/>
      <c r="F8" s="162"/>
      <c r="G8" s="164" t="str">
        <f aca="false">IF(OR(E8="",F8=""),"",IF(AND(E8&lt;=2,F8&lt;=2),"TRIGGER","OK"))</f>
        <v/>
      </c>
      <c r="H8" s="162"/>
      <c r="I8" s="162"/>
      <c r="J8" s="164" t="str">
        <f aca="false">IF(OR(H8="",I8=""),"",IF(AND(H8&lt;=2,I8&lt;=2),"TRIGGER","OK"))</f>
        <v/>
      </c>
      <c r="K8" s="162"/>
      <c r="L8" s="162"/>
      <c r="M8" s="164" t="str">
        <f aca="false">IF(OR(K8="",L8=""),"",IF(AND(K8&lt;=2,L8&lt;=2),"TRIGGER","OK"))</f>
        <v/>
      </c>
      <c r="N8" s="162"/>
      <c r="O8" s="162"/>
      <c r="P8" s="164" t="str">
        <f aca="false">IF(OR(N8="",O8=""),"",IF(AND(N8&lt;=2,O8&lt;=2),"TRIGGER","OK"))</f>
        <v/>
      </c>
      <c r="Q8" s="162"/>
      <c r="R8" s="162"/>
      <c r="S8" s="164" t="str">
        <f aca="false">IF(OR(Q8="",R8=""),"",IF(AND(Q8&lt;=2,R8&lt;=2),"TRIGGER","OK"))</f>
        <v/>
      </c>
      <c r="T8" s="165"/>
      <c r="U8" s="165"/>
      <c r="V8" s="163"/>
      <c r="W8" s="163"/>
      <c r="X8" s="162"/>
      <c r="Y8" s="162"/>
      <c r="Z8" s="164"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62"/>
      <c r="AB8" s="166"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62"/>
      <c r="B9" s="162"/>
      <c r="C9" s="163"/>
      <c r="D9" s="163"/>
      <c r="E9" s="162"/>
      <c r="F9" s="162"/>
      <c r="G9" s="164" t="str">
        <f aca="false">IF(OR(E9="",F9=""),"",IF(AND(E9&lt;=2,F9&lt;=2),"TRIGGER","OK"))</f>
        <v/>
      </c>
      <c r="H9" s="162"/>
      <c r="I9" s="162"/>
      <c r="J9" s="164" t="str">
        <f aca="false">IF(OR(H9="",I9=""),"",IF(AND(H9&lt;=2,I9&lt;=2),"TRIGGER","OK"))</f>
        <v/>
      </c>
      <c r="K9" s="162"/>
      <c r="L9" s="162"/>
      <c r="M9" s="164" t="str">
        <f aca="false">IF(OR(K9="",L9=""),"",IF(AND(K9&lt;=2,L9&lt;=2),"TRIGGER","OK"))</f>
        <v/>
      </c>
      <c r="N9" s="162"/>
      <c r="O9" s="162"/>
      <c r="P9" s="164" t="str">
        <f aca="false">IF(OR(N9="",O9=""),"",IF(AND(N9&lt;=2,O9&lt;=2),"TRIGGER","OK"))</f>
        <v/>
      </c>
      <c r="Q9" s="162"/>
      <c r="R9" s="162"/>
      <c r="S9" s="164" t="str">
        <f aca="false">IF(OR(Q9="",R9=""),"",IF(AND(Q9&lt;=2,R9&lt;=2),"TRIGGER","OK"))</f>
        <v/>
      </c>
      <c r="T9" s="165"/>
      <c r="U9" s="165"/>
      <c r="V9" s="163"/>
      <c r="W9" s="163"/>
      <c r="X9" s="162"/>
      <c r="Y9" s="162"/>
      <c r="Z9" s="164"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62"/>
      <c r="AB9" s="166"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62"/>
      <c r="B10" s="162"/>
      <c r="C10" s="163"/>
      <c r="D10" s="163"/>
      <c r="E10" s="162"/>
      <c r="F10" s="162"/>
      <c r="G10" s="164" t="str">
        <f aca="false">IF(OR(E10="",F10=""),"",IF(AND(E10&lt;=2,F10&lt;=2),"TRIGGER","OK"))</f>
        <v/>
      </c>
      <c r="H10" s="162"/>
      <c r="I10" s="162"/>
      <c r="J10" s="164" t="str">
        <f aca="false">IF(OR(H10="",I10=""),"",IF(AND(H10&lt;=2,I10&lt;=2),"TRIGGER","OK"))</f>
        <v/>
      </c>
      <c r="K10" s="162"/>
      <c r="L10" s="162"/>
      <c r="M10" s="164" t="str">
        <f aca="false">IF(OR(K10="",L10=""),"",IF(AND(K10&lt;=2,L10&lt;=2),"TRIGGER","OK"))</f>
        <v/>
      </c>
      <c r="N10" s="162"/>
      <c r="O10" s="162"/>
      <c r="P10" s="164" t="str">
        <f aca="false">IF(OR(N10="",O10=""),"",IF(AND(N10&lt;=2,O10&lt;=2),"TRIGGER","OK"))</f>
        <v/>
      </c>
      <c r="Q10" s="162"/>
      <c r="R10" s="162"/>
      <c r="S10" s="164" t="str">
        <f aca="false">IF(OR(Q10="",R10=""),"",IF(AND(Q10&lt;=2,R10&lt;=2),"TRIGGER","OK"))</f>
        <v/>
      </c>
      <c r="T10" s="165"/>
      <c r="U10" s="165"/>
      <c r="V10" s="163"/>
      <c r="W10" s="163"/>
      <c r="X10" s="162"/>
      <c r="Y10" s="162"/>
      <c r="Z10" s="164"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62"/>
      <c r="AB10" s="166"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62"/>
      <c r="B11" s="162"/>
      <c r="C11" s="163"/>
      <c r="D11" s="163"/>
      <c r="E11" s="162"/>
      <c r="F11" s="162"/>
      <c r="G11" s="164" t="str">
        <f aca="false">IF(OR(E11="",F11=""),"",IF(AND(E11&lt;=2,F11&lt;=2),"TRIGGER","OK"))</f>
        <v/>
      </c>
      <c r="H11" s="162"/>
      <c r="I11" s="162"/>
      <c r="J11" s="164" t="str">
        <f aca="false">IF(OR(H11="",I11=""),"",IF(AND(H11&lt;=2,I11&lt;=2),"TRIGGER","OK"))</f>
        <v/>
      </c>
      <c r="K11" s="162"/>
      <c r="L11" s="162"/>
      <c r="M11" s="164" t="str">
        <f aca="false">IF(OR(K11="",L11=""),"",IF(AND(K11&lt;=2,L11&lt;=2),"TRIGGER","OK"))</f>
        <v/>
      </c>
      <c r="N11" s="162"/>
      <c r="O11" s="162"/>
      <c r="P11" s="164" t="str">
        <f aca="false">IF(OR(N11="",O11=""),"",IF(AND(N11&lt;=2,O11&lt;=2),"TRIGGER","OK"))</f>
        <v/>
      </c>
      <c r="Q11" s="162"/>
      <c r="R11" s="162"/>
      <c r="S11" s="164" t="str">
        <f aca="false">IF(OR(Q11="",R11=""),"",IF(AND(Q11&lt;=2,R11&lt;=2),"TRIGGER","OK"))</f>
        <v/>
      </c>
      <c r="T11" s="165"/>
      <c r="U11" s="165"/>
      <c r="V11" s="163"/>
      <c r="W11" s="163"/>
      <c r="X11" s="162"/>
      <c r="Y11" s="162"/>
      <c r="Z11" s="164"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62"/>
      <c r="AB11" s="166"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62"/>
      <c r="B12" s="162"/>
      <c r="C12" s="163"/>
      <c r="D12" s="163"/>
      <c r="E12" s="162"/>
      <c r="F12" s="162"/>
      <c r="G12" s="164" t="str">
        <f aca="false">IF(OR(E12="",F12=""),"",IF(AND(E12&lt;=2,F12&lt;=2),"TRIGGER","OK"))</f>
        <v/>
      </c>
      <c r="H12" s="162"/>
      <c r="I12" s="162"/>
      <c r="J12" s="164" t="str">
        <f aca="false">IF(OR(H12="",I12=""),"",IF(AND(H12&lt;=2,I12&lt;=2),"TRIGGER","OK"))</f>
        <v/>
      </c>
      <c r="K12" s="162"/>
      <c r="L12" s="162"/>
      <c r="M12" s="164" t="str">
        <f aca="false">IF(OR(K12="",L12=""),"",IF(AND(K12&lt;=2,L12&lt;=2),"TRIGGER","OK"))</f>
        <v/>
      </c>
      <c r="N12" s="162"/>
      <c r="O12" s="162"/>
      <c r="P12" s="164" t="str">
        <f aca="false">IF(OR(N12="",O12=""),"",IF(AND(N12&lt;=2,O12&lt;=2),"TRIGGER","OK"))</f>
        <v/>
      </c>
      <c r="Q12" s="162"/>
      <c r="R12" s="162"/>
      <c r="S12" s="164" t="str">
        <f aca="false">IF(OR(Q12="",R12=""),"",IF(AND(Q12&lt;=2,R12&lt;=2),"TRIGGER","OK"))</f>
        <v/>
      </c>
      <c r="T12" s="165"/>
      <c r="U12" s="165"/>
      <c r="V12" s="163"/>
      <c r="W12" s="163"/>
      <c r="X12" s="162"/>
      <c r="Y12" s="162"/>
      <c r="Z12" s="164"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62"/>
      <c r="AB12" s="166"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62"/>
      <c r="B13" s="162"/>
      <c r="C13" s="163"/>
      <c r="D13" s="163"/>
      <c r="E13" s="162"/>
      <c r="F13" s="162"/>
      <c r="G13" s="164" t="str">
        <f aca="false">IF(OR(E13="",F13=""),"",IF(AND(E13&lt;=2,F13&lt;=2),"TRIGGER","OK"))</f>
        <v/>
      </c>
      <c r="H13" s="162"/>
      <c r="I13" s="162"/>
      <c r="J13" s="164" t="str">
        <f aca="false">IF(OR(H13="",I13=""),"",IF(AND(H13&lt;=2,I13&lt;=2),"TRIGGER","OK"))</f>
        <v/>
      </c>
      <c r="K13" s="162"/>
      <c r="L13" s="162"/>
      <c r="M13" s="164" t="str">
        <f aca="false">IF(OR(K13="",L13=""),"",IF(AND(K13&lt;=2,L13&lt;=2),"TRIGGER","OK"))</f>
        <v/>
      </c>
      <c r="N13" s="162"/>
      <c r="O13" s="162"/>
      <c r="P13" s="164" t="str">
        <f aca="false">IF(OR(N13="",O13=""),"",IF(AND(N13&lt;=2,O13&lt;=2),"TRIGGER","OK"))</f>
        <v/>
      </c>
      <c r="Q13" s="162"/>
      <c r="R13" s="162"/>
      <c r="S13" s="164" t="str">
        <f aca="false">IF(OR(Q13="",R13=""),"",IF(AND(Q13&lt;=2,R13&lt;=2),"TRIGGER","OK"))</f>
        <v/>
      </c>
      <c r="T13" s="165"/>
      <c r="U13" s="165"/>
      <c r="V13" s="163"/>
      <c r="W13" s="163"/>
      <c r="X13" s="162"/>
      <c r="Y13" s="162"/>
      <c r="Z13" s="164"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62"/>
      <c r="AB13" s="166"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62"/>
      <c r="B14" s="162"/>
      <c r="C14" s="163"/>
      <c r="D14" s="163"/>
      <c r="E14" s="162"/>
      <c r="F14" s="162"/>
      <c r="G14" s="164" t="str">
        <f aca="false">IF(OR(E14="",F14=""),"",IF(AND(E14&lt;=2,F14&lt;=2),"TRIGGER","OK"))</f>
        <v/>
      </c>
      <c r="H14" s="162"/>
      <c r="I14" s="162"/>
      <c r="J14" s="164" t="str">
        <f aca="false">IF(OR(H14="",I14=""),"",IF(AND(H14&lt;=2,I14&lt;=2),"TRIGGER","OK"))</f>
        <v/>
      </c>
      <c r="K14" s="162"/>
      <c r="L14" s="162"/>
      <c r="M14" s="164" t="str">
        <f aca="false">IF(OR(K14="",L14=""),"",IF(AND(K14&lt;=2,L14&lt;=2),"TRIGGER","OK"))</f>
        <v/>
      </c>
      <c r="N14" s="162"/>
      <c r="O14" s="162"/>
      <c r="P14" s="164" t="str">
        <f aca="false">IF(OR(N14="",O14=""),"",IF(AND(N14&lt;=2,O14&lt;=2),"TRIGGER","OK"))</f>
        <v/>
      </c>
      <c r="Q14" s="162"/>
      <c r="R14" s="162"/>
      <c r="S14" s="164" t="str">
        <f aca="false">IF(OR(Q14="",R14=""),"",IF(AND(Q14&lt;=2,R14&lt;=2),"TRIGGER","OK"))</f>
        <v/>
      </c>
      <c r="T14" s="165"/>
      <c r="U14" s="165"/>
      <c r="V14" s="163"/>
      <c r="W14" s="163"/>
      <c r="X14" s="162"/>
      <c r="Y14" s="162"/>
      <c r="Z14" s="164"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62"/>
      <c r="AB14" s="166"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62"/>
      <c r="B15" s="162"/>
      <c r="C15" s="163"/>
      <c r="D15" s="163"/>
      <c r="E15" s="162"/>
      <c r="F15" s="162"/>
      <c r="G15" s="164" t="str">
        <f aca="false">IF(OR(E15="",F15=""),"",IF(AND(E15&lt;=2,F15&lt;=2),"TRIGGER","OK"))</f>
        <v/>
      </c>
      <c r="H15" s="162"/>
      <c r="I15" s="162"/>
      <c r="J15" s="164" t="str">
        <f aca="false">IF(OR(H15="",I15=""),"",IF(AND(H15&lt;=2,I15&lt;=2),"TRIGGER","OK"))</f>
        <v/>
      </c>
      <c r="K15" s="162"/>
      <c r="L15" s="162"/>
      <c r="M15" s="164" t="str">
        <f aca="false">IF(OR(K15="",L15=""),"",IF(AND(K15&lt;=2,L15&lt;=2),"TRIGGER","OK"))</f>
        <v/>
      </c>
      <c r="N15" s="162"/>
      <c r="O15" s="162"/>
      <c r="P15" s="164" t="str">
        <f aca="false">IF(OR(N15="",O15=""),"",IF(AND(N15&lt;=2,O15&lt;=2),"TRIGGER","OK"))</f>
        <v/>
      </c>
      <c r="Q15" s="162"/>
      <c r="R15" s="162"/>
      <c r="S15" s="164" t="str">
        <f aca="false">IF(OR(Q15="",R15=""),"",IF(AND(Q15&lt;=2,R15&lt;=2),"TRIGGER","OK"))</f>
        <v/>
      </c>
      <c r="T15" s="165"/>
      <c r="U15" s="165"/>
      <c r="V15" s="163"/>
      <c r="W15" s="163"/>
      <c r="X15" s="162"/>
      <c r="Y15" s="162"/>
      <c r="Z15" s="164"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62"/>
      <c r="AB15" s="166"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62"/>
      <c r="B16" s="162"/>
      <c r="C16" s="163"/>
      <c r="D16" s="163"/>
      <c r="E16" s="162"/>
      <c r="F16" s="162"/>
      <c r="G16" s="164" t="str">
        <f aca="false">IF(OR(E16="",F16=""),"",IF(AND(E16&lt;=2,F16&lt;=2),"TRIGGER","OK"))</f>
        <v/>
      </c>
      <c r="H16" s="162"/>
      <c r="I16" s="162"/>
      <c r="J16" s="164" t="str">
        <f aca="false">IF(OR(H16="",I16=""),"",IF(AND(H16&lt;=2,I16&lt;=2),"TRIGGER","OK"))</f>
        <v/>
      </c>
      <c r="K16" s="162"/>
      <c r="L16" s="162"/>
      <c r="M16" s="164" t="str">
        <f aca="false">IF(OR(K16="",L16=""),"",IF(AND(K16&lt;=2,L16&lt;=2),"TRIGGER","OK"))</f>
        <v/>
      </c>
      <c r="N16" s="162"/>
      <c r="O16" s="162"/>
      <c r="P16" s="164" t="str">
        <f aca="false">IF(OR(N16="",O16=""),"",IF(AND(N16&lt;=2,O16&lt;=2),"TRIGGER","OK"))</f>
        <v/>
      </c>
      <c r="Q16" s="162"/>
      <c r="R16" s="162"/>
      <c r="S16" s="164" t="str">
        <f aca="false">IF(OR(Q16="",R16=""),"",IF(AND(Q16&lt;=2,R16&lt;=2),"TRIGGER","OK"))</f>
        <v/>
      </c>
      <c r="T16" s="165"/>
      <c r="U16" s="165"/>
      <c r="V16" s="163"/>
      <c r="W16" s="163"/>
      <c r="X16" s="162"/>
      <c r="Y16" s="162"/>
      <c r="Z16" s="164"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62"/>
      <c r="AB16" s="166"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62"/>
      <c r="B17" s="162"/>
      <c r="C17" s="163"/>
      <c r="D17" s="163"/>
      <c r="E17" s="162"/>
      <c r="F17" s="162"/>
      <c r="G17" s="164" t="str">
        <f aca="false">IF(OR(E17="",F17=""),"",IF(AND(E17&lt;=2,F17&lt;=2),"TRIGGER","OK"))</f>
        <v/>
      </c>
      <c r="H17" s="162"/>
      <c r="I17" s="162"/>
      <c r="J17" s="164" t="str">
        <f aca="false">IF(OR(H17="",I17=""),"",IF(AND(H17&lt;=2,I17&lt;=2),"TRIGGER","OK"))</f>
        <v/>
      </c>
      <c r="K17" s="162"/>
      <c r="L17" s="162"/>
      <c r="M17" s="164" t="str">
        <f aca="false">IF(OR(K17="",L17=""),"",IF(AND(K17&lt;=2,L17&lt;=2),"TRIGGER","OK"))</f>
        <v/>
      </c>
      <c r="N17" s="162"/>
      <c r="O17" s="162"/>
      <c r="P17" s="164" t="str">
        <f aca="false">IF(OR(N17="",O17=""),"",IF(AND(N17&lt;=2,O17&lt;=2),"TRIGGER","OK"))</f>
        <v/>
      </c>
      <c r="Q17" s="162"/>
      <c r="R17" s="162"/>
      <c r="S17" s="164" t="str">
        <f aca="false">IF(OR(Q17="",R17=""),"",IF(AND(Q17&lt;=2,R17&lt;=2),"TRIGGER","OK"))</f>
        <v/>
      </c>
      <c r="T17" s="165"/>
      <c r="U17" s="165"/>
      <c r="V17" s="163"/>
      <c r="W17" s="163"/>
      <c r="X17" s="162"/>
      <c r="Y17" s="162"/>
      <c r="Z17" s="164"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62"/>
      <c r="AB17" s="166"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62"/>
      <c r="B18" s="162"/>
      <c r="C18" s="163"/>
      <c r="D18" s="163"/>
      <c r="E18" s="162"/>
      <c r="F18" s="162"/>
      <c r="G18" s="164" t="str">
        <f aca="false">IF(OR(E18="",F18=""),"",IF(AND(E18&lt;=2,F18&lt;=2),"TRIGGER","OK"))</f>
        <v/>
      </c>
      <c r="H18" s="162"/>
      <c r="I18" s="162"/>
      <c r="J18" s="164" t="str">
        <f aca="false">IF(OR(H18="",I18=""),"",IF(AND(H18&lt;=2,I18&lt;=2),"TRIGGER","OK"))</f>
        <v/>
      </c>
      <c r="K18" s="162"/>
      <c r="L18" s="162"/>
      <c r="M18" s="164" t="str">
        <f aca="false">IF(OR(K18="",L18=""),"",IF(AND(K18&lt;=2,L18&lt;=2),"TRIGGER","OK"))</f>
        <v/>
      </c>
      <c r="N18" s="162"/>
      <c r="O18" s="162"/>
      <c r="P18" s="164" t="str">
        <f aca="false">IF(OR(N18="",O18=""),"",IF(AND(N18&lt;=2,O18&lt;=2),"TRIGGER","OK"))</f>
        <v/>
      </c>
      <c r="Q18" s="162"/>
      <c r="R18" s="162"/>
      <c r="S18" s="164" t="str">
        <f aca="false">IF(OR(Q18="",R18=""),"",IF(AND(Q18&lt;=2,R18&lt;=2),"TRIGGER","OK"))</f>
        <v/>
      </c>
      <c r="T18" s="165"/>
      <c r="U18" s="165"/>
      <c r="V18" s="163"/>
      <c r="W18" s="163"/>
      <c r="X18" s="162"/>
      <c r="Y18" s="162"/>
      <c r="Z18" s="164"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62"/>
      <c r="AB18" s="166"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62"/>
      <c r="B19" s="162"/>
      <c r="C19" s="163"/>
      <c r="D19" s="163"/>
      <c r="E19" s="162"/>
      <c r="F19" s="162"/>
      <c r="G19" s="164" t="str">
        <f aca="false">IF(OR(E19="",F19=""),"",IF(AND(E19&lt;=2,F19&lt;=2),"TRIGGER","OK"))</f>
        <v/>
      </c>
      <c r="H19" s="162"/>
      <c r="I19" s="162"/>
      <c r="J19" s="164" t="str">
        <f aca="false">IF(OR(H19="",I19=""),"",IF(AND(H19&lt;=2,I19&lt;=2),"TRIGGER","OK"))</f>
        <v/>
      </c>
      <c r="K19" s="162"/>
      <c r="L19" s="162"/>
      <c r="M19" s="164" t="str">
        <f aca="false">IF(OR(K19="",L19=""),"",IF(AND(K19&lt;=2,L19&lt;=2),"TRIGGER","OK"))</f>
        <v/>
      </c>
      <c r="N19" s="162"/>
      <c r="O19" s="162"/>
      <c r="P19" s="164" t="str">
        <f aca="false">IF(OR(N19="",O19=""),"",IF(AND(N19&lt;=2,O19&lt;=2),"TRIGGER","OK"))</f>
        <v/>
      </c>
      <c r="Q19" s="162"/>
      <c r="R19" s="162"/>
      <c r="S19" s="164" t="str">
        <f aca="false">IF(OR(Q19="",R19=""),"",IF(AND(Q19&lt;=2,R19&lt;=2),"TRIGGER","OK"))</f>
        <v/>
      </c>
      <c r="T19" s="165"/>
      <c r="U19" s="165"/>
      <c r="V19" s="163"/>
      <c r="W19" s="163"/>
      <c r="X19" s="162"/>
      <c r="Y19" s="162"/>
      <c r="Z19" s="164"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62"/>
      <c r="AB19" s="166"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62"/>
      <c r="B20" s="162"/>
      <c r="C20" s="163"/>
      <c r="D20" s="163"/>
      <c r="E20" s="162"/>
      <c r="F20" s="162"/>
      <c r="G20" s="164" t="str">
        <f aca="false">IF(OR(E20="",F20=""),"",IF(AND(E20&lt;=2,F20&lt;=2),"TRIGGER","OK"))</f>
        <v/>
      </c>
      <c r="H20" s="162"/>
      <c r="I20" s="162"/>
      <c r="J20" s="164" t="str">
        <f aca="false">IF(OR(H20="",I20=""),"",IF(AND(H20&lt;=2,I20&lt;=2),"TRIGGER","OK"))</f>
        <v/>
      </c>
      <c r="K20" s="162"/>
      <c r="L20" s="162"/>
      <c r="M20" s="164" t="str">
        <f aca="false">IF(OR(K20="",L20=""),"",IF(AND(K20&lt;=2,L20&lt;=2),"TRIGGER","OK"))</f>
        <v/>
      </c>
      <c r="N20" s="162"/>
      <c r="O20" s="162"/>
      <c r="P20" s="164" t="str">
        <f aca="false">IF(OR(N20="",O20=""),"",IF(AND(N20&lt;=2,O20&lt;=2),"TRIGGER","OK"))</f>
        <v/>
      </c>
      <c r="Q20" s="162"/>
      <c r="R20" s="162"/>
      <c r="S20" s="164" t="str">
        <f aca="false">IF(OR(Q20="",R20=""),"",IF(AND(Q20&lt;=2,R20&lt;=2),"TRIGGER","OK"))</f>
        <v/>
      </c>
      <c r="T20" s="165"/>
      <c r="U20" s="165"/>
      <c r="V20" s="163"/>
      <c r="W20" s="163"/>
      <c r="X20" s="162"/>
      <c r="Y20" s="162"/>
      <c r="Z20" s="164"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62"/>
      <c r="AB20" s="166"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62"/>
      <c r="B21" s="162"/>
      <c r="C21" s="163"/>
      <c r="D21" s="163"/>
      <c r="E21" s="162"/>
      <c r="F21" s="162"/>
      <c r="G21" s="164" t="str">
        <f aca="false">IF(OR(E21="",F21=""),"",IF(AND(E21&lt;=2,F21&lt;=2),"TRIGGER","OK"))</f>
        <v/>
      </c>
      <c r="H21" s="162"/>
      <c r="I21" s="162"/>
      <c r="J21" s="164" t="str">
        <f aca="false">IF(OR(H21="",I21=""),"",IF(AND(H21&lt;=2,I21&lt;=2),"TRIGGER","OK"))</f>
        <v/>
      </c>
      <c r="K21" s="162"/>
      <c r="L21" s="162"/>
      <c r="M21" s="164" t="str">
        <f aca="false">IF(OR(K21="",L21=""),"",IF(AND(K21&lt;=2,L21&lt;=2),"TRIGGER","OK"))</f>
        <v/>
      </c>
      <c r="N21" s="162"/>
      <c r="O21" s="162"/>
      <c r="P21" s="164" t="str">
        <f aca="false">IF(OR(N21="",O21=""),"",IF(AND(N21&lt;=2,O21&lt;=2),"TRIGGER","OK"))</f>
        <v/>
      </c>
      <c r="Q21" s="162"/>
      <c r="R21" s="162"/>
      <c r="S21" s="164" t="str">
        <f aca="false">IF(OR(Q21="",R21=""),"",IF(AND(Q21&lt;=2,R21&lt;=2),"TRIGGER","OK"))</f>
        <v/>
      </c>
      <c r="T21" s="165"/>
      <c r="U21" s="165"/>
      <c r="V21" s="163"/>
      <c r="W21" s="163"/>
      <c r="X21" s="162"/>
      <c r="Y21" s="162"/>
      <c r="Z21" s="164"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62"/>
      <c r="AB21" s="166"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62"/>
      <c r="B22" s="162"/>
      <c r="C22" s="163"/>
      <c r="D22" s="163"/>
      <c r="E22" s="162"/>
      <c r="F22" s="162"/>
      <c r="G22" s="164" t="str">
        <f aca="false">IF(OR(E22="",F22=""),"",IF(AND(E22&lt;=2,F22&lt;=2),"TRIGGER","OK"))</f>
        <v/>
      </c>
      <c r="H22" s="162"/>
      <c r="I22" s="162"/>
      <c r="J22" s="164" t="str">
        <f aca="false">IF(OR(H22="",I22=""),"",IF(AND(H22&lt;=2,I22&lt;=2),"TRIGGER","OK"))</f>
        <v/>
      </c>
      <c r="K22" s="162"/>
      <c r="L22" s="162"/>
      <c r="M22" s="164" t="str">
        <f aca="false">IF(OR(K22="",L22=""),"",IF(AND(K22&lt;=2,L22&lt;=2),"TRIGGER","OK"))</f>
        <v/>
      </c>
      <c r="N22" s="162"/>
      <c r="O22" s="162"/>
      <c r="P22" s="164" t="str">
        <f aca="false">IF(OR(N22="",O22=""),"",IF(AND(N22&lt;=2,O22&lt;=2),"TRIGGER","OK"))</f>
        <v/>
      </c>
      <c r="Q22" s="162"/>
      <c r="R22" s="162"/>
      <c r="S22" s="164" t="str">
        <f aca="false">IF(OR(Q22="",R22=""),"",IF(AND(Q22&lt;=2,R22&lt;=2),"TRIGGER","OK"))</f>
        <v/>
      </c>
      <c r="T22" s="165"/>
      <c r="U22" s="165"/>
      <c r="V22" s="163"/>
      <c r="W22" s="163"/>
      <c r="X22" s="162"/>
      <c r="Y22" s="162"/>
      <c r="Z22" s="164"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62"/>
      <c r="AB22" s="166"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62"/>
      <c r="B23" s="162"/>
      <c r="C23" s="163"/>
      <c r="D23" s="163"/>
      <c r="E23" s="162"/>
      <c r="F23" s="162"/>
      <c r="G23" s="164" t="str">
        <f aca="false">IF(OR(E23="",F23=""),"",IF(AND(E23&lt;=2,F23&lt;=2),"TRIGGER","OK"))</f>
        <v/>
      </c>
      <c r="H23" s="162"/>
      <c r="I23" s="162"/>
      <c r="J23" s="164" t="str">
        <f aca="false">IF(OR(H23="",I23=""),"",IF(AND(H23&lt;=2,I23&lt;=2),"TRIGGER","OK"))</f>
        <v/>
      </c>
      <c r="K23" s="162"/>
      <c r="L23" s="162"/>
      <c r="M23" s="164" t="str">
        <f aca="false">IF(OR(K23="",L23=""),"",IF(AND(K23&lt;=2,L23&lt;=2),"TRIGGER","OK"))</f>
        <v/>
      </c>
      <c r="N23" s="162"/>
      <c r="O23" s="162"/>
      <c r="P23" s="164" t="str">
        <f aca="false">IF(OR(N23="",O23=""),"",IF(AND(N23&lt;=2,O23&lt;=2),"TRIGGER","OK"))</f>
        <v/>
      </c>
      <c r="Q23" s="162"/>
      <c r="R23" s="162"/>
      <c r="S23" s="164" t="str">
        <f aca="false">IF(OR(Q23="",R23=""),"",IF(AND(Q23&lt;=2,R23&lt;=2),"TRIGGER","OK"))</f>
        <v/>
      </c>
      <c r="T23" s="165"/>
      <c r="U23" s="165"/>
      <c r="V23" s="163"/>
      <c r="W23" s="163"/>
      <c r="X23" s="162"/>
      <c r="Y23" s="162"/>
      <c r="Z23" s="164"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62"/>
      <c r="AB23" s="166"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2">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2">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2">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2">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2">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23">
      <formula>ISNUMBER(SEARCH("OK",AB4))</formula>
    </cfRule>
    <cfRule type="expression" priority="15" aboveAverage="0" equalAverage="0" bottom="0" percent="0" rank="0" text="" dxfId="16">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49" t="s">
        <v>454</v>
      </c>
      <c r="B1" s="149"/>
      <c r="C1" s="149"/>
      <c r="D1" s="149"/>
      <c r="E1" s="149"/>
      <c r="F1" s="149"/>
      <c r="G1" s="149"/>
      <c r="H1" s="149"/>
      <c r="I1" s="149"/>
      <c r="J1" s="149"/>
      <c r="K1" s="149"/>
      <c r="L1" s="149"/>
      <c r="M1" s="149"/>
      <c r="N1" s="149"/>
      <c r="O1" s="149"/>
      <c r="P1" s="149"/>
      <c r="Q1" s="149"/>
    </row>
    <row r="2" customFormat="false" ht="42.75" hidden="false" customHeight="true" outlineLevel="0" collapsed="false">
      <c r="A2" s="117" t="s">
        <v>74</v>
      </c>
      <c r="B2" s="117" t="s">
        <v>216</v>
      </c>
      <c r="C2" s="117" t="s">
        <v>455</v>
      </c>
      <c r="D2" s="117" t="s">
        <v>456</v>
      </c>
      <c r="E2" s="117" t="s">
        <v>405</v>
      </c>
      <c r="F2" s="117" t="s">
        <v>457</v>
      </c>
      <c r="G2" s="117" t="s">
        <v>458</v>
      </c>
      <c r="H2" s="117" t="s">
        <v>459</v>
      </c>
      <c r="I2" s="117" t="s">
        <v>460</v>
      </c>
      <c r="J2" s="117" t="s">
        <v>461</v>
      </c>
      <c r="K2" s="117" t="s">
        <v>462</v>
      </c>
      <c r="L2" s="117" t="s">
        <v>463</v>
      </c>
      <c r="M2" s="117" t="s">
        <v>464</v>
      </c>
      <c r="N2" s="117" t="s">
        <v>465</v>
      </c>
      <c r="O2" s="117" t="s">
        <v>466</v>
      </c>
      <c r="P2" s="117" t="s">
        <v>467</v>
      </c>
      <c r="Q2" s="117" t="s">
        <v>468</v>
      </c>
    </row>
    <row r="3" customFormat="false" ht="15" hidden="false" customHeight="true" outlineLevel="0" collapsed="false">
      <c r="A3" s="167"/>
      <c r="B3" s="162"/>
      <c r="C3" s="168"/>
      <c r="D3" s="169"/>
      <c r="E3" s="162"/>
      <c r="F3" s="162"/>
      <c r="G3" s="162"/>
      <c r="H3" s="169"/>
      <c r="I3" s="162"/>
      <c r="J3" s="168"/>
      <c r="K3" s="169"/>
      <c r="L3" s="162"/>
      <c r="M3" s="169"/>
      <c r="N3" s="169"/>
      <c r="O3" s="170" t="str">
        <f aca="false">IF(OR(D3="",M3=""),"",M3/D3-1)</f>
        <v/>
      </c>
      <c r="P3" s="171" t="str">
        <f aca="false">IF(OR(H3="",N3=""),"",N3/H3-1)</f>
        <v/>
      </c>
      <c r="Q3" s="170" t="str">
        <f aca="false">IF(OR(O3="",P3=""),"",O3-P3)</f>
        <v/>
      </c>
    </row>
    <row r="4" customFormat="false" ht="15" hidden="false" customHeight="true" outlineLevel="0" collapsed="false">
      <c r="A4" s="167"/>
      <c r="B4" s="162"/>
      <c r="C4" s="168"/>
      <c r="D4" s="169"/>
      <c r="E4" s="162"/>
      <c r="F4" s="162"/>
      <c r="G4" s="162"/>
      <c r="H4" s="169"/>
      <c r="I4" s="162"/>
      <c r="J4" s="168"/>
      <c r="K4" s="169"/>
      <c r="L4" s="162"/>
      <c r="M4" s="169"/>
      <c r="N4" s="169"/>
      <c r="O4" s="170" t="str">
        <f aca="false">IF(OR(D4="",M4=""),"",M4/D4-1)</f>
        <v/>
      </c>
      <c r="P4" s="171" t="str">
        <f aca="false">IF(OR(H4="",N4=""),"",N4/H4-1)</f>
        <v/>
      </c>
      <c r="Q4" s="170" t="str">
        <f aca="false">IF(OR(O4="",P4=""),"",O4-P4)</f>
        <v/>
      </c>
    </row>
    <row r="5" customFormat="false" ht="15" hidden="false" customHeight="true" outlineLevel="0" collapsed="false">
      <c r="A5" s="167"/>
      <c r="B5" s="162"/>
      <c r="C5" s="168"/>
      <c r="D5" s="169"/>
      <c r="E5" s="162"/>
      <c r="F5" s="162"/>
      <c r="G5" s="162"/>
      <c r="H5" s="169"/>
      <c r="I5" s="162"/>
      <c r="J5" s="168"/>
      <c r="K5" s="169"/>
      <c r="L5" s="162"/>
      <c r="M5" s="169"/>
      <c r="N5" s="169"/>
      <c r="O5" s="170" t="str">
        <f aca="false">IF(OR(D5="",M5=""),"",M5/D5-1)</f>
        <v/>
      </c>
      <c r="P5" s="171" t="str">
        <f aca="false">IF(OR(H5="",N5=""),"",N5/H5-1)</f>
        <v/>
      </c>
      <c r="Q5" s="170" t="str">
        <f aca="false">IF(OR(O5="",P5=""),"",O5-P5)</f>
        <v/>
      </c>
    </row>
    <row r="6" customFormat="false" ht="15" hidden="false" customHeight="true" outlineLevel="0" collapsed="false">
      <c r="A6" s="167"/>
      <c r="B6" s="162"/>
      <c r="C6" s="168"/>
      <c r="D6" s="169"/>
      <c r="E6" s="162"/>
      <c r="F6" s="162"/>
      <c r="G6" s="162"/>
      <c r="H6" s="169"/>
      <c r="I6" s="162"/>
      <c r="J6" s="168"/>
      <c r="K6" s="169"/>
      <c r="L6" s="162"/>
      <c r="M6" s="169"/>
      <c r="N6" s="169"/>
      <c r="O6" s="170" t="str">
        <f aca="false">IF(OR(D6="",M6=""),"",M6/D6-1)</f>
        <v/>
      </c>
      <c r="P6" s="171" t="str">
        <f aca="false">IF(OR(H6="",N6=""),"",N6/H6-1)</f>
        <v/>
      </c>
      <c r="Q6" s="170" t="str">
        <f aca="false">IF(OR(O6="",P6=""),"",O6-P6)</f>
        <v/>
      </c>
    </row>
    <row r="7" customFormat="false" ht="15" hidden="false" customHeight="true" outlineLevel="0" collapsed="false">
      <c r="A7" s="167"/>
      <c r="B7" s="162"/>
      <c r="C7" s="168"/>
      <c r="D7" s="169"/>
      <c r="E7" s="162"/>
      <c r="F7" s="162"/>
      <c r="G7" s="162"/>
      <c r="H7" s="169"/>
      <c r="I7" s="162"/>
      <c r="J7" s="168"/>
      <c r="K7" s="169"/>
      <c r="L7" s="162"/>
      <c r="M7" s="169"/>
      <c r="N7" s="169"/>
      <c r="O7" s="170" t="str">
        <f aca="false">IF(OR(D7="",M7=""),"",M7/D7-1)</f>
        <v/>
      </c>
      <c r="P7" s="171" t="str">
        <f aca="false">IF(OR(H7="",N7=""),"",N7/H7-1)</f>
        <v/>
      </c>
      <c r="Q7" s="170" t="str">
        <f aca="false">IF(OR(O7="",P7=""),"",O7-P7)</f>
        <v/>
      </c>
    </row>
    <row r="8" customFormat="false" ht="15" hidden="false" customHeight="true" outlineLevel="0" collapsed="false">
      <c r="A8" s="167"/>
      <c r="B8" s="162"/>
      <c r="C8" s="168"/>
      <c r="D8" s="169"/>
      <c r="E8" s="162"/>
      <c r="F8" s="162"/>
      <c r="G8" s="162"/>
      <c r="H8" s="169"/>
      <c r="I8" s="162"/>
      <c r="J8" s="168"/>
      <c r="K8" s="169"/>
      <c r="L8" s="162"/>
      <c r="M8" s="169"/>
      <c r="N8" s="169"/>
      <c r="O8" s="170" t="str">
        <f aca="false">IF(OR(D8="",M8=""),"",M8/D8-1)</f>
        <v/>
      </c>
      <c r="P8" s="171" t="str">
        <f aca="false">IF(OR(H8="",N8=""),"",N8/H8-1)</f>
        <v/>
      </c>
      <c r="Q8" s="170" t="str">
        <f aca="false">IF(OR(O8="",P8=""),"",O8-P8)</f>
        <v/>
      </c>
    </row>
    <row r="9" customFormat="false" ht="15" hidden="false" customHeight="true" outlineLevel="0" collapsed="false">
      <c r="A9" s="167"/>
      <c r="B9" s="162"/>
      <c r="C9" s="168"/>
      <c r="D9" s="169"/>
      <c r="E9" s="162"/>
      <c r="F9" s="162"/>
      <c r="G9" s="162"/>
      <c r="H9" s="169"/>
      <c r="I9" s="162"/>
      <c r="J9" s="168"/>
      <c r="K9" s="169"/>
      <c r="L9" s="162"/>
      <c r="M9" s="169"/>
      <c r="N9" s="169"/>
      <c r="O9" s="170" t="str">
        <f aca="false">IF(OR(D9="",M9=""),"",M9/D9-1)</f>
        <v/>
      </c>
      <c r="P9" s="171" t="str">
        <f aca="false">IF(OR(H9="",N9=""),"",N9/H9-1)</f>
        <v/>
      </c>
      <c r="Q9" s="170" t="str">
        <f aca="false">IF(OR(O9="",P9=""),"",O9-P9)</f>
        <v/>
      </c>
    </row>
    <row r="10" customFormat="false" ht="15" hidden="false" customHeight="true" outlineLevel="0" collapsed="false">
      <c r="A10" s="167"/>
      <c r="B10" s="162"/>
      <c r="C10" s="168"/>
      <c r="D10" s="169"/>
      <c r="E10" s="162"/>
      <c r="F10" s="162"/>
      <c r="G10" s="162"/>
      <c r="H10" s="169"/>
      <c r="I10" s="162"/>
      <c r="J10" s="168"/>
      <c r="K10" s="169"/>
      <c r="L10" s="162"/>
      <c r="M10" s="169"/>
      <c r="N10" s="169"/>
      <c r="O10" s="170" t="str">
        <f aca="false">IF(OR(D10="",M10=""),"",M10/D10-1)</f>
        <v/>
      </c>
      <c r="P10" s="171" t="str">
        <f aca="false">IF(OR(H10="",N10=""),"",N10/H10-1)</f>
        <v/>
      </c>
      <c r="Q10" s="170" t="str">
        <f aca="false">IF(OR(O10="",P10=""),"",O10-P10)</f>
        <v/>
      </c>
    </row>
    <row r="11" customFormat="false" ht="15" hidden="false" customHeight="true" outlineLevel="0" collapsed="false">
      <c r="A11" s="167"/>
      <c r="B11" s="162"/>
      <c r="C11" s="168"/>
      <c r="D11" s="169"/>
      <c r="E11" s="162"/>
      <c r="F11" s="162"/>
      <c r="G11" s="162"/>
      <c r="H11" s="169"/>
      <c r="I11" s="162"/>
      <c r="J11" s="168"/>
      <c r="K11" s="169"/>
      <c r="L11" s="162"/>
      <c r="M11" s="169"/>
      <c r="N11" s="169"/>
      <c r="O11" s="170" t="str">
        <f aca="false">IF(OR(D11="",M11=""),"",M11/D11-1)</f>
        <v/>
      </c>
      <c r="P11" s="171" t="str">
        <f aca="false">IF(OR(H11="",N11=""),"",N11/H11-1)</f>
        <v/>
      </c>
      <c r="Q11" s="170" t="str">
        <f aca="false">IF(OR(O11="",P11=""),"",O11-P11)</f>
        <v/>
      </c>
    </row>
    <row r="12" customFormat="false" ht="15" hidden="false" customHeight="true" outlineLevel="0" collapsed="false">
      <c r="A12" s="167"/>
      <c r="B12" s="162"/>
      <c r="C12" s="168"/>
      <c r="D12" s="169"/>
      <c r="E12" s="162"/>
      <c r="F12" s="162"/>
      <c r="G12" s="162"/>
      <c r="H12" s="169"/>
      <c r="I12" s="162"/>
      <c r="J12" s="168"/>
      <c r="K12" s="169"/>
      <c r="L12" s="162"/>
      <c r="M12" s="169"/>
      <c r="N12" s="169"/>
      <c r="O12" s="170" t="str">
        <f aca="false">IF(OR(D12="",M12=""),"",M12/D12-1)</f>
        <v/>
      </c>
      <c r="P12" s="171" t="str">
        <f aca="false">IF(OR(H12="",N12=""),"",N12/H12-1)</f>
        <v/>
      </c>
      <c r="Q12" s="170" t="str">
        <f aca="false">IF(OR(O12="",P12=""),"",O12-P12)</f>
        <v/>
      </c>
    </row>
    <row r="13" customFormat="false" ht="15" hidden="false" customHeight="true" outlineLevel="0" collapsed="false">
      <c r="A13" s="167"/>
      <c r="B13" s="162"/>
      <c r="C13" s="168"/>
      <c r="D13" s="169"/>
      <c r="E13" s="162"/>
      <c r="F13" s="162"/>
      <c r="G13" s="162"/>
      <c r="H13" s="169"/>
      <c r="I13" s="162"/>
      <c r="J13" s="168"/>
      <c r="K13" s="169"/>
      <c r="L13" s="162"/>
      <c r="M13" s="169"/>
      <c r="N13" s="169"/>
      <c r="O13" s="170" t="str">
        <f aca="false">IF(OR(D13="",M13=""),"",M13/D13-1)</f>
        <v/>
      </c>
      <c r="P13" s="171" t="str">
        <f aca="false">IF(OR(H13="",N13=""),"",N13/H13-1)</f>
        <v/>
      </c>
      <c r="Q13" s="170" t="str">
        <f aca="false">IF(OR(O13="",P13=""),"",O13-P13)</f>
        <v/>
      </c>
    </row>
    <row r="14" customFormat="false" ht="15" hidden="false" customHeight="true" outlineLevel="0" collapsed="false">
      <c r="A14" s="167"/>
      <c r="B14" s="162"/>
      <c r="C14" s="168"/>
      <c r="D14" s="169"/>
      <c r="E14" s="162"/>
      <c r="F14" s="162"/>
      <c r="G14" s="162"/>
      <c r="H14" s="169"/>
      <c r="I14" s="162"/>
      <c r="J14" s="168"/>
      <c r="K14" s="169"/>
      <c r="L14" s="162"/>
      <c r="M14" s="169"/>
      <c r="N14" s="169"/>
      <c r="O14" s="170" t="str">
        <f aca="false">IF(OR(D14="",M14=""),"",M14/D14-1)</f>
        <v/>
      </c>
      <c r="P14" s="171" t="str">
        <f aca="false">IF(OR(H14="",N14=""),"",N14/H14-1)</f>
        <v/>
      </c>
      <c r="Q14" s="170" t="str">
        <f aca="false">IF(OR(O14="",P14=""),"",O14-P14)</f>
        <v/>
      </c>
    </row>
    <row r="15" customFormat="false" ht="15" hidden="false" customHeight="true" outlineLevel="0" collapsed="false">
      <c r="A15" s="167"/>
      <c r="B15" s="162"/>
      <c r="C15" s="168"/>
      <c r="D15" s="169"/>
      <c r="E15" s="162"/>
      <c r="F15" s="162"/>
      <c r="G15" s="162"/>
      <c r="H15" s="169"/>
      <c r="I15" s="162"/>
      <c r="J15" s="168"/>
      <c r="K15" s="169"/>
      <c r="L15" s="162"/>
      <c r="M15" s="169"/>
      <c r="N15" s="169"/>
      <c r="O15" s="170" t="str">
        <f aca="false">IF(OR(D15="",M15=""),"",M15/D15-1)</f>
        <v/>
      </c>
      <c r="P15" s="171" t="str">
        <f aca="false">IF(OR(H15="",N15=""),"",N15/H15-1)</f>
        <v/>
      </c>
      <c r="Q15" s="170" t="str">
        <f aca="false">IF(OR(O15="",P15=""),"",O15-P15)</f>
        <v/>
      </c>
    </row>
    <row r="16" customFormat="false" ht="15" hidden="false" customHeight="true" outlineLevel="0" collapsed="false">
      <c r="A16" s="167"/>
      <c r="B16" s="162"/>
      <c r="C16" s="168"/>
      <c r="D16" s="169"/>
      <c r="E16" s="162"/>
      <c r="F16" s="162"/>
      <c r="G16" s="162"/>
      <c r="H16" s="169"/>
      <c r="I16" s="162"/>
      <c r="J16" s="168"/>
      <c r="K16" s="169"/>
      <c r="L16" s="162"/>
      <c r="M16" s="169"/>
      <c r="N16" s="169"/>
      <c r="O16" s="170" t="str">
        <f aca="false">IF(OR(D16="",M16=""),"",M16/D16-1)</f>
        <v/>
      </c>
      <c r="P16" s="171" t="str">
        <f aca="false">IF(OR(H16="",N16=""),"",N16/H16-1)</f>
        <v/>
      </c>
      <c r="Q16" s="170" t="str">
        <f aca="false">IF(OR(O16="",P16=""),"",O16-P16)</f>
        <v/>
      </c>
    </row>
    <row r="17" customFormat="false" ht="15" hidden="false" customHeight="true" outlineLevel="0" collapsed="false">
      <c r="A17" s="167"/>
      <c r="B17" s="162"/>
      <c r="C17" s="168"/>
      <c r="D17" s="169"/>
      <c r="E17" s="162"/>
      <c r="F17" s="162"/>
      <c r="G17" s="162"/>
      <c r="H17" s="169"/>
      <c r="I17" s="162"/>
      <c r="J17" s="168"/>
      <c r="K17" s="169"/>
      <c r="L17" s="162"/>
      <c r="M17" s="169"/>
      <c r="N17" s="169"/>
      <c r="O17" s="170" t="str">
        <f aca="false">IF(OR(D17="",M17=""),"",M17/D17-1)</f>
        <v/>
      </c>
      <c r="P17" s="171" t="str">
        <f aca="false">IF(OR(H17="",N17=""),"",N17/H17-1)</f>
        <v/>
      </c>
      <c r="Q17" s="170" t="str">
        <f aca="false">IF(OR(O17="",P17=""),"",O17-P17)</f>
        <v/>
      </c>
    </row>
    <row r="18" customFormat="false" ht="15" hidden="false" customHeight="true" outlineLevel="0" collapsed="false">
      <c r="A18" s="167"/>
      <c r="B18" s="162"/>
      <c r="C18" s="168"/>
      <c r="D18" s="169"/>
      <c r="E18" s="162"/>
      <c r="F18" s="162"/>
      <c r="G18" s="162"/>
      <c r="H18" s="169"/>
      <c r="I18" s="162"/>
      <c r="J18" s="168"/>
      <c r="K18" s="169"/>
      <c r="L18" s="162"/>
      <c r="M18" s="169"/>
      <c r="N18" s="169"/>
      <c r="O18" s="170" t="str">
        <f aca="false">IF(OR(D18="",M18=""),"",M18/D18-1)</f>
        <v/>
      </c>
      <c r="P18" s="171" t="str">
        <f aca="false">IF(OR(H18="",N18=""),"",N18/H18-1)</f>
        <v/>
      </c>
      <c r="Q18" s="170" t="str">
        <f aca="false">IF(OR(O18="",P18=""),"",O18-P18)</f>
        <v/>
      </c>
    </row>
    <row r="19" customFormat="false" ht="15" hidden="false" customHeight="true" outlineLevel="0" collapsed="false">
      <c r="A19" s="167"/>
      <c r="B19" s="162"/>
      <c r="C19" s="168"/>
      <c r="D19" s="169"/>
      <c r="E19" s="162"/>
      <c r="F19" s="162"/>
      <c r="G19" s="162"/>
      <c r="H19" s="169"/>
      <c r="I19" s="162"/>
      <c r="J19" s="168"/>
      <c r="K19" s="169"/>
      <c r="L19" s="162"/>
      <c r="M19" s="169"/>
      <c r="N19" s="169"/>
      <c r="O19" s="170" t="str">
        <f aca="false">IF(OR(D19="",M19=""),"",M19/D19-1)</f>
        <v/>
      </c>
      <c r="P19" s="171" t="str">
        <f aca="false">IF(OR(H19="",N19=""),"",N19/H19-1)</f>
        <v/>
      </c>
      <c r="Q19" s="170" t="str">
        <f aca="false">IF(OR(O19="",P19=""),"",O19-P19)</f>
        <v/>
      </c>
    </row>
    <row r="20" customFormat="false" ht="15" hidden="false" customHeight="true" outlineLevel="0" collapsed="false">
      <c r="A20" s="167"/>
      <c r="B20" s="162"/>
      <c r="C20" s="168"/>
      <c r="D20" s="169"/>
      <c r="E20" s="162"/>
      <c r="F20" s="162"/>
      <c r="G20" s="162"/>
      <c r="H20" s="169"/>
      <c r="I20" s="162"/>
      <c r="J20" s="168"/>
      <c r="K20" s="169"/>
      <c r="L20" s="162"/>
      <c r="M20" s="169"/>
      <c r="N20" s="169"/>
      <c r="O20" s="170" t="str">
        <f aca="false">IF(OR(D20="",M20=""),"",M20/D20-1)</f>
        <v/>
      </c>
      <c r="P20" s="171" t="str">
        <f aca="false">IF(OR(H20="",N20=""),"",N20/H20-1)</f>
        <v/>
      </c>
      <c r="Q20" s="170" t="str">
        <f aca="false">IF(OR(O20="",P20=""),"",O20-P20)</f>
        <v/>
      </c>
    </row>
    <row r="21" customFormat="false" ht="15" hidden="false" customHeight="true" outlineLevel="0" collapsed="false">
      <c r="A21" s="167"/>
      <c r="B21" s="162"/>
      <c r="C21" s="168"/>
      <c r="D21" s="169"/>
      <c r="E21" s="162"/>
      <c r="F21" s="162"/>
      <c r="G21" s="162"/>
      <c r="H21" s="169"/>
      <c r="I21" s="162"/>
      <c r="J21" s="168"/>
      <c r="K21" s="169"/>
      <c r="L21" s="162"/>
      <c r="M21" s="169"/>
      <c r="N21" s="169"/>
      <c r="O21" s="170" t="str">
        <f aca="false">IF(OR(D21="",M21=""),"",M21/D21-1)</f>
        <v/>
      </c>
      <c r="P21" s="171" t="str">
        <f aca="false">IF(OR(H21="",N21=""),"",N21/H21-1)</f>
        <v/>
      </c>
      <c r="Q21" s="170" t="str">
        <f aca="false">IF(OR(O21="",P21=""),"",O21-P21)</f>
        <v/>
      </c>
    </row>
    <row r="22" customFormat="false" ht="15" hidden="false" customHeight="true" outlineLevel="0" collapsed="false">
      <c r="A22" s="167"/>
      <c r="B22" s="162"/>
      <c r="C22" s="168"/>
      <c r="D22" s="169"/>
      <c r="E22" s="162"/>
      <c r="F22" s="162"/>
      <c r="G22" s="162"/>
      <c r="H22" s="169"/>
      <c r="I22" s="162"/>
      <c r="J22" s="168"/>
      <c r="K22" s="169"/>
      <c r="L22" s="162"/>
      <c r="M22" s="169"/>
      <c r="N22" s="169"/>
      <c r="O22" s="170" t="str">
        <f aca="false">IF(OR(D22="",M22=""),"",M22/D22-1)</f>
        <v/>
      </c>
      <c r="P22" s="171" t="str">
        <f aca="false">IF(OR(H22="",N22=""),"",N22/H22-1)</f>
        <v/>
      </c>
      <c r="Q22" s="170" t="str">
        <f aca="false">IF(OR(O22="",P22=""),"",O22-P22)</f>
        <v/>
      </c>
    </row>
    <row r="23" customFormat="false" ht="15" hidden="false" customHeight="true" outlineLevel="0" collapsed="false">
      <c r="A23" s="167"/>
      <c r="B23" s="162"/>
      <c r="C23" s="168"/>
      <c r="D23" s="169"/>
      <c r="E23" s="162"/>
      <c r="F23" s="162"/>
      <c r="G23" s="162"/>
      <c r="H23" s="169"/>
      <c r="I23" s="162"/>
      <c r="J23" s="168"/>
      <c r="K23" s="169"/>
      <c r="L23" s="162"/>
      <c r="M23" s="169"/>
      <c r="N23" s="169"/>
      <c r="O23" s="170" t="str">
        <f aca="false">IF(OR(D23="",M23=""),"",M23/D23-1)</f>
        <v/>
      </c>
      <c r="P23" s="171" t="str">
        <f aca="false">IF(OR(H23="",N23=""),"",N23/H23-1)</f>
        <v/>
      </c>
      <c r="Q23" s="170" t="str">
        <f aca="false">IF(OR(O23="",P23=""),"",O23-P23)</f>
        <v/>
      </c>
    </row>
    <row r="24" customFormat="false" ht="15" hidden="false" customHeight="true" outlineLevel="0" collapsed="false">
      <c r="A24" s="167"/>
      <c r="B24" s="162"/>
      <c r="C24" s="168"/>
      <c r="D24" s="169"/>
      <c r="E24" s="162"/>
      <c r="F24" s="162"/>
      <c r="G24" s="162"/>
      <c r="H24" s="169"/>
      <c r="I24" s="162"/>
      <c r="J24" s="168"/>
      <c r="K24" s="169"/>
      <c r="L24" s="162"/>
      <c r="M24" s="169"/>
      <c r="N24" s="169"/>
      <c r="O24" s="170" t="str">
        <f aca="false">IF(OR(D24="",M24=""),"",M24/D24-1)</f>
        <v/>
      </c>
      <c r="P24" s="171" t="str">
        <f aca="false">IF(OR(H24="",N24=""),"",N24/H24-1)</f>
        <v/>
      </c>
      <c r="Q24" s="170" t="str">
        <f aca="false">IF(OR(O24="",P24=""),"",O24-P24)</f>
        <v/>
      </c>
    </row>
    <row r="25" customFormat="false" ht="15" hidden="false" customHeight="true" outlineLevel="0" collapsed="false">
      <c r="A25" s="167"/>
      <c r="B25" s="162"/>
      <c r="C25" s="168"/>
      <c r="D25" s="169"/>
      <c r="E25" s="162"/>
      <c r="F25" s="162"/>
      <c r="G25" s="162"/>
      <c r="H25" s="169"/>
      <c r="I25" s="162"/>
      <c r="J25" s="168"/>
      <c r="K25" s="169"/>
      <c r="L25" s="162"/>
      <c r="M25" s="169"/>
      <c r="N25" s="169"/>
      <c r="O25" s="170" t="str">
        <f aca="false">IF(OR(D25="",M25=""),"",M25/D25-1)</f>
        <v/>
      </c>
      <c r="P25" s="171" t="str">
        <f aca="false">IF(OR(H25="",N25=""),"",N25/H25-1)</f>
        <v/>
      </c>
      <c r="Q25" s="170" t="str">
        <f aca="false">IF(OR(O25="",P25=""),"",O25-P25)</f>
        <v/>
      </c>
    </row>
    <row r="26" customFormat="false" ht="15" hidden="false" customHeight="true" outlineLevel="0" collapsed="false">
      <c r="A26" s="167"/>
      <c r="B26" s="162"/>
      <c r="C26" s="168"/>
      <c r="D26" s="169"/>
      <c r="E26" s="162"/>
      <c r="F26" s="162"/>
      <c r="G26" s="162"/>
      <c r="H26" s="169"/>
      <c r="I26" s="162"/>
      <c r="J26" s="168"/>
      <c r="K26" s="169"/>
      <c r="L26" s="162"/>
      <c r="M26" s="169"/>
      <c r="N26" s="169"/>
      <c r="O26" s="170" t="str">
        <f aca="false">IF(OR(D26="",M26=""),"",M26/D26-1)</f>
        <v/>
      </c>
      <c r="P26" s="171" t="str">
        <f aca="false">IF(OR(H26="",N26=""),"",N26/H26-1)</f>
        <v/>
      </c>
      <c r="Q26" s="170" t="str">
        <f aca="false">IF(OR(O26="",P26=""),"",O26-P26)</f>
        <v/>
      </c>
    </row>
    <row r="27" customFormat="false" ht="15" hidden="false" customHeight="true" outlineLevel="0" collapsed="false">
      <c r="A27" s="167"/>
      <c r="B27" s="162"/>
      <c r="C27" s="168"/>
      <c r="D27" s="169"/>
      <c r="E27" s="162"/>
      <c r="F27" s="162"/>
      <c r="G27" s="162"/>
      <c r="H27" s="169"/>
      <c r="I27" s="162"/>
      <c r="J27" s="168"/>
      <c r="K27" s="169"/>
      <c r="L27" s="162"/>
      <c r="M27" s="169"/>
      <c r="N27" s="169"/>
      <c r="O27" s="170" t="str">
        <f aca="false">IF(OR(D27="",M27=""),"",M27/D27-1)</f>
        <v/>
      </c>
      <c r="P27" s="171" t="str">
        <f aca="false">IF(OR(H27="",N27=""),"",N27/H27-1)</f>
        <v/>
      </c>
      <c r="Q27" s="170" t="str">
        <f aca="false">IF(OR(O27="",P27=""),"",O27-P27)</f>
        <v/>
      </c>
    </row>
    <row r="28" customFormat="false" ht="15" hidden="false" customHeight="true" outlineLevel="0" collapsed="false">
      <c r="A28" s="167"/>
      <c r="B28" s="162"/>
      <c r="C28" s="168"/>
      <c r="D28" s="169"/>
      <c r="E28" s="162"/>
      <c r="F28" s="162"/>
      <c r="G28" s="162"/>
      <c r="H28" s="169"/>
      <c r="I28" s="162"/>
      <c r="J28" s="168"/>
      <c r="K28" s="169"/>
      <c r="L28" s="162"/>
      <c r="M28" s="169"/>
      <c r="N28" s="169"/>
      <c r="O28" s="170" t="str">
        <f aca="false">IF(OR(D28="",M28=""),"",M28/D28-1)</f>
        <v/>
      </c>
      <c r="P28" s="171" t="str">
        <f aca="false">IF(OR(H28="",N28=""),"",N28/H28-1)</f>
        <v/>
      </c>
      <c r="Q28" s="170" t="str">
        <f aca="false">IF(OR(O28="",P28=""),"",O28-P28)</f>
        <v/>
      </c>
    </row>
    <row r="29" customFormat="false" ht="15" hidden="false" customHeight="true" outlineLevel="0" collapsed="false">
      <c r="A29" s="167"/>
      <c r="B29" s="162"/>
      <c r="C29" s="168"/>
      <c r="D29" s="169"/>
      <c r="E29" s="162"/>
      <c r="F29" s="162"/>
      <c r="G29" s="162"/>
      <c r="H29" s="169"/>
      <c r="I29" s="162"/>
      <c r="J29" s="168"/>
      <c r="K29" s="169"/>
      <c r="L29" s="162"/>
      <c r="M29" s="169"/>
      <c r="N29" s="169"/>
      <c r="O29" s="170" t="str">
        <f aca="false">IF(OR(D29="",M29=""),"",M29/D29-1)</f>
        <v/>
      </c>
      <c r="P29" s="171" t="str">
        <f aca="false">IF(OR(H29="",N29=""),"",N29/H29-1)</f>
        <v/>
      </c>
      <c r="Q29" s="170" t="str">
        <f aca="false">IF(OR(O29="",P29=""),"",O29-P29)</f>
        <v/>
      </c>
    </row>
    <row r="30" customFormat="false" ht="15" hidden="false" customHeight="true" outlineLevel="0" collapsed="false">
      <c r="A30" s="167"/>
      <c r="B30" s="162"/>
      <c r="C30" s="168"/>
      <c r="D30" s="169"/>
      <c r="E30" s="162"/>
      <c r="F30" s="162"/>
      <c r="G30" s="162"/>
      <c r="H30" s="169"/>
      <c r="I30" s="162"/>
      <c r="J30" s="168"/>
      <c r="K30" s="169"/>
      <c r="L30" s="162"/>
      <c r="M30" s="169"/>
      <c r="N30" s="169"/>
      <c r="O30" s="170" t="str">
        <f aca="false">IF(OR(D30="",M30=""),"",M30/D30-1)</f>
        <v/>
      </c>
      <c r="P30" s="171" t="str">
        <f aca="false">IF(OR(H30="",N30=""),"",N30/H30-1)</f>
        <v/>
      </c>
      <c r="Q30" s="170" t="str">
        <f aca="false">IF(OR(O30="",P30=""),"",O30-P30)</f>
        <v/>
      </c>
    </row>
    <row r="31" customFormat="false" ht="15" hidden="false" customHeight="true" outlineLevel="0" collapsed="false">
      <c r="A31" s="167"/>
      <c r="B31" s="162"/>
      <c r="C31" s="168"/>
      <c r="D31" s="169"/>
      <c r="E31" s="162"/>
      <c r="F31" s="162"/>
      <c r="G31" s="162"/>
      <c r="H31" s="169"/>
      <c r="I31" s="162"/>
      <c r="J31" s="168"/>
      <c r="K31" s="169"/>
      <c r="L31" s="162"/>
      <c r="M31" s="169"/>
      <c r="N31" s="169"/>
      <c r="O31" s="170" t="str">
        <f aca="false">IF(OR(D31="",M31=""),"",M31/D31-1)</f>
        <v/>
      </c>
      <c r="P31" s="171" t="str">
        <f aca="false">IF(OR(H31="",N31=""),"",N31/H31-1)</f>
        <v/>
      </c>
      <c r="Q31" s="170" t="str">
        <f aca="false">IF(OR(O31="",P31=""),"",O31-P31)</f>
        <v/>
      </c>
    </row>
    <row r="32" customFormat="false" ht="15" hidden="false" customHeight="true" outlineLevel="0" collapsed="false">
      <c r="A32" s="167"/>
      <c r="B32" s="162"/>
      <c r="C32" s="168"/>
      <c r="D32" s="169"/>
      <c r="E32" s="162"/>
      <c r="F32" s="162"/>
      <c r="G32" s="162"/>
      <c r="H32" s="169"/>
      <c r="I32" s="162"/>
      <c r="J32" s="168"/>
      <c r="K32" s="169"/>
      <c r="L32" s="162"/>
      <c r="M32" s="169"/>
      <c r="N32" s="169"/>
      <c r="O32" s="170" t="str">
        <f aca="false">IF(OR(D32="",M32=""),"",M32/D32-1)</f>
        <v/>
      </c>
      <c r="P32" s="171" t="str">
        <f aca="false">IF(OR(H32="",N32=""),"",N32/H32-1)</f>
        <v/>
      </c>
      <c r="Q32" s="170" t="str">
        <f aca="false">IF(OR(O32="",P32=""),"",O32-P32)</f>
        <v/>
      </c>
    </row>
    <row r="34" customFormat="false" ht="25.5" hidden="false" customHeight="true" outlineLevel="0" collapsed="false">
      <c r="A34" s="172" t="s">
        <v>469</v>
      </c>
      <c r="B34" s="172"/>
      <c r="C34" s="172"/>
      <c r="D34" s="172"/>
      <c r="E34" s="172"/>
      <c r="F34" s="172"/>
      <c r="G34" s="172"/>
      <c r="H34" s="172"/>
      <c r="I34" s="172"/>
      <c r="J34" s="172"/>
      <c r="K34" s="172"/>
      <c r="L34" s="172"/>
      <c r="M34" s="172"/>
      <c r="N34" s="172"/>
      <c r="O34" s="172"/>
      <c r="P34" s="172"/>
      <c r="Q34" s="172"/>
    </row>
  </sheetData>
  <mergeCells count="2">
    <mergeCell ref="A1:Q1"/>
    <mergeCell ref="A34:Q34"/>
  </mergeCells>
  <conditionalFormatting sqref="Q3:Q32">
    <cfRule type="cellIs" priority="2" operator="greaterThan" aboveAverage="0" equalAverage="0" bottom="0" percent="0" rank="0" text="" dxfId="23">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F14" activeCellId="0" sqref="F14"/>
    </sheetView>
  </sheetViews>
  <sheetFormatPr defaultColWidth="8.66796875" defaultRowHeight="15" customHeight="false" zeroHeight="false" outlineLevelRow="0" outlineLevelCol="0"/>
  <cols>
    <col collapsed="false" customWidth="true" hidden="false" outlineLevel="0" max="1" min="1" style="173" width="13"/>
    <col collapsed="false" customWidth="true" hidden="false" outlineLevel="0" max="2" min="2" style="173" width="15.33"/>
    <col collapsed="false" customWidth="true" hidden="false" outlineLevel="0" max="3" min="3" style="1" width="111.51"/>
  </cols>
  <sheetData>
    <row r="1" customFormat="false" ht="27.75" hidden="false" customHeight="true" outlineLevel="0" collapsed="false">
      <c r="A1" s="128" t="s">
        <v>470</v>
      </c>
      <c r="B1" s="128"/>
      <c r="C1" s="128"/>
    </row>
    <row r="2" customFormat="false" ht="18" hidden="false" customHeight="true" outlineLevel="0" collapsed="false">
      <c r="A2" s="135" t="s">
        <v>395</v>
      </c>
      <c r="B2" s="135" t="s">
        <v>74</v>
      </c>
      <c r="C2" s="135" t="s">
        <v>178</v>
      </c>
    </row>
    <row r="3" customFormat="false" ht="15" hidden="false" customHeight="true" outlineLevel="0" collapsed="false">
      <c r="A3" s="73" t="n">
        <v>46241</v>
      </c>
      <c r="B3" s="69" t="s">
        <v>144</v>
      </c>
      <c r="C3" s="174" t="s">
        <v>471</v>
      </c>
    </row>
    <row r="4" customFormat="false" ht="15" hidden="false" customHeight="true" outlineLevel="0" collapsed="false">
      <c r="A4" s="73" t="n">
        <v>46241</v>
      </c>
      <c r="B4" s="69" t="s">
        <v>147</v>
      </c>
      <c r="C4" s="174" t="s">
        <v>472</v>
      </c>
    </row>
    <row r="5" customFormat="false" ht="15" hidden="false" customHeight="true" outlineLevel="0" collapsed="false">
      <c r="A5" s="73" t="n">
        <v>46241</v>
      </c>
      <c r="B5" s="69" t="s">
        <v>155</v>
      </c>
      <c r="C5" s="174" t="s">
        <v>473</v>
      </c>
    </row>
    <row r="6" customFormat="false" ht="27.75" hidden="false" customHeight="true" outlineLevel="0" collapsed="false">
      <c r="A6" s="73" t="n">
        <v>46241</v>
      </c>
      <c r="B6" s="69" t="s">
        <v>134</v>
      </c>
      <c r="C6" s="174" t="s">
        <v>474</v>
      </c>
    </row>
    <row r="7" customFormat="false" ht="30" hidden="false" customHeight="true" outlineLevel="0" collapsed="false">
      <c r="A7" s="73" t="n">
        <v>46241</v>
      </c>
      <c r="B7" s="69" t="s">
        <v>475</v>
      </c>
      <c r="C7" s="174" t="s">
        <v>476</v>
      </c>
    </row>
    <row r="8" customFormat="false" ht="28.5" hidden="false" customHeight="true" outlineLevel="0" collapsed="false">
      <c r="A8" s="73" t="n">
        <v>46241</v>
      </c>
      <c r="B8" s="69" t="s">
        <v>475</v>
      </c>
      <c r="C8" s="174" t="s">
        <v>477</v>
      </c>
    </row>
    <row r="9" customFormat="false" ht="30" hidden="false" customHeight="true" outlineLevel="0" collapsed="false">
      <c r="A9" s="73" t="n">
        <v>46241</v>
      </c>
      <c r="B9" s="69" t="s">
        <v>478</v>
      </c>
      <c r="C9" s="174" t="s">
        <v>479</v>
      </c>
    </row>
    <row r="10" customFormat="false" ht="28.5" hidden="false" customHeight="true" outlineLevel="0" collapsed="false">
      <c r="A10" s="73" t="n">
        <v>46241</v>
      </c>
      <c r="B10" s="69" t="s">
        <v>480</v>
      </c>
      <c r="C10" s="174" t="s">
        <v>481</v>
      </c>
    </row>
    <row r="11" customFormat="false" ht="28.5" hidden="false" customHeight="true" outlineLevel="0" collapsed="false">
      <c r="A11" s="73" t="n">
        <v>46241</v>
      </c>
      <c r="B11" s="69" t="s">
        <v>139</v>
      </c>
      <c r="C11" s="174" t="s">
        <v>482</v>
      </c>
    </row>
    <row r="12" customFormat="false" ht="75" hidden="false" customHeight="true" outlineLevel="0" collapsed="false">
      <c r="A12" s="73" t="n">
        <v>46273</v>
      </c>
      <c r="B12" s="69" t="s">
        <v>483</v>
      </c>
      <c r="C12" s="174" t="s">
        <v>484</v>
      </c>
    </row>
    <row r="13" customFormat="false" ht="60" hidden="false" customHeight="true" outlineLevel="0" collapsed="false">
      <c r="A13" s="73" t="n">
        <v>46295</v>
      </c>
      <c r="B13" s="69" t="s">
        <v>485</v>
      </c>
      <c r="C13" s="174" t="s">
        <v>486</v>
      </c>
    </row>
    <row r="14" customFormat="false" ht="57.75" hidden="false" customHeight="true" outlineLevel="0" collapsed="false">
      <c r="A14" s="73" t="n">
        <v>46302</v>
      </c>
      <c r="B14" s="69" t="s">
        <v>487</v>
      </c>
      <c r="C14" s="174" t="s">
        <v>488</v>
      </c>
    </row>
    <row r="15" customFormat="false" ht="61.5" hidden="false" customHeight="true" outlineLevel="0" collapsed="false">
      <c r="A15" s="73" t="n">
        <v>46320</v>
      </c>
      <c r="B15" s="69" t="s">
        <v>489</v>
      </c>
      <c r="C15" s="174" t="s">
        <v>490</v>
      </c>
    </row>
    <row r="16" customFormat="false" ht="30.75" hidden="false" customHeight="true" outlineLevel="0" collapsed="false">
      <c r="A16" s="73" t="n">
        <v>46335</v>
      </c>
      <c r="B16" s="69" t="s">
        <v>491</v>
      </c>
      <c r="C16" s="174" t="s">
        <v>492</v>
      </c>
    </row>
    <row r="17" customFormat="false" ht="30.75" hidden="false" customHeight="true" outlineLevel="0" collapsed="false">
      <c r="A17" s="73" t="n">
        <v>46387</v>
      </c>
      <c r="B17" s="69" t="s">
        <v>493</v>
      </c>
      <c r="C17" s="174" t="s">
        <v>494</v>
      </c>
    </row>
    <row r="18" customFormat="false" ht="43.5" hidden="false" customHeight="true" outlineLevel="0" collapsed="false">
      <c r="A18" s="73" t="n">
        <v>46412</v>
      </c>
      <c r="B18" s="69" t="s">
        <v>495</v>
      </c>
      <c r="C18" s="174" t="s">
        <v>496</v>
      </c>
    </row>
    <row r="19" customFormat="false" ht="15" hidden="false" customHeight="true" outlineLevel="0" collapsed="false">
      <c r="A19" s="73" t="n">
        <v>46252</v>
      </c>
      <c r="B19" s="69" t="s">
        <v>497</v>
      </c>
      <c r="C19" s="174" t="s">
        <v>498</v>
      </c>
    </row>
    <row r="20" customFormat="false" ht="15" hidden="false" customHeight="true" outlineLevel="0" collapsed="false">
      <c r="A20" s="73" t="n">
        <v>46258</v>
      </c>
      <c r="B20" s="69" t="s">
        <v>499</v>
      </c>
      <c r="C20" s="174" t="s">
        <v>500</v>
      </c>
    </row>
    <row r="21" customFormat="false" ht="15" hidden="false" customHeight="true" outlineLevel="0" collapsed="false">
      <c r="A21" s="73"/>
      <c r="B21" s="69"/>
      <c r="C21" s="174"/>
    </row>
    <row r="22" customFormat="false" ht="15" hidden="false" customHeight="true" outlineLevel="0" collapsed="false">
      <c r="A22" s="73"/>
      <c r="B22" s="69"/>
      <c r="C22" s="174"/>
    </row>
    <row r="23" customFormat="false" ht="15" hidden="false" customHeight="true" outlineLevel="0" collapsed="false">
      <c r="A23" s="73"/>
      <c r="B23" s="69"/>
      <c r="C23" s="174"/>
    </row>
    <row r="24" customFormat="false" ht="15" hidden="false" customHeight="true" outlineLevel="0" collapsed="false">
      <c r="A24" s="73"/>
      <c r="B24" s="69"/>
      <c r="C24" s="174"/>
    </row>
    <row r="25" customFormat="false" ht="15" hidden="false" customHeight="true" outlineLevel="0" collapsed="false">
      <c r="A25" s="73"/>
      <c r="B25" s="69"/>
      <c r="C25" s="174"/>
    </row>
    <row r="26" customFormat="false" ht="15" hidden="false" customHeight="true" outlineLevel="0" collapsed="false">
      <c r="A26" s="73"/>
      <c r="B26" s="69"/>
      <c r="C26" s="174"/>
    </row>
    <row r="27" customFormat="false" ht="15" hidden="false" customHeight="true" outlineLevel="0" collapsed="false">
      <c r="A27" s="73"/>
      <c r="B27" s="69"/>
      <c r="C27" s="174"/>
    </row>
    <row r="28" customFormat="false" ht="15" hidden="false" customHeight="true" outlineLevel="0" collapsed="false">
      <c r="A28" s="73"/>
      <c r="B28" s="69"/>
      <c r="C28" s="174"/>
    </row>
    <row r="29" customFormat="false" ht="15" hidden="false" customHeight="true" outlineLevel="0" collapsed="false">
      <c r="A29" s="73"/>
      <c r="B29" s="69"/>
      <c r="C29" s="174"/>
    </row>
    <row r="30" customFormat="false" ht="15" hidden="false" customHeight="true" outlineLevel="0" collapsed="false">
      <c r="A30" s="73"/>
      <c r="B30" s="69"/>
      <c r="C30" s="174"/>
    </row>
    <row r="31" customFormat="false" ht="15" hidden="false" customHeight="true" outlineLevel="0" collapsed="false">
      <c r="A31" s="73"/>
      <c r="B31" s="69"/>
      <c r="C31" s="174"/>
    </row>
    <row r="32" customFormat="false" ht="15" hidden="false" customHeight="true" outlineLevel="0" collapsed="false">
      <c r="A32" s="73"/>
      <c r="B32" s="69"/>
      <c r="C32" s="174"/>
    </row>
    <row r="33" customFormat="false" ht="15" hidden="false" customHeight="true" outlineLevel="0" collapsed="false">
      <c r="A33" s="73"/>
      <c r="B33" s="69"/>
      <c r="C33" s="174"/>
    </row>
    <row r="34" customFormat="false" ht="15" hidden="false" customHeight="true" outlineLevel="0" collapsed="false">
      <c r="A34" s="73"/>
      <c r="B34" s="69"/>
      <c r="C34" s="174"/>
    </row>
    <row r="35" customFormat="false" ht="15" hidden="false" customHeight="true" outlineLevel="0" collapsed="false">
      <c r="A35" s="73"/>
      <c r="B35" s="69"/>
      <c r="C35" s="174"/>
    </row>
    <row r="36" customFormat="false" ht="15" hidden="false" customHeight="true" outlineLevel="0" collapsed="false">
      <c r="A36" s="73"/>
      <c r="B36" s="69"/>
      <c r="C36" s="174"/>
    </row>
    <row r="37" customFormat="false" ht="15" hidden="false" customHeight="true" outlineLevel="0" collapsed="false">
      <c r="A37" s="73"/>
      <c r="B37" s="69"/>
      <c r="C37" s="174"/>
    </row>
    <row r="38" customFormat="false" ht="15" hidden="false" customHeight="true" outlineLevel="0" collapsed="false">
      <c r="A38" s="73"/>
      <c r="B38" s="69"/>
      <c r="C38" s="174"/>
    </row>
    <row r="39" customFormat="false" ht="15" hidden="false" customHeight="true" outlineLevel="0" collapsed="false">
      <c r="A39" s="73"/>
      <c r="B39" s="69"/>
      <c r="C39" s="174"/>
    </row>
    <row r="40" customFormat="false" ht="15" hidden="false" customHeight="true" outlineLevel="0" collapsed="false">
      <c r="A40" s="73"/>
      <c r="B40" s="69"/>
      <c r="C40" s="174"/>
    </row>
    <row r="41" customFormat="false" ht="15" hidden="false" customHeight="true" outlineLevel="0" collapsed="false">
      <c r="A41" s="73"/>
      <c r="B41" s="69"/>
      <c r="C41" s="174"/>
    </row>
    <row r="42" customFormat="false" ht="15" hidden="false" customHeight="true" outlineLevel="0" collapsed="false">
      <c r="A42" s="73"/>
      <c r="B42" s="69"/>
      <c r="C42" s="174"/>
    </row>
    <row r="43" customFormat="false" ht="15" hidden="false" customHeight="true" outlineLevel="0" collapsed="false">
      <c r="A43" s="73"/>
      <c r="B43" s="69"/>
      <c r="C43" s="174"/>
    </row>
    <row r="44" customFormat="false" ht="15" hidden="false" customHeight="true" outlineLevel="0" collapsed="false">
      <c r="A44" s="73"/>
      <c r="B44" s="69"/>
      <c r="C44" s="174"/>
    </row>
    <row r="45" customFormat="false" ht="15" hidden="false" customHeight="true" outlineLevel="0" collapsed="false">
      <c r="A45" s="73"/>
      <c r="B45" s="69"/>
      <c r="C45" s="174"/>
    </row>
    <row r="46" customFormat="false" ht="15" hidden="false" customHeight="true" outlineLevel="0" collapsed="false">
      <c r="A46" s="73"/>
      <c r="B46" s="69"/>
      <c r="C46" s="174"/>
    </row>
    <row r="47" customFormat="false" ht="15" hidden="false" customHeight="true" outlineLevel="0" collapsed="false">
      <c r="A47" s="73"/>
      <c r="B47" s="69"/>
      <c r="C47" s="174"/>
    </row>
    <row r="48" customFormat="false" ht="15" hidden="false" customHeight="true" outlineLevel="0" collapsed="false">
      <c r="A48" s="73"/>
      <c r="B48" s="69"/>
      <c r="C48" s="174"/>
    </row>
    <row r="49" customFormat="false" ht="15" hidden="false" customHeight="true" outlineLevel="0" collapsed="false">
      <c r="A49" s="73"/>
      <c r="B49" s="69"/>
      <c r="C49" s="174"/>
    </row>
    <row r="50" customFormat="false" ht="15" hidden="false" customHeight="true" outlineLevel="0" collapsed="false">
      <c r="A50" s="73"/>
      <c r="B50" s="69"/>
      <c r="C50" s="174"/>
    </row>
    <row r="51" customFormat="false" ht="15" hidden="false" customHeight="true" outlineLevel="0" collapsed="false">
      <c r="A51" s="73"/>
      <c r="B51" s="69"/>
      <c r="C51" s="174"/>
    </row>
    <row r="52" customFormat="false" ht="15" hidden="false" customHeight="true" outlineLevel="0" collapsed="false">
      <c r="A52" s="73"/>
      <c r="B52" s="69"/>
      <c r="C52" s="174"/>
    </row>
    <row r="53" customFormat="false" ht="15" hidden="false" customHeight="true" outlineLevel="0" collapsed="false">
      <c r="A53" s="73"/>
      <c r="B53" s="69"/>
      <c r="C53" s="174"/>
    </row>
    <row r="54" customFormat="false" ht="15" hidden="false" customHeight="true" outlineLevel="0" collapsed="false">
      <c r="A54" s="73"/>
      <c r="B54" s="69"/>
      <c r="C54" s="174"/>
    </row>
    <row r="55" customFormat="false" ht="15" hidden="false" customHeight="true" outlineLevel="0" collapsed="false">
      <c r="A55" s="73"/>
      <c r="B55" s="69"/>
      <c r="C55" s="174"/>
    </row>
    <row r="56" customFormat="false" ht="15" hidden="false" customHeight="true" outlineLevel="0" collapsed="false">
      <c r="A56" s="73"/>
      <c r="B56" s="69"/>
      <c r="C56" s="174"/>
    </row>
    <row r="57" customFormat="false" ht="15" hidden="false" customHeight="true" outlineLevel="0" collapsed="false">
      <c r="A57" s="73"/>
      <c r="B57" s="69"/>
      <c r="C57" s="174"/>
    </row>
    <row r="58" customFormat="false" ht="15" hidden="false" customHeight="true" outlineLevel="0" collapsed="false">
      <c r="A58" s="73"/>
      <c r="B58" s="69"/>
      <c r="C58" s="174"/>
    </row>
    <row r="59" customFormat="false" ht="15" hidden="false" customHeight="true" outlineLevel="0" collapsed="false">
      <c r="A59" s="73"/>
      <c r="B59" s="69"/>
      <c r="C59" s="174"/>
    </row>
    <row r="60" customFormat="false" ht="15" hidden="false" customHeight="true" outlineLevel="0" collapsed="false">
      <c r="A60" s="73"/>
      <c r="B60" s="69"/>
      <c r="C60" s="174"/>
    </row>
    <row r="61" customFormat="false" ht="15" hidden="false" customHeight="true" outlineLevel="0" collapsed="false">
      <c r="A61" s="73"/>
      <c r="B61" s="69"/>
      <c r="C61" s="174"/>
    </row>
    <row r="62" customFormat="false" ht="15" hidden="false" customHeight="true" outlineLevel="0" collapsed="false">
      <c r="A62" s="73"/>
      <c r="B62" s="69"/>
      <c r="C62" s="174"/>
    </row>
    <row r="63" customFormat="false" ht="15" hidden="false" customHeight="true" outlineLevel="0" collapsed="false">
      <c r="A63" s="73"/>
      <c r="B63" s="69"/>
      <c r="C63" s="174"/>
    </row>
    <row r="64" customFormat="false" ht="15" hidden="false" customHeight="true" outlineLevel="0" collapsed="false">
      <c r="A64" s="73"/>
      <c r="B64" s="69"/>
      <c r="C64" s="174"/>
    </row>
    <row r="65" customFormat="false" ht="15" hidden="false" customHeight="true" outlineLevel="0" collapsed="false">
      <c r="A65" s="73"/>
      <c r="B65" s="69"/>
      <c r="C65" s="174"/>
    </row>
    <row r="66" customFormat="false" ht="15" hidden="false" customHeight="true" outlineLevel="0" collapsed="false">
      <c r="A66" s="73"/>
      <c r="B66" s="69"/>
      <c r="C66" s="174"/>
    </row>
    <row r="67" customFormat="false" ht="15" hidden="false" customHeight="true" outlineLevel="0" collapsed="false">
      <c r="A67" s="73"/>
      <c r="B67" s="69"/>
      <c r="C67" s="174"/>
    </row>
    <row r="68" customFormat="false" ht="15" hidden="false" customHeight="true" outlineLevel="0" collapsed="false">
      <c r="A68" s="73"/>
      <c r="B68" s="69"/>
      <c r="C68" s="174"/>
    </row>
    <row r="69" customFormat="false" ht="15" hidden="false" customHeight="true" outlineLevel="0" collapsed="false">
      <c r="A69" s="73"/>
      <c r="B69" s="69"/>
      <c r="C69" s="174"/>
    </row>
    <row r="70" customFormat="false" ht="15" hidden="false" customHeight="true" outlineLevel="0" collapsed="false">
      <c r="A70" s="73"/>
      <c r="B70" s="69"/>
      <c r="C70" s="174"/>
    </row>
    <row r="71" customFormat="false" ht="15" hidden="false" customHeight="true" outlineLevel="0" collapsed="false">
      <c r="A71" s="73"/>
      <c r="B71" s="69"/>
      <c r="C71" s="174"/>
    </row>
    <row r="72" customFormat="false" ht="15" hidden="false" customHeight="true" outlineLevel="0" collapsed="false">
      <c r="A72" s="73"/>
      <c r="B72" s="69"/>
      <c r="C72" s="174"/>
    </row>
    <row r="73" customFormat="false" ht="15" hidden="false" customHeight="true" outlineLevel="0" collapsed="false">
      <c r="A73" s="73"/>
      <c r="B73" s="69"/>
      <c r="C73" s="174"/>
    </row>
    <row r="74" customFormat="false" ht="15" hidden="false" customHeight="true" outlineLevel="0" collapsed="false">
      <c r="A74" s="73"/>
      <c r="B74" s="69"/>
      <c r="C74" s="174"/>
    </row>
    <row r="75" customFormat="false" ht="15" hidden="false" customHeight="true" outlineLevel="0" collapsed="false">
      <c r="A75" s="73"/>
      <c r="B75" s="69"/>
      <c r="C75" s="174"/>
    </row>
    <row r="76" customFormat="false" ht="15" hidden="false" customHeight="true" outlineLevel="0" collapsed="false">
      <c r="A76" s="73"/>
      <c r="B76" s="69"/>
      <c r="C76" s="174"/>
    </row>
    <row r="77" customFormat="false" ht="15" hidden="false" customHeight="true" outlineLevel="0" collapsed="false">
      <c r="A77" s="73"/>
      <c r="B77" s="69"/>
      <c r="C77" s="174"/>
    </row>
    <row r="78" customFormat="false" ht="15" hidden="false" customHeight="true" outlineLevel="0" collapsed="false">
      <c r="A78" s="73"/>
      <c r="B78" s="69"/>
      <c r="C78" s="174"/>
    </row>
    <row r="79" customFormat="false" ht="15" hidden="false" customHeight="true" outlineLevel="0" collapsed="false">
      <c r="A79" s="73"/>
      <c r="B79" s="69"/>
      <c r="C79" s="174"/>
    </row>
    <row r="80" customFormat="false" ht="15" hidden="false" customHeight="true" outlineLevel="0" collapsed="false">
      <c r="A80" s="73"/>
      <c r="B80" s="69"/>
      <c r="C80" s="174"/>
    </row>
    <row r="81" customFormat="false" ht="15" hidden="false" customHeight="true" outlineLevel="0" collapsed="false">
      <c r="A81" s="73"/>
      <c r="B81" s="69"/>
      <c r="C81" s="174"/>
    </row>
    <row r="82" customFormat="false" ht="15" hidden="false" customHeight="true" outlineLevel="0" collapsed="false">
      <c r="A82" s="73"/>
      <c r="B82" s="69"/>
      <c r="C82" s="174"/>
    </row>
    <row r="83" customFormat="false" ht="15" hidden="false" customHeight="true" outlineLevel="0" collapsed="false">
      <c r="A83" s="73"/>
      <c r="B83" s="69"/>
      <c r="C83" s="174"/>
    </row>
    <row r="84" customFormat="false" ht="15" hidden="false" customHeight="true" outlineLevel="0" collapsed="false">
      <c r="A84" s="73"/>
      <c r="B84" s="69"/>
      <c r="C84" s="174"/>
    </row>
    <row r="85" customFormat="false" ht="15" hidden="false" customHeight="true" outlineLevel="0" collapsed="false">
      <c r="A85" s="73"/>
      <c r="B85" s="69"/>
      <c r="C85" s="174"/>
    </row>
    <row r="86" customFormat="false" ht="15" hidden="false" customHeight="true" outlineLevel="0" collapsed="false">
      <c r="A86" s="73"/>
      <c r="B86" s="69"/>
      <c r="C86" s="174"/>
    </row>
    <row r="87" customFormat="false" ht="15" hidden="false" customHeight="true" outlineLevel="0" collapsed="false">
      <c r="A87" s="73"/>
      <c r="B87" s="69"/>
      <c r="C87" s="174"/>
    </row>
    <row r="88" customFormat="false" ht="15" hidden="false" customHeight="true" outlineLevel="0" collapsed="false">
      <c r="A88" s="73"/>
      <c r="B88" s="69"/>
      <c r="C88" s="174"/>
    </row>
    <row r="89" customFormat="false" ht="15" hidden="false" customHeight="true" outlineLevel="0" collapsed="false">
      <c r="A89" s="73"/>
      <c r="B89" s="69"/>
      <c r="C89" s="174"/>
    </row>
    <row r="90" customFormat="false" ht="15" hidden="false" customHeight="true" outlineLevel="0" collapsed="false">
      <c r="A90" s="73"/>
      <c r="B90" s="69"/>
      <c r="C90" s="174"/>
    </row>
    <row r="91" customFormat="false" ht="15" hidden="false" customHeight="true" outlineLevel="0" collapsed="false">
      <c r="A91" s="73"/>
      <c r="B91" s="69"/>
      <c r="C91" s="174"/>
    </row>
    <row r="92" customFormat="false" ht="15" hidden="false" customHeight="true" outlineLevel="0" collapsed="false">
      <c r="A92" s="73"/>
      <c r="B92" s="69"/>
      <c r="C92" s="174"/>
    </row>
    <row r="93" customFormat="false" ht="15" hidden="false" customHeight="true" outlineLevel="0" collapsed="false">
      <c r="A93" s="73"/>
      <c r="B93" s="69"/>
      <c r="C93" s="174"/>
    </row>
    <row r="94" customFormat="false" ht="15" hidden="false" customHeight="true" outlineLevel="0" collapsed="false">
      <c r="A94" s="73"/>
      <c r="B94" s="69"/>
      <c r="C94" s="174"/>
    </row>
    <row r="95" customFormat="false" ht="15" hidden="false" customHeight="true" outlineLevel="0" collapsed="false">
      <c r="A95" s="73"/>
      <c r="B95" s="69"/>
      <c r="C95" s="174"/>
    </row>
    <row r="96" customFormat="false" ht="15" hidden="false" customHeight="true" outlineLevel="0" collapsed="false">
      <c r="A96" s="73"/>
      <c r="B96" s="69"/>
      <c r="C96" s="174"/>
    </row>
    <row r="97" customFormat="false" ht="15" hidden="false" customHeight="true" outlineLevel="0" collapsed="false">
      <c r="A97" s="73"/>
      <c r="B97" s="69"/>
      <c r="C97" s="174"/>
    </row>
    <row r="98" customFormat="false" ht="15" hidden="false" customHeight="true" outlineLevel="0" collapsed="false">
      <c r="A98" s="73"/>
      <c r="B98" s="69"/>
      <c r="C98" s="174"/>
    </row>
    <row r="99" customFormat="false" ht="15" hidden="false" customHeight="true" outlineLevel="0" collapsed="false">
      <c r="A99" s="73"/>
      <c r="B99" s="69"/>
      <c r="C99" s="174"/>
    </row>
    <row r="100" customFormat="false" ht="15" hidden="false" customHeight="true" outlineLevel="0" collapsed="false">
      <c r="A100" s="73"/>
      <c r="B100" s="69"/>
      <c r="C100" s="174"/>
    </row>
    <row r="101" customFormat="false" ht="15" hidden="false" customHeight="true" outlineLevel="0" collapsed="false">
      <c r="A101" s="73"/>
      <c r="B101" s="69"/>
      <c r="C101" s="174"/>
    </row>
    <row r="102" customFormat="false" ht="15" hidden="false" customHeight="true" outlineLevel="0" collapsed="false">
      <c r="A102" s="73"/>
      <c r="B102" s="69"/>
      <c r="C102" s="174"/>
    </row>
    <row r="103" customFormat="false" ht="15" hidden="false" customHeight="true" outlineLevel="0" collapsed="false">
      <c r="A103" s="73"/>
      <c r="B103" s="69"/>
      <c r="C103" s="174"/>
    </row>
    <row r="104" customFormat="false" ht="15" hidden="false" customHeight="true" outlineLevel="0" collapsed="false">
      <c r="A104" s="73"/>
      <c r="B104" s="69"/>
      <c r="C104" s="174"/>
    </row>
    <row r="105" customFormat="false" ht="15" hidden="false" customHeight="true" outlineLevel="0" collapsed="false">
      <c r="A105" s="73"/>
      <c r="B105" s="69"/>
      <c r="C105" s="174"/>
    </row>
    <row r="106" customFormat="false" ht="15" hidden="false" customHeight="true" outlineLevel="0" collapsed="false">
      <c r="A106" s="73"/>
      <c r="B106" s="69"/>
      <c r="C106" s="174"/>
    </row>
    <row r="107" customFormat="false" ht="15" hidden="false" customHeight="true" outlineLevel="0" collapsed="false">
      <c r="A107" s="73"/>
      <c r="B107" s="69"/>
      <c r="C107" s="174"/>
    </row>
    <row r="108" customFormat="false" ht="15" hidden="false" customHeight="true" outlineLevel="0" collapsed="false">
      <c r="A108" s="73"/>
      <c r="B108" s="69"/>
      <c r="C108" s="174"/>
    </row>
    <row r="109" customFormat="false" ht="15" hidden="false" customHeight="true" outlineLevel="0" collapsed="false">
      <c r="A109" s="73"/>
      <c r="B109" s="69"/>
      <c r="C109" s="174"/>
    </row>
    <row r="110" customFormat="false" ht="15" hidden="false" customHeight="true" outlineLevel="0" collapsed="false">
      <c r="A110" s="73"/>
      <c r="B110" s="69"/>
      <c r="C110" s="174"/>
    </row>
    <row r="111" customFormat="false" ht="15" hidden="false" customHeight="true" outlineLevel="0" collapsed="false">
      <c r="A111" s="73"/>
      <c r="B111" s="69"/>
      <c r="C111" s="174"/>
    </row>
    <row r="112" customFormat="false" ht="15" hidden="false" customHeight="true" outlineLevel="0" collapsed="false">
      <c r="A112" s="73"/>
      <c r="B112" s="69"/>
      <c r="C112" s="174"/>
    </row>
    <row r="113" customFormat="false" ht="15" hidden="false" customHeight="true" outlineLevel="0" collapsed="false">
      <c r="A113" s="73"/>
      <c r="B113" s="69"/>
      <c r="C113" s="174"/>
    </row>
    <row r="114" customFormat="false" ht="15" hidden="false" customHeight="true" outlineLevel="0" collapsed="false">
      <c r="A114" s="73"/>
      <c r="B114" s="69"/>
      <c r="C114" s="174"/>
    </row>
    <row r="115" customFormat="false" ht="15" hidden="false" customHeight="true" outlineLevel="0" collapsed="false">
      <c r="A115" s="73"/>
      <c r="B115" s="69"/>
      <c r="C115" s="174"/>
    </row>
    <row r="116" customFormat="false" ht="15" hidden="false" customHeight="true" outlineLevel="0" collapsed="false">
      <c r="A116" s="73"/>
      <c r="B116" s="69"/>
      <c r="C116" s="174"/>
    </row>
    <row r="117" customFormat="false" ht="15" hidden="false" customHeight="true" outlineLevel="0" collapsed="false">
      <c r="A117" s="73"/>
      <c r="B117" s="69"/>
      <c r="C117" s="174"/>
    </row>
    <row r="118" customFormat="false" ht="15" hidden="false" customHeight="true" outlineLevel="0" collapsed="false">
      <c r="A118" s="73"/>
      <c r="B118" s="69"/>
      <c r="C118" s="174"/>
    </row>
    <row r="119" customFormat="false" ht="15" hidden="false" customHeight="true" outlineLevel="0" collapsed="false">
      <c r="A119" s="73"/>
      <c r="B119" s="69"/>
      <c r="C119" s="174"/>
    </row>
    <row r="120" customFormat="false" ht="15" hidden="false" customHeight="true" outlineLevel="0" collapsed="false">
      <c r="A120" s="73"/>
      <c r="B120" s="69"/>
      <c r="C120" s="174"/>
    </row>
    <row r="121" customFormat="false" ht="15" hidden="false" customHeight="true" outlineLevel="0" collapsed="false">
      <c r="A121" s="73"/>
      <c r="B121" s="69"/>
      <c r="C121" s="174"/>
    </row>
    <row r="122" customFormat="false" ht="15" hidden="false" customHeight="true" outlineLevel="0" collapsed="false">
      <c r="A122" s="73"/>
      <c r="B122" s="69"/>
      <c r="C122" s="174"/>
    </row>
    <row r="123" customFormat="false" ht="15" hidden="false" customHeight="true" outlineLevel="0" collapsed="false">
      <c r="A123" s="73"/>
      <c r="B123" s="69"/>
      <c r="C123" s="174"/>
    </row>
    <row r="124" customFormat="false" ht="15" hidden="false" customHeight="true" outlineLevel="0" collapsed="false">
      <c r="A124" s="73"/>
      <c r="B124" s="69"/>
      <c r="C124" s="174"/>
    </row>
    <row r="125" customFormat="false" ht="15" hidden="false" customHeight="true" outlineLevel="0" collapsed="false">
      <c r="A125" s="73"/>
      <c r="B125" s="69"/>
      <c r="C125" s="174"/>
    </row>
    <row r="126" customFormat="false" ht="15" hidden="false" customHeight="true" outlineLevel="0" collapsed="false">
      <c r="A126" s="73"/>
      <c r="B126" s="69"/>
      <c r="C126" s="174"/>
    </row>
    <row r="127" customFormat="false" ht="15" hidden="false" customHeight="true" outlineLevel="0" collapsed="false">
      <c r="A127" s="73"/>
      <c r="B127" s="69"/>
      <c r="C127" s="174"/>
    </row>
    <row r="128" customFormat="false" ht="15" hidden="false" customHeight="true" outlineLevel="0" collapsed="false">
      <c r="A128" s="73"/>
      <c r="B128" s="69"/>
      <c r="C128" s="174"/>
    </row>
    <row r="129" customFormat="false" ht="15" hidden="false" customHeight="true" outlineLevel="0" collapsed="false">
      <c r="A129" s="73"/>
      <c r="B129" s="69"/>
      <c r="C129" s="174"/>
    </row>
    <row r="130" customFormat="false" ht="15" hidden="false" customHeight="true" outlineLevel="0" collapsed="false">
      <c r="A130" s="73"/>
      <c r="B130" s="69"/>
      <c r="C130" s="174"/>
    </row>
    <row r="131" customFormat="false" ht="15" hidden="false" customHeight="true" outlineLevel="0" collapsed="false">
      <c r="A131" s="73"/>
      <c r="B131" s="69"/>
      <c r="C131" s="174"/>
    </row>
    <row r="132" customFormat="false" ht="15" hidden="false" customHeight="true" outlineLevel="0" collapsed="false">
      <c r="A132" s="73"/>
      <c r="B132" s="69"/>
      <c r="C132" s="174"/>
    </row>
    <row r="133" customFormat="false" ht="15" hidden="false" customHeight="true" outlineLevel="0" collapsed="false">
      <c r="A133" s="73"/>
      <c r="B133" s="69"/>
      <c r="C133" s="174"/>
    </row>
    <row r="134" customFormat="false" ht="15" hidden="false" customHeight="true" outlineLevel="0" collapsed="false">
      <c r="A134" s="73"/>
      <c r="B134" s="69"/>
      <c r="C134" s="174"/>
    </row>
    <row r="135" customFormat="false" ht="15" hidden="false" customHeight="true" outlineLevel="0" collapsed="false">
      <c r="A135" s="73"/>
      <c r="B135" s="69"/>
      <c r="C135" s="174"/>
    </row>
    <row r="136" customFormat="false" ht="15" hidden="false" customHeight="true" outlineLevel="0" collapsed="false">
      <c r="A136" s="73"/>
      <c r="B136" s="69"/>
      <c r="C136" s="174"/>
    </row>
    <row r="137" customFormat="false" ht="15" hidden="false" customHeight="true" outlineLevel="0" collapsed="false">
      <c r="A137" s="73"/>
      <c r="B137" s="69"/>
      <c r="C137" s="174"/>
    </row>
    <row r="138" customFormat="false" ht="15" hidden="false" customHeight="true" outlineLevel="0" collapsed="false">
      <c r="A138" s="73"/>
      <c r="B138" s="69"/>
      <c r="C138" s="174"/>
    </row>
    <row r="139" customFormat="false" ht="15" hidden="false" customHeight="true" outlineLevel="0" collapsed="false">
      <c r="A139" s="73"/>
      <c r="B139" s="69"/>
      <c r="C139" s="174"/>
    </row>
    <row r="140" customFormat="false" ht="15" hidden="false" customHeight="true" outlineLevel="0" collapsed="false">
      <c r="A140" s="73"/>
      <c r="B140" s="69"/>
      <c r="C140" s="174"/>
    </row>
    <row r="141" customFormat="false" ht="15" hidden="false" customHeight="true" outlineLevel="0" collapsed="false">
      <c r="A141" s="73"/>
      <c r="B141" s="69"/>
      <c r="C141" s="174"/>
    </row>
    <row r="142" customFormat="false" ht="15" hidden="false" customHeight="true" outlineLevel="0" collapsed="false">
      <c r="A142" s="73"/>
      <c r="B142" s="69"/>
      <c r="C142" s="174"/>
    </row>
    <row r="143" customFormat="false" ht="15" hidden="false" customHeight="true" outlineLevel="0" collapsed="false">
      <c r="A143" s="73"/>
      <c r="B143" s="69"/>
      <c r="C143" s="174"/>
    </row>
    <row r="144" customFormat="false" ht="15" hidden="false" customHeight="true" outlineLevel="0" collapsed="false">
      <c r="A144" s="73"/>
      <c r="B144" s="69"/>
      <c r="C144" s="174"/>
    </row>
    <row r="145" customFormat="false" ht="15" hidden="false" customHeight="true" outlineLevel="0" collapsed="false">
      <c r="A145" s="73"/>
      <c r="B145" s="69"/>
      <c r="C145" s="174"/>
    </row>
    <row r="146" customFormat="false" ht="15" hidden="false" customHeight="true" outlineLevel="0" collapsed="false">
      <c r="A146" s="73"/>
      <c r="B146" s="69"/>
      <c r="C146" s="174"/>
    </row>
    <row r="147" customFormat="false" ht="15" hidden="false" customHeight="true" outlineLevel="0" collapsed="false">
      <c r="A147" s="73"/>
      <c r="B147" s="69"/>
      <c r="C147" s="174"/>
    </row>
    <row r="148" customFormat="false" ht="15" hidden="false" customHeight="true" outlineLevel="0" collapsed="false">
      <c r="A148" s="73"/>
      <c r="B148" s="69"/>
      <c r="C148" s="174"/>
    </row>
    <row r="149" customFormat="false" ht="15" hidden="false" customHeight="true" outlineLevel="0" collapsed="false">
      <c r="A149" s="73"/>
      <c r="B149" s="69"/>
      <c r="C149" s="174"/>
    </row>
    <row r="150" customFormat="false" ht="15" hidden="false" customHeight="true" outlineLevel="0" collapsed="false">
      <c r="A150" s="73"/>
      <c r="B150" s="69"/>
      <c r="C150" s="174"/>
    </row>
    <row r="151" customFormat="false" ht="15" hidden="false" customHeight="true" outlineLevel="0" collapsed="false">
      <c r="A151" s="73"/>
      <c r="B151" s="69"/>
      <c r="C151" s="174"/>
    </row>
    <row r="152" customFormat="false" ht="15" hidden="false" customHeight="true" outlineLevel="0" collapsed="false">
      <c r="A152" s="73"/>
      <c r="B152" s="69"/>
      <c r="C152" s="174"/>
    </row>
    <row r="153" customFormat="false" ht="15" hidden="false" customHeight="true" outlineLevel="0" collapsed="false">
      <c r="A153" s="73"/>
      <c r="B153" s="69"/>
      <c r="C153" s="174"/>
    </row>
    <row r="154" customFormat="false" ht="15" hidden="false" customHeight="true" outlineLevel="0" collapsed="false">
      <c r="A154" s="73"/>
      <c r="B154" s="69"/>
      <c r="C154" s="174"/>
    </row>
    <row r="155" customFormat="false" ht="15" hidden="false" customHeight="true" outlineLevel="0" collapsed="false">
      <c r="A155" s="73"/>
      <c r="B155" s="69"/>
      <c r="C155" s="174"/>
    </row>
    <row r="156" customFormat="false" ht="15" hidden="false" customHeight="true" outlineLevel="0" collapsed="false">
      <c r="A156" s="73"/>
      <c r="B156" s="69"/>
      <c r="C156" s="174"/>
    </row>
    <row r="157" customFormat="false" ht="15" hidden="false" customHeight="true" outlineLevel="0" collapsed="false">
      <c r="A157" s="73"/>
      <c r="B157" s="69"/>
      <c r="C157" s="174"/>
    </row>
    <row r="158" customFormat="false" ht="15" hidden="false" customHeight="true" outlineLevel="0" collapsed="false">
      <c r="A158" s="73"/>
      <c r="B158" s="69"/>
      <c r="C158" s="174"/>
    </row>
    <row r="159" customFormat="false" ht="15" hidden="false" customHeight="true" outlineLevel="0" collapsed="false">
      <c r="A159" s="73"/>
      <c r="B159" s="69"/>
      <c r="C159" s="174"/>
    </row>
    <row r="160" customFormat="false" ht="15" hidden="false" customHeight="true" outlineLevel="0" collapsed="false">
      <c r="A160" s="73"/>
      <c r="B160" s="69"/>
      <c r="C160" s="174"/>
    </row>
    <row r="161" customFormat="false" ht="15" hidden="false" customHeight="true" outlineLevel="0" collapsed="false">
      <c r="A161" s="73"/>
      <c r="B161" s="69"/>
      <c r="C161" s="174"/>
    </row>
    <row r="162" customFormat="false" ht="15" hidden="false" customHeight="true" outlineLevel="0" collapsed="false">
      <c r="A162" s="73"/>
      <c r="B162" s="69"/>
      <c r="C162" s="174"/>
    </row>
    <row r="163" customFormat="false" ht="15" hidden="false" customHeight="true" outlineLevel="0" collapsed="false">
      <c r="A163" s="73"/>
      <c r="B163" s="69"/>
      <c r="C163" s="174"/>
    </row>
    <row r="164" customFormat="false" ht="15" hidden="false" customHeight="true" outlineLevel="0" collapsed="false">
      <c r="A164" s="73"/>
      <c r="B164" s="69"/>
      <c r="C164" s="174"/>
    </row>
    <row r="165" customFormat="false" ht="15" hidden="false" customHeight="true" outlineLevel="0" collapsed="false">
      <c r="A165" s="73"/>
      <c r="B165" s="69"/>
      <c r="C165" s="174"/>
    </row>
    <row r="166" customFormat="false" ht="15" hidden="false" customHeight="true" outlineLevel="0" collapsed="false">
      <c r="A166" s="73"/>
      <c r="B166" s="69"/>
      <c r="C166" s="174"/>
    </row>
    <row r="167" customFormat="false" ht="15" hidden="false" customHeight="true" outlineLevel="0" collapsed="false">
      <c r="A167" s="73"/>
      <c r="B167" s="69"/>
      <c r="C167" s="174"/>
    </row>
    <row r="168" customFormat="false" ht="15" hidden="false" customHeight="true" outlineLevel="0" collapsed="false">
      <c r="A168" s="73"/>
      <c r="B168" s="69"/>
      <c r="C168" s="174"/>
    </row>
    <row r="169" customFormat="false" ht="15" hidden="false" customHeight="true" outlineLevel="0" collapsed="false">
      <c r="A169" s="73"/>
      <c r="B169" s="69"/>
      <c r="C169" s="174"/>
    </row>
    <row r="170" customFormat="false" ht="15" hidden="false" customHeight="true" outlineLevel="0" collapsed="false">
      <c r="A170" s="73"/>
      <c r="B170" s="69"/>
      <c r="C170" s="174"/>
    </row>
    <row r="171" customFormat="false" ht="15" hidden="false" customHeight="true" outlineLevel="0" collapsed="false">
      <c r="A171" s="73"/>
      <c r="B171" s="69"/>
      <c r="C171" s="174"/>
    </row>
    <row r="172" customFormat="false" ht="15" hidden="false" customHeight="true" outlineLevel="0" collapsed="false">
      <c r="A172" s="73"/>
      <c r="B172" s="69"/>
      <c r="C172" s="174"/>
    </row>
    <row r="173" customFormat="false" ht="15" hidden="false" customHeight="true" outlineLevel="0" collapsed="false">
      <c r="A173" s="73"/>
      <c r="B173" s="69"/>
      <c r="C173" s="174"/>
    </row>
    <row r="174" customFormat="false" ht="15" hidden="false" customHeight="true" outlineLevel="0" collapsed="false">
      <c r="A174" s="73"/>
      <c r="B174" s="69"/>
      <c r="C174" s="174"/>
    </row>
    <row r="175" customFormat="false" ht="15" hidden="false" customHeight="true" outlineLevel="0" collapsed="false">
      <c r="A175" s="73"/>
      <c r="B175" s="69"/>
      <c r="C175" s="174"/>
    </row>
    <row r="176" customFormat="false" ht="15" hidden="false" customHeight="true" outlineLevel="0" collapsed="false">
      <c r="A176" s="73"/>
      <c r="B176" s="69"/>
      <c r="C176" s="174"/>
    </row>
    <row r="177" customFormat="false" ht="15" hidden="false" customHeight="true" outlineLevel="0" collapsed="false">
      <c r="A177" s="73"/>
      <c r="B177" s="69"/>
      <c r="C177" s="174"/>
    </row>
    <row r="178" customFormat="false" ht="15" hidden="false" customHeight="true" outlineLevel="0" collapsed="false">
      <c r="A178" s="73"/>
      <c r="B178" s="69"/>
      <c r="C178" s="174"/>
    </row>
    <row r="179" customFormat="false" ht="15" hidden="false" customHeight="true" outlineLevel="0" collapsed="false">
      <c r="A179" s="73"/>
      <c r="B179" s="69"/>
      <c r="C179" s="174"/>
    </row>
    <row r="180" customFormat="false" ht="15" hidden="false" customHeight="true" outlineLevel="0" collapsed="false">
      <c r="A180" s="73"/>
      <c r="B180" s="69"/>
      <c r="C180" s="174"/>
    </row>
    <row r="181" customFormat="false" ht="15" hidden="false" customHeight="true" outlineLevel="0" collapsed="false">
      <c r="A181" s="73"/>
      <c r="B181" s="69"/>
      <c r="C181" s="174"/>
    </row>
    <row r="182" customFormat="false" ht="15" hidden="false" customHeight="true" outlineLevel="0" collapsed="false">
      <c r="A182" s="73"/>
      <c r="B182" s="69"/>
      <c r="C182" s="174"/>
    </row>
    <row r="183" customFormat="false" ht="15" hidden="false" customHeight="true" outlineLevel="0" collapsed="false">
      <c r="A183" s="73"/>
      <c r="B183" s="69"/>
      <c r="C183" s="174"/>
    </row>
    <row r="184" customFormat="false" ht="15" hidden="false" customHeight="true" outlineLevel="0" collapsed="false">
      <c r="A184" s="73"/>
      <c r="B184" s="69"/>
      <c r="C184" s="174"/>
    </row>
    <row r="185" customFormat="false" ht="15" hidden="false" customHeight="true" outlineLevel="0" collapsed="false">
      <c r="A185" s="73"/>
      <c r="B185" s="69"/>
      <c r="C185" s="174"/>
    </row>
    <row r="186" customFormat="false" ht="15" hidden="false" customHeight="true" outlineLevel="0" collapsed="false">
      <c r="A186" s="73"/>
      <c r="B186" s="69"/>
      <c r="C186" s="174"/>
    </row>
    <row r="187" customFormat="false" ht="15" hidden="false" customHeight="true" outlineLevel="0" collapsed="false">
      <c r="A187" s="73"/>
      <c r="B187" s="69"/>
      <c r="C187" s="174"/>
    </row>
    <row r="188" customFormat="false" ht="15" hidden="false" customHeight="true" outlineLevel="0" collapsed="false">
      <c r="A188" s="73"/>
      <c r="B188" s="69"/>
      <c r="C188" s="174"/>
    </row>
    <row r="189" customFormat="false" ht="15" hidden="false" customHeight="true" outlineLevel="0" collapsed="false">
      <c r="A189" s="73"/>
      <c r="B189" s="69"/>
      <c r="C189" s="174"/>
    </row>
    <row r="190" customFormat="false" ht="15" hidden="false" customHeight="true" outlineLevel="0" collapsed="false">
      <c r="A190" s="73"/>
      <c r="B190" s="69"/>
      <c r="C190" s="174"/>
    </row>
    <row r="191" customFormat="false" ht="15" hidden="false" customHeight="true" outlineLevel="0" collapsed="false">
      <c r="A191" s="73"/>
      <c r="B191" s="69"/>
      <c r="C191" s="174"/>
    </row>
    <row r="192" customFormat="false" ht="15" hidden="false" customHeight="true" outlineLevel="0" collapsed="false">
      <c r="A192" s="73"/>
      <c r="B192" s="69"/>
      <c r="C192" s="174"/>
    </row>
    <row r="193" customFormat="false" ht="15" hidden="false" customHeight="true" outlineLevel="0" collapsed="false">
      <c r="A193" s="73"/>
      <c r="B193" s="69"/>
      <c r="C193" s="174"/>
    </row>
    <row r="194" customFormat="false" ht="15" hidden="false" customHeight="true" outlineLevel="0" collapsed="false">
      <c r="A194" s="73"/>
      <c r="B194" s="69"/>
      <c r="C194" s="174"/>
    </row>
    <row r="195" customFormat="false" ht="15" hidden="false" customHeight="true" outlineLevel="0" collapsed="false">
      <c r="A195" s="73"/>
      <c r="B195" s="69"/>
      <c r="C195" s="174"/>
    </row>
    <row r="196" customFormat="false" ht="15" hidden="false" customHeight="true" outlineLevel="0" collapsed="false">
      <c r="A196" s="73"/>
      <c r="B196" s="69"/>
      <c r="C196" s="174"/>
    </row>
    <row r="197" customFormat="false" ht="15" hidden="false" customHeight="true" outlineLevel="0" collapsed="false">
      <c r="A197" s="73"/>
      <c r="B197" s="69"/>
      <c r="C197" s="174"/>
    </row>
    <row r="198" customFormat="false" ht="15" hidden="false" customHeight="true" outlineLevel="0" collapsed="false">
      <c r="A198" s="73"/>
      <c r="B198" s="69"/>
      <c r="C198" s="174"/>
    </row>
    <row r="199" customFormat="false" ht="15" hidden="false" customHeight="true" outlineLevel="0" collapsed="false">
      <c r="A199" s="73"/>
      <c r="B199" s="69"/>
      <c r="C199" s="174"/>
    </row>
    <row r="200" customFormat="false" ht="15" hidden="false" customHeight="true" outlineLevel="0" collapsed="false">
      <c r="A200" s="73"/>
      <c r="B200" s="69"/>
      <c r="C200" s="174"/>
    </row>
    <row r="201" customFormat="false" ht="15" hidden="false" customHeight="true" outlineLevel="0" collapsed="false">
      <c r="A201" s="73"/>
      <c r="B201" s="69"/>
      <c r="C201" s="174"/>
    </row>
    <row r="202" customFormat="false" ht="15" hidden="false" customHeight="true" outlineLevel="0" collapsed="false">
      <c r="A202" s="73"/>
      <c r="B202" s="69"/>
      <c r="C202" s="174"/>
    </row>
    <row r="203" customFormat="false" ht="15" hidden="false" customHeight="true" outlineLevel="0" collapsed="false">
      <c r="A203" s="73"/>
      <c r="B203" s="69"/>
      <c r="C203" s="174"/>
    </row>
    <row r="204" customFormat="false" ht="15" hidden="false" customHeight="true" outlineLevel="0" collapsed="false">
      <c r="A204" s="73"/>
      <c r="B204" s="69"/>
      <c r="C204" s="174"/>
    </row>
    <row r="205" customFormat="false" ht="15" hidden="false" customHeight="true" outlineLevel="0" collapsed="false">
      <c r="A205" s="73"/>
      <c r="B205" s="69"/>
      <c r="C205" s="174"/>
    </row>
    <row r="206" customFormat="false" ht="15" hidden="false" customHeight="true" outlineLevel="0" collapsed="false">
      <c r="A206" s="73"/>
      <c r="B206" s="69"/>
      <c r="C206" s="174"/>
    </row>
    <row r="207" customFormat="false" ht="15" hidden="false" customHeight="true" outlineLevel="0" collapsed="false">
      <c r="A207" s="73"/>
      <c r="B207" s="69"/>
      <c r="C207" s="174"/>
    </row>
    <row r="208" customFormat="false" ht="15" hidden="false" customHeight="true" outlineLevel="0" collapsed="false">
      <c r="A208" s="73"/>
      <c r="B208" s="69"/>
      <c r="C208" s="174"/>
    </row>
    <row r="209" customFormat="false" ht="15" hidden="false" customHeight="true" outlineLevel="0" collapsed="false">
      <c r="A209" s="73"/>
      <c r="B209" s="69"/>
      <c r="C209" s="174"/>
    </row>
    <row r="210" customFormat="false" ht="15" hidden="false" customHeight="true" outlineLevel="0" collapsed="false">
      <c r="A210" s="73"/>
      <c r="B210" s="69"/>
      <c r="C210" s="174"/>
    </row>
    <row r="211" customFormat="false" ht="15" hidden="false" customHeight="true" outlineLevel="0" collapsed="false">
      <c r="A211" s="73"/>
      <c r="B211" s="69"/>
      <c r="C211" s="174"/>
    </row>
    <row r="212" customFormat="false" ht="15" hidden="false" customHeight="true" outlineLevel="0" collapsed="false">
      <c r="A212" s="73"/>
      <c r="B212" s="69"/>
      <c r="C212" s="174"/>
    </row>
    <row r="213" customFormat="false" ht="15" hidden="false" customHeight="true" outlineLevel="0" collapsed="false">
      <c r="A213" s="73"/>
      <c r="B213" s="69"/>
      <c r="C213" s="174"/>
    </row>
    <row r="214" customFormat="false" ht="15" hidden="false" customHeight="true" outlineLevel="0" collapsed="false">
      <c r="A214" s="73"/>
      <c r="B214" s="69"/>
      <c r="C214" s="174"/>
    </row>
    <row r="215" customFormat="false" ht="15" hidden="false" customHeight="true" outlineLevel="0" collapsed="false">
      <c r="A215" s="73"/>
      <c r="B215" s="69"/>
      <c r="C215" s="174"/>
    </row>
    <row r="216" customFormat="false" ht="15" hidden="false" customHeight="true" outlineLevel="0" collapsed="false">
      <c r="A216" s="73"/>
      <c r="B216" s="69"/>
      <c r="C216" s="174"/>
    </row>
    <row r="217" customFormat="false" ht="15" hidden="false" customHeight="true" outlineLevel="0" collapsed="false">
      <c r="A217" s="73"/>
      <c r="B217" s="69"/>
      <c r="C217" s="174"/>
    </row>
    <row r="218" customFormat="false" ht="15" hidden="false" customHeight="true" outlineLevel="0" collapsed="false">
      <c r="A218" s="73"/>
      <c r="B218" s="69"/>
      <c r="C218" s="174"/>
    </row>
    <row r="219" customFormat="false" ht="15" hidden="false" customHeight="true" outlineLevel="0" collapsed="false">
      <c r="A219" s="73"/>
      <c r="B219" s="69"/>
      <c r="C219" s="174"/>
    </row>
    <row r="220" customFormat="false" ht="15" hidden="false" customHeight="true" outlineLevel="0" collapsed="false">
      <c r="A220" s="73"/>
      <c r="B220" s="69"/>
      <c r="C220" s="174"/>
    </row>
    <row r="221" customFormat="false" ht="15" hidden="false" customHeight="true" outlineLevel="0" collapsed="false">
      <c r="A221" s="73"/>
      <c r="B221" s="69"/>
      <c r="C221" s="174"/>
    </row>
    <row r="222" customFormat="false" ht="15" hidden="false" customHeight="true" outlineLevel="0" collapsed="false">
      <c r="A222" s="73"/>
      <c r="B222" s="69"/>
      <c r="C222" s="174"/>
    </row>
    <row r="223" customFormat="false" ht="15" hidden="false" customHeight="true" outlineLevel="0" collapsed="false">
      <c r="A223" s="73"/>
      <c r="B223" s="69"/>
      <c r="C223" s="174"/>
    </row>
    <row r="224" customFormat="false" ht="15" hidden="false" customHeight="true" outlineLevel="0" collapsed="false">
      <c r="A224" s="73"/>
      <c r="B224" s="69"/>
      <c r="C224" s="174"/>
    </row>
    <row r="225" customFormat="false" ht="15" hidden="false" customHeight="true" outlineLevel="0" collapsed="false">
      <c r="A225" s="73"/>
      <c r="B225" s="69"/>
      <c r="C225" s="174"/>
    </row>
    <row r="226" customFormat="false" ht="15" hidden="false" customHeight="true" outlineLevel="0" collapsed="false">
      <c r="A226" s="73"/>
      <c r="B226" s="69"/>
      <c r="C226" s="174"/>
    </row>
    <row r="227" customFormat="false" ht="15" hidden="false" customHeight="true" outlineLevel="0" collapsed="false">
      <c r="A227" s="73"/>
      <c r="B227" s="69"/>
      <c r="C227" s="174"/>
    </row>
    <row r="228" customFormat="false" ht="15" hidden="false" customHeight="true" outlineLevel="0" collapsed="false">
      <c r="A228" s="73"/>
      <c r="B228" s="69"/>
      <c r="C228" s="174"/>
    </row>
    <row r="229" customFormat="false" ht="15" hidden="false" customHeight="true" outlineLevel="0" collapsed="false">
      <c r="A229" s="73"/>
      <c r="B229" s="69"/>
      <c r="C229" s="174"/>
    </row>
    <row r="230" customFormat="false" ht="15" hidden="false" customHeight="true" outlineLevel="0" collapsed="false">
      <c r="A230" s="73"/>
      <c r="B230" s="69"/>
      <c r="C230" s="174"/>
    </row>
    <row r="231" customFormat="false" ht="15" hidden="false" customHeight="true" outlineLevel="0" collapsed="false">
      <c r="A231" s="73"/>
      <c r="B231" s="69"/>
      <c r="C231" s="174"/>
    </row>
    <row r="232" customFormat="false" ht="15" hidden="false" customHeight="true" outlineLevel="0" collapsed="false">
      <c r="A232" s="73"/>
      <c r="B232" s="69"/>
      <c r="C232" s="174"/>
    </row>
    <row r="233" customFormat="false" ht="15" hidden="false" customHeight="true" outlineLevel="0" collapsed="false">
      <c r="A233" s="73"/>
      <c r="B233" s="69"/>
      <c r="C233" s="174"/>
    </row>
    <row r="234" customFormat="false" ht="15" hidden="false" customHeight="true" outlineLevel="0" collapsed="false">
      <c r="A234" s="73"/>
      <c r="B234" s="69"/>
      <c r="C234" s="174"/>
    </row>
    <row r="235" customFormat="false" ht="15" hidden="false" customHeight="true" outlineLevel="0" collapsed="false">
      <c r="A235" s="73"/>
      <c r="B235" s="69"/>
      <c r="C235" s="174"/>
    </row>
    <row r="236" customFormat="false" ht="15" hidden="false" customHeight="true" outlineLevel="0" collapsed="false">
      <c r="A236" s="73"/>
      <c r="B236" s="69"/>
      <c r="C236" s="174"/>
    </row>
    <row r="237" customFormat="false" ht="15" hidden="false" customHeight="true" outlineLevel="0" collapsed="false">
      <c r="A237" s="73"/>
      <c r="B237" s="69"/>
      <c r="C237" s="174"/>
    </row>
    <row r="238" customFormat="false" ht="15" hidden="false" customHeight="true" outlineLevel="0" collapsed="false">
      <c r="A238" s="73"/>
      <c r="B238" s="69"/>
      <c r="C238" s="174"/>
    </row>
    <row r="239" customFormat="false" ht="15" hidden="false" customHeight="true" outlineLevel="0" collapsed="false">
      <c r="A239" s="73"/>
      <c r="B239" s="69"/>
      <c r="C239" s="174"/>
    </row>
    <row r="240" customFormat="false" ht="15" hidden="false" customHeight="true" outlineLevel="0" collapsed="false">
      <c r="A240" s="73"/>
      <c r="B240" s="69"/>
      <c r="C240" s="174"/>
    </row>
    <row r="241" customFormat="false" ht="15" hidden="false" customHeight="true" outlineLevel="0" collapsed="false">
      <c r="A241" s="73"/>
      <c r="B241" s="69"/>
      <c r="C241" s="174"/>
    </row>
    <row r="242" customFormat="false" ht="15" hidden="false" customHeight="true" outlineLevel="0" collapsed="false">
      <c r="A242" s="73"/>
      <c r="B242" s="69"/>
      <c r="C242" s="174"/>
    </row>
    <row r="243" customFormat="false" ht="15" hidden="false" customHeight="true" outlineLevel="0" collapsed="false">
      <c r="A243" s="73"/>
      <c r="B243" s="69"/>
      <c r="C243" s="174"/>
    </row>
    <row r="244" customFormat="false" ht="15" hidden="false" customHeight="true" outlineLevel="0" collapsed="false">
      <c r="A244" s="73"/>
      <c r="B244" s="69"/>
      <c r="C244" s="174"/>
    </row>
    <row r="245" customFormat="false" ht="15" hidden="false" customHeight="true" outlineLevel="0" collapsed="false">
      <c r="A245" s="73"/>
      <c r="B245" s="69"/>
      <c r="C245" s="174"/>
    </row>
    <row r="246" customFormat="false" ht="15" hidden="false" customHeight="true" outlineLevel="0" collapsed="false">
      <c r="A246" s="73"/>
      <c r="B246" s="69"/>
      <c r="C246" s="174"/>
    </row>
    <row r="247" customFormat="false" ht="15" hidden="false" customHeight="true" outlineLevel="0" collapsed="false">
      <c r="A247" s="73"/>
      <c r="B247" s="69"/>
      <c r="C247" s="174"/>
    </row>
    <row r="248" customFormat="false" ht="15" hidden="false" customHeight="true" outlineLevel="0" collapsed="false">
      <c r="A248" s="73"/>
      <c r="B248" s="69"/>
      <c r="C248" s="174"/>
    </row>
    <row r="249" customFormat="false" ht="15" hidden="false" customHeight="true" outlineLevel="0" collapsed="false">
      <c r="A249" s="73"/>
      <c r="B249" s="69"/>
      <c r="C249" s="174"/>
    </row>
    <row r="250" customFormat="false" ht="15" hidden="false" customHeight="true" outlineLevel="0" collapsed="false">
      <c r="A250" s="73"/>
      <c r="B250" s="69"/>
      <c r="C250" s="174"/>
    </row>
    <row r="251" customFormat="false" ht="15" hidden="false" customHeight="true" outlineLevel="0" collapsed="false">
      <c r="A251" s="73"/>
      <c r="B251" s="69"/>
      <c r="C251" s="174"/>
    </row>
    <row r="252" customFormat="false" ht="15" hidden="false" customHeight="true" outlineLevel="0" collapsed="false">
      <c r="A252" s="73"/>
      <c r="B252" s="69"/>
      <c r="C252" s="174"/>
    </row>
    <row r="253" customFormat="false" ht="15" hidden="false" customHeight="true" outlineLevel="0" collapsed="false">
      <c r="A253" s="73"/>
      <c r="B253" s="69"/>
      <c r="C253" s="174"/>
    </row>
    <row r="254" customFormat="false" ht="15" hidden="false" customHeight="true" outlineLevel="0" collapsed="false">
      <c r="A254" s="73"/>
      <c r="B254" s="69"/>
      <c r="C254" s="174"/>
    </row>
    <row r="255" customFormat="false" ht="15" hidden="false" customHeight="true" outlineLevel="0" collapsed="false">
      <c r="A255" s="73"/>
      <c r="B255" s="69"/>
      <c r="C255" s="174"/>
    </row>
    <row r="256" customFormat="false" ht="15" hidden="false" customHeight="true" outlineLevel="0" collapsed="false">
      <c r="A256" s="73"/>
      <c r="B256" s="69"/>
      <c r="C256" s="174"/>
    </row>
    <row r="257" customFormat="false" ht="15" hidden="false" customHeight="true" outlineLevel="0" collapsed="false">
      <c r="A257" s="73"/>
      <c r="B257" s="69"/>
      <c r="C257" s="174"/>
    </row>
    <row r="258" customFormat="false" ht="15" hidden="false" customHeight="true" outlineLevel="0" collapsed="false">
      <c r="A258" s="73"/>
      <c r="B258" s="69"/>
      <c r="C258" s="174"/>
    </row>
    <row r="259" customFormat="false" ht="15" hidden="false" customHeight="true" outlineLevel="0" collapsed="false">
      <c r="A259" s="73"/>
      <c r="B259" s="69"/>
      <c r="C259" s="174"/>
    </row>
    <row r="260" customFormat="false" ht="15" hidden="false" customHeight="true" outlineLevel="0" collapsed="false">
      <c r="A260" s="73"/>
      <c r="B260" s="69"/>
      <c r="C260" s="174"/>
    </row>
    <row r="261" customFormat="false" ht="15" hidden="false" customHeight="true" outlineLevel="0" collapsed="false">
      <c r="A261" s="73"/>
      <c r="B261" s="69"/>
      <c r="C261" s="174"/>
    </row>
    <row r="262" customFormat="false" ht="15" hidden="false" customHeight="true" outlineLevel="0" collapsed="false">
      <c r="A262" s="73"/>
      <c r="B262" s="69"/>
      <c r="C262" s="174"/>
    </row>
    <row r="263" customFormat="false" ht="15" hidden="false" customHeight="true" outlineLevel="0" collapsed="false">
      <c r="A263" s="73"/>
      <c r="B263" s="69"/>
      <c r="C263" s="174"/>
    </row>
    <row r="264" customFormat="false" ht="15" hidden="false" customHeight="true" outlineLevel="0" collapsed="false">
      <c r="A264" s="73"/>
      <c r="B264" s="69"/>
      <c r="C264" s="174"/>
    </row>
    <row r="265" customFormat="false" ht="15" hidden="false" customHeight="true" outlineLevel="0" collapsed="false">
      <c r="A265" s="73"/>
      <c r="B265" s="69"/>
      <c r="C265" s="174"/>
    </row>
    <row r="266" customFormat="false" ht="15" hidden="false" customHeight="true" outlineLevel="0" collapsed="false">
      <c r="A266" s="73"/>
      <c r="B266" s="69"/>
      <c r="C266" s="174"/>
    </row>
    <row r="267" customFormat="false" ht="15" hidden="false" customHeight="true" outlineLevel="0" collapsed="false">
      <c r="A267" s="73"/>
      <c r="B267" s="69"/>
      <c r="C267" s="174"/>
    </row>
    <row r="268" customFormat="false" ht="15" hidden="false" customHeight="true" outlineLevel="0" collapsed="false">
      <c r="A268" s="73"/>
      <c r="B268" s="69"/>
      <c r="C268" s="174"/>
    </row>
    <row r="269" customFormat="false" ht="15" hidden="false" customHeight="true" outlineLevel="0" collapsed="false">
      <c r="A269" s="73"/>
      <c r="B269" s="69"/>
      <c r="C269" s="174"/>
    </row>
    <row r="270" customFormat="false" ht="15" hidden="false" customHeight="true" outlineLevel="0" collapsed="false">
      <c r="A270" s="73"/>
      <c r="B270" s="69"/>
      <c r="C270" s="174"/>
    </row>
    <row r="271" customFormat="false" ht="15" hidden="false" customHeight="true" outlineLevel="0" collapsed="false">
      <c r="A271" s="73"/>
      <c r="B271" s="69"/>
      <c r="C271" s="174"/>
    </row>
    <row r="272" customFormat="false" ht="15" hidden="false" customHeight="true" outlineLevel="0" collapsed="false">
      <c r="A272" s="73"/>
      <c r="B272" s="69"/>
      <c r="C272" s="174"/>
    </row>
    <row r="273" customFormat="false" ht="15" hidden="false" customHeight="true" outlineLevel="0" collapsed="false">
      <c r="A273" s="73"/>
      <c r="B273" s="69"/>
      <c r="C273" s="174"/>
    </row>
    <row r="274" customFormat="false" ht="15" hidden="false" customHeight="true" outlineLevel="0" collapsed="false">
      <c r="A274" s="73"/>
      <c r="B274" s="69"/>
      <c r="C274" s="174"/>
    </row>
    <row r="275" customFormat="false" ht="15" hidden="false" customHeight="true" outlineLevel="0" collapsed="false">
      <c r="A275" s="73"/>
      <c r="B275" s="69"/>
      <c r="C275" s="174"/>
    </row>
    <row r="276" customFormat="false" ht="15" hidden="false" customHeight="true" outlineLevel="0" collapsed="false">
      <c r="A276" s="73"/>
      <c r="B276" s="69"/>
      <c r="C276" s="174"/>
    </row>
    <row r="277" customFormat="false" ht="15" hidden="false" customHeight="true" outlineLevel="0" collapsed="false">
      <c r="A277" s="73"/>
      <c r="B277" s="69"/>
      <c r="C277" s="174"/>
    </row>
    <row r="278" customFormat="false" ht="15" hidden="false" customHeight="true" outlineLevel="0" collapsed="false">
      <c r="A278" s="73"/>
      <c r="B278" s="69"/>
      <c r="C278" s="174"/>
    </row>
    <row r="279" customFormat="false" ht="15" hidden="false" customHeight="true" outlineLevel="0" collapsed="false">
      <c r="A279" s="73"/>
      <c r="B279" s="69"/>
      <c r="C279" s="174"/>
    </row>
    <row r="280" customFormat="false" ht="15" hidden="false" customHeight="true" outlineLevel="0" collapsed="false">
      <c r="A280" s="73"/>
      <c r="B280" s="69"/>
      <c r="C280" s="174"/>
    </row>
    <row r="281" customFormat="false" ht="15" hidden="false" customHeight="true" outlineLevel="0" collapsed="false">
      <c r="A281" s="73"/>
      <c r="B281" s="69"/>
      <c r="C281" s="174"/>
    </row>
    <row r="282" customFormat="false" ht="15" hidden="false" customHeight="true" outlineLevel="0" collapsed="false">
      <c r="A282" s="73"/>
      <c r="B282" s="69"/>
      <c r="C282" s="174"/>
    </row>
    <row r="283" customFormat="false" ht="15" hidden="false" customHeight="true" outlineLevel="0" collapsed="false">
      <c r="A283" s="73"/>
      <c r="B283" s="69"/>
      <c r="C283" s="174"/>
    </row>
    <row r="284" customFormat="false" ht="15" hidden="false" customHeight="true" outlineLevel="0" collapsed="false">
      <c r="A284" s="73"/>
      <c r="B284" s="69"/>
      <c r="C284" s="174"/>
    </row>
    <row r="285" customFormat="false" ht="15" hidden="false" customHeight="true" outlineLevel="0" collapsed="false">
      <c r="A285" s="73"/>
      <c r="B285" s="69"/>
      <c r="C285" s="174"/>
    </row>
    <row r="286" customFormat="false" ht="15" hidden="false" customHeight="true" outlineLevel="0" collapsed="false">
      <c r="A286" s="73"/>
      <c r="B286" s="69"/>
      <c r="C286" s="174"/>
    </row>
    <row r="287" customFormat="false" ht="15" hidden="false" customHeight="true" outlineLevel="0" collapsed="false">
      <c r="A287" s="73"/>
      <c r="B287" s="69"/>
      <c r="C287" s="174"/>
    </row>
    <row r="288" customFormat="false" ht="15" hidden="false" customHeight="true" outlineLevel="0" collapsed="false">
      <c r="A288" s="73"/>
      <c r="B288" s="69"/>
      <c r="C288" s="174"/>
    </row>
    <row r="289" customFormat="false" ht="15" hidden="false" customHeight="true" outlineLevel="0" collapsed="false">
      <c r="A289" s="73"/>
      <c r="B289" s="69"/>
      <c r="C289" s="174"/>
    </row>
    <row r="290" customFormat="false" ht="15" hidden="false" customHeight="true" outlineLevel="0" collapsed="false">
      <c r="A290" s="73"/>
      <c r="B290" s="69"/>
      <c r="C290" s="174"/>
    </row>
    <row r="291" customFormat="false" ht="15" hidden="false" customHeight="true" outlineLevel="0" collapsed="false">
      <c r="A291" s="73"/>
      <c r="B291" s="69"/>
      <c r="C291" s="174"/>
    </row>
    <row r="292" customFormat="false" ht="15" hidden="false" customHeight="true" outlineLevel="0" collapsed="false">
      <c r="A292" s="73"/>
      <c r="B292" s="69"/>
      <c r="C292" s="174"/>
    </row>
    <row r="293" customFormat="false" ht="15" hidden="false" customHeight="true" outlineLevel="0" collapsed="false">
      <c r="A293" s="73"/>
      <c r="B293" s="69"/>
      <c r="C293" s="174"/>
    </row>
    <row r="294" customFormat="false" ht="15" hidden="false" customHeight="true" outlineLevel="0" collapsed="false">
      <c r="A294" s="73"/>
      <c r="B294" s="69"/>
      <c r="C294" s="174"/>
    </row>
    <row r="295" customFormat="false" ht="15" hidden="false" customHeight="true" outlineLevel="0" collapsed="false">
      <c r="A295" s="73"/>
      <c r="B295" s="69"/>
      <c r="C295" s="174"/>
    </row>
    <row r="296" customFormat="false" ht="15" hidden="false" customHeight="true" outlineLevel="0" collapsed="false">
      <c r="A296" s="73"/>
      <c r="B296" s="69"/>
      <c r="C296" s="174"/>
    </row>
    <row r="297" customFormat="false" ht="15" hidden="false" customHeight="true" outlineLevel="0" collapsed="false">
      <c r="A297" s="73"/>
      <c r="B297" s="69"/>
      <c r="C297" s="174"/>
    </row>
    <row r="298" customFormat="false" ht="15" hidden="false" customHeight="true" outlineLevel="0" collapsed="false">
      <c r="A298" s="73"/>
      <c r="B298" s="69"/>
      <c r="C298" s="174"/>
    </row>
    <row r="299" customFormat="false" ht="15" hidden="false" customHeight="true" outlineLevel="0" collapsed="false">
      <c r="A299" s="73"/>
      <c r="B299" s="69"/>
      <c r="C299" s="174"/>
    </row>
    <row r="300" customFormat="false" ht="15" hidden="false" customHeight="true" outlineLevel="0" collapsed="false">
      <c r="A300" s="73"/>
      <c r="B300" s="69"/>
      <c r="C300" s="174"/>
    </row>
    <row r="301" customFormat="false" ht="15" hidden="false" customHeight="true" outlineLevel="0" collapsed="false">
      <c r="A301" s="73"/>
      <c r="B301" s="69"/>
      <c r="C301" s="174"/>
    </row>
    <row r="302" customFormat="false" ht="15" hidden="false" customHeight="true" outlineLevel="0" collapsed="false">
      <c r="A302" s="73"/>
      <c r="B302" s="69"/>
      <c r="C302" s="174"/>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N22" activeCellId="0" sqref="N22"/>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8" t="s">
        <v>501</v>
      </c>
      <c r="B1" s="8"/>
      <c r="C1" s="8"/>
      <c r="D1" s="8"/>
      <c r="E1" s="8"/>
      <c r="F1" s="8"/>
    </row>
    <row r="2" customFormat="false" ht="39.75" hidden="false" customHeight="true" outlineLevel="0" collapsed="false">
      <c r="A2" s="175" t="s">
        <v>502</v>
      </c>
      <c r="B2" s="175"/>
      <c r="C2" s="175"/>
      <c r="D2" s="175"/>
      <c r="E2" s="175"/>
      <c r="F2" s="175"/>
    </row>
    <row r="4" customFormat="false" ht="15" hidden="false" customHeight="true" outlineLevel="0" collapsed="false">
      <c r="A4" s="176" t="s">
        <v>503</v>
      </c>
      <c r="B4" s="176"/>
      <c r="C4" s="176"/>
      <c r="D4" s="176"/>
      <c r="E4" s="176"/>
      <c r="F4" s="176"/>
    </row>
    <row r="5" customFormat="false" ht="15" hidden="false" customHeight="true" outlineLevel="0" collapsed="false">
      <c r="A5" s="177" t="s">
        <v>504</v>
      </c>
      <c r="B5" s="177" t="s">
        <v>505</v>
      </c>
      <c r="C5" s="177" t="s">
        <v>506</v>
      </c>
      <c r="D5" s="177" t="s">
        <v>507</v>
      </c>
    </row>
    <row r="6" customFormat="false" ht="15" hidden="false" customHeight="true" outlineLevel="0" collapsed="false">
      <c r="A6" s="178" t="s">
        <v>508</v>
      </c>
      <c r="B6" s="178" t="s">
        <v>509</v>
      </c>
      <c r="C6" s="178" t="s">
        <v>509</v>
      </c>
      <c r="D6" s="178" t="s">
        <v>510</v>
      </c>
      <c r="E6" s="178"/>
      <c r="F6" s="178"/>
    </row>
    <row r="8" customFormat="false" ht="15" hidden="false" customHeight="true" outlineLevel="0" collapsed="false">
      <c r="A8" s="176" t="s">
        <v>511</v>
      </c>
      <c r="B8" s="176"/>
      <c r="C8" s="176"/>
      <c r="D8" s="176"/>
      <c r="E8" s="176"/>
      <c r="F8" s="176"/>
    </row>
    <row r="9" customFormat="false" ht="15" hidden="false" customHeight="true" outlineLevel="0" collapsed="false">
      <c r="A9" s="177" t="s">
        <v>504</v>
      </c>
      <c r="B9" s="177" t="s">
        <v>505</v>
      </c>
      <c r="C9" s="177" t="s">
        <v>506</v>
      </c>
      <c r="D9" s="177" t="s">
        <v>507</v>
      </c>
    </row>
    <row r="10" customFormat="false" ht="27.75" hidden="false" customHeight="true" outlineLevel="0" collapsed="false">
      <c r="A10" s="178" t="s">
        <v>512</v>
      </c>
      <c r="B10" s="178" t="s">
        <v>509</v>
      </c>
      <c r="C10" s="178" t="s">
        <v>513</v>
      </c>
      <c r="D10" s="178" t="s">
        <v>514</v>
      </c>
      <c r="E10" s="178"/>
      <c r="F10" s="178"/>
    </row>
    <row r="12" customFormat="false" ht="15" hidden="false" customHeight="true" outlineLevel="0" collapsed="false">
      <c r="A12" s="176" t="s">
        <v>515</v>
      </c>
      <c r="B12" s="176"/>
      <c r="C12" s="176"/>
      <c r="D12" s="176"/>
      <c r="E12" s="176"/>
      <c r="F12" s="176"/>
    </row>
    <row r="13" customFormat="false" ht="15" hidden="false" customHeight="true" outlineLevel="0" collapsed="false">
      <c r="A13" s="177" t="s">
        <v>504</v>
      </c>
      <c r="B13" s="177" t="s">
        <v>505</v>
      </c>
      <c r="C13" s="177" t="s">
        <v>506</v>
      </c>
      <c r="D13" s="177" t="s">
        <v>507</v>
      </c>
    </row>
    <row r="14" customFormat="false" ht="36.75" hidden="false" customHeight="true" outlineLevel="0" collapsed="false">
      <c r="A14" s="178" t="s">
        <v>516</v>
      </c>
      <c r="B14" s="178" t="s">
        <v>517</v>
      </c>
      <c r="C14" s="178" t="s">
        <v>518</v>
      </c>
      <c r="D14" s="178" t="s">
        <v>519</v>
      </c>
      <c r="E14" s="178"/>
      <c r="F14" s="178"/>
    </row>
    <row r="16" customFormat="false" ht="15" hidden="false" customHeight="true" outlineLevel="0" collapsed="false">
      <c r="A16" s="176" t="s">
        <v>520</v>
      </c>
      <c r="B16" s="176"/>
      <c r="C16" s="176"/>
      <c r="D16" s="176"/>
      <c r="E16" s="176"/>
      <c r="F16" s="176"/>
    </row>
    <row r="17" customFormat="false" ht="15" hidden="false" customHeight="true" outlineLevel="0" collapsed="false">
      <c r="A17" s="177" t="s">
        <v>504</v>
      </c>
      <c r="B17" s="177" t="s">
        <v>505</v>
      </c>
      <c r="C17" s="177" t="s">
        <v>506</v>
      </c>
      <c r="D17" s="177" t="s">
        <v>507</v>
      </c>
    </row>
    <row r="18" customFormat="false" ht="18.75" hidden="false" customHeight="true" outlineLevel="0" collapsed="false">
      <c r="A18" s="178" t="s">
        <v>521</v>
      </c>
      <c r="B18" s="178" t="s">
        <v>509</v>
      </c>
      <c r="C18" s="178" t="s">
        <v>522</v>
      </c>
      <c r="D18" s="178" t="s">
        <v>523</v>
      </c>
      <c r="E18" s="178"/>
      <c r="F18" s="178"/>
    </row>
    <row r="20" customFormat="false" ht="15" hidden="false" customHeight="true" outlineLevel="0" collapsed="false">
      <c r="A20" s="176" t="s">
        <v>524</v>
      </c>
      <c r="B20" s="176"/>
      <c r="C20" s="176"/>
      <c r="D20" s="176"/>
      <c r="E20" s="176"/>
      <c r="F20" s="176"/>
    </row>
    <row r="21" customFormat="false" ht="15" hidden="false" customHeight="true" outlineLevel="0" collapsed="false">
      <c r="A21" s="177" t="s">
        <v>504</v>
      </c>
      <c r="B21" s="177" t="s">
        <v>505</v>
      </c>
      <c r="C21" s="177" t="s">
        <v>506</v>
      </c>
      <c r="D21" s="177" t="s">
        <v>507</v>
      </c>
    </row>
    <row r="22" customFormat="false" ht="63.75" hidden="false" customHeight="true" outlineLevel="0" collapsed="false">
      <c r="A22" s="178" t="s">
        <v>525</v>
      </c>
      <c r="B22" s="178" t="s">
        <v>526</v>
      </c>
      <c r="C22" s="178" t="s">
        <v>527</v>
      </c>
      <c r="D22" s="178" t="s">
        <v>528</v>
      </c>
      <c r="E22" s="178"/>
      <c r="F22" s="178"/>
    </row>
    <row r="24" customFormat="false" ht="15" hidden="false" customHeight="true" outlineLevel="0" collapsed="false">
      <c r="A24" s="176" t="s">
        <v>529</v>
      </c>
      <c r="B24" s="176"/>
      <c r="C24" s="176"/>
      <c r="D24" s="176"/>
      <c r="E24" s="176"/>
      <c r="F24" s="176"/>
    </row>
    <row r="25" customFormat="false" ht="15" hidden="false" customHeight="true" outlineLevel="0" collapsed="false">
      <c r="A25" s="177" t="s">
        <v>504</v>
      </c>
      <c r="B25" s="177" t="s">
        <v>505</v>
      </c>
      <c r="C25" s="177" t="s">
        <v>506</v>
      </c>
      <c r="D25" s="177" t="s">
        <v>507</v>
      </c>
    </row>
    <row r="26" customFormat="false" ht="45.75" hidden="false" customHeight="true" outlineLevel="0" collapsed="false">
      <c r="A26" s="178" t="s">
        <v>525</v>
      </c>
      <c r="B26" s="178" t="s">
        <v>530</v>
      </c>
      <c r="C26" s="178" t="s">
        <v>531</v>
      </c>
      <c r="D26" s="178" t="s">
        <v>532</v>
      </c>
      <c r="E26" s="178"/>
      <c r="F26" s="178"/>
    </row>
    <row r="28" customFormat="false" ht="15" hidden="false" customHeight="true" outlineLevel="0" collapsed="false">
      <c r="A28" s="176" t="s">
        <v>533</v>
      </c>
      <c r="B28" s="176"/>
      <c r="C28" s="176"/>
      <c r="D28" s="176"/>
      <c r="E28" s="176"/>
      <c r="F28" s="176"/>
    </row>
    <row r="29" customFormat="false" ht="15" hidden="false" customHeight="true" outlineLevel="0" collapsed="false">
      <c r="A29" s="177" t="s">
        <v>504</v>
      </c>
      <c r="B29" s="177" t="s">
        <v>505</v>
      </c>
      <c r="C29" s="177" t="s">
        <v>506</v>
      </c>
      <c r="D29" s="177" t="s">
        <v>507</v>
      </c>
    </row>
    <row r="30" customFormat="false" ht="27.75" hidden="false" customHeight="true" outlineLevel="0" collapsed="false">
      <c r="A30" s="178" t="s">
        <v>525</v>
      </c>
      <c r="B30" s="178" t="s">
        <v>534</v>
      </c>
      <c r="C30" s="178" t="s">
        <v>535</v>
      </c>
      <c r="D30" s="178" t="s">
        <v>536</v>
      </c>
      <c r="E30" s="178"/>
      <c r="F30" s="178"/>
    </row>
    <row r="32" customFormat="false" ht="15" hidden="false" customHeight="true" outlineLevel="0" collapsed="false">
      <c r="A32" s="176" t="s">
        <v>537</v>
      </c>
      <c r="B32" s="176"/>
      <c r="C32" s="176"/>
      <c r="D32" s="176"/>
      <c r="E32" s="176"/>
      <c r="F32" s="176"/>
    </row>
    <row r="33" customFormat="false" ht="15" hidden="false" customHeight="true" outlineLevel="0" collapsed="false">
      <c r="A33" s="177" t="s">
        <v>504</v>
      </c>
      <c r="B33" s="177" t="s">
        <v>505</v>
      </c>
      <c r="C33" s="177" t="s">
        <v>506</v>
      </c>
      <c r="D33" s="177" t="s">
        <v>507</v>
      </c>
    </row>
    <row r="34" customFormat="false" ht="45.75" hidden="false" customHeight="true" outlineLevel="0" collapsed="false">
      <c r="A34" s="178" t="s">
        <v>516</v>
      </c>
      <c r="B34" s="178" t="s">
        <v>538</v>
      </c>
      <c r="C34" s="178" t="s">
        <v>539</v>
      </c>
      <c r="D34" s="178" t="s">
        <v>540</v>
      </c>
      <c r="E34" s="178"/>
      <c r="F34" s="178"/>
    </row>
    <row r="36" customFormat="false" ht="15" hidden="false" customHeight="true" outlineLevel="0" collapsed="false">
      <c r="A36" s="176" t="s">
        <v>541</v>
      </c>
      <c r="B36" s="176"/>
      <c r="C36" s="176"/>
      <c r="D36" s="176"/>
      <c r="E36" s="176"/>
      <c r="F36" s="176"/>
    </row>
    <row r="37" customFormat="false" ht="15" hidden="false" customHeight="true" outlineLevel="0" collapsed="false">
      <c r="A37" s="177" t="s">
        <v>504</v>
      </c>
      <c r="B37" s="177" t="s">
        <v>505</v>
      </c>
      <c r="C37" s="177" t="s">
        <v>506</v>
      </c>
      <c r="D37" s="177" t="s">
        <v>507</v>
      </c>
    </row>
    <row r="38" customFormat="false" ht="36.75" hidden="false" customHeight="true" outlineLevel="0" collapsed="false">
      <c r="A38" s="178" t="s">
        <v>516</v>
      </c>
      <c r="B38" s="178" t="s">
        <v>542</v>
      </c>
      <c r="C38" s="178" t="s">
        <v>543</v>
      </c>
      <c r="D38" s="178" t="s">
        <v>544</v>
      </c>
      <c r="E38" s="178"/>
      <c r="F38" s="178"/>
    </row>
    <row r="40" customFormat="false" ht="15" hidden="false" customHeight="true" outlineLevel="0" collapsed="false">
      <c r="A40" s="176" t="s">
        <v>545</v>
      </c>
      <c r="B40" s="176"/>
      <c r="C40" s="176"/>
      <c r="D40" s="176"/>
      <c r="E40" s="176"/>
      <c r="F40" s="176"/>
    </row>
    <row r="41" customFormat="false" ht="15" hidden="false" customHeight="true" outlineLevel="0" collapsed="false">
      <c r="A41" s="177" t="s">
        <v>504</v>
      </c>
      <c r="B41" s="177" t="s">
        <v>505</v>
      </c>
      <c r="C41" s="177" t="s">
        <v>506</v>
      </c>
      <c r="D41" s="177" t="s">
        <v>507</v>
      </c>
    </row>
    <row r="42" customFormat="false" ht="36.75" hidden="false" customHeight="true" outlineLevel="0" collapsed="false">
      <c r="A42" s="178" t="s">
        <v>525</v>
      </c>
      <c r="B42" s="178" t="s">
        <v>546</v>
      </c>
      <c r="C42" s="178" t="s">
        <v>547</v>
      </c>
      <c r="D42" s="178" t="s">
        <v>548</v>
      </c>
      <c r="E42" s="178"/>
      <c r="F42" s="178"/>
    </row>
    <row r="44" customFormat="false" ht="15" hidden="false" customHeight="true" outlineLevel="0" collapsed="false">
      <c r="A44" s="176" t="s">
        <v>549</v>
      </c>
      <c r="B44" s="176"/>
      <c r="C44" s="176"/>
      <c r="D44" s="176"/>
      <c r="E44" s="176"/>
      <c r="F44" s="176"/>
    </row>
    <row r="45" customFormat="false" ht="15" hidden="false" customHeight="true" outlineLevel="0" collapsed="false">
      <c r="A45" s="177" t="s">
        <v>504</v>
      </c>
      <c r="B45" s="177" t="s">
        <v>505</v>
      </c>
      <c r="C45" s="177" t="s">
        <v>506</v>
      </c>
      <c r="D45" s="177" t="s">
        <v>507</v>
      </c>
    </row>
    <row r="46" customFormat="false" ht="18.75" hidden="false" customHeight="true" outlineLevel="0" collapsed="false">
      <c r="A46" s="178" t="s">
        <v>521</v>
      </c>
      <c r="B46" s="178" t="s">
        <v>509</v>
      </c>
      <c r="C46" s="178" t="s">
        <v>550</v>
      </c>
      <c r="D46" s="178" t="s">
        <v>551</v>
      </c>
      <c r="E46" s="178"/>
      <c r="F46" s="178"/>
    </row>
    <row r="48" customFormat="false" ht="15" hidden="false" customHeight="true" outlineLevel="0" collapsed="false">
      <c r="A48" s="176" t="s">
        <v>552</v>
      </c>
      <c r="B48" s="176"/>
      <c r="C48" s="176"/>
      <c r="D48" s="176"/>
      <c r="E48" s="176"/>
      <c r="F48" s="176"/>
    </row>
    <row r="49" customFormat="false" ht="15" hidden="false" customHeight="true" outlineLevel="0" collapsed="false">
      <c r="A49" s="177" t="s">
        <v>504</v>
      </c>
      <c r="B49" s="177" t="s">
        <v>505</v>
      </c>
      <c r="C49" s="177" t="s">
        <v>506</v>
      </c>
      <c r="D49" s="177" t="s">
        <v>507</v>
      </c>
    </row>
    <row r="50" customFormat="false" ht="18.75" hidden="false" customHeight="true" outlineLevel="0" collapsed="false">
      <c r="A50" s="178" t="s">
        <v>553</v>
      </c>
      <c r="B50" s="178" t="s">
        <v>509</v>
      </c>
      <c r="C50" s="178" t="s">
        <v>554</v>
      </c>
      <c r="D50" s="178" t="s">
        <v>555</v>
      </c>
      <c r="E50" s="178"/>
      <c r="F50" s="178"/>
    </row>
    <row r="52" customFormat="false" ht="15" hidden="false" customHeight="true" outlineLevel="0" collapsed="false">
      <c r="A52" s="176" t="s">
        <v>556</v>
      </c>
      <c r="B52" s="176"/>
      <c r="C52" s="176"/>
      <c r="D52" s="176"/>
      <c r="E52" s="176"/>
      <c r="F52" s="176"/>
    </row>
    <row r="53" customFormat="false" ht="15" hidden="false" customHeight="true" outlineLevel="0" collapsed="false">
      <c r="A53" s="177" t="s">
        <v>504</v>
      </c>
      <c r="B53" s="177" t="s">
        <v>505</v>
      </c>
      <c r="C53" s="177" t="s">
        <v>506</v>
      </c>
      <c r="D53" s="177" t="s">
        <v>507</v>
      </c>
    </row>
    <row r="54" customFormat="false" ht="36.75" hidden="false" customHeight="true" outlineLevel="0" collapsed="false">
      <c r="A54" s="178" t="s">
        <v>557</v>
      </c>
      <c r="B54" s="178" t="s">
        <v>509</v>
      </c>
      <c r="C54" s="178" t="s">
        <v>558</v>
      </c>
      <c r="D54" s="178" t="s">
        <v>559</v>
      </c>
      <c r="E54" s="178"/>
      <c r="F54" s="178"/>
    </row>
    <row r="56" customFormat="false" ht="15" hidden="false" customHeight="true" outlineLevel="0" collapsed="false">
      <c r="A56" s="176" t="s">
        <v>560</v>
      </c>
      <c r="B56" s="176"/>
      <c r="C56" s="176"/>
      <c r="D56" s="176"/>
      <c r="E56" s="176"/>
      <c r="F56" s="176"/>
    </row>
    <row r="57" customFormat="false" ht="15" hidden="false" customHeight="true" outlineLevel="0" collapsed="false">
      <c r="A57" s="177" t="s">
        <v>504</v>
      </c>
      <c r="B57" s="177" t="s">
        <v>505</v>
      </c>
      <c r="C57" s="177" t="s">
        <v>506</v>
      </c>
      <c r="D57" s="177" t="s">
        <v>507</v>
      </c>
    </row>
    <row r="58" customFormat="false" ht="18.75" hidden="false" customHeight="true" outlineLevel="0" collapsed="false">
      <c r="A58" s="178" t="s">
        <v>525</v>
      </c>
      <c r="B58" s="178" t="s">
        <v>561</v>
      </c>
      <c r="C58" s="178" t="s">
        <v>562</v>
      </c>
      <c r="D58" s="178" t="s">
        <v>563</v>
      </c>
      <c r="E58" s="178"/>
      <c r="F58" s="178"/>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2026-08-25T18:12:30Z</dcterms:modified>
  <cp:revision>31</cp:revision>
  <dc:subject/>
  <dc:title/>
</cp:coreProperties>
</file>

<file path=docProps/custom.xml><?xml version="1.0" encoding="utf-8"?>
<Properties xmlns="http://schemas.openxmlformats.org/officeDocument/2006/custom-properties" xmlns:vt="http://schemas.openxmlformats.org/officeDocument/2006/docPropsVTypes"/>
</file>